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ms-office.chartex+xml" PartName="/xl/charts/chartEx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office.chartstyle+xml" PartName="/xl/charts/style1.xml"/>
  <Override ContentType="application/vnd.ms-office.chartcolorstyle+xml" PartName="/xl/charts/colors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2.xml"/>
  <Override ContentType="application/vnd.openxmlformats-officedocument.drawingml.chart+xml" PartName="/xl/charts/chart2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15.xml"/>
  <Override ContentType="application/vnd.openxmlformats-officedocument.drawingml.chart+xml" PartName="/xl/charts/chart17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21.xml"/>
  <Override ContentType="application/vnd.openxmlformats-officedocument.drawingml.chart+xml" PartName="/xl/charts/chart3.xml"/>
  <Override ContentType="application/vnd.openxmlformats-officedocument.drawingml.chart+xml" PartName="/xl/charts/chart2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eaned " sheetId="1" r:id="rId5"/>
    <sheet state="visible" name="Disgusting" sheetId="2" r:id="rId6"/>
  </sheets>
  <definedNames/>
  <calcPr/>
</workbook>
</file>

<file path=xl/sharedStrings.xml><?xml version="1.0" encoding="utf-8"?>
<sst xmlns="http://schemas.openxmlformats.org/spreadsheetml/2006/main" count="523" uniqueCount="323">
  <si>
    <t>When?</t>
  </si>
  <si>
    <t>*LISTED ON UNL GPA REPORT. SOMEWHAT UNRELIABLE*</t>
  </si>
  <si>
    <t>How many actives do we have? (total - new)</t>
  </si>
  <si>
    <t>Also on UNL report</t>
  </si>
  <si>
    <t>1 = Historical TX total member avg. 1+ is times above avg, 0-1 is below avg</t>
  </si>
  <si>
    <t>Understand that spring will have more graduating guys, so lower number</t>
  </si>
  <si>
    <t>What % change from last year is total members</t>
  </si>
  <si>
    <t>By how many % did number of actives change?</t>
  </si>
  <si>
    <t>Date</t>
  </si>
  <si>
    <t>Total Members</t>
  </si>
  <si>
    <t>Active Members</t>
  </si>
  <si>
    <t>New Members</t>
  </si>
  <si>
    <t>Members / Average Members</t>
  </si>
  <si>
    <t>Total Members Change from 1 semester ago</t>
  </si>
  <si>
    <t>Total Members Change from 1 year ago</t>
  </si>
  <si>
    <t>Actives Change from 1 year ago</t>
  </si>
  <si>
    <t>Fall 10</t>
  </si>
  <si>
    <t>(not last semester cuz spring and fall rush different)</t>
  </si>
  <si>
    <t>Avg IFC Members</t>
  </si>
  <si>
    <t>TX members / IFC avgMembers</t>
  </si>
  <si>
    <t>IFC avg GPA</t>
  </si>
  <si>
    <t>% change from 1 year ago</t>
  </si>
  <si>
    <t>TX External GPA</t>
  </si>
  <si>
    <t>TX / IFC avg GPA</t>
  </si>
  <si>
    <t>%cf1ya</t>
  </si>
  <si>
    <t>Spring 11</t>
  </si>
  <si>
    <t>Fall 11</t>
  </si>
  <si>
    <t>Spring 12</t>
  </si>
  <si>
    <t>Fall 12</t>
  </si>
  <si>
    <t>Spring 13</t>
  </si>
  <si>
    <t>Fall 13</t>
  </si>
  <si>
    <t>Spring 14</t>
  </si>
  <si>
    <t>Fall 14</t>
  </si>
  <si>
    <t>Spring 15</t>
  </si>
  <si>
    <t>Fall 15</t>
  </si>
  <si>
    <t>Spring 16</t>
  </si>
  <si>
    <t>Fall 16</t>
  </si>
  <si>
    <t>Spring 17</t>
  </si>
  <si>
    <t>Fall 17</t>
  </si>
  <si>
    <t>Spring 18</t>
  </si>
  <si>
    <t>Fall 18</t>
  </si>
  <si>
    <t>Spring 19</t>
  </si>
  <si>
    <t>Fall 19</t>
  </si>
  <si>
    <t>Spring 20</t>
  </si>
  <si>
    <t>Fall 20</t>
  </si>
  <si>
    <t>Spring 21</t>
  </si>
  <si>
    <t>Fall 21</t>
  </si>
  <si>
    <t>Spring 22</t>
  </si>
  <si>
    <t>Fall 22</t>
  </si>
  <si>
    <t>Spring 23</t>
  </si>
  <si>
    <t>Fall 23</t>
  </si>
  <si>
    <t>Spring 24</t>
  </si>
  <si>
    <t>Total Avg</t>
  </si>
  <si>
    <t>Fall Avg</t>
  </si>
  <si>
    <t>Avg</t>
  </si>
  <si>
    <t>Spring Avg</t>
  </si>
  <si>
    <t>Fall avg</t>
  </si>
  <si>
    <t>We avg 51 in spring and 48 in fall</t>
  </si>
  <si>
    <t>We usually have around 40 active</t>
  </si>
  <si>
    <t>We average 18.2 guys/yr</t>
  </si>
  <si>
    <t>How many times bigger are we compared to average members?</t>
  </si>
  <si>
    <t>We usually lose 6% of guys in the spring and we usually grow 12% in fall from spring</t>
  </si>
  <si>
    <t xml:space="preserve">On average we grow 6.6% a year </t>
  </si>
  <si>
    <t>Spring avg</t>
  </si>
  <si>
    <t>Makes sense more in spring</t>
  </si>
  <si>
    <t>(9.1*2) not 14.1+3.8</t>
  </si>
  <si>
    <t>Makes sense that we're bigger in the fall (1.03) than spring (0.96)</t>
  </si>
  <si>
    <t>but we know that all things must go down sometimes</t>
  </si>
  <si>
    <t>Historically we've been 70% avg size</t>
  </si>
  <si>
    <t>We avg 2.85 in fall</t>
  </si>
  <si>
    <t>We're usually have 7% worse GPA than avg</t>
  </si>
  <si>
    <t>Now we are average size</t>
  </si>
  <si>
    <t>We avg 3.03 in spring</t>
  </si>
  <si>
    <t>:(</t>
  </si>
  <si>
    <t>How many times better did we do in rush compared to AVERAGE? Twice as good (2)? Half as good (0.5)?</t>
  </si>
  <si>
    <t>Simply last column x100. Just easier to read. Avg is 100</t>
  </si>
  <si>
    <t>Are we rushing enough guys to replace current actives? Below 100 no, Above 100 yes. Can swing a lot</t>
  </si>
  <si>
    <t>Average of Expected Rush and Replacement Rush Adjusted. SCORED RUSH</t>
  </si>
  <si>
    <t>Columns on left show raw data but this is adj so spring rush score is based on (spring/fall) ratio. Nerfs spring</t>
  </si>
  <si>
    <t>New Mem / Avg New Mem (Adjusted for Spring/Fall. Use Fall Avg for fall and Spring Avg for spring)</t>
  </si>
  <si>
    <t>Expected Rush (Average Rush)</t>
  </si>
  <si>
    <t>Replacement Rush Index (Needed Rush)</t>
  </si>
  <si>
    <t>GRAND RUSH INDEX</t>
  </si>
  <si>
    <t>Expected Adjusted (Scored)</t>
  </si>
  <si>
    <t>Replacement Adjusted (Scored)</t>
  </si>
  <si>
    <t>Expected Rush (100= avg rush. 200 is twice as good. 50 half as good)</t>
  </si>
  <si>
    <t>GRAND RUSH INDEX (avg exp rush + replace rush both adj. for spring)</t>
  </si>
  <si>
    <t>Replacement Rush (100= stable. +100 is growth in actives. Sub 100 is loss)</t>
  </si>
  <si>
    <t>Grand Rush</t>
  </si>
  <si>
    <t>Members</t>
  </si>
  <si>
    <t>*Rush is on the whole house, way more than these two*</t>
  </si>
  <si>
    <t>.</t>
  </si>
  <si>
    <t>Tyler Brattain</t>
  </si>
  <si>
    <t>?</t>
  </si>
  <si>
    <t>Nick Mason</t>
  </si>
  <si>
    <t>Brennan</t>
  </si>
  <si>
    <t>Evan Cox</t>
  </si>
  <si>
    <t>Eli Soell</t>
  </si>
  <si>
    <t>Austin Bennet</t>
  </si>
  <si>
    <t>Tyler Lechner</t>
  </si>
  <si>
    <t>Max Dikker</t>
  </si>
  <si>
    <t>Connor Wieseman</t>
  </si>
  <si>
    <t>Elijah Doyle</t>
  </si>
  <si>
    <t>Michael Leiting</t>
  </si>
  <si>
    <t>Ben Morse</t>
  </si>
  <si>
    <t>Owen Micek</t>
  </si>
  <si>
    <t>Sebastian and Miles</t>
  </si>
  <si>
    <t>These numbers above should all be 1, meaning it is standardized. Above 1 means above avg. Below 1 below avg</t>
  </si>
  <si>
    <t>These should alwaus be 100, meaning it is standardized</t>
  </si>
  <si>
    <t xml:space="preserve">This is standardized round that 100 means equal ACTIVE replacement. On average actives grow </t>
  </si>
  <si>
    <t>Sounds confusing but this is just trying to fix spring being overweighted</t>
  </si>
  <si>
    <t xml:space="preserve">How many times better did we rush? </t>
  </si>
  <si>
    <t>We have been rushing about average in last 3 years</t>
  </si>
  <si>
    <t>However since Fall 2021 we have not been rushing enough to replace all the actives</t>
  </si>
  <si>
    <t>It multiplies the previous columns by their proportions, which standardizes this</t>
  </si>
  <si>
    <t>When Eli was president, we rushed 1.42x better than (fall)avg in fall &amp; 2.65x better than (spring)avg in spring</t>
  </si>
  <si>
    <t xml:space="preserve">However since we're still above average in our history, </t>
  </si>
  <si>
    <t>You can think of it as what percent of graduating/leaving actives have we covered with rush</t>
  </si>
  <si>
    <t>These added up become the weighted average shown in table on right</t>
  </si>
  <si>
    <t>This is not enough. Avg rush is for avg house. We not avg...yet</t>
  </si>
  <si>
    <t>If we rush just enough guys to keep our amount of actives the same in the long-term then we have 100</t>
  </si>
  <si>
    <t>new/active / avg new / average active</t>
  </si>
  <si>
    <t>new/avg new / actives/ average active</t>
  </si>
  <si>
    <t>new * avg active / active * avg new</t>
  </si>
  <si>
    <t>#</t>
  </si>
  <si>
    <t>Lost</t>
  </si>
  <si>
    <t>Total (If No One Dropped)</t>
  </si>
  <si>
    <t>Old</t>
  </si>
  <si>
    <t>pct lost</t>
  </si>
  <si>
    <t>Nate Hollenbeck</t>
  </si>
  <si>
    <t>guys avg/year</t>
  </si>
  <si>
    <t>spring 23 recruit</t>
  </si>
  <si>
    <t>avg of last two springs (22/23)</t>
  </si>
  <si>
    <t>Antonio Soto</t>
  </si>
  <si>
    <t>fall 24 recruit</t>
  </si>
  <si>
    <t>avg of last two fall class intiated (21/22)+ current pledge class (23)</t>
  </si>
  <si>
    <t>Thomas Hope</t>
  </si>
  <si>
    <t>drop/undergrad</t>
  </si>
  <si>
    <t>avg guys lost per class /years in house (fall 21 - present. juniors - freshman)</t>
  </si>
  <si>
    <t>Ethan Halliday</t>
  </si>
  <si>
    <t>this year</t>
  </si>
  <si>
    <t>estimated graduating</t>
  </si>
  <si>
    <t>Hunter Kinnaman</t>
  </si>
  <si>
    <t>New total 2024 fall</t>
  </si>
  <si>
    <t>prediction</t>
  </si>
  <si>
    <t>Callahan Weeks</t>
  </si>
  <si>
    <t>change</t>
  </si>
  <si>
    <t>Rishik Kancharla</t>
  </si>
  <si>
    <t>Total</t>
  </si>
  <si>
    <t>Though estimated amount of dudes paying full dues (not senior) is still around 40</t>
  </si>
  <si>
    <t>Dropped?</t>
  </si>
  <si>
    <t>Anibal Grajeda</t>
  </si>
  <si>
    <t>Average</t>
  </si>
  <si>
    <t>Standard Dev.</t>
  </si>
  <si>
    <t>Jan Gomez</t>
  </si>
  <si>
    <t>Kris Anwar</t>
  </si>
  <si>
    <t>Andrew Wellman</t>
  </si>
  <si>
    <t>Harry Wells</t>
  </si>
  <si>
    <t>Grant Crockett</t>
  </si>
  <si>
    <t>Evan Siepold</t>
  </si>
  <si>
    <t>AJ Fields</t>
  </si>
  <si>
    <t>Trenton Sedlacek</t>
  </si>
  <si>
    <t>Nolan Johnson</t>
  </si>
  <si>
    <t>Logan McDonald</t>
  </si>
  <si>
    <t>Scott Lundin</t>
  </si>
  <si>
    <t>Connor Radde</t>
  </si>
  <si>
    <t>If none left</t>
  </si>
  <si>
    <t>James Moeller</t>
  </si>
  <si>
    <t>Nico Bianchette</t>
  </si>
  <si>
    <t>Sean Pate</t>
  </si>
  <si>
    <t>Braeden Haptonstall</t>
  </si>
  <si>
    <t>Braeden Aherns</t>
  </si>
  <si>
    <t xml:space="preserve">Nikolas Ostrowski </t>
  </si>
  <si>
    <t>Sebastian Palka</t>
  </si>
  <si>
    <t>Current</t>
  </si>
  <si>
    <t>Danny Smyth</t>
  </si>
  <si>
    <t>Garrett Smith</t>
  </si>
  <si>
    <t>Hayden Smith</t>
  </si>
  <si>
    <t>Riley Pankow</t>
  </si>
  <si>
    <t>Colby Hehnke</t>
  </si>
  <si>
    <t>Fall 20 (Lost)</t>
  </si>
  <si>
    <t>Brady Perna</t>
  </si>
  <si>
    <t>Mac Clarke</t>
  </si>
  <si>
    <t>Spring 21 (L)</t>
  </si>
  <si>
    <t>Cutter Riveland</t>
  </si>
  <si>
    <t>William Miller</t>
  </si>
  <si>
    <t>Fall 21(L)</t>
  </si>
  <si>
    <t>Sam Mueggenberg</t>
  </si>
  <si>
    <t>Miles Budzinski</t>
  </si>
  <si>
    <t>Spring 22 (L)</t>
  </si>
  <si>
    <t>Fall 22(L)</t>
  </si>
  <si>
    <t>Joe</t>
  </si>
  <si>
    <t>Carlos</t>
  </si>
  <si>
    <t>Spring 23(L)</t>
  </si>
  <si>
    <t>Nick</t>
  </si>
  <si>
    <t>JD</t>
  </si>
  <si>
    <t>Fall 23(L)</t>
  </si>
  <si>
    <t>Total change</t>
  </si>
  <si>
    <t>Semester</t>
  </si>
  <si>
    <t>Year</t>
  </si>
  <si>
    <t>Fall</t>
  </si>
  <si>
    <t>Live in amount</t>
  </si>
  <si>
    <t>Spring</t>
  </si>
  <si>
    <t>Senior</t>
  </si>
  <si>
    <t>BEST INDEX</t>
  </si>
  <si>
    <t>(Spring has reduced weight of spring/fall)</t>
  </si>
  <si>
    <t>normal/normal</t>
  </si>
  <si>
    <t>Leave</t>
  </si>
  <si>
    <t>% leave/grad</t>
  </si>
  <si>
    <t>%new</t>
  </si>
  <si>
    <t>% change</t>
  </si>
  <si>
    <t>Listed member change</t>
  </si>
  <si>
    <t>Rush Index</t>
  </si>
  <si>
    <t>Normalized % growth</t>
  </si>
  <si>
    <t>New</t>
  </si>
  <si>
    <t>Normalized</t>
  </si>
  <si>
    <t>Normalized Z</t>
  </si>
  <si>
    <t>Change</t>
  </si>
  <si>
    <t>CDR</t>
  </si>
  <si>
    <t>CBR</t>
  </si>
  <si>
    <t>PGR</t>
  </si>
  <si>
    <t>PGR mod</t>
  </si>
  <si>
    <t>Norm New</t>
  </si>
  <si>
    <t>Norm Leave</t>
  </si>
  <si>
    <t>POP</t>
  </si>
  <si>
    <t>NMZ share t-1</t>
  </si>
  <si>
    <t>Normal New Z</t>
  </si>
  <si>
    <t>Rush Index 1</t>
  </si>
  <si>
    <t>Rush Index 2</t>
  </si>
  <si>
    <t>Rush Index 3</t>
  </si>
  <si>
    <t>RI3 Mod</t>
  </si>
  <si>
    <t>Rush Index 4</t>
  </si>
  <si>
    <t>BS Rush Index</t>
  </si>
  <si>
    <t>Members / ifc mem average</t>
  </si>
  <si>
    <t>GPA</t>
  </si>
  <si>
    <t>Avg Greek members</t>
  </si>
  <si>
    <t>Avg Greek m change</t>
  </si>
  <si>
    <t>TX change mem</t>
  </si>
  <si>
    <t>Avg Greek M GPA</t>
  </si>
  <si>
    <t>GPA/avg</t>
  </si>
  <si>
    <t>Normal member % normal</t>
  </si>
  <si>
    <t>Normal mem change</t>
  </si>
  <si>
    <t>Normal new normal</t>
  </si>
  <si>
    <t>Normal new change normal</t>
  </si>
  <si>
    <t>dif</t>
  </si>
  <si>
    <t>New / Non New</t>
  </si>
  <si>
    <t>New/Mem - 1Norm</t>
  </si>
  <si>
    <t xml:space="preserve">New-Mem / share </t>
  </si>
  <si>
    <t>(New norm z)*share</t>
  </si>
  <si>
    <t>(New-Mem)*Share</t>
  </si>
  <si>
    <t>Grand Rush Index</t>
  </si>
  <si>
    <t>Join</t>
  </si>
  <si>
    <t>Internal (rat)</t>
  </si>
  <si>
    <t>Campus (Dif Mag)</t>
  </si>
  <si>
    <t>TEST ME</t>
  </si>
  <si>
    <t>T-1 NW</t>
  </si>
  <si>
    <t>T-1 w/ W</t>
  </si>
  <si>
    <t>T NW</t>
  </si>
  <si>
    <t>T w/ W</t>
  </si>
  <si>
    <t>GRANDEST RUSH INDEZ</t>
  </si>
  <si>
    <t>Campus (Dif min)</t>
  </si>
  <si>
    <t>100 = Stable. &gt; 100 is growth. &lt;100 is loss long term (4yr)</t>
  </si>
  <si>
    <t>100 = what we'd expect to pull given our chapter size and long time averages</t>
  </si>
  <si>
    <t>RUSH (Replacement = 100)</t>
  </si>
  <si>
    <t>RUSH (Average  Exp = 100)</t>
  </si>
  <si>
    <t>No weight T - 1</t>
  </si>
  <si>
    <t>Spring Weight T - 1</t>
  </si>
  <si>
    <t>No spring weight T</t>
  </si>
  <si>
    <t>Spring Weight T</t>
  </si>
  <si>
    <t>Normalized growth</t>
  </si>
  <si>
    <t>% change members</t>
  </si>
  <si>
    <t>Nick mason</t>
  </si>
  <si>
    <t>Brendan Wolfhard</t>
  </si>
  <si>
    <t>Eli</t>
  </si>
  <si>
    <t>Tyler</t>
  </si>
  <si>
    <t>Weezy</t>
  </si>
  <si>
    <t>Max</t>
  </si>
  <si>
    <t>Michael</t>
  </si>
  <si>
    <t>Elijah</t>
  </si>
  <si>
    <t>Owen</t>
  </si>
  <si>
    <t>Ben</t>
  </si>
  <si>
    <t>Miles</t>
  </si>
  <si>
    <t>Sebastian</t>
  </si>
  <si>
    <t>1=avg</t>
  </si>
  <si>
    <t>(Are we above our avg #?)</t>
  </si>
  <si>
    <t>Norm mem</t>
  </si>
  <si>
    <t>G68,G70,G72,G74,G76,G78,G80,G82,G84,G86,G88,G90,G92</t>
  </si>
  <si>
    <t>(Are we above our avg recruits?)</t>
  </si>
  <si>
    <t>Norm new</t>
  </si>
  <si>
    <t>(Are we recruiting more than we should for our size)</t>
  </si>
  <si>
    <t>How much above avg is recruit divde by how much mem above avg</t>
  </si>
  <si>
    <t>NorNew/NorMem-1</t>
  </si>
  <si>
    <t>H69,H71,H73,H75,H77,H79,H81,H83,H85,H87,H89,H91,H93</t>
  </si>
  <si>
    <t>avg round 70%</t>
  </si>
  <si>
    <t>but changes</t>
  </si>
  <si>
    <t>share =% (mem / frat avg)</t>
  </si>
  <si>
    <t>H68,H70,H72,H74,H76,H78,H80,H82,H84,H86,H88,H90,H92</t>
  </si>
  <si>
    <t>spring weight</t>
  </si>
  <si>
    <t>adjusts for spring rush being smaller (nerfs spring rush bumping up score by 75% ish)</t>
  </si>
  <si>
    <t>hovers round this</t>
  </si>
  <si>
    <t>TOTAL score</t>
  </si>
  <si>
    <t>Goodness of Fit</t>
  </si>
  <si>
    <t>R square</t>
  </si>
  <si>
    <t>Sy.x</t>
  </si>
  <si>
    <t>Is slope significantly non-zero?</t>
  </si>
  <si>
    <t>F</t>
  </si>
  <si>
    <t>DFn,DFd</t>
  </si>
  <si>
    <t>P Value</t>
  </si>
  <si>
    <t>Deviation from horizontal?</t>
  </si>
  <si>
    <t>1,24</t>
  </si>
  <si>
    <t>Significant</t>
  </si>
  <si>
    <t>Data</t>
  </si>
  <si>
    <t>Number of XY pairs</t>
  </si>
  <si>
    <t>Equation</t>
  </si>
  <si>
    <t>Y = 0.005388*X + 2.675</t>
  </si>
  <si>
    <t>Not Significant</t>
  </si>
  <si>
    <t>1,25</t>
  </si>
  <si>
    <t>&lt; 0.0001</t>
  </si>
  <si>
    <t>Rush 1</t>
  </si>
  <si>
    <t>RUSH 2</t>
  </si>
  <si>
    <t>RSUH 3</t>
  </si>
  <si>
    <t>Rush 4</t>
  </si>
  <si>
    <t>GRI (RI3mod) vs Norm New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</si>
</sst>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0.0%"/>
    <numFmt numFmtId="165" formatCode="0.000"/>
    <numFmt numFmtId="166" formatCode="0.0000%"/>
    <numFmt numFmtId="167" formatCode="0.0"/>
    <numFmt numFmtId="168" formatCode="#,##0.0"/>
    <numFmt numFmtId="169" formatCode="mmmm yyyy"/>
    <numFmt numFmtId="170" formatCode="0.0000"/>
  </numFmts>
  <fonts count="16">
    <font>
      <sz val="10.0"/>
      <color rgb="FF000000"/>
      <name val="Arial"/>
      <scheme val="minor"/>
    </font>
    <font>
      <i/>
      <sz val="12.0"/>
      <color theme="1"/>
      <name val="Calibri"/>
    </font>
    <font>
      <sz val="12.0"/>
      <color theme="1"/>
      <name val="Arial"/>
      <scheme val="minor"/>
    </font>
    <font>
      <sz val="12.0"/>
      <color theme="1"/>
      <name val="Calibri"/>
    </font>
    <font>
      <b/>
      <sz val="12.0"/>
      <color theme="1"/>
      <name val="Calibri"/>
    </font>
    <font>
      <i/>
      <sz val="12.0"/>
      <color rgb="FF1F1F1F"/>
      <name val="Calibri"/>
    </font>
    <font>
      <i/>
      <sz val="12.0"/>
      <color theme="1"/>
      <name val="Arial"/>
      <scheme val="minor"/>
    </font>
    <font/>
    <font>
      <sz val="12.0"/>
      <color rgb="FF1F1F1F"/>
      <name val="Calibri"/>
    </font>
    <font>
      <color theme="1"/>
      <name val="Arial"/>
      <scheme val="minor"/>
    </font>
    <font>
      <sz val="12.0"/>
      <color theme="1"/>
      <name val="Constantia"/>
    </font>
    <font>
      <b/>
      <color rgb="FFFF0000"/>
      <name val="Arial"/>
      <scheme val="minor"/>
    </font>
    <font>
      <b/>
      <sz val="12.0"/>
      <color theme="1"/>
      <name val="Constantia"/>
    </font>
    <font>
      <b/>
      <color theme="1"/>
      <name val="Arial"/>
      <scheme val="minor"/>
    </font>
    <font>
      <color theme="1"/>
      <name val="Arial"/>
    </font>
    <font>
      <sz val="12.0"/>
      <color rgb="FF000000"/>
      <name val="Barlow"/>
    </font>
  </fonts>
  <fills count="2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F46524"/>
        <bgColor rgb="FFF46524"/>
      </patternFill>
    </fill>
    <fill>
      <patternFill patternType="solid">
        <fgColor rgb="FFE8F0FE"/>
        <bgColor rgb="FFE8F0FE"/>
      </patternFill>
    </fill>
    <fill>
      <patternFill patternType="solid">
        <fgColor rgb="FFFFE6DD"/>
        <bgColor rgb="FFFFE6DD"/>
      </patternFill>
    </fill>
    <fill>
      <patternFill patternType="solid">
        <fgColor rgb="FFE67C73"/>
        <bgColor rgb="FFE67C73"/>
      </patternFill>
    </fill>
    <fill>
      <patternFill patternType="solid">
        <fgColor rgb="FF57BB8A"/>
        <bgColor rgb="FF57BB8A"/>
      </patternFill>
    </fill>
    <fill>
      <patternFill patternType="solid">
        <fgColor rgb="FFD9F0E5"/>
        <bgColor rgb="FFD9F0E5"/>
      </patternFill>
    </fill>
    <fill>
      <patternFill patternType="solid">
        <fgColor rgb="FFA1D9BE"/>
        <bgColor rgb="FFA1D9BE"/>
      </patternFill>
    </fill>
    <fill>
      <patternFill patternType="solid">
        <fgColor rgb="FFB1E0C9"/>
        <bgColor rgb="FFB1E0C9"/>
      </patternFill>
    </fill>
    <fill>
      <patternFill patternType="solid">
        <fgColor rgb="FFFCF2F1"/>
        <bgColor rgb="FFFCF2F1"/>
      </patternFill>
    </fill>
    <fill>
      <patternFill patternType="solid">
        <fgColor rgb="FFCBEADB"/>
        <bgColor rgb="FFCBEADB"/>
      </patternFill>
    </fill>
    <fill>
      <patternFill patternType="solid">
        <fgColor rgb="FFFEFEFE"/>
        <bgColor rgb="FFFEFEFE"/>
      </patternFill>
    </fill>
    <fill>
      <patternFill patternType="solid">
        <fgColor rgb="FFF8DDDA"/>
        <bgColor rgb="FFF8DDDA"/>
      </patternFill>
    </fill>
    <fill>
      <patternFill patternType="solid">
        <fgColor rgb="FFFCFEFD"/>
        <bgColor rgb="FFFCFEFD"/>
      </patternFill>
    </fill>
    <fill>
      <patternFill patternType="solid">
        <fgColor rgb="FFFEFDFD"/>
        <bgColor rgb="FFFEFDFD"/>
      </patternFill>
    </fill>
    <fill>
      <patternFill patternType="solid">
        <fgColor rgb="FFBCE4D1"/>
        <bgColor rgb="FFBCE4D1"/>
      </patternFill>
    </fill>
    <fill>
      <patternFill patternType="solid">
        <fgColor rgb="FFFEFBFA"/>
        <bgColor rgb="FFFEFBFA"/>
      </patternFill>
    </fill>
    <fill>
      <patternFill patternType="solid">
        <fgColor rgb="FFD8F0E4"/>
        <bgColor rgb="FFD8F0E4"/>
      </patternFill>
    </fill>
    <fill>
      <patternFill patternType="solid">
        <fgColor rgb="FFFBEFEE"/>
        <bgColor rgb="FFFBEFEE"/>
      </patternFill>
    </fill>
    <fill>
      <patternFill patternType="solid">
        <fgColor rgb="FFF8DAD8"/>
        <bgColor rgb="FFF8DAD8"/>
      </patternFill>
    </fill>
    <fill>
      <patternFill patternType="solid">
        <fgColor rgb="FFF9F8F9"/>
        <bgColor rgb="FFF9F8F9"/>
      </patternFill>
    </fill>
  </fills>
  <borders count="47">
    <border/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medium">
        <color rgb="FF000000"/>
      </right>
    </border>
    <border>
      <left style="medium">
        <color rgb="FF000000"/>
      </left>
    </border>
    <border>
      <top style="thin">
        <color rgb="FF000000"/>
      </top>
    </border>
    <border>
      <left style="medium">
        <color rgb="FF4285F4"/>
      </left>
      <top style="medium">
        <color rgb="FF4285F4"/>
      </top>
    </border>
    <border>
      <top style="medium">
        <color rgb="FF4285F4"/>
      </top>
    </border>
    <border>
      <right style="medium">
        <color rgb="FF000000"/>
      </right>
      <top style="medium">
        <color rgb="FF4285F4"/>
      </top>
    </border>
    <border>
      <left style="medium">
        <color rgb="FF000000"/>
      </left>
      <top style="medium">
        <color rgb="FF4285F4"/>
      </top>
    </border>
    <border>
      <left style="medium">
        <color rgb="FF4285F4"/>
      </left>
      <bottom style="medium">
        <color rgb="FF4285F4"/>
      </bottom>
    </border>
    <border>
      <bottom style="medium">
        <color rgb="FF4285F4"/>
      </bottom>
    </border>
    <border>
      <right style="medium">
        <color rgb="FF000000"/>
      </right>
      <bottom style="medium">
        <color rgb="FF4285F4"/>
      </bottom>
    </border>
    <border>
      <left style="medium">
        <color rgb="FF000000"/>
      </left>
      <bottom style="medium">
        <color rgb="FF4285F4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bottom style="medium">
        <color rgb="FF000000"/>
      </bottom>
    </border>
    <border>
      <right style="double">
        <color rgb="FF000000"/>
      </right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medium">
        <color rgb="FF4285F4"/>
      </top>
    </border>
    <border>
      <left style="thin">
        <color rgb="FF000000"/>
      </left>
      <right style="thin">
        <color rgb="FF000000"/>
      </right>
      <bottom style="medium">
        <color rgb="FF4285F4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0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2" fontId="1" numFmtId="0" xfId="0" applyAlignment="1" applyBorder="1" applyFill="1" applyFont="1">
      <alignment horizontal="center" readingOrder="0"/>
    </xf>
    <xf borderId="1" fillId="0" fontId="1" numFmtId="4" xfId="0" applyAlignment="1" applyBorder="1" applyFont="1" applyNumberFormat="1">
      <alignment horizontal="center" readingOrder="0"/>
    </xf>
    <xf borderId="2" fillId="0" fontId="1" numFmtId="4" xfId="0" applyAlignment="1" applyBorder="1" applyFont="1" applyNumberFormat="1">
      <alignment horizontal="center" readingOrder="0"/>
    </xf>
    <xf borderId="0" fillId="0" fontId="2" numFmtId="0" xfId="0" applyFont="1"/>
    <xf borderId="3" fillId="0" fontId="1" numFmtId="4" xfId="0" applyAlignment="1" applyBorder="1" applyFont="1" applyNumberFormat="1">
      <alignment horizontal="center" readingOrder="0"/>
    </xf>
    <xf borderId="0" fillId="0" fontId="1" numFmtId="4" xfId="0" applyAlignment="1" applyFont="1" applyNumberFormat="1">
      <alignment horizontal="center" readingOrder="0"/>
    </xf>
    <xf borderId="0" fillId="0" fontId="3" numFmtId="0" xfId="0" applyAlignment="1" applyFont="1">
      <alignment horizontal="center"/>
    </xf>
    <xf borderId="0" fillId="0" fontId="3" numFmtId="4" xfId="0" applyAlignment="1" applyFont="1" applyNumberFormat="1">
      <alignment horizontal="center"/>
    </xf>
    <xf borderId="0" fillId="0" fontId="3" numFmtId="2" xfId="0" applyAlignment="1" applyFont="1" applyNumberFormat="1">
      <alignment horizontal="center" readingOrder="0"/>
    </xf>
    <xf borderId="0" fillId="0" fontId="3" numFmtId="2" xfId="0" applyAlignment="1" applyFont="1" applyNumberFormat="1">
      <alignment horizontal="center"/>
    </xf>
    <xf borderId="1" fillId="0" fontId="4" numFmtId="0" xfId="0" applyAlignment="1" applyBorder="1" applyFont="1">
      <alignment horizontal="center" readingOrder="0"/>
    </xf>
    <xf borderId="4" fillId="0" fontId="3" numFmtId="0" xfId="0" applyAlignment="1" applyBorder="1" applyFont="1">
      <alignment horizontal="center" readingOrder="0"/>
    </xf>
    <xf borderId="3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/>
    </xf>
    <xf borderId="0" fillId="0" fontId="3" numFmtId="0" xfId="0" applyAlignment="1" applyFont="1">
      <alignment horizontal="center" readingOrder="0"/>
    </xf>
    <xf borderId="5" fillId="0" fontId="3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0" fillId="0" fontId="3" numFmtId="3" xfId="0" applyFont="1" applyNumberFormat="1"/>
    <xf borderId="6" fillId="0" fontId="3" numFmtId="4" xfId="0" applyBorder="1" applyFont="1" applyNumberFormat="1"/>
    <xf borderId="7" fillId="3" fontId="5" numFmtId="4" xfId="0" applyAlignment="1" applyBorder="1" applyFill="1" applyFont="1" applyNumberFormat="1">
      <alignment horizontal="center" readingOrder="0"/>
    </xf>
    <xf borderId="8" fillId="3" fontId="1" numFmtId="4" xfId="0" applyAlignment="1" applyBorder="1" applyFill="1" applyFont="1" applyNumberFormat="1">
      <alignment horizontal="center" readingOrder="0"/>
    </xf>
    <xf borderId="8" fillId="0" fontId="1" numFmtId="4" xfId="0" applyAlignment="1" applyBorder="1" applyFont="1" applyNumberForma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Font="1"/>
    <xf borderId="7" fillId="0" fontId="3" numFmtId="164" xfId="0" applyAlignment="1" applyBorder="1" applyFont="1" applyNumberFormat="1">
      <alignment horizontal="right" readingOrder="0"/>
    </xf>
    <xf borderId="0" fillId="3" fontId="3" numFmtId="164" xfId="0" applyAlignment="1" applyFill="1" applyFont="1" applyNumberFormat="1">
      <alignment horizontal="right" readingOrder="0"/>
    </xf>
    <xf borderId="0" fillId="0" fontId="3" numFmtId="1" xfId="0" applyFont="1" applyNumberFormat="1"/>
    <xf borderId="0" fillId="0" fontId="3" numFmtId="2" xfId="0" applyFont="1" applyNumberFormat="1"/>
    <xf borderId="0" fillId="0" fontId="3" numFmtId="165" xfId="0" applyAlignment="1" applyFont="1" applyNumberFormat="1">
      <alignment readingOrder="0"/>
    </xf>
    <xf borderId="0" fillId="0" fontId="3" numFmtId="164" xfId="0" applyFont="1" applyNumberFormat="1"/>
    <xf borderId="0" fillId="0" fontId="3" numFmtId="2" xfId="0" applyAlignment="1" applyFont="1" applyNumberFormat="1">
      <alignment readingOrder="0"/>
    </xf>
    <xf borderId="0" fillId="0" fontId="3" numFmtId="4" xfId="0" applyFont="1" applyNumberFormat="1"/>
    <xf borderId="0" fillId="0" fontId="3" numFmtId="1" xfId="0" applyAlignment="1" applyFont="1" applyNumberFormat="1">
      <alignment readingOrder="0"/>
    </xf>
    <xf borderId="0" fillId="0" fontId="2" numFmtId="166" xfId="0" applyFont="1" applyNumberFormat="1"/>
    <xf borderId="9" fillId="0" fontId="3" numFmtId="0" xfId="0" applyAlignment="1" applyBorder="1" applyFont="1">
      <alignment readingOrder="0"/>
    </xf>
    <xf borderId="10" fillId="0" fontId="3" numFmtId="0" xfId="0" applyAlignment="1" applyBorder="1" applyFont="1">
      <alignment readingOrder="0"/>
    </xf>
    <xf borderId="10" fillId="0" fontId="3" numFmtId="3" xfId="0" applyBorder="1" applyFont="1" applyNumberFormat="1"/>
    <xf borderId="11" fillId="0" fontId="3" numFmtId="4" xfId="0" applyBorder="1" applyFont="1" applyNumberFormat="1"/>
    <xf borderId="12" fillId="0" fontId="3" numFmtId="164" xfId="0" applyAlignment="1" applyBorder="1" applyFont="1" applyNumberFormat="1">
      <alignment horizontal="right" readingOrder="0"/>
    </xf>
    <xf borderId="10" fillId="0" fontId="3" numFmtId="164" xfId="0" applyBorder="1" applyFont="1" applyNumberFormat="1"/>
    <xf borderId="13" fillId="0" fontId="3" numFmtId="0" xfId="0" applyAlignment="1" applyBorder="1" applyFont="1">
      <alignment readingOrder="0"/>
    </xf>
    <xf borderId="14" fillId="0" fontId="3" numFmtId="0" xfId="0" applyAlignment="1" applyBorder="1" applyFont="1">
      <alignment readingOrder="0"/>
    </xf>
    <xf borderId="14" fillId="0" fontId="3" numFmtId="3" xfId="0" applyBorder="1" applyFont="1" applyNumberFormat="1"/>
    <xf borderId="15" fillId="0" fontId="3" numFmtId="4" xfId="0" applyBorder="1" applyFont="1" applyNumberFormat="1"/>
    <xf borderId="16" fillId="0" fontId="3" numFmtId="164" xfId="0" applyAlignment="1" applyBorder="1" applyFont="1" applyNumberFormat="1">
      <alignment horizontal="right" readingOrder="0"/>
    </xf>
    <xf borderId="14" fillId="0" fontId="3" numFmtId="164" xfId="0" applyBorder="1" applyFont="1" applyNumberFormat="1"/>
    <xf borderId="10" fillId="0" fontId="3" numFmtId="1" xfId="0" applyBorder="1" applyFont="1" applyNumberFormat="1"/>
    <xf borderId="10" fillId="0" fontId="3" numFmtId="2" xfId="0" applyAlignment="1" applyBorder="1" applyFont="1" applyNumberFormat="1">
      <alignment readingOrder="0"/>
    </xf>
    <xf borderId="10" fillId="0" fontId="3" numFmtId="165" xfId="0" applyAlignment="1" applyBorder="1" applyFont="1" applyNumberFormat="1">
      <alignment readingOrder="0"/>
    </xf>
    <xf borderId="10" fillId="0" fontId="3" numFmtId="2" xfId="0" applyBorder="1" applyFont="1" applyNumberFormat="1"/>
    <xf borderId="14" fillId="0" fontId="3" numFmtId="1" xfId="0" applyBorder="1" applyFont="1" applyNumberFormat="1"/>
    <xf borderId="14" fillId="0" fontId="3" numFmtId="2" xfId="0" applyAlignment="1" applyBorder="1" applyFont="1" applyNumberFormat="1">
      <alignment readingOrder="0"/>
    </xf>
    <xf borderId="14" fillId="0" fontId="3" numFmtId="165" xfId="0" applyAlignment="1" applyBorder="1" applyFont="1" applyNumberFormat="1">
      <alignment readingOrder="0"/>
    </xf>
    <xf borderId="14" fillId="0" fontId="3" numFmtId="2" xfId="0" applyBorder="1" applyFont="1" applyNumberFormat="1"/>
    <xf borderId="0" fillId="0" fontId="3" numFmtId="3" xfId="0" applyAlignment="1" applyFont="1" applyNumberFormat="1">
      <alignment readingOrder="0"/>
    </xf>
    <xf borderId="17" fillId="0" fontId="3" numFmtId="167" xfId="0" applyAlignment="1" applyBorder="1" applyFont="1" applyNumberFormat="1">
      <alignment readingOrder="0"/>
    </xf>
    <xf borderId="5" fillId="0" fontId="3" numFmtId="0" xfId="0" applyBorder="1" applyFont="1"/>
    <xf borderId="17" fillId="0" fontId="3" numFmtId="167" xfId="0" applyBorder="1" applyFont="1" applyNumberFormat="1"/>
    <xf borderId="6" fillId="0" fontId="3" numFmtId="0" xfId="0" applyBorder="1" applyFont="1"/>
    <xf borderId="0" fillId="0" fontId="3" numFmtId="10" xfId="0" applyFont="1" applyNumberFormat="1"/>
    <xf borderId="18" fillId="0" fontId="4" numFmtId="0" xfId="0" applyAlignment="1" applyBorder="1" applyFont="1">
      <alignment horizontal="center" readingOrder="0"/>
    </xf>
    <xf borderId="19" fillId="0" fontId="3" numFmtId="1" xfId="0" applyBorder="1" applyFont="1" applyNumberFormat="1"/>
    <xf borderId="19" fillId="0" fontId="3" numFmtId="3" xfId="0" applyBorder="1" applyFont="1" applyNumberFormat="1"/>
    <xf borderId="19" fillId="0" fontId="3" numFmtId="167" xfId="0" applyBorder="1" applyFont="1" applyNumberFormat="1"/>
    <xf borderId="20" fillId="0" fontId="3" numFmtId="4" xfId="0" applyBorder="1" applyFont="1" applyNumberFormat="1"/>
    <xf borderId="21" fillId="0" fontId="3" numFmtId="164" xfId="0" applyBorder="1" applyFont="1" applyNumberFormat="1"/>
    <xf borderId="19" fillId="0" fontId="3" numFmtId="164" xfId="0" applyBorder="1" applyFont="1" applyNumberFormat="1"/>
    <xf borderId="22" fillId="0" fontId="4" numFmtId="0" xfId="0" applyAlignment="1" applyBorder="1" applyFont="1">
      <alignment horizontal="center" readingOrder="0"/>
    </xf>
    <xf borderId="17" fillId="0" fontId="3" numFmtId="1" xfId="0" applyBorder="1" applyFont="1" applyNumberFormat="1"/>
    <xf borderId="17" fillId="0" fontId="3" numFmtId="3" xfId="0" applyBorder="1" applyFont="1" applyNumberFormat="1"/>
    <xf borderId="23" fillId="0" fontId="3" numFmtId="4" xfId="0" applyBorder="1" applyFont="1" applyNumberFormat="1"/>
    <xf borderId="24" fillId="0" fontId="3" numFmtId="164" xfId="0" applyBorder="1" applyFont="1" applyNumberFormat="1"/>
    <xf borderId="17" fillId="0" fontId="3" numFmtId="164" xfId="0" applyBorder="1" applyFont="1" applyNumberFormat="1"/>
    <xf borderId="19" fillId="0" fontId="3" numFmtId="2" xfId="0" applyBorder="1" applyFont="1" applyNumberFormat="1"/>
    <xf borderId="25" fillId="0" fontId="3" numFmtId="0" xfId="0" applyAlignment="1" applyBorder="1" applyFont="1">
      <alignment readingOrder="0"/>
    </xf>
    <xf borderId="25" fillId="0" fontId="3" numFmtId="165" xfId="0" applyBorder="1" applyFont="1" applyNumberFormat="1"/>
    <xf borderId="25" fillId="0" fontId="3" numFmtId="0" xfId="0" applyBorder="1" applyFont="1"/>
    <xf borderId="26" fillId="0" fontId="3" numFmtId="2" xfId="0" applyBorder="1" applyFont="1" applyNumberFormat="1"/>
    <xf borderId="27" fillId="0" fontId="4" numFmtId="0" xfId="0" applyAlignment="1" applyBorder="1" applyFont="1">
      <alignment horizontal="center" readingOrder="0"/>
    </xf>
    <xf borderId="28" fillId="0" fontId="3" numFmtId="1" xfId="0" applyBorder="1" applyFont="1" applyNumberFormat="1"/>
    <xf borderId="28" fillId="0" fontId="3" numFmtId="3" xfId="0" applyBorder="1" applyFont="1" applyNumberFormat="1"/>
    <xf borderId="28" fillId="0" fontId="3" numFmtId="167" xfId="0" applyBorder="1" applyFont="1" applyNumberFormat="1"/>
    <xf borderId="29" fillId="0" fontId="3" numFmtId="4" xfId="0" applyBorder="1" applyFont="1" applyNumberFormat="1"/>
    <xf borderId="30" fillId="0" fontId="3" numFmtId="164" xfId="0" applyBorder="1" applyFont="1" applyNumberFormat="1"/>
    <xf borderId="31" fillId="0" fontId="3" numFmtId="164" xfId="0" applyAlignment="1" applyBorder="1" applyFont="1" applyNumberFormat="1">
      <alignment horizontal="right" readingOrder="0"/>
    </xf>
    <xf borderId="28" fillId="0" fontId="3" numFmtId="164" xfId="0" applyBorder="1" applyFont="1" applyNumberFormat="1"/>
    <xf borderId="17" fillId="0" fontId="3" numFmtId="2" xfId="0" applyBorder="1" applyFont="1" applyNumberFormat="1"/>
    <xf borderId="0" fillId="0" fontId="3" numFmtId="165" xfId="0" applyFont="1" applyNumberFormat="1"/>
    <xf borderId="32" fillId="0" fontId="3" numFmtId="2" xfId="0" applyBorder="1" applyFont="1" applyNumberFormat="1"/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3" numFmtId="4" xfId="0" applyAlignment="1" applyFont="1" applyNumberFormat="1">
      <alignment horizontal="center" readingOrder="0"/>
    </xf>
    <xf borderId="28" fillId="0" fontId="3" numFmtId="2" xfId="0" applyBorder="1" applyFont="1" applyNumberFormat="1"/>
    <xf borderId="33" fillId="0" fontId="3" numFmtId="0" xfId="0" applyAlignment="1" applyBorder="1" applyFont="1">
      <alignment readingOrder="0"/>
    </xf>
    <xf borderId="33" fillId="0" fontId="3" numFmtId="165" xfId="0" applyBorder="1" applyFont="1" applyNumberFormat="1"/>
    <xf borderId="33" fillId="0" fontId="3" numFmtId="0" xfId="0" applyBorder="1" applyFont="1"/>
    <xf borderId="34" fillId="0" fontId="3" numFmtId="2" xfId="0" applyBorder="1" applyFont="1" applyNumberFormat="1"/>
    <xf borderId="3" fillId="0" fontId="1" numFmtId="2" xfId="0" applyAlignment="1" applyBorder="1" applyFont="1" applyNumberFormat="1">
      <alignment horizontal="center" readingOrder="0"/>
    </xf>
    <xf borderId="35" fillId="0" fontId="1" numFmtId="1" xfId="0" applyAlignment="1" applyBorder="1" applyFont="1" applyNumberFormat="1">
      <alignment horizontal="center" readingOrder="0"/>
    </xf>
    <xf borderId="0" fillId="0" fontId="6" numFmtId="0" xfId="0" applyAlignment="1" applyFont="1">
      <alignment readingOrder="0"/>
    </xf>
    <xf borderId="1" fillId="0" fontId="1" numFmtId="1" xfId="0" applyAlignment="1" applyBorder="1" applyFont="1" applyNumberFormat="1">
      <alignment horizontal="center" readingOrder="0"/>
    </xf>
    <xf borderId="1" fillId="0" fontId="7" numFmtId="0" xfId="0" applyBorder="1" applyFont="1"/>
    <xf borderId="36" fillId="0" fontId="3" numFmtId="0" xfId="0" applyAlignment="1" applyBorder="1" applyFont="1">
      <alignment horizontal="center"/>
    </xf>
    <xf borderId="37" fillId="0" fontId="3" numFmtId="0" xfId="0" applyAlignment="1" applyBorder="1" applyFont="1">
      <alignment horizontal="center" readingOrder="0"/>
    </xf>
    <xf borderId="37" fillId="0" fontId="7" numFmtId="0" xfId="0" applyBorder="1" applyFont="1"/>
    <xf borderId="38" fillId="0" fontId="3" numFmtId="1" xfId="0" applyAlignment="1" applyBorder="1" applyFont="1" applyNumberFormat="1">
      <alignment horizontal="center" readingOrder="0"/>
    </xf>
    <xf borderId="17" fillId="0" fontId="4" numFmtId="0" xfId="0" applyAlignment="1" applyBorder="1" applyFont="1">
      <alignment horizontal="center" readingOrder="0"/>
    </xf>
    <xf borderId="2" fillId="0" fontId="4" numFmtId="0" xfId="0" applyAlignment="1" applyBorder="1" applyFont="1">
      <alignment horizontal="center" readingOrder="0"/>
    </xf>
    <xf borderId="7" fillId="0" fontId="4" numFmtId="0" xfId="0" applyAlignment="1" applyBorder="1" applyFont="1">
      <alignment horizontal="center" readingOrder="0"/>
    </xf>
    <xf borderId="0" fillId="0" fontId="4" numFmtId="0" xfId="0" applyAlignment="1" applyFont="1">
      <alignment horizontal="center" readingOrder="0"/>
    </xf>
    <xf borderId="6" fillId="0" fontId="4" numFmtId="0" xfId="0" applyAlignment="1" applyBorder="1" applyFont="1">
      <alignment horizontal="center" readingOrder="0"/>
    </xf>
    <xf borderId="7" fillId="0" fontId="3" numFmtId="2" xfId="0" applyAlignment="1" applyBorder="1" applyFont="1" applyNumberFormat="1">
      <alignment readingOrder="0"/>
    </xf>
    <xf borderId="39" fillId="0" fontId="3" numFmtId="1" xfId="0" applyBorder="1" applyFont="1" applyNumberFormat="1"/>
    <xf borderId="39" fillId="0" fontId="3" numFmtId="3" xfId="0" applyAlignment="1" applyBorder="1" applyFont="1" applyNumberFormat="1">
      <alignment readingOrder="0"/>
    </xf>
    <xf borderId="6" fillId="4" fontId="8" numFmtId="168" xfId="0" applyAlignment="1" applyBorder="1" applyFill="1" applyFont="1" applyNumberFormat="1">
      <alignment horizontal="center" readingOrder="0"/>
    </xf>
    <xf borderId="0" fillId="0" fontId="2" numFmtId="167" xfId="0" applyFont="1" applyNumberFormat="1"/>
    <xf borderId="7" fillId="0" fontId="3" numFmtId="1" xfId="0" applyAlignment="1" applyBorder="1" applyFont="1" applyNumberFormat="1">
      <alignment horizontal="center"/>
    </xf>
    <xf borderId="0" fillId="0" fontId="3" numFmtId="1" xfId="0" applyAlignment="1" applyFont="1" applyNumberFormat="1">
      <alignment horizontal="center" readingOrder="0"/>
    </xf>
    <xf borderId="6" fillId="0" fontId="3" numFmtId="1" xfId="0" applyAlignment="1" applyBorder="1" applyFont="1" applyNumberFormat="1">
      <alignment horizontal="center" readingOrder="0"/>
    </xf>
    <xf borderId="0" fillId="0" fontId="2" numFmtId="1" xfId="0" applyFont="1" applyNumberFormat="1"/>
    <xf borderId="0" fillId="3" fontId="1" numFmtId="4" xfId="0" applyAlignment="1" applyFill="1" applyFont="1" applyNumberFormat="1">
      <alignment horizontal="center" readingOrder="0"/>
    </xf>
    <xf borderId="5" fillId="0" fontId="3" numFmtId="169" xfId="0" applyAlignment="1" applyBorder="1" applyFont="1" applyNumberFormat="1">
      <alignment readingOrder="0"/>
    </xf>
    <xf borderId="7" fillId="0" fontId="3" numFmtId="0" xfId="0" applyAlignment="1" applyBorder="1" applyFont="1">
      <alignment horizontal="center"/>
    </xf>
    <xf borderId="7" fillId="0" fontId="3" numFmtId="1" xfId="0" applyAlignment="1" applyBorder="1" applyFont="1" applyNumberFormat="1">
      <alignment horizontal="center" readingOrder="0"/>
    </xf>
    <xf borderId="0" fillId="4" fontId="8" numFmtId="0" xfId="0" applyAlignment="1" applyFill="1" applyFont="1">
      <alignment readingOrder="0"/>
    </xf>
    <xf borderId="7" fillId="0" fontId="3" numFmtId="0" xfId="0" applyAlignment="1" applyBorder="1" applyFont="1">
      <alignment horizontal="center" readingOrder="0"/>
    </xf>
    <xf borderId="7" fillId="0" fontId="2" numFmtId="0" xfId="0" applyBorder="1" applyFont="1"/>
    <xf borderId="40" fillId="0" fontId="3" numFmtId="1" xfId="0" applyBorder="1" applyFont="1" applyNumberFormat="1"/>
    <xf borderId="11" fillId="4" fontId="8" numFmtId="168" xfId="0" applyAlignment="1" applyBorder="1" applyFill="1" applyFont="1" applyNumberFormat="1">
      <alignment horizontal="center" readingOrder="0"/>
    </xf>
    <xf borderId="41" fillId="0" fontId="3" numFmtId="1" xfId="0" applyBorder="1" applyFont="1" applyNumberFormat="1"/>
    <xf borderId="15" fillId="4" fontId="8" numFmtId="168" xfId="0" applyAlignment="1" applyBorder="1" applyFill="1" applyFont="1" applyNumberFormat="1">
      <alignment horizontal="center" readingOrder="0"/>
    </xf>
    <xf borderId="7" fillId="0" fontId="3" numFmtId="0" xfId="0" applyBorder="1" applyFont="1"/>
    <xf borderId="39" fillId="0" fontId="3" numFmtId="0" xfId="0" applyBorder="1" applyFont="1"/>
    <xf borderId="35" fillId="0" fontId="1" numFmtId="2" xfId="0" applyAlignment="1" applyBorder="1" applyFont="1" applyNumberFormat="1">
      <alignment horizontal="center" readingOrder="0"/>
    </xf>
    <xf borderId="42" fillId="0" fontId="1" numFmtId="2" xfId="0" applyAlignment="1" applyBorder="1" applyFont="1" applyNumberFormat="1">
      <alignment horizontal="center" readingOrder="0"/>
    </xf>
    <xf borderId="21" fillId="0" fontId="3" numFmtId="2" xfId="0" applyBorder="1" applyFont="1" applyNumberFormat="1"/>
    <xf borderId="43" fillId="0" fontId="3" numFmtId="168" xfId="0" applyBorder="1" applyFont="1" applyNumberFormat="1"/>
    <xf borderId="43" fillId="0" fontId="3" numFmtId="2" xfId="0" applyBorder="1" applyFont="1" applyNumberFormat="1"/>
    <xf borderId="44" fillId="0" fontId="3" numFmtId="168" xfId="0" applyBorder="1" applyFont="1" applyNumberFormat="1"/>
    <xf borderId="44" fillId="0" fontId="3" numFmtId="2" xfId="0" applyBorder="1" applyFont="1" applyNumberFormat="1"/>
    <xf borderId="45" fillId="0" fontId="3" numFmtId="168" xfId="0" applyBorder="1" applyFont="1" applyNumberFormat="1"/>
    <xf borderId="45" fillId="0" fontId="3" numFmtId="2" xfId="0" applyBorder="1" applyFont="1" applyNumberFormat="1"/>
    <xf borderId="0" fillId="4" fontId="5" numFmtId="0" xfId="0" applyAlignment="1" applyFill="1" applyFont="1">
      <alignment readingOrder="0"/>
    </xf>
    <xf borderId="0" fillId="5" fontId="9" numFmtId="0" xfId="0" applyFill="1" applyFont="1"/>
    <xf borderId="0" fillId="5" fontId="9" numFmtId="0" xfId="0" applyAlignment="1" applyFill="1" applyFont="1">
      <alignment readingOrder="0"/>
    </xf>
    <xf borderId="0" fillId="4" fontId="9" numFmtId="0" xfId="0" applyAlignment="1" applyFill="1" applyFont="1">
      <alignment readingOrder="0"/>
    </xf>
    <xf borderId="0" fillId="0" fontId="9" numFmtId="0" xfId="0" applyFont="1"/>
    <xf borderId="39" fillId="6" fontId="10" numFmtId="0" xfId="0" applyAlignment="1" applyBorder="1" applyFill="1" applyFont="1">
      <alignment horizontal="right" vertical="bottom"/>
    </xf>
    <xf borderId="46" fillId="6" fontId="10" numFmtId="0" xfId="0" applyAlignment="1" applyBorder="1" applyFill="1" applyFont="1">
      <alignment vertical="bottom"/>
    </xf>
    <xf borderId="0" fillId="7" fontId="9" numFmtId="0" xfId="0" applyAlignment="1" applyFill="1" applyFont="1">
      <alignment readingOrder="0"/>
    </xf>
    <xf borderId="0" fillId="7" fontId="9" numFmtId="0" xfId="0" applyFill="1" applyFont="1"/>
    <xf borderId="0" fillId="7" fontId="9" numFmtId="10" xfId="0" applyFill="1" applyFont="1" applyNumberFormat="1"/>
    <xf borderId="0" fillId="0" fontId="9" numFmtId="2" xfId="0" applyFont="1" applyNumberFormat="1"/>
    <xf borderId="0" fillId="0" fontId="9" numFmtId="0" xfId="0" applyAlignment="1" applyFont="1">
      <alignment readingOrder="0"/>
    </xf>
    <xf borderId="39" fillId="4" fontId="10" numFmtId="0" xfId="0" applyAlignment="1" applyBorder="1" applyFill="1" applyFont="1">
      <alignment horizontal="right" vertical="bottom"/>
    </xf>
    <xf borderId="46" fillId="4" fontId="10" numFmtId="0" xfId="0" applyAlignment="1" applyBorder="1" applyFill="1" applyFont="1">
      <alignment vertical="bottom"/>
    </xf>
    <xf borderId="0" fillId="4" fontId="9" numFmtId="0" xfId="0" applyFill="1" applyFont="1"/>
    <xf borderId="0" fillId="4" fontId="9" numFmtId="10" xfId="0" applyFill="1" applyFont="1" applyNumberFormat="1"/>
    <xf borderId="0" fillId="0" fontId="9" numFmtId="2" xfId="0" applyAlignment="1" applyFont="1" applyNumberFormat="1">
      <alignment readingOrder="0"/>
    </xf>
    <xf borderId="39" fillId="2" fontId="10" numFmtId="0" xfId="0" applyAlignment="1" applyBorder="1" applyFill="1" applyFont="1">
      <alignment horizontal="right" vertical="bottom"/>
    </xf>
    <xf borderId="46" fillId="2" fontId="10" numFmtId="0" xfId="0" applyAlignment="1" applyBorder="1" applyFill="1" applyFont="1">
      <alignment vertical="bottom"/>
    </xf>
    <xf borderId="0" fillId="0" fontId="9" numFmtId="170" xfId="0" applyAlignment="1" applyFont="1" applyNumberFormat="1">
      <alignment readingOrder="0"/>
    </xf>
    <xf borderId="0" fillId="0" fontId="11" numFmtId="10" xfId="0" applyFont="1" applyNumberFormat="1"/>
    <xf borderId="0" fillId="0" fontId="11" numFmtId="0" xfId="0" applyFont="1"/>
    <xf borderId="0" fillId="0" fontId="9" numFmtId="0" xfId="0" applyAlignment="1" applyFont="1">
      <alignment readingOrder="0"/>
    </xf>
    <xf borderId="46" fillId="6" fontId="12" numFmtId="0" xfId="0" applyAlignment="1" applyBorder="1" applyFill="1" applyFont="1">
      <alignment vertical="bottom"/>
    </xf>
    <xf borderId="0" fillId="7" fontId="9" numFmtId="167" xfId="0" applyFill="1" applyFont="1" applyNumberFormat="1"/>
    <xf borderId="0" fillId="4" fontId="9" numFmtId="167" xfId="0" applyFill="1" applyFont="1" applyNumberFormat="1"/>
    <xf borderId="0" fillId="0" fontId="9" numFmtId="0" xfId="0" applyFont="1"/>
    <xf borderId="39" fillId="4" fontId="10" numFmtId="0" xfId="0" applyAlignment="1" applyBorder="1" applyFill="1" applyFont="1">
      <alignment horizontal="right" readingOrder="0" vertical="bottom"/>
    </xf>
    <xf borderId="46" fillId="4" fontId="10" numFmtId="0" xfId="0" applyAlignment="1" applyBorder="1" applyFill="1" applyFont="1">
      <alignment readingOrder="0" vertical="bottom"/>
    </xf>
    <xf borderId="0" fillId="0" fontId="9" numFmtId="2" xfId="0" applyFont="1" applyNumberFormat="1"/>
    <xf borderId="0" fillId="6" fontId="10" numFmtId="0" xfId="0" applyAlignment="1" applyFill="1" applyFont="1">
      <alignment vertical="bottom"/>
    </xf>
    <xf borderId="0" fillId="2" fontId="9" numFmtId="0" xfId="0" applyAlignment="1" applyFill="1" applyFont="1">
      <alignment readingOrder="0"/>
    </xf>
    <xf borderId="0" fillId="0" fontId="9" numFmtId="0" xfId="0" applyAlignment="1" applyFont="1">
      <alignment readingOrder="0"/>
    </xf>
    <xf borderId="0" fillId="0" fontId="9" numFmtId="4" xfId="0" applyFont="1" applyNumberFormat="1"/>
    <xf borderId="0" fillId="0" fontId="9" numFmtId="167" xfId="0" applyFont="1" applyNumberFormat="1"/>
    <xf borderId="0" fillId="0" fontId="9" numFmtId="167" xfId="0" applyAlignment="1" applyFont="1" applyNumberFormat="1">
      <alignment readingOrder="0"/>
    </xf>
    <xf borderId="0" fillId="0" fontId="9" numFmtId="165" xfId="0" applyFont="1" applyNumberFormat="1"/>
    <xf borderId="0" fillId="0" fontId="9" numFmtId="165" xfId="0" applyAlignment="1" applyFont="1" applyNumberFormat="1">
      <alignment readingOrder="0"/>
    </xf>
    <xf borderId="0" fillId="0" fontId="13" numFmtId="0" xfId="0" applyAlignment="1" applyFont="1">
      <alignment readingOrder="0"/>
    </xf>
    <xf borderId="0" fillId="0" fontId="13" numFmtId="4" xfId="0" applyFont="1" applyNumberFormat="1"/>
    <xf borderId="0" fillId="0" fontId="9" numFmtId="2" xfId="0" applyAlignment="1" applyFont="1" applyNumberFormat="1">
      <alignment readingOrder="0"/>
    </xf>
    <xf borderId="0" fillId="8" fontId="14" numFmtId="4" xfId="0" applyAlignment="1" applyFill="1" applyFont="1" applyNumberFormat="1">
      <alignment horizontal="right" vertical="bottom"/>
    </xf>
    <xf borderId="0" fillId="0" fontId="9" numFmtId="10" xfId="0" applyFont="1" applyNumberFormat="1"/>
    <xf borderId="0" fillId="9" fontId="14" numFmtId="4" xfId="0" applyAlignment="1" applyFill="1" applyFont="1" applyNumberFormat="1">
      <alignment horizontal="right" vertical="bottom"/>
    </xf>
    <xf borderId="0" fillId="10" fontId="14" numFmtId="4" xfId="0" applyAlignment="1" applyFill="1" applyFont="1" applyNumberFormat="1">
      <alignment horizontal="right" vertical="bottom"/>
    </xf>
    <xf borderId="0" fillId="0" fontId="9" numFmtId="4" xfId="0" applyAlignment="1" applyFont="1" applyNumberFormat="1">
      <alignment readingOrder="0"/>
    </xf>
    <xf borderId="0" fillId="11" fontId="14" numFmtId="4" xfId="0" applyAlignment="1" applyFill="1" applyFont="1" applyNumberFormat="1">
      <alignment horizontal="right" vertical="bottom"/>
    </xf>
    <xf borderId="0" fillId="12" fontId="14" numFmtId="4" xfId="0" applyAlignment="1" applyFill="1" applyFont="1" applyNumberFormat="1">
      <alignment horizontal="right" vertical="bottom"/>
    </xf>
    <xf borderId="0" fillId="13" fontId="14" numFmtId="4" xfId="0" applyAlignment="1" applyFill="1" applyFont="1" applyNumberFormat="1">
      <alignment horizontal="right" vertical="bottom"/>
    </xf>
    <xf borderId="0" fillId="14" fontId="14" numFmtId="4" xfId="0" applyAlignment="1" applyFill="1" applyFont="1" applyNumberFormat="1">
      <alignment horizontal="right" vertical="bottom"/>
    </xf>
    <xf borderId="0" fillId="15" fontId="14" numFmtId="4" xfId="0" applyAlignment="1" applyFill="1" applyFont="1" applyNumberFormat="1">
      <alignment horizontal="right" vertical="bottom"/>
    </xf>
    <xf borderId="0" fillId="16" fontId="14" numFmtId="4" xfId="0" applyAlignment="1" applyFill="1" applyFont="1" applyNumberFormat="1">
      <alignment horizontal="right" vertical="bottom"/>
    </xf>
    <xf borderId="0" fillId="17" fontId="14" numFmtId="4" xfId="0" applyAlignment="1" applyFill="1" applyFont="1" applyNumberFormat="1">
      <alignment horizontal="right" vertical="bottom"/>
    </xf>
    <xf borderId="0" fillId="18" fontId="14" numFmtId="4" xfId="0" applyAlignment="1" applyFill="1" applyFont="1" applyNumberFormat="1">
      <alignment horizontal="right" vertical="bottom"/>
    </xf>
    <xf borderId="0" fillId="19" fontId="14" numFmtId="4" xfId="0" applyAlignment="1" applyFill="1" applyFont="1" applyNumberFormat="1">
      <alignment horizontal="right" vertical="bottom"/>
    </xf>
    <xf borderId="0" fillId="20" fontId="14" numFmtId="4" xfId="0" applyAlignment="1" applyFill="1" applyFont="1" applyNumberFormat="1">
      <alignment horizontal="right" vertical="bottom"/>
    </xf>
    <xf borderId="0" fillId="0" fontId="13" numFmtId="4" xfId="0" applyAlignment="1" applyFont="1" applyNumberFormat="1">
      <alignment readingOrder="0"/>
    </xf>
    <xf borderId="0" fillId="21" fontId="14" numFmtId="4" xfId="0" applyAlignment="1" applyFill="1" applyFont="1" applyNumberFormat="1">
      <alignment horizontal="right" vertical="bottom"/>
    </xf>
    <xf borderId="0" fillId="22" fontId="14" numFmtId="4" xfId="0" applyAlignment="1" applyFill="1" applyFont="1" applyNumberFormat="1">
      <alignment horizontal="right" vertical="bottom"/>
    </xf>
    <xf borderId="0" fillId="23" fontId="14" numFmtId="4" xfId="0" applyAlignment="1" applyFill="1" applyFont="1" applyNumberFormat="1">
      <alignment horizontal="right" vertical="bottom"/>
    </xf>
    <xf borderId="0" fillId="24" fontId="15" numFmtId="0" xfId="0" applyAlignment="1" applyFill="1" applyFont="1">
      <alignment readingOrder="0"/>
    </xf>
    <xf borderId="0" fillId="0" fontId="15" numFmtId="0" xfId="0" applyAlignment="1" applyFont="1">
      <alignment horizontal="center"/>
    </xf>
    <xf borderId="0" fillId="24" fontId="15" numFmtId="0" xfId="0" applyFill="1" applyFont="1"/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2">
    <tableStyle count="3" pivot="0" name="Disgusting-style">
      <tableStyleElement dxfId="1" type="headerRow"/>
      <tableStyleElement dxfId="2" type="firstRowStripe"/>
      <tableStyleElement dxfId="3" type="secondRowStripe"/>
    </tableStyle>
    <tableStyle count="2" pivot="0" name="Disgusting-style 2">
      <tableStyleElement dxfId="4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_rels/chartEx1.xml.rels><?xml version="1.0" encoding="UTF-8" standalone="yes"?>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3600">
                <a:solidFill>
                  <a:srgbClr val="757575"/>
                </a:solidFill>
                <a:latin typeface="+mn-lt"/>
              </a:defRPr>
            </a:pPr>
            <a:r>
              <a:rPr b="0" sz="3600">
                <a:solidFill>
                  <a:srgbClr val="757575"/>
                </a:solidFill>
                <a:latin typeface="+mn-lt"/>
              </a:rPr>
              <a:t>Fraternity Recruitment 2010-2023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'Cleaned '!$B$2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'Cleaned '!$A$3:$A$31</c:f>
            </c:strRef>
          </c:cat>
          <c:val>
            <c:numRef>
              <c:f>'Cleaned '!$B$3:$B$31</c:f>
              <c:numCache/>
            </c:numRef>
          </c:val>
        </c:ser>
        <c:ser>
          <c:idx val="1"/>
          <c:order val="1"/>
          <c:tx>
            <c:strRef>
              <c:f>'Cleaned '!$C$2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'Cleaned '!$A$3:$A$31</c:f>
            </c:strRef>
          </c:cat>
          <c:val>
            <c:numRef>
              <c:f>'Cleaned '!$C$3:$C$31</c:f>
              <c:numCache/>
            </c:numRef>
          </c:val>
        </c:ser>
        <c:ser>
          <c:idx val="2"/>
          <c:order val="2"/>
          <c:tx>
            <c:strRef>
              <c:f>'Cleaned '!$D$2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cat>
            <c:strRef>
              <c:f>'Cleaned '!$A$3:$A$31</c:f>
            </c:strRef>
          </c:cat>
          <c:val>
            <c:numRef>
              <c:f>'Cleaned '!$D$3:$D$31</c:f>
              <c:numCache/>
            </c:numRef>
          </c:val>
        </c:ser>
        <c:axId val="748102614"/>
        <c:axId val="1297792259"/>
      </c:barChart>
      <c:catAx>
        <c:axId val="7481026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2000">
                <a:solidFill>
                  <a:srgbClr val="000000"/>
                </a:solidFill>
                <a:latin typeface="+mn-lt"/>
              </a:defRPr>
            </a:pPr>
          </a:p>
        </c:txPr>
        <c:crossAx val="1297792259"/>
      </c:catAx>
      <c:valAx>
        <c:axId val="12977922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sz="1800">
                <a:solidFill>
                  <a:srgbClr val="000000"/>
                </a:solidFill>
                <a:latin typeface="+mn-lt"/>
              </a:defRPr>
            </a:pPr>
          </a:p>
        </c:txPr>
        <c:crossAx val="748102614"/>
      </c:valAx>
    </c:plotArea>
    <c:legend>
      <c:legendPos val="r"/>
      <c:overlay val="0"/>
      <c:txPr>
        <a:bodyPr/>
        <a:lstStyle/>
        <a:p>
          <a:pPr lvl="0">
            <a:defRPr b="0" sz="20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tx>
            <c:strRef>
              <c:f>Disgusting!$W$1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Disgusting!$V$2:$V$9</c:f>
            </c:strRef>
          </c:cat>
          <c:val>
            <c:numRef>
              <c:f>Disgusting!$W$2:$W$9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'Cleaned '!$I$41</c:f>
            </c:strRef>
          </c:tx>
          <c:spPr>
            <a:ln cmpd="sng" w="19050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'Cleaned '!$H$42:$H$69</c:f>
            </c:strRef>
          </c:cat>
          <c:val>
            <c:numRef>
              <c:f>'Cleaned '!$I$42:$I$69</c:f>
              <c:numCache/>
            </c:numRef>
          </c:val>
          <c:smooth val="1"/>
        </c:ser>
        <c:ser>
          <c:idx val="1"/>
          <c:order val="1"/>
          <c:tx>
            <c:strRef>
              <c:f>'Cleaned '!$I$41</c:f>
            </c:strRef>
          </c:tx>
          <c:spPr>
            <a:ln cmpd="sng" w="19050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'Cleaned '!$H$42:$H$69</c:f>
            </c:strRef>
          </c:cat>
          <c:val>
            <c:numRef>
              <c:f>'Cleaned '!$I$42:$I$69</c:f>
              <c:numCache/>
            </c:numRef>
          </c:val>
          <c:smooth val="1"/>
        </c:ser>
        <c:ser>
          <c:idx val="2"/>
          <c:order val="2"/>
          <c:tx>
            <c:strRef>
              <c:f>'Cleaned '!$L$41</c:f>
            </c:strRef>
          </c:tx>
          <c:spPr>
            <a:ln cmpd="sng" w="19050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'Cleaned '!$H$42:$H$69</c:f>
            </c:strRef>
          </c:cat>
          <c:val>
            <c:numRef>
              <c:f>'Cleaned '!$L$42:$L$69</c:f>
              <c:numCache/>
            </c:numRef>
          </c:val>
          <c:smooth val="1"/>
        </c:ser>
        <c:ser>
          <c:idx val="3"/>
          <c:order val="3"/>
          <c:tx>
            <c:strRef>
              <c:f>'Cleaned '!$L$41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'Cleaned '!$H$42:$H$69</c:f>
            </c:strRef>
          </c:cat>
          <c:val>
            <c:numRef>
              <c:f>'Cleaned '!$L$42:$L$69</c:f>
              <c:numCache/>
            </c:numRef>
          </c:val>
          <c:smooth val="1"/>
        </c:ser>
        <c:axId val="1606234427"/>
        <c:axId val="345626261"/>
      </c:lineChart>
      <c:catAx>
        <c:axId val="16062344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45626261"/>
      </c:catAx>
      <c:valAx>
        <c:axId val="3456262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0623442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3600">
                <a:solidFill>
                  <a:srgbClr val="757575"/>
                </a:solidFill>
                <a:latin typeface="+mn-lt"/>
              </a:defRPr>
            </a:pPr>
            <a:r>
              <a:rPr b="0" sz="3600">
                <a:solidFill>
                  <a:srgbClr val="757575"/>
                </a:solidFill>
                <a:latin typeface="+mn-lt"/>
              </a:rPr>
              <a:t>Fraternity Rush Metrics 2010-223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'Cleaned '!$I$41</c:f>
            </c:strRef>
          </c:tx>
          <c:spPr>
            <a:ln cmpd="sng" w="19050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'Cleaned '!$H$42:$H$69</c:f>
            </c:strRef>
          </c:cat>
          <c:val>
            <c:numRef>
              <c:f>'Cleaned '!$I$42:$I$69</c:f>
              <c:numCache/>
            </c:numRef>
          </c:val>
          <c:smooth val="1"/>
        </c:ser>
        <c:ser>
          <c:idx val="1"/>
          <c:order val="1"/>
          <c:tx>
            <c:strRef>
              <c:f>'Cleaned '!$I$41</c:f>
            </c:strRef>
          </c:tx>
          <c:spPr>
            <a:ln cmpd="sng" w="19050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'Cleaned '!$H$42:$H$69</c:f>
            </c:strRef>
          </c:cat>
          <c:val>
            <c:numRef>
              <c:f>'Cleaned '!$I$42:$I$69</c:f>
              <c:numCache/>
            </c:numRef>
          </c:val>
          <c:smooth val="1"/>
        </c:ser>
        <c:ser>
          <c:idx val="2"/>
          <c:order val="2"/>
          <c:tx>
            <c:v>Grand Rush (Avg of ER and RR seasonally adjusted)</c:v>
          </c:tx>
          <c:spPr>
            <a:ln cmpd="sng" w="19050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'Cleaned '!$H$42:$H$69</c:f>
            </c:strRef>
          </c:cat>
          <c:val>
            <c:numRef>
              <c:f>'Cleaned '!$L$42:$L$69</c:f>
              <c:numCache/>
            </c:numRef>
          </c:val>
          <c:smooth val="1"/>
        </c:ser>
        <c:axId val="1737820114"/>
        <c:axId val="891531419"/>
      </c:lineChart>
      <c:catAx>
        <c:axId val="17378201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sz="2000">
                <a:solidFill>
                  <a:srgbClr val="000000"/>
                </a:solidFill>
                <a:latin typeface="+mn-lt"/>
              </a:defRPr>
            </a:pPr>
          </a:p>
        </c:txPr>
        <c:crossAx val="891531419"/>
      </c:catAx>
      <c:valAx>
        <c:axId val="8915314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sz="2000">
                <a:solidFill>
                  <a:srgbClr val="000000"/>
                </a:solidFill>
                <a:latin typeface="+mn-lt"/>
              </a:defRPr>
            </a:pPr>
          </a:p>
        </c:txPr>
        <c:crossAx val="1737820114"/>
      </c:valAx>
    </c:plotArea>
    <c:legend>
      <c:legendPos val="t"/>
      <c:overlay val="0"/>
      <c:txPr>
        <a:bodyPr/>
        <a:lstStyle/>
        <a:p>
          <a:pPr lvl="0">
            <a:defRPr b="0" sz="20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'Cleaned '!$P$4:$P$30</c:f>
              <c:numCache/>
            </c:numRef>
          </c:val>
          <c:smooth val="1"/>
        </c:ser>
        <c:axId val="434156157"/>
        <c:axId val="1289509013"/>
      </c:lineChart>
      <c:catAx>
        <c:axId val="4341561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89509013"/>
      </c:catAx>
      <c:valAx>
        <c:axId val="12895090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415615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'Cleaned '!$N$3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'Cleaned '!$N$4:$N$31</c:f>
              <c:numCache/>
            </c:numRef>
          </c:val>
          <c:smooth val="1"/>
        </c:ser>
        <c:ser>
          <c:idx val="1"/>
          <c:order val="1"/>
          <c:tx>
            <c:strRef>
              <c:f>'Cleaned '!$O$3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'Cleaned '!$O$4:$O$31</c:f>
              <c:numCache/>
            </c:numRef>
          </c:val>
          <c:smooth val="1"/>
        </c:ser>
        <c:ser>
          <c:idx val="2"/>
          <c:order val="2"/>
          <c:tx>
            <c:strRef>
              <c:f>'Cleaned '!$P$3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val>
            <c:numRef>
              <c:f>'Cleaned '!$P$4:$P$31</c:f>
              <c:numCache/>
            </c:numRef>
          </c:val>
          <c:smooth val="1"/>
        </c:ser>
        <c:axId val="209980750"/>
        <c:axId val="1340953489"/>
      </c:lineChart>
      <c:catAx>
        <c:axId val="2099807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40953489"/>
      </c:catAx>
      <c:valAx>
        <c:axId val="13409534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998075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'Cleaned '!$N$3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'Cleaned '!$M$4:$M$30</c:f>
            </c:strRef>
          </c:cat>
          <c:val>
            <c:numRef>
              <c:f>'Cleaned '!$N$4:$N$30</c:f>
              <c:numCache/>
            </c:numRef>
          </c:val>
          <c:smooth val="1"/>
        </c:ser>
        <c:ser>
          <c:idx val="1"/>
          <c:order val="1"/>
          <c:tx>
            <c:strRef>
              <c:f>'Cleaned '!$O$3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'Cleaned '!$M$4:$M$30</c:f>
            </c:strRef>
          </c:cat>
          <c:val>
            <c:numRef>
              <c:f>'Cleaned '!$O$4:$O$30</c:f>
              <c:numCache/>
            </c:numRef>
          </c:val>
          <c:smooth val="1"/>
        </c:ser>
        <c:ser>
          <c:idx val="2"/>
          <c:order val="2"/>
          <c:tx>
            <c:strRef>
              <c:f>'Cleaned '!$P$3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'Cleaned '!$M$4:$M$30</c:f>
            </c:strRef>
          </c:cat>
          <c:val>
            <c:numRef>
              <c:f>'Cleaned '!$P$4:$P$30</c:f>
              <c:numCache/>
            </c:numRef>
          </c:val>
          <c:smooth val="1"/>
        </c:ser>
        <c:axId val="2072347331"/>
        <c:axId val="1230924259"/>
      </c:lineChart>
      <c:catAx>
        <c:axId val="20723473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Semester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0924259"/>
      </c:catAx>
      <c:valAx>
        <c:axId val="12309242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72347331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800">
                <a:solidFill>
                  <a:srgbClr val="757575"/>
                </a:solidFill>
                <a:latin typeface="+mn-lt"/>
              </a:defRPr>
            </a:pPr>
            <a:r>
              <a:rPr b="0" sz="1800">
                <a:solidFill>
                  <a:srgbClr val="757575"/>
                </a:solidFill>
                <a:latin typeface="+mn-lt"/>
              </a:rPr>
              <a:t>UNL Greek-life Male GPA %change from 1 Year Ago (Grade Inflation) </a:t>
            </a:r>
          </a:p>
        </c:rich>
      </c:tx>
      <c:overlay val="0"/>
    </c:title>
    <c:plotArea>
      <c:layout>
        <c:manualLayout>
          <c:xMode val="edge"/>
          <c:yMode val="edge"/>
          <c:x val="0.09762565104166669"/>
          <c:y val="0.1091644204851752"/>
          <c:w val="0.8714576822916669"/>
          <c:h val="0.7153204626232287"/>
        </c:manualLayout>
      </c:layout>
      <c:lineChart>
        <c:ser>
          <c:idx val="0"/>
          <c:order val="0"/>
          <c:tx>
            <c:strRef>
              <c:f>'Cleaned '!$O$3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trendline>
            <c:name>Trendline for % change from 1 year ago</c:name>
            <c:spPr>
              <a:ln w="19050">
                <a:solidFill>
                  <a:srgbClr val="1155CC">
                    <a:alpha val="40000"/>
                  </a:srgbClr>
                </a:solidFill>
              </a:ln>
            </c:spPr>
            <c:trendlineType val="linear"/>
            <c:dispRSqr val="0"/>
            <c:dispEq val="0"/>
          </c:trendline>
          <c:cat>
            <c:strRef>
              <c:f>'Cleaned '!$M$4:$M$31</c:f>
            </c:strRef>
          </c:cat>
          <c:val>
            <c:numRef>
              <c:f>'Cleaned '!$O$4:$O$31</c:f>
              <c:numCache/>
            </c:numRef>
          </c:val>
          <c:smooth val="1"/>
        </c:ser>
        <c:axId val="99735042"/>
        <c:axId val="2559263"/>
      </c:lineChart>
      <c:catAx>
        <c:axId val="997350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Semester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559263"/>
      </c:catAx>
      <c:valAx>
        <c:axId val="2559263"/>
        <c:scaling>
          <c:orientation val="minMax"/>
          <c:max val="16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9735042"/>
      </c:valAx>
    </c:plotArea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UNL Greek-life Male GPA Average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'Cleaned '!$N$3</c:f>
            </c:strRef>
          </c:tx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trendline>
            <c:name/>
            <c:spPr>
              <a:ln w="19050">
                <a:solidFill>
                  <a:srgbClr val="CC0000">
                    <a:alpha val="40000"/>
                  </a:srgbClr>
                </a:solidFill>
              </a:ln>
            </c:spPr>
            <c:trendlineType val="linear"/>
            <c:dispRSqr val="0"/>
            <c:dispEq val="0"/>
          </c:trendline>
          <c:cat>
            <c:strRef>
              <c:f>'Cleaned '!$M$4:$M$31</c:f>
            </c:strRef>
          </c:cat>
          <c:val>
            <c:numRef>
              <c:f>'Cleaned '!$N$4:$N$31</c:f>
              <c:numCache/>
            </c:numRef>
          </c:val>
          <c:smooth val="1"/>
        </c:ser>
        <c:axId val="1978461384"/>
        <c:axId val="23304527"/>
      </c:lineChart>
      <c:catAx>
        <c:axId val="19784613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Semester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3304527"/>
      </c:catAx>
      <c:valAx>
        <c:axId val="23304527"/>
        <c:scaling>
          <c:orientation val="minMax"/>
          <c:max val="3.51"/>
          <c:min val="3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GPA (4.00 Scale)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7846138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tx>
            <c:strRef>
              <c:f>Disgusting!$W$1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Disgusting!$V$2:$V$9</c:f>
            </c:strRef>
          </c:cat>
          <c:val>
            <c:numRef>
              <c:f>Disgusting!$W$2:$W$9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Disgusting!$AZ$2:$AZ$9</c:f>
            </c:strRef>
          </c:cat>
          <c:val>
            <c:numRef>
              <c:f>Disgusting!$BA$2:$BA$9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980000"/>
              </a:solidFill>
              <a:ln cmpd="sng" w="9525">
                <a:solidFill>
                  <a:srgbClr val="434343"/>
                </a:solidFill>
              </a:ln>
            </c:spPr>
          </c:dPt>
          <c:dPt>
            <c:idx val="1"/>
            <c:spPr>
              <a:solidFill>
                <a:srgbClr val="EA4335"/>
              </a:solidFill>
              <a:ln cmpd="sng" w="9525">
                <a:solidFill>
                  <a:srgbClr val="434343"/>
                </a:solidFill>
              </a:ln>
            </c:spPr>
          </c:dPt>
          <c:dPt>
            <c:idx val="2"/>
            <c:spPr>
              <a:solidFill>
                <a:srgbClr val="E6B8AF"/>
              </a:solidFill>
              <a:ln cmpd="sng" w="9525">
                <a:solidFill>
                  <a:srgbClr val="434343"/>
                </a:solidFill>
              </a:ln>
            </c:spPr>
          </c:dPt>
          <c:dPt>
            <c:idx val="3"/>
            <c:spPr>
              <a:solidFill>
                <a:srgbClr val="FF9900"/>
              </a:solidFill>
              <a:ln cmpd="sng" w="9525">
                <a:solidFill>
                  <a:srgbClr val="434343"/>
                </a:solidFill>
              </a:ln>
            </c:spPr>
          </c:dPt>
          <c:dPt>
            <c:idx val="4"/>
            <c:spPr>
              <a:solidFill>
                <a:srgbClr val="FCE5CD"/>
              </a:solidFill>
              <a:ln cmpd="sng" w="9525">
                <a:solidFill>
                  <a:srgbClr val="434343"/>
                </a:solidFill>
              </a:ln>
            </c:spPr>
          </c:dPt>
          <c:dPt>
            <c:idx val="5"/>
            <c:spPr>
              <a:solidFill>
                <a:srgbClr val="FFFF00"/>
              </a:solidFill>
              <a:ln cmpd="sng" w="9525">
                <a:solidFill>
                  <a:srgbClr val="434343"/>
                </a:solidFill>
              </a:ln>
            </c:spPr>
          </c:dPt>
          <c:dPt>
            <c:idx val="6"/>
            <c:spPr>
              <a:solidFill>
                <a:srgbClr val="FFF2CC"/>
              </a:solidFill>
              <a:ln cmpd="sng" w="9525">
                <a:solidFill>
                  <a:srgbClr val="434343"/>
                </a:solidFill>
              </a:ln>
            </c:spPr>
          </c:dPt>
          <c:dPt>
            <c:idx val="7"/>
            <c:spPr>
              <a:solidFill>
                <a:srgbClr val="00FF00"/>
              </a:solidFill>
              <a:ln cmpd="sng" w="9525">
                <a:solidFill>
                  <a:srgbClr val="434343"/>
                </a:solidFill>
              </a:ln>
            </c:spPr>
          </c:dPt>
          <c:dPt>
            <c:idx val="8"/>
            <c:spPr>
              <a:solidFill>
                <a:srgbClr val="D9EAD3"/>
              </a:solidFill>
              <a:ln cmpd="sng" w="9525">
                <a:solidFill>
                  <a:srgbClr val="434343"/>
                </a:solidFill>
              </a:ln>
            </c:spPr>
          </c:dPt>
          <c:dPt>
            <c:idx val="9"/>
            <c:spPr>
              <a:solidFill>
                <a:srgbClr val="00FFFF"/>
              </a:solidFill>
              <a:ln cmpd="sng" w="9525">
                <a:solidFill>
                  <a:srgbClr val="434343"/>
                </a:solidFill>
              </a:ln>
            </c:spPr>
          </c:dPt>
          <c:dPt>
            <c:idx val="10"/>
            <c:spPr>
              <a:solidFill>
                <a:srgbClr val="D0E0E3"/>
              </a:solidFill>
              <a:ln cmpd="sng" w="9525">
                <a:solidFill>
                  <a:srgbClr val="434343"/>
                </a:solidFill>
              </a:ln>
            </c:spPr>
          </c:dPt>
          <c:dPt>
            <c:idx val="11"/>
            <c:spPr>
              <a:solidFill>
                <a:srgbClr val="0000FF"/>
              </a:solidFill>
              <a:ln cmpd="sng" w="9525">
                <a:solidFill>
                  <a:srgbClr val="434343"/>
                </a:solidFill>
              </a:ln>
            </c:spPr>
          </c:dPt>
          <c:dPt>
            <c:idx val="12"/>
            <c:spPr>
              <a:solidFill>
                <a:srgbClr val="B3CEFB"/>
              </a:solidFill>
              <a:ln cmpd="sng" w="9525">
                <a:solidFill>
                  <a:srgbClr val="434343"/>
                </a:solidFill>
              </a:ln>
            </c:spPr>
          </c:dPt>
          <c:dPt>
            <c:idx val="13"/>
            <c:spPr>
              <a:solidFill>
                <a:srgbClr val="9900FF"/>
              </a:solidFill>
              <a:ln cmpd="sng" w="9525">
                <a:solidFill>
                  <a:srgbClr val="434343"/>
                </a:solidFill>
              </a:ln>
            </c:spPr>
          </c:dPt>
          <c:dPt>
            <c:idx val="14"/>
            <c:spPr>
              <a:solidFill>
                <a:srgbClr val="D9D2E9"/>
              </a:solidFill>
              <a:ln cmpd="sng" w="9525">
                <a:solidFill>
                  <a:srgbClr val="434343"/>
                </a:solidFill>
              </a:ln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Disgusting!$AN$44:$AN$58</c:f>
            </c:strRef>
          </c:cat>
          <c:val>
            <c:numRef>
              <c:f>Disgusting!$AO$44:$AO$58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Disgusting!$AZ$69:$AZ$95</c:f>
              <c:numCache/>
            </c:numRef>
          </c:val>
          <c:smooth val="0"/>
        </c:ser>
        <c:axId val="1320317007"/>
        <c:axId val="814511210"/>
      </c:lineChart>
      <c:catAx>
        <c:axId val="13203170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14511210"/>
      </c:catAx>
      <c:valAx>
        <c:axId val="8145112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2031700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Disgusting!$R$66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Disgusting!$Q$67:$Q$100</c:f>
            </c:strRef>
          </c:cat>
          <c:val>
            <c:numRef>
              <c:f>Disgusting!$R$67:$R$100</c:f>
              <c:numCache/>
            </c:numRef>
          </c:val>
          <c:smooth val="1"/>
        </c:ser>
        <c:ser>
          <c:idx val="1"/>
          <c:order val="1"/>
          <c:tx>
            <c:strRef>
              <c:f>Disgusting!$AE$66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Disgusting!$Q$67:$Q$100</c:f>
            </c:strRef>
          </c:cat>
          <c:val>
            <c:numRef>
              <c:f>Disgusting!$AE$67:$AE$100</c:f>
              <c:numCache/>
            </c:numRef>
          </c:val>
          <c:smooth val="1"/>
        </c:ser>
        <c:axId val="1973655753"/>
        <c:axId val="1199751903"/>
      </c:lineChart>
      <c:catAx>
        <c:axId val="19736557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99751903"/>
      </c:catAx>
      <c:valAx>
        <c:axId val="11997519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7365575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Disgusting!$BA$66:$BA$68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Disgusting!$BA$69:$BA$96</c:f>
              <c:numCache/>
            </c:numRef>
          </c:val>
          <c:smooth val="1"/>
        </c:ser>
        <c:ser>
          <c:idx val="1"/>
          <c:order val="1"/>
          <c:tx>
            <c:strRef>
              <c:f>Disgusting!$BE$66:$BE$68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Disgusting!$BE$69:$BE$96</c:f>
              <c:numCache/>
            </c:numRef>
          </c:val>
          <c:smooth val="1"/>
        </c:ser>
        <c:axId val="628615575"/>
        <c:axId val="809343694"/>
      </c:lineChart>
      <c:catAx>
        <c:axId val="6286155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09343694"/>
      </c:catAx>
      <c:valAx>
        <c:axId val="809343694"/>
        <c:scaling>
          <c:orientation val="minMax"/>
          <c:max val="3.5"/>
          <c:min val="2.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861557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Disgusting!$AN$69:$AN$100</c:f>
              <c:numCache/>
            </c:numRef>
          </c:val>
          <c:smooth val="1"/>
        </c:ser>
        <c:axId val="1906552702"/>
        <c:axId val="2122390492"/>
      </c:lineChart>
      <c:catAx>
        <c:axId val="19065527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2390492"/>
      </c:catAx>
      <c:valAx>
        <c:axId val="21223904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0655270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Disgusting!$AP$69:$AP$95</c:f>
              <c:numCache/>
            </c:numRef>
          </c:val>
          <c:smooth val="1"/>
        </c:ser>
        <c:axId val="582834945"/>
        <c:axId val="2091624179"/>
      </c:lineChart>
      <c:catAx>
        <c:axId val="5828349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91624179"/>
      </c:catAx>
      <c:valAx>
        <c:axId val="20916241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8283494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Disgusting!$AZ$69:$AZ$103</c:f>
              <c:numCache/>
            </c:numRef>
          </c:val>
          <c:smooth val="1"/>
        </c:ser>
        <c:ser>
          <c:idx val="1"/>
          <c:order val="1"/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Disgusting!$AZ$69:$AZ$103</c:f>
              <c:numCache/>
            </c:numRef>
          </c:val>
          <c:smooth val="1"/>
        </c:ser>
        <c:axId val="470513178"/>
        <c:axId val="399486488"/>
      </c:lineChart>
      <c:catAx>
        <c:axId val="4705131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9486488"/>
      </c:catAx>
      <c:valAx>
        <c:axId val="3994864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7051317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val>
            <c:numRef>
              <c:f>Disgusting!$AV$69:$AV$95</c:f>
              <c:numCache/>
            </c:numRef>
          </c:val>
          <c:smooth val="1"/>
        </c:ser>
        <c:axId val="16486536"/>
        <c:axId val="715104713"/>
      </c:lineChart>
      <c:catAx>
        <c:axId val="164865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15104713"/>
      </c:catAx>
      <c:valAx>
        <c:axId val="7151047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8653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val>
            <c:numRef>
              <c:f>Disgusting!$BC$70:$BC$94</c:f>
              <c:numCache/>
            </c:numRef>
          </c:val>
          <c:smooth val="1"/>
        </c:ser>
        <c:axId val="1962128940"/>
        <c:axId val="1585992407"/>
      </c:lineChart>
      <c:catAx>
        <c:axId val="19621289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85992407"/>
      </c:catAx>
      <c:valAx>
        <c:axId val="15859924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6212894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600">
                <a:solidFill>
                  <a:srgbClr val="757575"/>
                </a:solidFill>
                <a:latin typeface="+mn-lt"/>
              </a:defRPr>
            </a:pPr>
            <a:r>
              <a:rPr b="0" sz="1600">
                <a:solidFill>
                  <a:srgbClr val="757575"/>
                </a:solidFill>
                <a:latin typeface="+mn-lt"/>
              </a:rPr>
              <a:t>Members v Grand Rush Index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Disgusting!$R$68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Disgusting!$R$69:$R$95</c:f>
              <c:numCache/>
            </c:numRef>
          </c:val>
          <c:smooth val="1"/>
        </c:ser>
        <c:ser>
          <c:idx val="1"/>
          <c:order val="1"/>
          <c:tx>
            <c:strRef>
              <c:f>Disgusting!$S$68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Disgusting!$S$69:$S$95</c:f>
              <c:numCache/>
            </c:numRef>
          </c:val>
          <c:smooth val="1"/>
        </c:ser>
        <c:ser>
          <c:idx val="2"/>
          <c:order val="2"/>
          <c:tx>
            <c:strRef>
              <c:f>Disgusting!$T$68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val>
            <c:numRef>
              <c:f>Disgusting!$T$69:$T$95</c:f>
              <c:numCache/>
            </c:numRef>
          </c:val>
          <c:smooth val="1"/>
        </c:ser>
        <c:axId val="792768700"/>
        <c:axId val="1748642871"/>
      </c:lineChart>
      <c:catAx>
        <c:axId val="7927687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Grand Rush Index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8642871"/>
      </c:catAx>
      <c:valAx>
        <c:axId val="17486428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Members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9276870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varyColors val="0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invertIfNegative val="0"/>
          <c:val>
            <c:numRef>
              <c:f>Disgusting!$AQ$69:$AQ$95</c:f>
              <c:numCache/>
            </c:numRef>
          </c:val>
        </c:ser>
        <c:axId val="864907904"/>
        <c:axId val="1072139134"/>
      </c:barChart>
      <c:catAx>
        <c:axId val="86490790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72139134"/>
      </c:catAx>
      <c:valAx>
        <c:axId val="107213913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6490790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spPr>
            <a:ln cmpd="sng">
              <a:solidFill>
                <a:srgbClr val="FFFF00">
                  <a:alpha val="100000"/>
                </a:srgbClr>
              </a:solidFill>
            </a:ln>
          </c:spPr>
          <c:marker>
            <c:symbol val="none"/>
          </c:marker>
          <c:val>
            <c:numRef>
              <c:f>Disgusting!$G$71:$G$95</c:f>
              <c:numCache/>
            </c:numRef>
          </c:val>
          <c:smooth val="1"/>
        </c:ser>
        <c:ser>
          <c:idx val="1"/>
          <c:order val="1"/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Disgusting!$H$71:$H$95</c:f>
              <c:numCache/>
            </c:numRef>
          </c:val>
          <c:smooth val="1"/>
        </c:ser>
        <c:ser>
          <c:idx val="2"/>
          <c:order val="2"/>
          <c:spPr>
            <a:ln cmpd="sng">
              <a:solidFill>
                <a:srgbClr val="0000FF">
                  <a:alpha val="100000"/>
                </a:srgbClr>
              </a:solidFill>
            </a:ln>
          </c:spPr>
          <c:marker>
            <c:symbol val="none"/>
          </c:marker>
          <c:val>
            <c:numRef>
              <c:f>Disgusting!$I$71:$I$95</c:f>
              <c:numCache/>
            </c:numRef>
          </c:val>
          <c:smooth val="1"/>
        </c:ser>
        <c:axId val="987031486"/>
        <c:axId val="766761134"/>
      </c:lineChart>
      <c:catAx>
        <c:axId val="9870314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66761134"/>
      </c:catAx>
      <c:valAx>
        <c:axId val="7667611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8703148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Ex1.xml><?xml version="1.0" encoding="utf-8"?>
<cx:chartSpace xmlns:a="http://schemas.openxmlformats.org/drawingml/2006/main" xmlns:cx="http://schemas.microsoft.com/office/drawing/2014/chartex" xmlns:r="http://schemas.openxmlformats.org/officeDocument/2006/relationships" xmlns:mc="http://schemas.openxmlformats.org/markup-compatibility/2006" xmlns:mv="urn:schemas-microsoft-com:mac:vml" xmlns:c14="http://schemas.microsoft.com/office/drawing/2007/8/2/chart">
  <cx:chartData>
    <cx:data id="0">
      <cx:numDim type="val">
        <cx:f>Disgusting!$AC$69:$AC$104</cx:f>
      </cx:numDim>
    </cx:data>
  </cx:chartData>
  <cx:chart>
    <cx:title overlay="0">
      <cx:txPr>
        <a:bodyPr/>
        <a:lstStyle/>
        <a:p>
          <a:pPr lvl="0">
            <a:defRPr b="0">
              <a:solidFill>
                <a:srgbClr val="757575"/>
              </a:solidFill>
              <a:latin typeface="+mn-lt"/>
            </a:defRPr>
          </a:pPr>
          <a:r>
            <a:rPr b="0">
              <a:solidFill>
                <a:srgbClr val="757575"/>
              </a:solidFill>
              <a:latin typeface="+mn-lt"/>
            </a:rPr>
            <a:t>Fall</a:t>
          </a:r>
        </a:p>
      </cx:txPr>
    </cx:title>
    <cx:plotArea>
      <cx:plotAreaRegion>
        <cx:series layoutId="waterfall" uniqueId="{61783EEE-9AE4-4D44-85E6-C8007CE98219}">
          <cx:dataId val="0"/>
          <cx:layoutPr>
            <cx:visibility connectorLines="1"/>
            <cx:subtotals/>
          </cx:layoutPr>
        </cx:series>
      </cx:plotAreaRegion>
      <cx:axis id="0">
        <cx:catScaling gapWidth="auto"/>
        <cx:title>
          <cx:txPr>
            <a:bodyPr/>
            <a:lstStyle/>
            <a:p>
              <a:pPr lvl="0">
                <a:defRPr b="0">
                  <a:solidFill>
                    <a:srgbClr val="000000"/>
                  </a:solidFill>
                  <a:latin typeface="+mn-lt"/>
                </a:defRPr>
              </a:pPr>
              <a:r>
                <a:rPr b="0">
                  <a:solidFill>
                    <a:srgbClr val="000000"/>
                  </a:solidFill>
                  <a:latin typeface="+mn-lt"/>
                </a:rPr>
                <a:t/>
              </a:r>
            </a:p>
          </cx:txPr>
        </cx:title>
        <cx:tickLabels/>
      </cx:axis>
      <cx:axis id="1">
        <cx:valScaling max="auto" min="auto"/>
        <cx:title>
          <cx:txPr>
            <a:bodyPr/>
            <a:lstStyle/>
            <a:p>
              <a:pPr lvl="0">
                <a:defRPr b="0">
                  <a:solidFill>
                    <a:srgbClr val="000000"/>
                  </a:solidFill>
                  <a:latin typeface="+mn-lt"/>
                </a:defRPr>
              </a:pPr>
              <a:r>
                <a:rPr b="0">
                  <a:solidFill>
                    <a:srgbClr val="000000"/>
                  </a:solidFill>
                  <a:latin typeface="+mn-lt"/>
                </a:rPr>
                <a:t/>
              </a:r>
            </a:p>
          </cx:txPr>
        </cx:title>
        <cx:majorGridlines>
          <cx:spPr>
            <a:ln>
              <a:solidFill>
                <a:srgbClr val="B7B7B7"/>
              </a:solidFill>
            </a:ln>
          </cx:spPr>
        </cx:majorGridlines>
        <cx:minorGridlines>
          <cx:spPr>
            <a:ln>
              <a:solidFill>
                <a:srgbClr val="CCCCCC">
                  <a:alpha val="0"/>
                </a:srgbClr>
              </a:solidFill>
            </a:ln>
          </cx:spPr>
        </cx:minorGridlines>
        <cx:tickLabels/>
      </cx:axis>
    </cx:plotArea>
    <cx:legend pos="r" overlay="0">
      <cx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b="0">
            <a:solidFill>
              <a:srgbClr val="1A1A1A"/>
            </a:solidFill>
            <a:latin typeface="+mn-lt"/>
          </a:endParaRPr>
        </a:p>
      </cx:txPr>
    </cx:legend>
  </cx:chart>
</cx:chartSpace>
</file>

<file path=xl/charts/colors1.xml><?xml version="1.0" encoding="utf-8"?>
<cs:colorStyle xmlns:a="http://schemas.openxmlformats.org/drawingml/2006/main" xmlns:cs="http://schemas.microsoft.com/office/drawing/2012/chartStyle" meth="cycle" id="10">
  <a:srgbClr val="4285F4"/>
  <a:srgbClr val="DB4437"/>
  <a:srgbClr val="BDBDBD"/>
</cs:colorStyle>
</file>

<file path=xl/charts/style1.xml><?xml version="1.0" encoding="utf-8"?>
<cs:chartStyle xmlns:a="http://schemas.openxmlformats.org/drawingml/2006/main" xmlns:cs="http://schemas.microsoft.com/office/drawing/2012/chartStyle" id="395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>
    <cs:lnRef idx="0"/>
    <cs:fillRef idx="0"/>
    <cs:effectRef idx="0"/>
    <cs:fontRef idx="minor"/>
    <cs:spPr>
      <a:solidFill>
        <a:srgbClr val="FFFFFF"/>
      </a:solidFill>
      <a:ln cap="flat" cmpd="sng" w="9525" algn="ctr">
        <a:solidFill>
          <a:srgbClr val="000000"/>
        </a:solidFill>
      </a:ln>
    </cs:spPr>
  </cs:chartArea>
  <cs:dataLabel>
    <cs:lnRef idx="0"/>
    <cs:fillRef idx="0"/>
    <cs:effectRef idx="0"/>
    <cs:fontRef idx="minor"/>
  </cs:dataLabel>
  <cs:dataLabelCallout>
    <cs:lnRef idx="0"/>
    <cs:fillRef idx="0"/>
    <cs:effectRef idx="0"/>
    <cs:fontRef idx="minor"/>
  </cs:dataLabelCallout>
  <cs:dataPoint>
    <cs:lnRef idx="0"/>
    <cs:fillRef idx="0">
      <cs:styleClr val="isAuto"/>
    </cs:fillRef>
    <cs:effectRef idx="0"/>
    <cs:fontRef idx="minor"/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 standalone="yes"?><Relationships xmlns="http://schemas.openxmlformats.org/package/2006/relationships"><Relationship Id="rId20" Type="http://schemas.openxmlformats.org/officeDocument/2006/relationships/image" Target="../media/image7.png"/><Relationship Id="rId11" Type="http://schemas.openxmlformats.org/officeDocument/2006/relationships/image" Target="../media/image18.png"/><Relationship Id="rId10" Type="http://schemas.openxmlformats.org/officeDocument/2006/relationships/image" Target="../media/image11.png"/><Relationship Id="rId13" Type="http://schemas.openxmlformats.org/officeDocument/2006/relationships/image" Target="../media/image4.png"/><Relationship Id="rId12" Type="http://schemas.openxmlformats.org/officeDocument/2006/relationships/image" Target="../media/image1.png"/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5" Type="http://schemas.openxmlformats.org/officeDocument/2006/relationships/image" Target="../media/image8.png"/><Relationship Id="rId14" Type="http://schemas.openxmlformats.org/officeDocument/2006/relationships/image" Target="../media/image13.png"/><Relationship Id="rId17" Type="http://schemas.openxmlformats.org/officeDocument/2006/relationships/image" Target="../media/image10.png"/><Relationship Id="rId16" Type="http://schemas.openxmlformats.org/officeDocument/2006/relationships/image" Target="../media/image14.png"/><Relationship Id="rId5" Type="http://schemas.openxmlformats.org/officeDocument/2006/relationships/chart" Target="../charts/chart5.xml"/><Relationship Id="rId19" Type="http://schemas.openxmlformats.org/officeDocument/2006/relationships/image" Target="../media/image12.png"/><Relationship Id="rId6" Type="http://schemas.openxmlformats.org/officeDocument/2006/relationships/chart" Target="../charts/chart6.xml"/><Relationship Id="rId18" Type="http://schemas.openxmlformats.org/officeDocument/2006/relationships/image" Target="../media/image19.png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_rels/drawing2.xml.rels><?xml version="1.0" encoding="UTF-8" standalone="yes"?><Relationships xmlns="http://schemas.openxmlformats.org/package/2006/relationships"><Relationship Id="rId20" Type="http://schemas.openxmlformats.org/officeDocument/2006/relationships/image" Target="../media/image3.png"/><Relationship Id="rId11" Type="http://schemas.openxmlformats.org/officeDocument/2006/relationships/chart" Target="../charts/chart19.xml"/><Relationship Id="rId22" Type="http://schemas.openxmlformats.org/officeDocument/2006/relationships/image" Target="../media/image17.png"/><Relationship Id="rId10" Type="http://schemas.openxmlformats.org/officeDocument/2006/relationships/chart" Target="../charts/chart18.xml"/><Relationship Id="rId21" Type="http://schemas.openxmlformats.org/officeDocument/2006/relationships/image" Target="../media/image16.png"/><Relationship Id="rId13" Type="http://schemas.openxmlformats.org/officeDocument/2006/relationships/chart" Target="../charts/chart21.xml"/><Relationship Id="rId12" Type="http://schemas.openxmlformats.org/officeDocument/2006/relationships/chart" Target="../charts/chart20.xml"/><Relationship Id="rId23" Type="http://schemas.openxmlformats.org/officeDocument/2006/relationships/image" Target="../media/image2.jpg"/><Relationship Id="rId1" Type="http://schemas.openxmlformats.org/officeDocument/2006/relationships/chart" Target="../charts/chart10.xml"/><Relationship Id="rId2" Type="http://schemas.openxmlformats.org/officeDocument/2006/relationships/chart" Target="../charts/chart11.xml"/><Relationship Id="rId3" Type="http://schemas.openxmlformats.org/officeDocument/2006/relationships/chart" Target="../charts/chart12.xml"/><Relationship Id="rId4" Type="http://schemas.microsoft.com/office/2014/relationships/chartEx" Target="../charts/chartEx1.xml"/><Relationship Id="rId9" Type="http://schemas.openxmlformats.org/officeDocument/2006/relationships/chart" Target="../charts/chart17.xml"/><Relationship Id="rId15" Type="http://schemas.openxmlformats.org/officeDocument/2006/relationships/chart" Target="../charts/chart23.xml"/><Relationship Id="rId14" Type="http://schemas.openxmlformats.org/officeDocument/2006/relationships/chart" Target="../charts/chart22.xml"/><Relationship Id="rId17" Type="http://schemas.openxmlformats.org/officeDocument/2006/relationships/image" Target="../media/image5.png"/><Relationship Id="rId16" Type="http://schemas.openxmlformats.org/officeDocument/2006/relationships/image" Target="../media/image6.png"/><Relationship Id="rId5" Type="http://schemas.openxmlformats.org/officeDocument/2006/relationships/chart" Target="../charts/chart13.xml"/><Relationship Id="rId19" Type="http://schemas.openxmlformats.org/officeDocument/2006/relationships/image" Target="../media/image9.png"/><Relationship Id="rId6" Type="http://schemas.openxmlformats.org/officeDocument/2006/relationships/chart" Target="../charts/chart14.xml"/><Relationship Id="rId18" Type="http://schemas.openxmlformats.org/officeDocument/2006/relationships/image" Target="../media/image15.png"/><Relationship Id="rId7" Type="http://schemas.openxmlformats.org/officeDocument/2006/relationships/chart" Target="../charts/chart15.xml"/><Relationship Id="rId8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923925</xdr:colOff>
      <xdr:row>135</xdr:row>
      <xdr:rowOff>47625</xdr:rowOff>
    </xdr:from>
    <xdr:ext cx="21126450" cy="874395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1828800</xdr:colOff>
      <xdr:row>110</xdr:row>
      <xdr:rowOff>133350</xdr:rowOff>
    </xdr:from>
    <xdr:ext cx="5715000" cy="550545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4410075</xdr:colOff>
      <xdr:row>102</xdr:row>
      <xdr:rowOff>76200</xdr:rowOff>
    </xdr:from>
    <xdr:ext cx="12163425" cy="6200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0</xdr:colOff>
      <xdr:row>72</xdr:row>
      <xdr:rowOff>9525</xdr:rowOff>
    </xdr:from>
    <xdr:ext cx="19602450" cy="8210550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12</xdr:col>
      <xdr:colOff>447675</xdr:colOff>
      <xdr:row>75</xdr:row>
      <xdr:rowOff>9525</xdr:rowOff>
    </xdr:from>
    <xdr:ext cx="5715000" cy="3533775"/>
    <xdr:graphicFrame>
      <xdr:nvGraphicFramePr>
        <xdr:cNvPr id="12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11</xdr:col>
      <xdr:colOff>3695700</xdr:colOff>
      <xdr:row>94</xdr:row>
      <xdr:rowOff>0</xdr:rowOff>
    </xdr:from>
    <xdr:ext cx="5715000" cy="3543300"/>
    <xdr:graphicFrame>
      <xdr:nvGraphicFramePr>
        <xdr:cNvPr id="14" name="Chart 1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11</xdr:col>
      <xdr:colOff>2085975</xdr:colOff>
      <xdr:row>129</xdr:row>
      <xdr:rowOff>104775</xdr:rowOff>
    </xdr:from>
    <xdr:ext cx="7667625" cy="4743450"/>
    <xdr:graphicFrame>
      <xdr:nvGraphicFramePr>
        <xdr:cNvPr id="15" name="Chart 1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19</xdr:col>
      <xdr:colOff>352425</xdr:colOff>
      <xdr:row>32</xdr:row>
      <xdr:rowOff>161925</xdr:rowOff>
    </xdr:from>
    <xdr:ext cx="9477375" cy="5876925"/>
    <xdr:graphicFrame>
      <xdr:nvGraphicFramePr>
        <xdr:cNvPr id="16" name="Chart 1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19</xdr:col>
      <xdr:colOff>352425</xdr:colOff>
      <xdr:row>62</xdr:row>
      <xdr:rowOff>180975</xdr:rowOff>
    </xdr:from>
    <xdr:ext cx="9258300" cy="5743575"/>
    <xdr:graphicFrame>
      <xdr:nvGraphicFramePr>
        <xdr:cNvPr id="17" name="Chart 1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6</xdr:col>
      <xdr:colOff>3762375</xdr:colOff>
      <xdr:row>137</xdr:row>
      <xdr:rowOff>76200</xdr:rowOff>
    </xdr:from>
    <xdr:ext cx="13392150" cy="6629400"/>
    <xdr:pic>
      <xdr:nvPicPr>
        <xdr:cNvPr id="0" name="image11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228600</xdr:colOff>
      <xdr:row>3</xdr:row>
      <xdr:rowOff>209550</xdr:rowOff>
    </xdr:from>
    <xdr:ext cx="6829425" cy="4876800"/>
    <xdr:pic>
      <xdr:nvPicPr>
        <xdr:cNvPr id="0" name="image18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3467100</xdr:colOff>
      <xdr:row>110</xdr:row>
      <xdr:rowOff>133350</xdr:rowOff>
    </xdr:from>
    <xdr:ext cx="13039725" cy="4943475"/>
    <xdr:pic>
      <xdr:nvPicPr>
        <xdr:cNvPr id="0" name="image1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295275</xdr:colOff>
      <xdr:row>108</xdr:row>
      <xdr:rowOff>200025</xdr:rowOff>
    </xdr:from>
    <xdr:ext cx="8639175" cy="6200775"/>
    <xdr:pic>
      <xdr:nvPicPr>
        <xdr:cNvPr id="0" name="image4.pn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1343025</xdr:colOff>
      <xdr:row>140</xdr:row>
      <xdr:rowOff>66675</xdr:rowOff>
    </xdr:from>
    <xdr:ext cx="8667750" cy="6257925"/>
    <xdr:pic>
      <xdr:nvPicPr>
        <xdr:cNvPr id="0" name="image13.png" title="Image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2790825</xdr:colOff>
      <xdr:row>174</xdr:row>
      <xdr:rowOff>200025</xdr:rowOff>
    </xdr:from>
    <xdr:ext cx="12906375" cy="6267450"/>
    <xdr:pic>
      <xdr:nvPicPr>
        <xdr:cNvPr id="0" name="image8.png" title="Image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</xdr:col>
      <xdr:colOff>438150</xdr:colOff>
      <xdr:row>176</xdr:row>
      <xdr:rowOff>171450</xdr:rowOff>
    </xdr:from>
    <xdr:ext cx="13201650" cy="6315075"/>
    <xdr:pic>
      <xdr:nvPicPr>
        <xdr:cNvPr id="0" name="image14.png" title="Image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581025</xdr:colOff>
      <xdr:row>176</xdr:row>
      <xdr:rowOff>171450</xdr:rowOff>
    </xdr:from>
    <xdr:ext cx="13077825" cy="6162675"/>
    <xdr:pic>
      <xdr:nvPicPr>
        <xdr:cNvPr id="0" name="image10.png" title="Image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847725</xdr:colOff>
      <xdr:row>143</xdr:row>
      <xdr:rowOff>76200</xdr:rowOff>
    </xdr:from>
    <xdr:ext cx="13163550" cy="6486525"/>
    <xdr:pic>
      <xdr:nvPicPr>
        <xdr:cNvPr id="0" name="image19.png" title="Image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</xdr:col>
      <xdr:colOff>781050</xdr:colOff>
      <xdr:row>144</xdr:row>
      <xdr:rowOff>47625</xdr:rowOff>
    </xdr:from>
    <xdr:ext cx="12839700" cy="6381750"/>
    <xdr:pic>
      <xdr:nvPicPr>
        <xdr:cNvPr id="0" name="image12.png" title="Image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-47625</xdr:colOff>
      <xdr:row>178</xdr:row>
      <xdr:rowOff>180975</xdr:rowOff>
    </xdr:from>
    <xdr:ext cx="12954000" cy="6238875"/>
    <xdr:pic>
      <xdr:nvPicPr>
        <xdr:cNvPr id="0" name="image7.png" title="Image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48</xdr:col>
      <xdr:colOff>590550</xdr:colOff>
      <xdr:row>33</xdr:row>
      <xdr:rowOff>9525</xdr:rowOff>
    </xdr:from>
    <xdr:ext cx="5715000" cy="55054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61</xdr:col>
      <xdr:colOff>723900</xdr:colOff>
      <xdr:row>25</xdr:row>
      <xdr:rowOff>161925</xdr:rowOff>
    </xdr:from>
    <xdr:ext cx="5686425" cy="35147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61</xdr:col>
      <xdr:colOff>285750</xdr:colOff>
      <xdr:row>45</xdr:row>
      <xdr:rowOff>152400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20</xdr:col>
      <xdr:colOff>590550</xdr:colOff>
      <xdr:row>113</xdr:row>
      <xdr:rowOff>114300</xdr:rowOff>
    </xdr:from>
    <xdr:ext cx="5715000" cy="3533775"/>
    <mc:AlternateContent>
      <mc:Choice Requires="cx1">
        <xdr:graphicFrame>
          <xdr:nvGraphicFramePr>
            <xdr:cNvPr id="7" name="Chart 7" title="Chart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r:id="rId4"/>
            </a:graphicData>
          </a:graphic>
        </xdr:graphicFrame>
      </mc:Choice>
      <mc:Fallback>
        <xdr:sp>
          <xdr:nvSpPr>
            <xdr:cNvPr id="8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horzOverflow="clip" vertOverflow="clip"/>
            <a:lstStyle/>
            <a:p>
              <a:r>
                <a:rPr lang="en-US" sz="1100"/>
                <a:t>This chart isn't available in your version of Excel. Editing this shape or saving this workbook into a different file format will permanently break the chart.
</a:t>
              </a:r>
            </a:p>
          </xdr:txBody>
        </xdr:sp>
      </mc:Fallback>
    </mc:AlternateContent>
    <xdr:clientData fLocksWithSheet="0"/>
  </xdr:oneCellAnchor>
  <xdr:oneCellAnchor>
    <xdr:from>
      <xdr:col>11</xdr:col>
      <xdr:colOff>914400</xdr:colOff>
      <xdr:row>159</xdr:row>
      <xdr:rowOff>76200</xdr:rowOff>
    </xdr:from>
    <xdr:ext cx="6581775" cy="2686050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59</xdr:col>
      <xdr:colOff>495300</xdr:colOff>
      <xdr:row>134</xdr:row>
      <xdr:rowOff>161925</xdr:rowOff>
    </xdr:from>
    <xdr:ext cx="5715000" cy="3533775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51</xdr:col>
      <xdr:colOff>447675</xdr:colOff>
      <xdr:row>131</xdr:row>
      <xdr:rowOff>95250</xdr:rowOff>
    </xdr:from>
    <xdr:ext cx="5715000" cy="3533775"/>
    <xdr:graphicFrame>
      <xdr:nvGraphicFramePr>
        <xdr:cNvPr id="13" name="Chart 1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52</xdr:col>
      <xdr:colOff>85725</xdr:colOff>
      <xdr:row>101</xdr:row>
      <xdr:rowOff>19050</xdr:rowOff>
    </xdr:from>
    <xdr:ext cx="5715000" cy="3533775"/>
    <xdr:graphicFrame>
      <xdr:nvGraphicFramePr>
        <xdr:cNvPr id="18" name="Chart 1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55</xdr:col>
      <xdr:colOff>838200</xdr:colOff>
      <xdr:row>31</xdr:row>
      <xdr:rowOff>152400</xdr:rowOff>
    </xdr:from>
    <xdr:ext cx="5715000" cy="5905500"/>
    <xdr:graphicFrame>
      <xdr:nvGraphicFramePr>
        <xdr:cNvPr id="19" name="Chart 1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6</xdr:col>
      <xdr:colOff>990600</xdr:colOff>
      <xdr:row>36</xdr:row>
      <xdr:rowOff>95250</xdr:rowOff>
    </xdr:from>
    <xdr:ext cx="5715000" cy="2724150"/>
    <xdr:graphicFrame>
      <xdr:nvGraphicFramePr>
        <xdr:cNvPr id="20" name="Chart 2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46</xdr:col>
      <xdr:colOff>342900</xdr:colOff>
      <xdr:row>134</xdr:row>
      <xdr:rowOff>28575</xdr:rowOff>
    </xdr:from>
    <xdr:ext cx="5715000" cy="3533775"/>
    <xdr:graphicFrame>
      <xdr:nvGraphicFramePr>
        <xdr:cNvPr id="21" name="Chart 2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41</xdr:col>
      <xdr:colOff>714375</xdr:colOff>
      <xdr:row>113</xdr:row>
      <xdr:rowOff>152400</xdr:rowOff>
    </xdr:from>
    <xdr:ext cx="5715000" cy="3533775"/>
    <xdr:graphicFrame>
      <xdr:nvGraphicFramePr>
        <xdr:cNvPr id="22" name="Chart 2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11</xdr:col>
      <xdr:colOff>1219200</xdr:colOff>
      <xdr:row>139</xdr:row>
      <xdr:rowOff>0</xdr:rowOff>
    </xdr:from>
    <xdr:ext cx="5715000" cy="3971925"/>
    <xdr:graphicFrame>
      <xdr:nvGraphicFramePr>
        <xdr:cNvPr id="23" name="Chart 2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  <xdr:oneCellAnchor>
    <xdr:from>
      <xdr:col>41</xdr:col>
      <xdr:colOff>419100</xdr:colOff>
      <xdr:row>96</xdr:row>
      <xdr:rowOff>200025</xdr:rowOff>
    </xdr:from>
    <xdr:ext cx="5715000" cy="3533775"/>
    <xdr:graphicFrame>
      <xdr:nvGraphicFramePr>
        <xdr:cNvPr id="24" name="Chart 2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4"/>
        </a:graphicData>
      </a:graphic>
    </xdr:graphicFrame>
    <xdr:clientData fLocksWithSheet="0"/>
  </xdr:oneCellAnchor>
  <xdr:oneCellAnchor>
    <xdr:from>
      <xdr:col>12</xdr:col>
      <xdr:colOff>219075</xdr:colOff>
      <xdr:row>174</xdr:row>
      <xdr:rowOff>19050</xdr:rowOff>
    </xdr:from>
    <xdr:ext cx="5762625" cy="3533775"/>
    <xdr:graphicFrame>
      <xdr:nvGraphicFramePr>
        <xdr:cNvPr id="25" name="Chart 2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5"/>
        </a:graphicData>
      </a:graphic>
    </xdr:graphicFrame>
    <xdr:clientData fLocksWithSheet="0"/>
  </xdr:oneCellAnchor>
  <xdr:oneCellAnchor>
    <xdr:from>
      <xdr:col>62</xdr:col>
      <xdr:colOff>57150</xdr:colOff>
      <xdr:row>150</xdr:row>
      <xdr:rowOff>180975</xdr:rowOff>
    </xdr:from>
    <xdr:ext cx="7315200" cy="5114925"/>
    <xdr:pic>
      <xdr:nvPicPr>
        <xdr:cNvPr id="0" name="image6.png" title="Image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61</xdr:col>
      <xdr:colOff>161925</xdr:colOff>
      <xdr:row>198</xdr:row>
      <xdr:rowOff>171450</xdr:rowOff>
    </xdr:from>
    <xdr:ext cx="5686425" cy="4095750"/>
    <xdr:pic>
      <xdr:nvPicPr>
        <xdr:cNvPr id="0" name="image5.png" title="Image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676275</xdr:colOff>
      <xdr:row>150</xdr:row>
      <xdr:rowOff>85725</xdr:rowOff>
    </xdr:from>
    <xdr:ext cx="7439025" cy="5210175"/>
    <xdr:pic>
      <xdr:nvPicPr>
        <xdr:cNvPr id="0" name="image15.png" title="Image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56</xdr:col>
      <xdr:colOff>685800</xdr:colOff>
      <xdr:row>260</xdr:row>
      <xdr:rowOff>57150</xdr:rowOff>
    </xdr:from>
    <xdr:ext cx="11830050" cy="8286750"/>
    <xdr:pic>
      <xdr:nvPicPr>
        <xdr:cNvPr id="0" name="image9.png" title="Image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39</xdr:col>
      <xdr:colOff>0</xdr:colOff>
      <xdr:row>190</xdr:row>
      <xdr:rowOff>0</xdr:rowOff>
    </xdr:from>
    <xdr:ext cx="11972925" cy="6800850"/>
    <xdr:pic>
      <xdr:nvPicPr>
        <xdr:cNvPr id="0" name="image3.png" title="Image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39</xdr:col>
      <xdr:colOff>0</xdr:colOff>
      <xdr:row>225</xdr:row>
      <xdr:rowOff>0</xdr:rowOff>
    </xdr:from>
    <xdr:ext cx="11630025" cy="6800850"/>
    <xdr:pic>
      <xdr:nvPicPr>
        <xdr:cNvPr id="0" name="image16.png" title="Image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285</xdr:row>
      <xdr:rowOff>0</xdr:rowOff>
    </xdr:from>
    <xdr:ext cx="11201400" cy="8286750"/>
    <xdr:pic>
      <xdr:nvPicPr>
        <xdr:cNvPr id="0" name="image17.png" title="Image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1428750</xdr:colOff>
      <xdr:row>115</xdr:row>
      <xdr:rowOff>76200</xdr:rowOff>
    </xdr:from>
    <xdr:ext cx="4057650" cy="3048000"/>
    <xdr:pic>
      <xdr:nvPicPr>
        <xdr:cNvPr id="0" name="image2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D2:BK10" displayName="Table_1" name="Table_1" id="1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Disgusting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X45:AZ60" displayName="Table_2" name="Table_2" id="2">
  <tableColumns count="2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</tableColumns>
  <tableStyleInfo name="Disgusting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6.13"/>
    <col customWidth="1" min="2" max="2" width="42.5"/>
    <col customWidth="1" min="3" max="3" width="77.0"/>
    <col customWidth="1" min="4" max="4" width="50.88"/>
    <col customWidth="1" min="5" max="5" width="73.63"/>
    <col customWidth="1" min="6" max="6" width="19.88"/>
    <col customWidth="1" min="7" max="7" width="57.5"/>
    <col customWidth="1" min="8" max="8" width="37.13"/>
    <col customWidth="1" min="9" max="9" width="57.25"/>
    <col customWidth="1" min="10" max="10" width="58.38"/>
    <col customWidth="1" min="11" max="11" width="16.0"/>
    <col customWidth="1" min="12" max="12" width="62.0"/>
    <col customWidth="1" min="13" max="13" width="7.88"/>
    <col customWidth="1" min="14" max="14" width="8.88"/>
    <col customWidth="1" min="15" max="16" width="24.13"/>
    <col customWidth="1" min="17" max="18" width="29.88"/>
    <col customWidth="1" min="19" max="19" width="5.63"/>
    <col customWidth="1" min="20" max="20" width="7.0"/>
    <col customWidth="1" min="21" max="21" width="64.25"/>
    <col customWidth="1" min="22" max="22" width="14.63"/>
    <col customWidth="1" min="23" max="23" width="27.63"/>
    <col customWidth="1" min="25" max="25" width="10.75"/>
    <col customWidth="1" min="26" max="26" width="15.38"/>
    <col customWidth="1" min="27" max="27" width="30.63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  <c r="F1" s="5"/>
      <c r="G1" s="6" t="s">
        <v>5</v>
      </c>
      <c r="H1" s="7" t="s">
        <v>6</v>
      </c>
      <c r="I1" s="7" t="s">
        <v>7</v>
      </c>
      <c r="J1" s="1" t="s">
        <v>0</v>
      </c>
      <c r="K1" s="5"/>
      <c r="L1" s="5"/>
      <c r="M1" s="5"/>
      <c r="N1" s="5"/>
      <c r="O1" s="8"/>
      <c r="P1" s="8"/>
      <c r="Q1" s="5"/>
      <c r="R1" s="5"/>
      <c r="S1" s="5"/>
      <c r="T1" s="5"/>
      <c r="U1" s="5"/>
      <c r="V1" s="8"/>
      <c r="W1" s="9"/>
      <c r="X1" s="10"/>
      <c r="Y1" s="8"/>
      <c r="Z1" s="10"/>
      <c r="AA1" s="11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</row>
    <row r="2">
      <c r="A2" s="12" t="s">
        <v>8</v>
      </c>
      <c r="B2" s="12" t="s">
        <v>9</v>
      </c>
      <c r="C2" s="12" t="s">
        <v>10</v>
      </c>
      <c r="D2" s="12" t="s">
        <v>11</v>
      </c>
      <c r="E2" s="13" t="s">
        <v>12</v>
      </c>
      <c r="F2" s="5"/>
      <c r="G2" s="14" t="s">
        <v>13</v>
      </c>
      <c r="H2" s="15" t="s">
        <v>14</v>
      </c>
      <c r="I2" s="15" t="s">
        <v>15</v>
      </c>
      <c r="J2" s="12" t="s">
        <v>8</v>
      </c>
      <c r="K2" s="5"/>
      <c r="L2" s="5"/>
      <c r="M2" s="5"/>
      <c r="N2" s="5"/>
      <c r="O2" s="16"/>
      <c r="P2" s="16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</row>
    <row r="3">
      <c r="A3" s="17" t="s">
        <v>16</v>
      </c>
      <c r="B3" s="18">
        <v>40.0</v>
      </c>
      <c r="C3" s="19">
        <f t="shared" ref="C3:C29" si="1">B3-D3</f>
        <v>22</v>
      </c>
      <c r="D3" s="18">
        <v>18.0</v>
      </c>
      <c r="E3" s="20">
        <f t="shared" ref="E3:E30" si="2">B3/$B$32</f>
        <v>0.8139534884</v>
      </c>
      <c r="F3" s="5"/>
      <c r="G3" s="21"/>
      <c r="H3" s="22"/>
      <c r="I3" s="23" t="s">
        <v>17</v>
      </c>
      <c r="J3" s="17" t="s">
        <v>16</v>
      </c>
      <c r="K3" s="16" t="s">
        <v>18</v>
      </c>
      <c r="L3" s="16" t="s">
        <v>19</v>
      </c>
      <c r="M3" s="16" t="s">
        <v>8</v>
      </c>
      <c r="N3" s="16" t="s">
        <v>20</v>
      </c>
      <c r="O3" s="16" t="s">
        <v>21</v>
      </c>
      <c r="P3" s="16" t="s">
        <v>22</v>
      </c>
      <c r="Q3" s="16" t="s">
        <v>21</v>
      </c>
      <c r="R3" s="16" t="s">
        <v>23</v>
      </c>
      <c r="S3" s="24" t="s">
        <v>24</v>
      </c>
      <c r="T3" s="5"/>
      <c r="U3" s="5"/>
      <c r="V3" s="5"/>
      <c r="W3" s="5"/>
      <c r="X3" s="5"/>
      <c r="Y3" s="5"/>
      <c r="Z3" s="5"/>
      <c r="AA3" s="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</row>
    <row r="4">
      <c r="A4" s="17" t="s">
        <v>25</v>
      </c>
      <c r="B4" s="18">
        <v>32.0</v>
      </c>
      <c r="C4" s="19">
        <f t="shared" si="1"/>
        <v>31</v>
      </c>
      <c r="D4" s="18">
        <v>1.0</v>
      </c>
      <c r="E4" s="20">
        <f t="shared" si="2"/>
        <v>0.6511627907</v>
      </c>
      <c r="F4" s="5"/>
      <c r="G4" s="26">
        <f t="shared" ref="G4:G30" si="3">(B4-B3)/B3</f>
        <v>-0.2</v>
      </c>
      <c r="H4" s="27"/>
      <c r="I4" s="27"/>
      <c r="J4" s="17" t="s">
        <v>16</v>
      </c>
      <c r="K4" s="28">
        <v>60.0</v>
      </c>
      <c r="L4" s="29">
        <f t="shared" ref="L4:L30" si="5">B3/K4</f>
        <v>0.6666666667</v>
      </c>
      <c r="M4" s="24" t="s">
        <v>16</v>
      </c>
      <c r="N4" s="29">
        <v>3.117</v>
      </c>
      <c r="O4" s="30"/>
      <c r="P4" s="30">
        <v>2.89</v>
      </c>
      <c r="Q4" s="29"/>
      <c r="R4" s="29">
        <v>0.9271735643246712</v>
      </c>
      <c r="S4" s="5"/>
      <c r="T4" s="5"/>
      <c r="U4" s="5"/>
      <c r="V4" s="5"/>
      <c r="W4" s="5"/>
      <c r="X4" s="5"/>
      <c r="Y4" s="5"/>
      <c r="Z4" s="5"/>
      <c r="AA4" s="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</row>
    <row r="5">
      <c r="A5" s="17" t="s">
        <v>26</v>
      </c>
      <c r="B5" s="18">
        <v>37.0</v>
      </c>
      <c r="C5" s="19">
        <f t="shared" si="1"/>
        <v>23</v>
      </c>
      <c r="D5" s="18">
        <v>14.0</v>
      </c>
      <c r="E5" s="20">
        <f t="shared" si="2"/>
        <v>0.7529069767</v>
      </c>
      <c r="F5" s="5"/>
      <c r="G5" s="26">
        <f t="shared" si="3"/>
        <v>0.15625</v>
      </c>
      <c r="H5" s="31">
        <f t="shared" ref="H5:I5" si="4">(B5-B3)/B3</f>
        <v>-0.075</v>
      </c>
      <c r="I5" s="31">
        <f t="shared" si="4"/>
        <v>0.04545454545</v>
      </c>
      <c r="J5" s="17" t="s">
        <v>25</v>
      </c>
      <c r="K5" s="28">
        <v>57.0</v>
      </c>
      <c r="L5" s="29">
        <f t="shared" si="5"/>
        <v>0.5614035088</v>
      </c>
      <c r="M5" s="17" t="s">
        <v>25</v>
      </c>
      <c r="N5" s="32">
        <v>3.059</v>
      </c>
      <c r="O5" s="30"/>
      <c r="P5" s="30">
        <v>2.803</v>
      </c>
      <c r="Q5" s="29"/>
      <c r="R5" s="29">
        <v>0.9163125204315135</v>
      </c>
      <c r="S5" s="5"/>
      <c r="T5" s="5"/>
      <c r="U5" s="5"/>
      <c r="V5" s="5"/>
      <c r="W5" s="5"/>
      <c r="X5" s="5"/>
      <c r="Y5" s="5"/>
      <c r="Z5" s="5"/>
      <c r="AA5" s="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</row>
    <row r="6">
      <c r="A6" s="17" t="s">
        <v>27</v>
      </c>
      <c r="B6" s="18">
        <v>32.0</v>
      </c>
      <c r="C6" s="19">
        <f t="shared" si="1"/>
        <v>32</v>
      </c>
      <c r="D6" s="18">
        <v>0.0</v>
      </c>
      <c r="E6" s="20">
        <f t="shared" si="2"/>
        <v>0.6511627907</v>
      </c>
      <c r="F6" s="5"/>
      <c r="G6" s="26">
        <f t="shared" si="3"/>
        <v>-0.1351351351</v>
      </c>
      <c r="H6" s="31">
        <f t="shared" ref="H6:I6" si="6">(B6-B4)/B4</f>
        <v>0</v>
      </c>
      <c r="I6" s="31">
        <f t="shared" si="6"/>
        <v>0.03225806452</v>
      </c>
      <c r="J6" s="17" t="s">
        <v>26</v>
      </c>
      <c r="K6" s="28">
        <v>62.0</v>
      </c>
      <c r="L6" s="29">
        <f t="shared" si="5"/>
        <v>0.5967741935</v>
      </c>
      <c r="M6" s="17" t="s">
        <v>26</v>
      </c>
      <c r="N6" s="32">
        <v>3.081</v>
      </c>
      <c r="O6" s="33">
        <f t="shared" ref="O6:O30" si="8">100*(N6-N4)/N4</f>
        <v>-1.154956689</v>
      </c>
      <c r="P6" s="30">
        <v>2.66</v>
      </c>
      <c r="Q6" s="33">
        <f t="shared" ref="Q6:Q30" si="9">(P6-P4)/P4</f>
        <v>-0.07958477509</v>
      </c>
      <c r="R6" s="29">
        <v>0.863356053229471</v>
      </c>
      <c r="S6" s="31">
        <f t="shared" ref="S6:S30" si="10">(R6-R4)/R4</f>
        <v>-0.06883016681</v>
      </c>
      <c r="T6" s="5"/>
      <c r="U6" s="5"/>
      <c r="V6" s="5"/>
      <c r="W6" s="5"/>
      <c r="X6" s="5"/>
      <c r="Y6" s="5"/>
      <c r="Z6" s="5"/>
      <c r="AA6" s="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</row>
    <row r="7">
      <c r="A7" s="17" t="s">
        <v>28</v>
      </c>
      <c r="B7" s="18">
        <v>36.0</v>
      </c>
      <c r="C7" s="19">
        <f t="shared" si="1"/>
        <v>29</v>
      </c>
      <c r="D7" s="18">
        <v>7.0</v>
      </c>
      <c r="E7" s="20">
        <f t="shared" si="2"/>
        <v>0.7325581395</v>
      </c>
      <c r="F7" s="5"/>
      <c r="G7" s="26">
        <f t="shared" si="3"/>
        <v>0.125</v>
      </c>
      <c r="H7" s="31">
        <f t="shared" ref="H7:I7" si="7">(B7-B5)/B5</f>
        <v>-0.02702702703</v>
      </c>
      <c r="I7" s="31">
        <f t="shared" si="7"/>
        <v>0.2608695652</v>
      </c>
      <c r="J7" s="17" t="s">
        <v>27</v>
      </c>
      <c r="K7" s="28">
        <v>57.0</v>
      </c>
      <c r="L7" s="29">
        <f t="shared" si="5"/>
        <v>0.5614035088</v>
      </c>
      <c r="M7" s="17" t="s">
        <v>27</v>
      </c>
      <c r="N7" s="32">
        <v>3.119</v>
      </c>
      <c r="O7" s="33">
        <f t="shared" si="8"/>
        <v>1.961425302</v>
      </c>
      <c r="P7" s="30">
        <v>2.942</v>
      </c>
      <c r="Q7" s="33">
        <f t="shared" si="9"/>
        <v>0.04958972529</v>
      </c>
      <c r="R7" s="29">
        <v>0.9432510420006412</v>
      </c>
      <c r="S7" s="31">
        <f t="shared" si="10"/>
        <v>0.02939883606</v>
      </c>
      <c r="T7" s="5"/>
      <c r="U7" s="5"/>
      <c r="V7" s="5"/>
      <c r="W7" s="5"/>
      <c r="X7" s="5"/>
      <c r="Y7" s="5"/>
      <c r="Z7" s="5"/>
      <c r="AA7" s="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  <c r="AT7" s="25"/>
      <c r="AU7" s="25"/>
    </row>
    <row r="8">
      <c r="A8" s="17" t="s">
        <v>29</v>
      </c>
      <c r="B8" s="18">
        <v>27.0</v>
      </c>
      <c r="C8" s="19">
        <f t="shared" si="1"/>
        <v>25</v>
      </c>
      <c r="D8" s="18">
        <v>2.0</v>
      </c>
      <c r="E8" s="20">
        <f t="shared" si="2"/>
        <v>0.5494186047</v>
      </c>
      <c r="F8" s="5"/>
      <c r="G8" s="26">
        <f t="shared" si="3"/>
        <v>-0.25</v>
      </c>
      <c r="H8" s="31">
        <f t="shared" ref="H8:I8" si="11">(B8-B6)/B6</f>
        <v>-0.15625</v>
      </c>
      <c r="I8" s="31">
        <f t="shared" si="11"/>
        <v>-0.21875</v>
      </c>
      <c r="J8" s="17" t="s">
        <v>28</v>
      </c>
      <c r="K8" s="28">
        <v>64.0</v>
      </c>
      <c r="L8" s="29">
        <f t="shared" si="5"/>
        <v>0.5625</v>
      </c>
      <c r="M8" s="17" t="s">
        <v>28</v>
      </c>
      <c r="N8" s="32">
        <v>3.074</v>
      </c>
      <c r="O8" s="33">
        <f t="shared" si="8"/>
        <v>-0.2271989614</v>
      </c>
      <c r="P8" s="30">
        <v>2.777</v>
      </c>
      <c r="Q8" s="33">
        <f t="shared" si="9"/>
        <v>0.04398496241</v>
      </c>
      <c r="R8" s="29">
        <v>0.9033832140533508</v>
      </c>
      <c r="S8" s="31">
        <f t="shared" si="10"/>
        <v>0.04636228665</v>
      </c>
      <c r="T8" s="5"/>
      <c r="U8" s="5"/>
      <c r="V8" s="5"/>
      <c r="W8" s="5"/>
      <c r="X8" s="5"/>
      <c r="Y8" s="5"/>
      <c r="Z8" s="5"/>
      <c r="AA8" s="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</row>
    <row r="9">
      <c r="A9" s="17" t="s">
        <v>30</v>
      </c>
      <c r="B9" s="18">
        <v>29.0</v>
      </c>
      <c r="C9" s="19">
        <f t="shared" si="1"/>
        <v>19</v>
      </c>
      <c r="D9" s="18">
        <v>10.0</v>
      </c>
      <c r="E9" s="20">
        <f t="shared" si="2"/>
        <v>0.5901162791</v>
      </c>
      <c r="F9" s="5"/>
      <c r="G9" s="26">
        <f t="shared" si="3"/>
        <v>0.07407407407</v>
      </c>
      <c r="H9" s="31">
        <f t="shared" ref="H9:I9" si="12">(B9-B7)/B7</f>
        <v>-0.1944444444</v>
      </c>
      <c r="I9" s="31">
        <f t="shared" si="12"/>
        <v>-0.3448275862</v>
      </c>
      <c r="J9" s="17" t="s">
        <v>29</v>
      </c>
      <c r="K9" s="34">
        <v>64.0</v>
      </c>
      <c r="L9" s="29">
        <f t="shared" si="5"/>
        <v>0.421875</v>
      </c>
      <c r="M9" s="17" t="s">
        <v>29</v>
      </c>
      <c r="N9" s="32">
        <v>3.158</v>
      </c>
      <c r="O9" s="33">
        <f t="shared" si="8"/>
        <v>1.250400769</v>
      </c>
      <c r="P9" s="30">
        <v>2.775</v>
      </c>
      <c r="Q9" s="33">
        <f t="shared" si="9"/>
        <v>-0.05676410605</v>
      </c>
      <c r="R9" s="29">
        <v>0.8787207093096897</v>
      </c>
      <c r="S9" s="31">
        <f t="shared" si="10"/>
        <v>-0.06841268105</v>
      </c>
      <c r="T9" s="5"/>
      <c r="U9" s="5"/>
      <c r="V9" s="5"/>
      <c r="W9" s="5"/>
      <c r="X9" s="5"/>
      <c r="Y9" s="5"/>
      <c r="Z9" s="5"/>
      <c r="AA9" s="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</row>
    <row r="10">
      <c r="A10" s="17" t="s">
        <v>31</v>
      </c>
      <c r="B10" s="18">
        <v>23.0</v>
      </c>
      <c r="C10" s="19">
        <f t="shared" si="1"/>
        <v>23</v>
      </c>
      <c r="D10" s="18">
        <v>0.0</v>
      </c>
      <c r="E10" s="20">
        <f t="shared" si="2"/>
        <v>0.4680232558</v>
      </c>
      <c r="F10" s="5"/>
      <c r="G10" s="26">
        <f t="shared" si="3"/>
        <v>-0.2068965517</v>
      </c>
      <c r="H10" s="31">
        <f t="shared" ref="H10:I10" si="13">(B10-B8)/B8</f>
        <v>-0.1481481481</v>
      </c>
      <c r="I10" s="31">
        <f t="shared" si="13"/>
        <v>-0.08</v>
      </c>
      <c r="J10" s="17" t="s">
        <v>30</v>
      </c>
      <c r="K10" s="28">
        <v>70.0</v>
      </c>
      <c r="L10" s="29">
        <f t="shared" si="5"/>
        <v>0.4142857143</v>
      </c>
      <c r="M10" s="17" t="s">
        <v>30</v>
      </c>
      <c r="N10" s="32">
        <v>3.116</v>
      </c>
      <c r="O10" s="33">
        <f t="shared" si="8"/>
        <v>1.366297983</v>
      </c>
      <c r="P10" s="30">
        <v>2.741</v>
      </c>
      <c r="Q10" s="33">
        <f t="shared" si="9"/>
        <v>-0.01296362982</v>
      </c>
      <c r="R10" s="29">
        <v>0.8796534017971759</v>
      </c>
      <c r="S10" s="31">
        <f t="shared" si="10"/>
        <v>-0.0262677144</v>
      </c>
      <c r="T10" s="5"/>
      <c r="U10" s="5"/>
      <c r="V10" s="5"/>
      <c r="W10" s="5"/>
      <c r="X10" s="5"/>
      <c r="Y10" s="5"/>
      <c r="Z10" s="5"/>
      <c r="AA10" s="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</row>
    <row r="11">
      <c r="A11" s="17" t="s">
        <v>32</v>
      </c>
      <c r="B11" s="18">
        <v>24.0</v>
      </c>
      <c r="C11" s="19">
        <f t="shared" si="1"/>
        <v>18</v>
      </c>
      <c r="D11" s="18">
        <v>6.0</v>
      </c>
      <c r="E11" s="20">
        <f t="shared" si="2"/>
        <v>0.488372093</v>
      </c>
      <c r="F11" s="5"/>
      <c r="G11" s="26">
        <f t="shared" si="3"/>
        <v>0.04347826087</v>
      </c>
      <c r="H11" s="31">
        <f t="shared" ref="H11:I11" si="14">(B11-B9)/B9</f>
        <v>-0.1724137931</v>
      </c>
      <c r="I11" s="31">
        <f t="shared" si="14"/>
        <v>-0.05263157895</v>
      </c>
      <c r="J11" s="17" t="s">
        <v>31</v>
      </c>
      <c r="K11" s="28">
        <v>64.99999999999999</v>
      </c>
      <c r="L11" s="29">
        <f t="shared" si="5"/>
        <v>0.3538461538</v>
      </c>
      <c r="M11" s="17" t="s">
        <v>31</v>
      </c>
      <c r="N11" s="32">
        <v>3.122</v>
      </c>
      <c r="O11" s="33">
        <f t="shared" si="8"/>
        <v>-1.139962001</v>
      </c>
      <c r="P11" s="30">
        <v>3.142</v>
      </c>
      <c r="Q11" s="33">
        <f t="shared" si="9"/>
        <v>0.1322522523</v>
      </c>
      <c r="R11" s="29">
        <v>1.0064061499039079</v>
      </c>
      <c r="S11" s="31">
        <f t="shared" si="10"/>
        <v>0.145308332</v>
      </c>
      <c r="T11" s="5"/>
      <c r="U11" s="5"/>
      <c r="V11" s="5"/>
      <c r="W11" s="5"/>
      <c r="X11" s="5"/>
      <c r="Y11" s="5"/>
      <c r="Z11" s="5"/>
      <c r="AA11" s="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</row>
    <row r="12">
      <c r="A12" s="17" t="s">
        <v>33</v>
      </c>
      <c r="B12" s="18">
        <v>23.0</v>
      </c>
      <c r="C12" s="19">
        <f t="shared" si="1"/>
        <v>19</v>
      </c>
      <c r="D12" s="18">
        <v>4.0</v>
      </c>
      <c r="E12" s="20">
        <f t="shared" si="2"/>
        <v>0.4680232558</v>
      </c>
      <c r="F12" s="5"/>
      <c r="G12" s="26">
        <f t="shared" si="3"/>
        <v>-0.04166666667</v>
      </c>
      <c r="H12" s="31">
        <f t="shared" ref="H12:I12" si="15">(B12-B10)/B10</f>
        <v>0</v>
      </c>
      <c r="I12" s="31">
        <f t="shared" si="15"/>
        <v>-0.1739130435</v>
      </c>
      <c r="J12" s="17" t="s">
        <v>32</v>
      </c>
      <c r="K12" s="28">
        <v>70.0</v>
      </c>
      <c r="L12" s="29">
        <f t="shared" si="5"/>
        <v>0.3428571429</v>
      </c>
      <c r="M12" s="17" t="s">
        <v>32</v>
      </c>
      <c r="N12" s="32">
        <v>3.125</v>
      </c>
      <c r="O12" s="33">
        <f t="shared" si="8"/>
        <v>0.2888318357</v>
      </c>
      <c r="P12" s="30">
        <v>2.85</v>
      </c>
      <c r="Q12" s="33">
        <f t="shared" si="9"/>
        <v>0.03976650857</v>
      </c>
      <c r="R12" s="29">
        <v>0.912</v>
      </c>
      <c r="S12" s="31">
        <f t="shared" si="10"/>
        <v>0.03677198103</v>
      </c>
      <c r="T12" s="5"/>
      <c r="U12" s="5"/>
      <c r="V12" s="5"/>
      <c r="W12" s="5"/>
      <c r="X12" s="5"/>
      <c r="Y12" s="5"/>
      <c r="Z12" s="5"/>
      <c r="AA12" s="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</row>
    <row r="13">
      <c r="A13" s="17" t="s">
        <v>34</v>
      </c>
      <c r="B13" s="18">
        <v>34.0</v>
      </c>
      <c r="C13" s="19">
        <f t="shared" si="1"/>
        <v>20</v>
      </c>
      <c r="D13" s="18">
        <v>14.0</v>
      </c>
      <c r="E13" s="20">
        <f t="shared" si="2"/>
        <v>0.6918604651</v>
      </c>
      <c r="F13" s="5"/>
      <c r="G13" s="26">
        <f t="shared" si="3"/>
        <v>0.4782608696</v>
      </c>
      <c r="H13" s="31">
        <f t="shared" ref="H13:I13" si="16">(B13-B11)/B11</f>
        <v>0.4166666667</v>
      </c>
      <c r="I13" s="31">
        <f t="shared" si="16"/>
        <v>0.1111111111</v>
      </c>
      <c r="J13" s="17" t="s">
        <v>33</v>
      </c>
      <c r="K13" s="28">
        <v>72.0</v>
      </c>
      <c r="L13" s="29">
        <f t="shared" si="5"/>
        <v>0.3194444444</v>
      </c>
      <c r="M13" s="17" t="s">
        <v>33</v>
      </c>
      <c r="N13" s="32">
        <v>3.114</v>
      </c>
      <c r="O13" s="33">
        <f t="shared" si="8"/>
        <v>-0.2562459962</v>
      </c>
      <c r="P13" s="30">
        <v>3.006</v>
      </c>
      <c r="Q13" s="33">
        <f t="shared" si="9"/>
        <v>-0.04328453215</v>
      </c>
      <c r="R13" s="29">
        <v>0.9653179190751445</v>
      </c>
      <c r="S13" s="31">
        <f t="shared" si="10"/>
        <v>-0.04082668894</v>
      </c>
      <c r="T13" s="5"/>
      <c r="U13" s="5"/>
      <c r="V13" s="5"/>
      <c r="W13" s="5"/>
      <c r="X13" s="5"/>
      <c r="Y13" s="5"/>
      <c r="Z13" s="5"/>
      <c r="AA13" s="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</row>
    <row r="14">
      <c r="A14" s="17" t="s">
        <v>35</v>
      </c>
      <c r="B14" s="18">
        <v>33.0</v>
      </c>
      <c r="C14" s="19">
        <f t="shared" si="1"/>
        <v>31</v>
      </c>
      <c r="D14" s="18">
        <v>2.0</v>
      </c>
      <c r="E14" s="20">
        <f t="shared" si="2"/>
        <v>0.6715116279</v>
      </c>
      <c r="F14" s="5"/>
      <c r="G14" s="26">
        <f t="shared" si="3"/>
        <v>-0.02941176471</v>
      </c>
      <c r="H14" s="31">
        <f t="shared" ref="H14:I14" si="17">(B14-B12)/B12</f>
        <v>0.4347826087</v>
      </c>
      <c r="I14" s="31">
        <f t="shared" si="17"/>
        <v>0.6315789474</v>
      </c>
      <c r="J14" s="17" t="s">
        <v>34</v>
      </c>
      <c r="K14" s="28">
        <v>81.0</v>
      </c>
      <c r="L14" s="29">
        <f t="shared" si="5"/>
        <v>0.4197530864</v>
      </c>
      <c r="M14" s="17" t="s">
        <v>34</v>
      </c>
      <c r="N14" s="32">
        <v>3.133</v>
      </c>
      <c r="O14" s="33">
        <f t="shared" si="8"/>
        <v>0.256</v>
      </c>
      <c r="P14" s="30">
        <v>2.506</v>
      </c>
      <c r="Q14" s="33">
        <f t="shared" si="9"/>
        <v>-0.1207017544</v>
      </c>
      <c r="R14" s="29">
        <v>0.7998723268432811</v>
      </c>
      <c r="S14" s="31">
        <f t="shared" si="10"/>
        <v>-0.12294701</v>
      </c>
      <c r="T14" s="5"/>
      <c r="U14" s="5"/>
      <c r="V14" s="5"/>
      <c r="W14" s="5"/>
      <c r="X14" s="5"/>
      <c r="Y14" s="5"/>
      <c r="Z14" s="5"/>
      <c r="AA14" s="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</row>
    <row r="15">
      <c r="A15" s="17" t="s">
        <v>36</v>
      </c>
      <c r="B15" s="18">
        <v>38.0</v>
      </c>
      <c r="C15" s="19">
        <f t="shared" si="1"/>
        <v>26</v>
      </c>
      <c r="D15" s="18">
        <v>12.0</v>
      </c>
      <c r="E15" s="20">
        <f t="shared" si="2"/>
        <v>0.773255814</v>
      </c>
      <c r="F15" s="5"/>
      <c r="G15" s="26">
        <f t="shared" si="3"/>
        <v>0.1515151515</v>
      </c>
      <c r="H15" s="31">
        <f t="shared" ref="H15:I15" si="18">(B15-B13)/B13</f>
        <v>0.1176470588</v>
      </c>
      <c r="I15" s="31">
        <f t="shared" si="18"/>
        <v>0.3</v>
      </c>
      <c r="J15" s="17" t="s">
        <v>35</v>
      </c>
      <c r="K15" s="28">
        <v>77.0</v>
      </c>
      <c r="L15" s="29">
        <f t="shared" si="5"/>
        <v>0.4285714286</v>
      </c>
      <c r="M15" s="17" t="s">
        <v>35</v>
      </c>
      <c r="N15" s="32">
        <v>3.132</v>
      </c>
      <c r="O15" s="33">
        <f t="shared" si="8"/>
        <v>0.5780346821</v>
      </c>
      <c r="P15" s="30">
        <v>2.874</v>
      </c>
      <c r="Q15" s="33">
        <f t="shared" si="9"/>
        <v>-0.04391217565</v>
      </c>
      <c r="R15" s="29">
        <v>0.9176245210727969</v>
      </c>
      <c r="S15" s="31">
        <f t="shared" si="10"/>
        <v>-0.04940693326</v>
      </c>
      <c r="T15" s="5"/>
      <c r="U15" s="5"/>
      <c r="V15" s="5"/>
      <c r="W15" s="5"/>
      <c r="X15" s="5"/>
      <c r="Y15" s="5"/>
      <c r="Z15" s="5"/>
      <c r="AA15" s="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</row>
    <row r="16">
      <c r="A16" s="17" t="s">
        <v>37</v>
      </c>
      <c r="B16" s="18">
        <v>42.0</v>
      </c>
      <c r="C16" s="19">
        <f t="shared" si="1"/>
        <v>37</v>
      </c>
      <c r="D16" s="18">
        <v>5.0</v>
      </c>
      <c r="E16" s="20">
        <f t="shared" si="2"/>
        <v>0.8546511628</v>
      </c>
      <c r="F16" s="5"/>
      <c r="G16" s="26">
        <f t="shared" si="3"/>
        <v>0.1052631579</v>
      </c>
      <c r="H16" s="31">
        <f t="shared" ref="H16:I16" si="19">(B16-B14)/B14</f>
        <v>0.2727272727</v>
      </c>
      <c r="I16" s="31">
        <f t="shared" si="19"/>
        <v>0.1935483871</v>
      </c>
      <c r="J16" s="17" t="s">
        <v>36</v>
      </c>
      <c r="K16" s="28">
        <v>80.0</v>
      </c>
      <c r="L16" s="29">
        <f t="shared" si="5"/>
        <v>0.475</v>
      </c>
      <c r="M16" s="17" t="s">
        <v>36</v>
      </c>
      <c r="N16" s="32">
        <v>3.132</v>
      </c>
      <c r="O16" s="33">
        <f t="shared" si="8"/>
        <v>-0.03191828918</v>
      </c>
      <c r="P16" s="30">
        <v>2.668</v>
      </c>
      <c r="Q16" s="33">
        <f t="shared" si="9"/>
        <v>0.06464485235</v>
      </c>
      <c r="R16" s="29">
        <v>0.8518518518518519</v>
      </c>
      <c r="S16" s="31">
        <f t="shared" si="10"/>
        <v>0.06498477728</v>
      </c>
      <c r="T16" s="5"/>
      <c r="U16" s="5"/>
      <c r="V16" s="5"/>
      <c r="W16" s="5"/>
      <c r="X16" s="5"/>
      <c r="Y16" s="5"/>
      <c r="Z16" s="5"/>
      <c r="AA16" s="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</row>
    <row r="17">
      <c r="A17" s="17" t="s">
        <v>38</v>
      </c>
      <c r="B17" s="18">
        <v>43.0</v>
      </c>
      <c r="C17" s="19">
        <f t="shared" si="1"/>
        <v>33</v>
      </c>
      <c r="D17" s="18">
        <v>10.0</v>
      </c>
      <c r="E17" s="20">
        <f t="shared" si="2"/>
        <v>0.875</v>
      </c>
      <c r="F17" s="5"/>
      <c r="G17" s="26">
        <f t="shared" si="3"/>
        <v>0.02380952381</v>
      </c>
      <c r="H17" s="31">
        <f t="shared" ref="H17:I17" si="20">(B17-B15)/B15</f>
        <v>0.1315789474</v>
      </c>
      <c r="I17" s="31">
        <f t="shared" si="20"/>
        <v>0.2692307692</v>
      </c>
      <c r="J17" s="17" t="s">
        <v>37</v>
      </c>
      <c r="K17" s="28">
        <v>72.0</v>
      </c>
      <c r="L17" s="29">
        <f t="shared" si="5"/>
        <v>0.5833333333</v>
      </c>
      <c r="M17" s="17" t="s">
        <v>37</v>
      </c>
      <c r="N17" s="32">
        <v>3.098</v>
      </c>
      <c r="O17" s="33">
        <f t="shared" si="8"/>
        <v>-1.085568327</v>
      </c>
      <c r="P17" s="30">
        <v>2.977</v>
      </c>
      <c r="Q17" s="33">
        <f t="shared" si="9"/>
        <v>0.03583855254</v>
      </c>
      <c r="R17" s="29">
        <v>0.960942543576501</v>
      </c>
      <c r="S17" s="31">
        <f t="shared" si="10"/>
        <v>0.04720669676</v>
      </c>
      <c r="T17" s="5"/>
      <c r="U17" s="5"/>
      <c r="V17" s="5"/>
      <c r="W17" s="5"/>
      <c r="X17" s="5"/>
      <c r="Y17" s="5"/>
      <c r="Z17" s="5"/>
      <c r="AA17" s="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</row>
    <row r="18">
      <c r="A18" s="17" t="s">
        <v>39</v>
      </c>
      <c r="B18" s="18">
        <v>48.0</v>
      </c>
      <c r="C18" s="19">
        <f t="shared" si="1"/>
        <v>47</v>
      </c>
      <c r="D18" s="18">
        <v>1.0</v>
      </c>
      <c r="E18" s="20">
        <f t="shared" si="2"/>
        <v>0.976744186</v>
      </c>
      <c r="F18" s="5"/>
      <c r="G18" s="26">
        <f t="shared" si="3"/>
        <v>0.1162790698</v>
      </c>
      <c r="H18" s="31">
        <f t="shared" ref="H18:I18" si="21">(B18-B16)/B16</f>
        <v>0.1428571429</v>
      </c>
      <c r="I18" s="31">
        <f t="shared" si="21"/>
        <v>0.2702702703</v>
      </c>
      <c r="J18" s="17" t="s">
        <v>38</v>
      </c>
      <c r="K18" s="28">
        <v>73.0</v>
      </c>
      <c r="L18" s="29">
        <f t="shared" si="5"/>
        <v>0.5890410959</v>
      </c>
      <c r="M18" s="17" t="s">
        <v>38</v>
      </c>
      <c r="N18" s="32">
        <v>3.141</v>
      </c>
      <c r="O18" s="33">
        <f t="shared" si="8"/>
        <v>0.2873563218</v>
      </c>
      <c r="P18" s="30">
        <v>3.081</v>
      </c>
      <c r="Q18" s="33">
        <f t="shared" si="9"/>
        <v>0.1547976012</v>
      </c>
      <c r="R18" s="29">
        <v>0.9808978032473734</v>
      </c>
      <c r="S18" s="31">
        <f t="shared" si="10"/>
        <v>0.1514887256</v>
      </c>
      <c r="T18" s="5"/>
      <c r="U18" s="5"/>
      <c r="V18" s="5"/>
      <c r="W18" s="5"/>
      <c r="X18" s="5"/>
      <c r="Y18" s="5"/>
      <c r="Z18" s="5"/>
      <c r="AA18" s="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</row>
    <row r="19">
      <c r="A19" s="17" t="s">
        <v>40</v>
      </c>
      <c r="B19" s="18">
        <v>62.0</v>
      </c>
      <c r="C19" s="19">
        <f t="shared" si="1"/>
        <v>40</v>
      </c>
      <c r="D19" s="18">
        <v>22.0</v>
      </c>
      <c r="E19" s="20">
        <f t="shared" si="2"/>
        <v>1.261627907</v>
      </c>
      <c r="F19" s="5"/>
      <c r="G19" s="26">
        <f t="shared" si="3"/>
        <v>0.2916666667</v>
      </c>
      <c r="H19" s="31">
        <f t="shared" ref="H19:I19" si="22">(B19-B17)/B17</f>
        <v>0.4418604651</v>
      </c>
      <c r="I19" s="31">
        <f t="shared" si="22"/>
        <v>0.2121212121</v>
      </c>
      <c r="J19" s="17" t="s">
        <v>39</v>
      </c>
      <c r="K19" s="28">
        <v>66.0</v>
      </c>
      <c r="L19" s="29">
        <f t="shared" si="5"/>
        <v>0.7272727273</v>
      </c>
      <c r="M19" s="17" t="s">
        <v>39</v>
      </c>
      <c r="N19" s="32">
        <v>3.171</v>
      </c>
      <c r="O19" s="33">
        <f t="shared" si="8"/>
        <v>2.356358941</v>
      </c>
      <c r="P19" s="30">
        <v>2.937</v>
      </c>
      <c r="Q19" s="33">
        <f t="shared" si="9"/>
        <v>-0.01343634531</v>
      </c>
      <c r="R19" s="29">
        <v>0.9262062440870388</v>
      </c>
      <c r="S19" s="31">
        <f t="shared" si="10"/>
        <v>-0.03614815446</v>
      </c>
      <c r="T19" s="5"/>
      <c r="U19" s="5"/>
      <c r="V19" s="5"/>
      <c r="W19" s="5"/>
      <c r="X19" s="5"/>
      <c r="Y19" s="5"/>
      <c r="Z19" s="5"/>
      <c r="AA19" s="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U19" s="25"/>
    </row>
    <row r="20">
      <c r="A20" s="17" t="s">
        <v>41</v>
      </c>
      <c r="B20" s="18">
        <v>64.0</v>
      </c>
      <c r="C20" s="19">
        <f t="shared" si="1"/>
        <v>55</v>
      </c>
      <c r="D20" s="18">
        <v>9.0</v>
      </c>
      <c r="E20" s="20">
        <f t="shared" si="2"/>
        <v>1.302325581</v>
      </c>
      <c r="F20" s="5"/>
      <c r="G20" s="26">
        <f t="shared" si="3"/>
        <v>0.03225806452</v>
      </c>
      <c r="H20" s="31">
        <f t="shared" ref="H20:I20" si="23">(B20-B18)/B18</f>
        <v>0.3333333333</v>
      </c>
      <c r="I20" s="31">
        <f t="shared" si="23"/>
        <v>0.170212766</v>
      </c>
      <c r="J20" s="17" t="s">
        <v>40</v>
      </c>
      <c r="K20" s="28">
        <v>66.0</v>
      </c>
      <c r="L20" s="29">
        <f t="shared" si="5"/>
        <v>0.9393939394</v>
      </c>
      <c r="M20" s="17" t="s">
        <v>40</v>
      </c>
      <c r="N20" s="32">
        <v>3.149</v>
      </c>
      <c r="O20" s="33">
        <f t="shared" si="8"/>
        <v>0.2546959567</v>
      </c>
      <c r="P20" s="30">
        <v>2.733</v>
      </c>
      <c r="Q20" s="33">
        <f t="shared" si="9"/>
        <v>-0.1129503408</v>
      </c>
      <c r="R20" s="29">
        <v>0.8678945697046682</v>
      </c>
      <c r="S20" s="31">
        <f t="shared" si="10"/>
        <v>-0.1152038807</v>
      </c>
      <c r="T20" s="5"/>
      <c r="U20" s="5"/>
      <c r="V20" s="5"/>
      <c r="W20" s="5"/>
      <c r="X20" s="5"/>
      <c r="Y20" s="5"/>
      <c r="Z20" s="5"/>
      <c r="AA20" s="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</row>
    <row r="21">
      <c r="A21" s="17" t="s">
        <v>42</v>
      </c>
      <c r="B21" s="18">
        <v>77.0</v>
      </c>
      <c r="C21" s="19">
        <f t="shared" si="1"/>
        <v>53</v>
      </c>
      <c r="D21" s="18">
        <v>24.0</v>
      </c>
      <c r="E21" s="20">
        <f t="shared" si="2"/>
        <v>1.566860465</v>
      </c>
      <c r="F21" s="5"/>
      <c r="G21" s="26">
        <f t="shared" si="3"/>
        <v>0.203125</v>
      </c>
      <c r="H21" s="31">
        <f t="shared" ref="H21:I21" si="24">(B21-B19)/B19</f>
        <v>0.2419354839</v>
      </c>
      <c r="I21" s="31">
        <f t="shared" si="24"/>
        <v>0.325</v>
      </c>
      <c r="J21" s="17" t="s">
        <v>41</v>
      </c>
      <c r="K21" s="28">
        <v>64.0</v>
      </c>
      <c r="L21" s="29">
        <f t="shared" si="5"/>
        <v>1</v>
      </c>
      <c r="M21" s="17" t="s">
        <v>41</v>
      </c>
      <c r="N21" s="32">
        <v>3.012</v>
      </c>
      <c r="O21" s="33">
        <f t="shared" si="8"/>
        <v>-5.014191107</v>
      </c>
      <c r="P21" s="30">
        <v>2.919</v>
      </c>
      <c r="Q21" s="33">
        <f t="shared" si="9"/>
        <v>-0.006128702758</v>
      </c>
      <c r="R21" s="29">
        <v>0.9691235059760956</v>
      </c>
      <c r="S21" s="31">
        <f t="shared" si="10"/>
        <v>0.04633661473</v>
      </c>
      <c r="T21" s="5"/>
      <c r="U21" s="5"/>
      <c r="V21" s="5"/>
      <c r="W21" s="5"/>
      <c r="X21" s="5"/>
      <c r="Y21" s="5"/>
      <c r="Z21" s="5"/>
      <c r="AA21" s="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</row>
    <row r="22">
      <c r="A22" s="17" t="s">
        <v>43</v>
      </c>
      <c r="B22" s="18">
        <v>79.0</v>
      </c>
      <c r="C22" s="19">
        <f t="shared" si="1"/>
        <v>73</v>
      </c>
      <c r="D22" s="18">
        <v>6.0</v>
      </c>
      <c r="E22" s="20">
        <f t="shared" si="2"/>
        <v>1.60755814</v>
      </c>
      <c r="F22" s="5"/>
      <c r="G22" s="26">
        <f t="shared" si="3"/>
        <v>0.02597402597</v>
      </c>
      <c r="H22" s="31">
        <f t="shared" ref="H22:I22" si="25">(B22-B20)/B20</f>
        <v>0.234375</v>
      </c>
      <c r="I22" s="31">
        <f t="shared" si="25"/>
        <v>0.3272727273</v>
      </c>
      <c r="J22" s="17" t="s">
        <v>42</v>
      </c>
      <c r="K22" s="28">
        <v>65.64</v>
      </c>
      <c r="L22" s="29">
        <f t="shared" si="5"/>
        <v>1.173065204</v>
      </c>
      <c r="M22" s="17" t="s">
        <v>42</v>
      </c>
      <c r="N22" s="32">
        <v>3.133</v>
      </c>
      <c r="O22" s="33">
        <f t="shared" si="8"/>
        <v>-0.5080978088</v>
      </c>
      <c r="P22" s="30">
        <v>2.819</v>
      </c>
      <c r="Q22" s="33">
        <f t="shared" si="9"/>
        <v>0.0314672521</v>
      </c>
      <c r="R22" s="29">
        <v>0.8997765719757421</v>
      </c>
      <c r="S22" s="31">
        <f t="shared" si="10"/>
        <v>0.03673487931</v>
      </c>
      <c r="T22" s="5"/>
      <c r="U22" s="5"/>
      <c r="V22" s="5"/>
      <c r="W22" s="5"/>
      <c r="X22" s="5"/>
      <c r="Y22" s="5"/>
      <c r="Z22" s="5"/>
      <c r="AA22" s="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</row>
    <row r="23">
      <c r="A23" s="17" t="s">
        <v>44</v>
      </c>
      <c r="B23" s="18">
        <v>81.0</v>
      </c>
      <c r="C23" s="19">
        <f t="shared" si="1"/>
        <v>61</v>
      </c>
      <c r="D23" s="18">
        <v>20.0</v>
      </c>
      <c r="E23" s="20">
        <f t="shared" si="2"/>
        <v>1.648255814</v>
      </c>
      <c r="F23" s="5"/>
      <c r="G23" s="26">
        <f t="shared" si="3"/>
        <v>0.0253164557</v>
      </c>
      <c r="H23" s="31">
        <f t="shared" ref="H23:I23" si="26">(B23-B21)/B21</f>
        <v>0.05194805195</v>
      </c>
      <c r="I23" s="31">
        <f t="shared" si="26"/>
        <v>0.1509433962</v>
      </c>
      <c r="J23" s="17" t="s">
        <v>43</v>
      </c>
      <c r="K23" s="28">
        <v>77.24</v>
      </c>
      <c r="L23" s="29">
        <f t="shared" si="5"/>
        <v>1.022786121</v>
      </c>
      <c r="M23" s="17" t="s">
        <v>43</v>
      </c>
      <c r="N23" s="32">
        <v>3.439</v>
      </c>
      <c r="O23" s="33">
        <f t="shared" si="8"/>
        <v>14.17662683</v>
      </c>
      <c r="P23" s="30">
        <v>3.25</v>
      </c>
      <c r="Q23" s="33">
        <f t="shared" si="9"/>
        <v>0.1133949983</v>
      </c>
      <c r="R23" s="29">
        <v>0.9450421634195987</v>
      </c>
      <c r="S23" s="31">
        <f t="shared" si="10"/>
        <v>-0.02484857958</v>
      </c>
      <c r="T23" s="35"/>
      <c r="U23" s="5"/>
      <c r="V23" s="5"/>
      <c r="W23" s="5"/>
      <c r="X23" s="5"/>
      <c r="Y23" s="5"/>
      <c r="Z23" s="5"/>
      <c r="AA23" s="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</row>
    <row r="24">
      <c r="A24" s="17" t="s">
        <v>45</v>
      </c>
      <c r="B24" s="18">
        <v>74.0</v>
      </c>
      <c r="C24" s="19">
        <f t="shared" si="1"/>
        <v>64</v>
      </c>
      <c r="D24" s="18">
        <v>10.0</v>
      </c>
      <c r="E24" s="20">
        <f t="shared" si="2"/>
        <v>1.505813953</v>
      </c>
      <c r="F24" s="5"/>
      <c r="G24" s="26">
        <f t="shared" si="3"/>
        <v>-0.08641975309</v>
      </c>
      <c r="H24" s="31">
        <f t="shared" ref="H24:I24" si="27">(B24-B22)/B22</f>
        <v>-0.06329113924</v>
      </c>
      <c r="I24" s="31">
        <f t="shared" si="27"/>
        <v>-0.1232876712</v>
      </c>
      <c r="J24" s="17" t="s">
        <v>44</v>
      </c>
      <c r="K24" s="28">
        <v>75.84</v>
      </c>
      <c r="L24" s="29">
        <f t="shared" si="5"/>
        <v>1.068037975</v>
      </c>
      <c r="M24" s="17" t="s">
        <v>44</v>
      </c>
      <c r="N24" s="32">
        <v>3.213</v>
      </c>
      <c r="O24" s="33">
        <f t="shared" si="8"/>
        <v>2.553463134</v>
      </c>
      <c r="P24" s="30">
        <v>3.006</v>
      </c>
      <c r="Q24" s="33">
        <f t="shared" si="9"/>
        <v>0.06633557999</v>
      </c>
      <c r="R24" s="29">
        <v>0.9355742296918766</v>
      </c>
      <c r="S24" s="31">
        <f t="shared" si="10"/>
        <v>0.03978505201</v>
      </c>
      <c r="T24" s="5"/>
      <c r="U24" s="5"/>
      <c r="V24" s="5"/>
      <c r="W24" s="5"/>
      <c r="X24" s="5"/>
      <c r="Y24" s="5"/>
      <c r="Z24" s="5"/>
      <c r="AA24" s="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</row>
    <row r="25">
      <c r="A25" s="17" t="s">
        <v>46</v>
      </c>
      <c r="B25" s="18">
        <v>74.0</v>
      </c>
      <c r="C25" s="19">
        <f t="shared" si="1"/>
        <v>61</v>
      </c>
      <c r="D25" s="18">
        <v>13.0</v>
      </c>
      <c r="E25" s="20">
        <f t="shared" si="2"/>
        <v>1.505813953</v>
      </c>
      <c r="F25" s="5"/>
      <c r="G25" s="26">
        <f t="shared" si="3"/>
        <v>0</v>
      </c>
      <c r="H25" s="31">
        <f t="shared" ref="H25:I25" si="28">(B25-B23)/B23</f>
        <v>-0.08641975309</v>
      </c>
      <c r="I25" s="31">
        <f t="shared" si="28"/>
        <v>0</v>
      </c>
      <c r="J25" s="17" t="s">
        <v>45</v>
      </c>
      <c r="K25" s="28">
        <v>73.68</v>
      </c>
      <c r="L25" s="29">
        <f t="shared" si="5"/>
        <v>1.004343105</v>
      </c>
      <c r="M25" s="17" t="s">
        <v>45</v>
      </c>
      <c r="N25" s="32">
        <v>3.307</v>
      </c>
      <c r="O25" s="33">
        <f t="shared" si="8"/>
        <v>-3.838325095</v>
      </c>
      <c r="P25" s="30">
        <v>3.267</v>
      </c>
      <c r="Q25" s="33">
        <f t="shared" si="9"/>
        <v>0.005230769231</v>
      </c>
      <c r="R25" s="29">
        <v>0.9879044451164197</v>
      </c>
      <c r="S25" s="31">
        <f t="shared" si="10"/>
        <v>0.04535488823</v>
      </c>
      <c r="T25" s="5"/>
      <c r="U25" s="5"/>
      <c r="V25" s="5"/>
      <c r="W25" s="5"/>
      <c r="X25" s="5"/>
      <c r="Y25" s="5"/>
      <c r="Z25" s="5"/>
      <c r="AA25" s="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/>
      <c r="AS25" s="25"/>
      <c r="AT25" s="25"/>
      <c r="AU25" s="25"/>
    </row>
    <row r="26">
      <c r="A26" s="36" t="s">
        <v>47</v>
      </c>
      <c r="B26" s="37">
        <v>68.0</v>
      </c>
      <c r="C26" s="38">
        <f t="shared" si="1"/>
        <v>64</v>
      </c>
      <c r="D26" s="37">
        <v>4.0</v>
      </c>
      <c r="E26" s="39">
        <f t="shared" si="2"/>
        <v>1.38372093</v>
      </c>
      <c r="F26" s="5"/>
      <c r="G26" s="40">
        <f t="shared" si="3"/>
        <v>-0.08108108108</v>
      </c>
      <c r="H26" s="41">
        <f t="shared" ref="H26:I26" si="29">(B26-B24)/B24</f>
        <v>-0.08108108108</v>
      </c>
      <c r="I26" s="41">
        <f t="shared" si="29"/>
        <v>0</v>
      </c>
      <c r="J26" s="17" t="s">
        <v>46</v>
      </c>
      <c r="K26" s="28">
        <v>71.76</v>
      </c>
      <c r="L26" s="29">
        <f t="shared" si="5"/>
        <v>1.031215162</v>
      </c>
      <c r="M26" s="17" t="s">
        <v>46</v>
      </c>
      <c r="N26" s="32">
        <v>3.221</v>
      </c>
      <c r="O26" s="33">
        <f t="shared" si="8"/>
        <v>0.2489884843</v>
      </c>
      <c r="P26" s="30">
        <v>3.167</v>
      </c>
      <c r="Q26" s="33">
        <f t="shared" si="9"/>
        <v>0.05355954757</v>
      </c>
      <c r="R26" s="29">
        <v>0.9832350201800683</v>
      </c>
      <c r="S26" s="31">
        <f t="shared" si="10"/>
        <v>0.05094282097</v>
      </c>
      <c r="T26" s="5"/>
      <c r="U26" s="5"/>
      <c r="V26" s="5"/>
      <c r="W26" s="5"/>
      <c r="X26" s="5"/>
      <c r="Y26" s="5"/>
      <c r="Z26" s="5"/>
      <c r="AA26" s="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</row>
    <row r="27">
      <c r="A27" s="42" t="s">
        <v>48</v>
      </c>
      <c r="B27" s="43">
        <v>70.0</v>
      </c>
      <c r="C27" s="44">
        <f t="shared" si="1"/>
        <v>57</v>
      </c>
      <c r="D27" s="43">
        <v>13.0</v>
      </c>
      <c r="E27" s="45">
        <f t="shared" si="2"/>
        <v>1.424418605</v>
      </c>
      <c r="F27" s="5"/>
      <c r="G27" s="46">
        <f t="shared" si="3"/>
        <v>0.02941176471</v>
      </c>
      <c r="H27" s="47">
        <f t="shared" ref="H27:I27" si="30">(B27-B25)/B25</f>
        <v>-0.05405405405</v>
      </c>
      <c r="I27" s="47">
        <f t="shared" si="30"/>
        <v>-0.06557377049</v>
      </c>
      <c r="J27" s="36" t="s">
        <v>47</v>
      </c>
      <c r="K27" s="48">
        <v>69.76</v>
      </c>
      <c r="L27" s="29">
        <f t="shared" si="5"/>
        <v>0.9747706422</v>
      </c>
      <c r="M27" s="36" t="s">
        <v>47</v>
      </c>
      <c r="N27" s="49">
        <v>3.29</v>
      </c>
      <c r="O27" s="33">
        <f t="shared" si="8"/>
        <v>-0.5140610826</v>
      </c>
      <c r="P27" s="50">
        <v>3.331</v>
      </c>
      <c r="Q27" s="33">
        <f t="shared" si="9"/>
        <v>0.01958983777</v>
      </c>
      <c r="R27" s="51">
        <v>1.0124620060790273</v>
      </c>
      <c r="S27" s="31">
        <f t="shared" si="10"/>
        <v>0.02485823511</v>
      </c>
      <c r="T27" s="5"/>
      <c r="U27" s="5"/>
      <c r="V27" s="5"/>
      <c r="W27" s="5"/>
      <c r="X27" s="5"/>
      <c r="Y27" s="5"/>
      <c r="Z27" s="5"/>
      <c r="AA27" s="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</row>
    <row r="28">
      <c r="A28" s="17" t="s">
        <v>49</v>
      </c>
      <c r="B28" s="18">
        <v>68.0</v>
      </c>
      <c r="C28" s="19">
        <f t="shared" si="1"/>
        <v>63</v>
      </c>
      <c r="D28" s="18">
        <v>5.0</v>
      </c>
      <c r="E28" s="20">
        <f t="shared" si="2"/>
        <v>1.38372093</v>
      </c>
      <c r="F28" s="5"/>
      <c r="G28" s="26">
        <f t="shared" si="3"/>
        <v>-0.02857142857</v>
      </c>
      <c r="H28" s="31">
        <f t="shared" ref="H28:I28" si="31">(B28-B26)/B26</f>
        <v>0</v>
      </c>
      <c r="I28" s="31">
        <f t="shared" si="31"/>
        <v>-0.015625</v>
      </c>
      <c r="J28" s="42" t="s">
        <v>48</v>
      </c>
      <c r="K28" s="52">
        <v>72.88</v>
      </c>
      <c r="L28" s="29">
        <f t="shared" si="5"/>
        <v>0.9604829857</v>
      </c>
      <c r="M28" s="42" t="s">
        <v>48</v>
      </c>
      <c r="N28" s="53">
        <v>3.265</v>
      </c>
      <c r="O28" s="33">
        <f t="shared" si="8"/>
        <v>1.366035393</v>
      </c>
      <c r="P28" s="54">
        <v>3.091</v>
      </c>
      <c r="Q28" s="33">
        <f t="shared" si="9"/>
        <v>-0.02399747395</v>
      </c>
      <c r="R28" s="55">
        <v>0.9467075038284839</v>
      </c>
      <c r="S28" s="31">
        <f t="shared" si="10"/>
        <v>-0.03715034107</v>
      </c>
      <c r="T28" s="5"/>
      <c r="U28" s="5"/>
      <c r="V28" s="5"/>
      <c r="W28" s="5"/>
      <c r="X28" s="5"/>
      <c r="Y28" s="5"/>
      <c r="Z28" s="5"/>
      <c r="AA28" s="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</row>
    <row r="29">
      <c r="A29" s="17" t="s">
        <v>50</v>
      </c>
      <c r="B29" s="18">
        <v>60.0</v>
      </c>
      <c r="C29" s="19">
        <f t="shared" si="1"/>
        <v>47</v>
      </c>
      <c r="D29" s="18">
        <v>13.0</v>
      </c>
      <c r="E29" s="20">
        <f t="shared" si="2"/>
        <v>1.220930233</v>
      </c>
      <c r="F29" s="5"/>
      <c r="G29" s="26">
        <f t="shared" si="3"/>
        <v>-0.1176470588</v>
      </c>
      <c r="H29" s="31">
        <f t="shared" ref="H29:I29" si="32">(B29-B27)/B27</f>
        <v>-0.1428571429</v>
      </c>
      <c r="I29" s="31">
        <f t="shared" si="32"/>
        <v>-0.1754385965</v>
      </c>
      <c r="J29" s="17" t="s">
        <v>49</v>
      </c>
      <c r="K29" s="28">
        <v>67.76</v>
      </c>
      <c r="L29" s="29">
        <f t="shared" si="5"/>
        <v>1.003541913</v>
      </c>
      <c r="M29" s="17" t="s">
        <v>49</v>
      </c>
      <c r="N29" s="32">
        <v>3.337</v>
      </c>
      <c r="O29" s="33">
        <f t="shared" si="8"/>
        <v>1.428571429</v>
      </c>
      <c r="P29" s="30">
        <v>3.121</v>
      </c>
      <c r="Q29" s="33">
        <f t="shared" si="9"/>
        <v>-0.06304413089</v>
      </c>
      <c r="R29" s="29">
        <v>0.935271201678154</v>
      </c>
      <c r="S29" s="31">
        <f t="shared" si="10"/>
        <v>-0.07624069243</v>
      </c>
      <c r="T29" s="5"/>
      <c r="U29" s="5"/>
      <c r="V29" s="5"/>
      <c r="W29" s="5"/>
      <c r="X29" s="5"/>
      <c r="Y29" s="5"/>
      <c r="Z29" s="5"/>
      <c r="AA29" s="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5"/>
      <c r="AT29" s="25"/>
      <c r="AU29" s="25"/>
    </row>
    <row r="30">
      <c r="A30" s="17" t="s">
        <v>51</v>
      </c>
      <c r="B30" s="18">
        <v>58.0</v>
      </c>
      <c r="C30" s="56">
        <v>53.0</v>
      </c>
      <c r="D30" s="57">
        <v>5.0</v>
      </c>
      <c r="E30" s="20">
        <f t="shared" si="2"/>
        <v>1.180232558</v>
      </c>
      <c r="F30" s="5"/>
      <c r="G30" s="26">
        <f t="shared" si="3"/>
        <v>-0.03333333333</v>
      </c>
      <c r="H30" s="31">
        <f t="shared" ref="H30:I30" si="33">(B30-B28)/B28</f>
        <v>-0.1470588235</v>
      </c>
      <c r="I30" s="31">
        <f t="shared" si="33"/>
        <v>-0.1587301587</v>
      </c>
      <c r="J30" s="17" t="s">
        <v>50</v>
      </c>
      <c r="K30" s="34">
        <v>74.0</v>
      </c>
      <c r="L30" s="29">
        <f t="shared" si="5"/>
        <v>0.8108108108</v>
      </c>
      <c r="M30" s="17" t="s">
        <v>50</v>
      </c>
      <c r="N30" s="32">
        <v>3.257</v>
      </c>
      <c r="O30" s="33">
        <f t="shared" si="8"/>
        <v>-0.2450229709</v>
      </c>
      <c r="P30" s="18">
        <v>2.997</v>
      </c>
      <c r="Q30" s="33">
        <f t="shared" si="9"/>
        <v>-0.03041087027</v>
      </c>
      <c r="R30" s="25">
        <f>P30/N30</f>
        <v>0.9201719374</v>
      </c>
      <c r="S30" s="31">
        <f t="shared" si="10"/>
        <v>-0.02802931883</v>
      </c>
      <c r="T30" s="5"/>
      <c r="U30" s="5"/>
      <c r="V30" s="5"/>
      <c r="W30" s="5"/>
      <c r="X30" s="5"/>
      <c r="Y30" s="5"/>
      <c r="Z30" s="5"/>
      <c r="AA30" s="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</row>
    <row r="31">
      <c r="A31" s="58"/>
      <c r="B31" s="18"/>
      <c r="C31" s="25"/>
      <c r="D31" s="59"/>
      <c r="E31" s="60"/>
      <c r="F31" s="5"/>
      <c r="G31" s="26"/>
      <c r="H31" s="31"/>
      <c r="I31" s="31"/>
      <c r="J31" s="17" t="s">
        <v>51</v>
      </c>
      <c r="K31" s="25"/>
      <c r="L31" s="25"/>
      <c r="M31" s="17" t="s">
        <v>51</v>
      </c>
      <c r="N31" s="25"/>
      <c r="O31" s="61"/>
      <c r="P31" s="25"/>
      <c r="Q31" s="61"/>
      <c r="R31" s="25"/>
      <c r="S31" s="5"/>
      <c r="T31" s="5"/>
      <c r="U31" s="5"/>
      <c r="V31" s="5"/>
      <c r="W31" s="5"/>
      <c r="X31" s="5"/>
      <c r="Y31" s="5"/>
      <c r="Z31" s="5"/>
      <c r="AA31" s="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</row>
    <row r="32">
      <c r="A32" s="62" t="s">
        <v>52</v>
      </c>
      <c r="B32" s="63">
        <f>AVERAGE(B3:B30)</f>
        <v>49.14285714</v>
      </c>
      <c r="C32" s="64">
        <f t="shared" ref="C32:E32" si="34">AVERAGE(C3:C29)</f>
        <v>39.74074074</v>
      </c>
      <c r="D32" s="65">
        <f t="shared" si="34"/>
        <v>9.074074074</v>
      </c>
      <c r="E32" s="66">
        <f t="shared" si="34"/>
        <v>0.9933247201</v>
      </c>
      <c r="F32" s="5"/>
      <c r="G32" s="67">
        <f t="shared" ref="G32:H32" si="35">AVERAGE(G3:G29)</f>
        <v>0.02710971713</v>
      </c>
      <c r="H32" s="68">
        <f t="shared" si="35"/>
        <v>0.06474901793</v>
      </c>
      <c r="I32" s="68">
        <f>AVERAGE(I5:I30)</f>
        <v>0.07273439832</v>
      </c>
      <c r="J32" s="62" t="s">
        <v>52</v>
      </c>
      <c r="K32" s="25"/>
      <c r="L32" s="25"/>
      <c r="M32" s="25"/>
      <c r="N32" s="25"/>
      <c r="O32" s="25"/>
      <c r="P32" s="25"/>
      <c r="Q32" s="25"/>
      <c r="R32" s="25"/>
      <c r="S32" s="5"/>
      <c r="T32" s="5"/>
      <c r="U32" s="5"/>
      <c r="V32" s="5"/>
      <c r="W32" s="5"/>
      <c r="X32" s="5"/>
      <c r="Y32" s="5"/>
      <c r="Z32" s="5"/>
      <c r="AA32" s="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</row>
    <row r="33">
      <c r="A33" s="69" t="s">
        <v>53</v>
      </c>
      <c r="B33" s="70">
        <f t="shared" ref="B33:E33" si="36">AVERAGE(B3,B5,B7,B9,B11,B13,B15,B17,B19,B21,B23,B25,B27,B29)</f>
        <v>50.35714286</v>
      </c>
      <c r="C33" s="71">
        <f t="shared" si="36"/>
        <v>36.35714286</v>
      </c>
      <c r="D33" s="59">
        <f t="shared" si="36"/>
        <v>14</v>
      </c>
      <c r="E33" s="72">
        <f t="shared" si="36"/>
        <v>1.024709302</v>
      </c>
      <c r="F33" s="5"/>
      <c r="G33" s="73">
        <f t="shared" ref="G33:H33" si="37">AVERAGE(G3,G5,G7,G9,G11,G13,G15,G17,G19,G21,G23,G25,G27,G29)</f>
        <v>0.1141739006</v>
      </c>
      <c r="H33" s="74">
        <f t="shared" si="37"/>
        <v>0.04995541994</v>
      </c>
      <c r="I33" s="74">
        <f t="shared" ref="I33:I34" si="41">AVERAGE(I5,I7,I9,I11,I13,I15,I17,I19,I21,I23,I25,I27,I29)</f>
        <v>0.07971223594</v>
      </c>
      <c r="J33" s="69" t="s">
        <v>53</v>
      </c>
      <c r="K33" s="63">
        <f t="shared" ref="K33:L33" si="38">AVERAGE(K4:K30)</f>
        <v>69.20592593</v>
      </c>
      <c r="L33" s="75">
        <f t="shared" si="38"/>
        <v>0.7041657727</v>
      </c>
      <c r="M33" s="76" t="s">
        <v>54</v>
      </c>
      <c r="N33" s="77">
        <f>AVERAGE(N4:N30)</f>
        <v>3.167222222</v>
      </c>
      <c r="O33" s="78"/>
      <c r="P33" s="77">
        <f>AVERAGE(P4:P30)</f>
        <v>2.938148148</v>
      </c>
      <c r="Q33" s="78"/>
      <c r="R33" s="79">
        <f>AVERAGE(R4:R30)</f>
        <v>0.9272641859</v>
      </c>
      <c r="S33" s="5"/>
      <c r="T33" s="5"/>
      <c r="U33" s="5"/>
      <c r="V33" s="5"/>
      <c r="W33" s="5"/>
      <c r="X33" s="5"/>
      <c r="Y33" s="5"/>
      <c r="Z33" s="5"/>
      <c r="AA33" s="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5"/>
      <c r="AP33" s="25"/>
      <c r="AQ33" s="25"/>
      <c r="AR33" s="25"/>
      <c r="AS33" s="25"/>
      <c r="AT33" s="25"/>
      <c r="AU33" s="25"/>
    </row>
    <row r="34">
      <c r="A34" s="80" t="s">
        <v>55</v>
      </c>
      <c r="B34" s="81">
        <f t="shared" ref="B34:E34" si="39">AVERAGE(B4,B6,B8,B10,B12,B14,B16,B18,B20,B22,B24,B26,B28,B30)</f>
        <v>47.92857143</v>
      </c>
      <c r="C34" s="82">
        <f t="shared" si="39"/>
        <v>44.07142857</v>
      </c>
      <c r="D34" s="83">
        <f t="shared" si="39"/>
        <v>3.857142857</v>
      </c>
      <c r="E34" s="84">
        <f t="shared" si="39"/>
        <v>0.9752906977</v>
      </c>
      <c r="F34" s="5"/>
      <c r="G34" s="85">
        <f t="shared" ref="G34:H34" si="40">AVERAGE(G4,G6,G8,G10,G12,G14,G16,G18,G20,G22,G24,G26,G28,G30)</f>
        <v>-0.05805295687</v>
      </c>
      <c r="H34" s="86">
        <f t="shared" si="40"/>
        <v>0.06324970505</v>
      </c>
      <c r="I34" s="87">
        <f t="shared" si="41"/>
        <v>0.0657565607</v>
      </c>
      <c r="J34" s="80" t="s">
        <v>55</v>
      </c>
      <c r="K34" s="70">
        <f t="shared" ref="K34:L34" si="42">AVERAGE(K4,K6,K8,K10,K12,K14,K16,K18,K20,K22,K24,K26,K28,K30)</f>
        <v>70.43714286</v>
      </c>
      <c r="L34" s="88">
        <f t="shared" si="42"/>
        <v>0.7178488554</v>
      </c>
      <c r="M34" s="18" t="s">
        <v>56</v>
      </c>
      <c r="N34" s="89">
        <f t="shared" ref="N34:N35" si="44">AVERAGE(N4,N6,N8,N10,N12,N14,N16,N18,N20,N22,N24,N26,N28,N30)</f>
        <v>3.154071429</v>
      </c>
      <c r="O34" s="25"/>
      <c r="P34" s="89">
        <f t="shared" ref="P34:P35" si="45">AVERAGE(P4,P6,P8,P10,P12,P14,P16,P18,P20,P22,P24,P26,P28,P30)</f>
        <v>2.856142857</v>
      </c>
      <c r="Q34" s="25"/>
      <c r="R34" s="90">
        <f t="shared" ref="R34:R35" si="46">AVERAGE(R4,R6,R8,R10,R12,R14,R16,R18,R20,R22,R24,R26,R28,R30)</f>
        <v>0.9051105749</v>
      </c>
      <c r="S34" s="5"/>
      <c r="T34" s="5"/>
      <c r="U34" s="5"/>
      <c r="V34" s="5"/>
      <c r="W34" s="5"/>
      <c r="X34" s="5"/>
      <c r="Y34" s="5"/>
      <c r="Z34" s="5"/>
      <c r="AA34" s="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O34" s="25"/>
      <c r="AP34" s="25"/>
      <c r="AQ34" s="25"/>
      <c r="AR34" s="25"/>
      <c r="AS34" s="25"/>
      <c r="AT34" s="25"/>
      <c r="AU34" s="25"/>
    </row>
    <row r="35">
      <c r="A35" s="25"/>
      <c r="B35" s="91" t="s">
        <v>57</v>
      </c>
      <c r="C35" s="91" t="s">
        <v>58</v>
      </c>
      <c r="D35" s="16" t="s">
        <v>59</v>
      </c>
      <c r="E35" s="92" t="s">
        <v>60</v>
      </c>
      <c r="F35" s="5"/>
      <c r="G35" s="93" t="s">
        <v>61</v>
      </c>
      <c r="H35" s="16" t="s">
        <v>62</v>
      </c>
      <c r="I35" s="8"/>
      <c r="J35" s="5"/>
      <c r="K35" s="81">
        <f t="shared" ref="K35:L35" si="43">AVERAGE(K5,K7,K9,K11,K13,K15,K17,K19,K21,K23,K25,K27,K29,K31)</f>
        <v>67.88</v>
      </c>
      <c r="L35" s="94">
        <f t="shared" si="43"/>
        <v>0.6894301451</v>
      </c>
      <c r="M35" s="95" t="s">
        <v>63</v>
      </c>
      <c r="N35" s="96">
        <f t="shared" si="44"/>
        <v>3.181384615</v>
      </c>
      <c r="O35" s="97"/>
      <c r="P35" s="96">
        <f t="shared" si="45"/>
        <v>3.026461538</v>
      </c>
      <c r="Q35" s="97"/>
      <c r="R35" s="98">
        <f t="shared" si="46"/>
        <v>0.9511219209</v>
      </c>
      <c r="S35" s="8"/>
      <c r="T35" s="8"/>
      <c r="U35" s="8"/>
      <c r="V35" s="5"/>
      <c r="W35" s="5"/>
      <c r="X35" s="5"/>
      <c r="Y35" s="5"/>
      <c r="Z35" s="5"/>
      <c r="AA35" s="5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</row>
    <row r="36">
      <c r="A36" s="25"/>
      <c r="B36" s="25"/>
      <c r="C36" s="91" t="s">
        <v>64</v>
      </c>
      <c r="D36" s="92" t="s">
        <v>65</v>
      </c>
      <c r="E36" s="92" t="s">
        <v>66</v>
      </c>
      <c r="F36" s="5"/>
      <c r="G36" s="16"/>
      <c r="H36" s="16" t="s">
        <v>67</v>
      </c>
      <c r="I36" s="8"/>
      <c r="J36" s="5"/>
      <c r="K36" s="8"/>
      <c r="L36" s="92" t="s">
        <v>68</v>
      </c>
      <c r="M36" s="8"/>
      <c r="N36" s="8"/>
      <c r="O36" s="16"/>
      <c r="P36" s="16" t="s">
        <v>69</v>
      </c>
      <c r="Q36" s="16"/>
      <c r="R36" s="16" t="s">
        <v>70</v>
      </c>
      <c r="S36" s="8"/>
      <c r="T36" s="8"/>
      <c r="U36" s="16"/>
      <c r="V36" s="5"/>
      <c r="W36" s="5"/>
      <c r="X36" s="5"/>
      <c r="Y36" s="5"/>
      <c r="Z36" s="5"/>
      <c r="AA36" s="5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</row>
    <row r="37">
      <c r="A37" s="25"/>
      <c r="B37" s="25"/>
      <c r="C37" s="25"/>
      <c r="D37" s="25"/>
      <c r="E37" s="25"/>
      <c r="F37" s="5"/>
      <c r="G37" s="5"/>
      <c r="H37" s="5"/>
      <c r="I37" s="5"/>
      <c r="J37" s="5"/>
      <c r="K37" s="8"/>
      <c r="L37" s="92" t="s">
        <v>71</v>
      </c>
      <c r="M37" s="8"/>
      <c r="N37" s="8"/>
      <c r="O37" s="16"/>
      <c r="P37" s="16" t="s">
        <v>72</v>
      </c>
      <c r="Q37" s="16"/>
      <c r="R37" s="16" t="s">
        <v>73</v>
      </c>
      <c r="S37" s="25"/>
      <c r="T37" s="25"/>
      <c r="U37" s="16"/>
      <c r="V37" s="5"/>
      <c r="W37" s="5"/>
      <c r="X37" s="5"/>
      <c r="Y37" s="5"/>
      <c r="Z37" s="5"/>
      <c r="AA37" s="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  <c r="AS37" s="25"/>
      <c r="AT37" s="25"/>
      <c r="AU37" s="25"/>
    </row>
    <row r="38">
      <c r="A38" s="25"/>
      <c r="B38" s="25"/>
      <c r="C38" s="25"/>
      <c r="D38" s="5"/>
      <c r="E38" s="25"/>
      <c r="F38" s="5"/>
      <c r="G38" s="5"/>
      <c r="H38" s="5"/>
      <c r="I38" s="5"/>
      <c r="J38" s="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18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  <c r="AQ38" s="25"/>
      <c r="AR38" s="25"/>
      <c r="AS38" s="25"/>
      <c r="AT38" s="25"/>
      <c r="AU38" s="25"/>
    </row>
    <row r="39">
      <c r="A39" s="25"/>
      <c r="B39" s="25"/>
      <c r="C39" s="25"/>
      <c r="D39" s="18">
        <v>0.25</v>
      </c>
      <c r="E39" s="25"/>
      <c r="F39" s="5"/>
      <c r="G39" s="5"/>
      <c r="H39" s="5"/>
      <c r="I39" s="5"/>
      <c r="J39" s="5"/>
      <c r="K39" s="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  <c r="AQ39" s="25"/>
      <c r="AR39" s="25"/>
      <c r="AS39" s="25"/>
      <c r="AT39" s="25"/>
      <c r="AU39" s="25"/>
    </row>
    <row r="40">
      <c r="A40" s="99" t="s">
        <v>74</v>
      </c>
      <c r="B40" s="100" t="s">
        <v>75</v>
      </c>
      <c r="C40" s="101" t="s">
        <v>76</v>
      </c>
      <c r="D40" s="4" t="s">
        <v>77</v>
      </c>
      <c r="E40" s="102" t="s">
        <v>78</v>
      </c>
      <c r="F40" s="103"/>
      <c r="G40" s="1"/>
      <c r="H40" s="104"/>
      <c r="I40" s="105"/>
      <c r="J40" s="106"/>
      <c r="K40" s="107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5"/>
      <c r="AN40" s="25"/>
      <c r="AO40" s="25"/>
      <c r="AP40" s="25"/>
      <c r="AQ40" s="25"/>
      <c r="AR40" s="25"/>
      <c r="AS40" s="25"/>
      <c r="AT40" s="25"/>
      <c r="AU40" s="25"/>
    </row>
    <row r="41">
      <c r="A41" s="14" t="s">
        <v>79</v>
      </c>
      <c r="B41" s="108" t="s">
        <v>80</v>
      </c>
      <c r="C41" s="108" t="s">
        <v>81</v>
      </c>
      <c r="D41" s="109" t="s">
        <v>82</v>
      </c>
      <c r="E41" s="5"/>
      <c r="F41" s="12" t="s">
        <v>83</v>
      </c>
      <c r="G41" s="12" t="s">
        <v>84</v>
      </c>
      <c r="H41" s="12" t="s">
        <v>8</v>
      </c>
      <c r="I41" s="110" t="s">
        <v>85</v>
      </c>
      <c r="J41" s="111" t="s">
        <v>86</v>
      </c>
      <c r="L41" s="112" t="s">
        <v>87</v>
      </c>
      <c r="M41" s="18" t="s">
        <v>88</v>
      </c>
      <c r="N41" s="25"/>
      <c r="O41" s="25"/>
      <c r="P41" s="25"/>
      <c r="Q41" s="25"/>
      <c r="R41" s="25"/>
      <c r="S41" s="18" t="s">
        <v>89</v>
      </c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  <c r="AO41" s="25"/>
      <c r="AP41" s="25"/>
      <c r="AQ41" s="25"/>
      <c r="AR41" s="25"/>
      <c r="AS41" s="25"/>
      <c r="AT41" s="25"/>
      <c r="AU41" s="25"/>
    </row>
    <row r="42">
      <c r="A42" s="113">
        <f>D3/$D$33</f>
        <v>1.285714286</v>
      </c>
      <c r="B42" s="114">
        <f t="shared" ref="B42:B69" si="48">A42*100</f>
        <v>128.5714286</v>
      </c>
      <c r="C42" s="115">
        <f>100*(D3/C3)/($D$33/$C$33)</f>
        <v>212.4768089</v>
      </c>
      <c r="D42" s="116">
        <f t="shared" ref="D42:D69" si="49">AVERAGE(F42,G42)</f>
        <v>127.8930891</v>
      </c>
      <c r="E42" s="117">
        <f t="shared" ref="E42:E70" si="50">100*D3/B3</f>
        <v>45</v>
      </c>
      <c r="F42" s="32">
        <f t="shared" ref="F42:G42" si="47">B42*(1-$D$39)</f>
        <v>96.42857143</v>
      </c>
      <c r="G42" s="32">
        <f t="shared" si="47"/>
        <v>159.3576067</v>
      </c>
      <c r="H42" s="17">
        <v>2010.0</v>
      </c>
      <c r="I42" s="118">
        <f>B42</f>
        <v>128.5714286</v>
      </c>
      <c r="J42" s="119">
        <f>D42</f>
        <v>127.8930891</v>
      </c>
      <c r="L42" s="120">
        <f>SUM(C42)</f>
        <v>212.4768089</v>
      </c>
      <c r="M42" s="121">
        <f>J42</f>
        <v>127.8930891</v>
      </c>
      <c r="N42" s="28">
        <f>AVERAGE(I42,L42)</f>
        <v>170.5241187</v>
      </c>
      <c r="O42" s="122"/>
      <c r="P42" s="22"/>
      <c r="Q42" s="30"/>
      <c r="R42" s="30">
        <v>2.89</v>
      </c>
      <c r="S42" s="18">
        <v>40.0</v>
      </c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5"/>
      <c r="AT42" s="25"/>
      <c r="AU42" s="25"/>
    </row>
    <row r="43">
      <c r="A43" s="113">
        <f>D4/$D$34</f>
        <v>0.2592592593</v>
      </c>
      <c r="B43" s="114">
        <f t="shared" si="48"/>
        <v>25.92592593</v>
      </c>
      <c r="C43" s="115">
        <f>100*(D4/C4)/($D$34/$C$34)</f>
        <v>36.85782557</v>
      </c>
      <c r="D43" s="116">
        <f t="shared" si="49"/>
        <v>7.847968937</v>
      </c>
      <c r="E43" s="117">
        <f t="shared" si="50"/>
        <v>3.125</v>
      </c>
      <c r="F43" s="32">
        <f t="shared" ref="F43:G43" si="51">B43*($D$39)</f>
        <v>6.481481481</v>
      </c>
      <c r="G43" s="32">
        <f t="shared" si="51"/>
        <v>9.214456392</v>
      </c>
      <c r="H43" s="123"/>
      <c r="I43" s="124"/>
      <c r="J43" s="16" t="s">
        <v>90</v>
      </c>
      <c r="K43" s="119"/>
      <c r="L43" s="120"/>
      <c r="M43" s="5"/>
      <c r="N43" s="25"/>
      <c r="O43" s="27"/>
      <c r="P43" s="27"/>
      <c r="Q43" s="30"/>
      <c r="R43" s="30">
        <v>2.803</v>
      </c>
      <c r="S43" s="18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5"/>
      <c r="AN43" s="25"/>
      <c r="AO43" s="25"/>
      <c r="AP43" s="25"/>
      <c r="AQ43" s="25"/>
      <c r="AR43" s="25"/>
      <c r="AS43" s="25"/>
      <c r="AT43" s="25"/>
      <c r="AU43" s="25"/>
    </row>
    <row r="44">
      <c r="A44" s="113">
        <f>D5/$D$33</f>
        <v>1</v>
      </c>
      <c r="B44" s="114">
        <f t="shared" si="48"/>
        <v>100</v>
      </c>
      <c r="C44" s="115">
        <f>100*(D5/C5)/($D$33/$C$33)</f>
        <v>158.0745342</v>
      </c>
      <c r="D44" s="116">
        <f t="shared" si="49"/>
        <v>96.77795031</v>
      </c>
      <c r="E44" s="117">
        <f t="shared" si="50"/>
        <v>37.83783784</v>
      </c>
      <c r="F44" s="32">
        <f t="shared" ref="F44:G44" si="52">B44*(1-$D$39)</f>
        <v>75</v>
      </c>
      <c r="G44" s="32">
        <f t="shared" si="52"/>
        <v>118.5559006</v>
      </c>
      <c r="H44" s="17">
        <v>2011.0</v>
      </c>
      <c r="I44" s="125">
        <f>AVERAGE(B43:B44)</f>
        <v>62.96296296</v>
      </c>
      <c r="J44" s="119">
        <f>D43+D44</f>
        <v>104.6259192</v>
      </c>
      <c r="L44" s="120">
        <f>AVERAGE(C43:C44)</f>
        <v>97.46617986</v>
      </c>
      <c r="M44" s="121">
        <f>J44</f>
        <v>104.6259192</v>
      </c>
      <c r="N44" s="28">
        <f>AVERAGE(I44,L44)</f>
        <v>80.21457141</v>
      </c>
      <c r="O44" s="33"/>
      <c r="P44" s="33">
        <f>H5</f>
        <v>-0.075</v>
      </c>
      <c r="Q44" s="30"/>
      <c r="R44" s="30">
        <v>2.66</v>
      </c>
      <c r="S44" s="18">
        <v>37.0</v>
      </c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5"/>
      <c r="AN44" s="25"/>
      <c r="AO44" s="25"/>
      <c r="AP44" s="25"/>
      <c r="AQ44" s="25"/>
      <c r="AR44" s="25"/>
      <c r="AS44" s="25"/>
      <c r="AT44" s="25"/>
      <c r="AU44" s="25"/>
    </row>
    <row r="45">
      <c r="A45" s="113">
        <f>D6/$D$34</f>
        <v>0</v>
      </c>
      <c r="B45" s="114">
        <f t="shared" si="48"/>
        <v>0</v>
      </c>
      <c r="C45" s="115">
        <f>100*(D6/C6)/($D$34/$C$34)</f>
        <v>0</v>
      </c>
      <c r="D45" s="116">
        <f t="shared" si="49"/>
        <v>0</v>
      </c>
      <c r="E45" s="117">
        <f t="shared" si="50"/>
        <v>0</v>
      </c>
      <c r="F45" s="32">
        <f t="shared" ref="F45:G45" si="53">B45*($D$39)</f>
        <v>0</v>
      </c>
      <c r="G45" s="32">
        <f t="shared" si="53"/>
        <v>0</v>
      </c>
      <c r="H45" s="123"/>
      <c r="I45" s="124"/>
      <c r="J45" s="126"/>
      <c r="K45" s="119"/>
      <c r="L45" s="120"/>
      <c r="M45" s="5"/>
      <c r="N45" s="25"/>
      <c r="O45" s="33"/>
      <c r="P45" s="33"/>
      <c r="Q45" s="30"/>
      <c r="R45" s="30">
        <v>2.942</v>
      </c>
      <c r="S45" s="18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  <c r="AM45" s="25"/>
      <c r="AN45" s="25"/>
      <c r="AO45" s="25"/>
      <c r="AP45" s="25"/>
      <c r="AQ45" s="25"/>
      <c r="AR45" s="25"/>
      <c r="AS45" s="25"/>
      <c r="AT45" s="25"/>
      <c r="AU45" s="25"/>
    </row>
    <row r="46">
      <c r="A46" s="113">
        <f>D7/$D$33</f>
        <v>0.5</v>
      </c>
      <c r="B46" s="114">
        <f t="shared" si="48"/>
        <v>50</v>
      </c>
      <c r="C46" s="115">
        <f>100*(D7/C7)/($D$33/$C$33)</f>
        <v>62.68472906</v>
      </c>
      <c r="D46" s="116">
        <f t="shared" si="49"/>
        <v>42.2567734</v>
      </c>
      <c r="E46" s="117">
        <f t="shared" si="50"/>
        <v>19.44444444</v>
      </c>
      <c r="F46" s="32">
        <f t="shared" ref="F46:G46" si="54">B46*(1-$D$39)</f>
        <v>37.5</v>
      </c>
      <c r="G46" s="32">
        <f t="shared" si="54"/>
        <v>47.0135468</v>
      </c>
      <c r="H46" s="17">
        <v>2012.0</v>
      </c>
      <c r="I46" s="125">
        <f>AVERAGE(B45:B46)</f>
        <v>25</v>
      </c>
      <c r="J46" s="119">
        <f>D45+D46</f>
        <v>42.2567734</v>
      </c>
      <c r="L46" s="120">
        <f>AVERAGE(C45:C46)</f>
        <v>31.34236453</v>
      </c>
      <c r="M46" s="121">
        <f>J46</f>
        <v>42.2567734</v>
      </c>
      <c r="N46" s="28">
        <f>AVERAGE(I46,L46)</f>
        <v>28.17118227</v>
      </c>
      <c r="O46" s="33"/>
      <c r="P46" s="33">
        <f>H7</f>
        <v>-0.02702702703</v>
      </c>
      <c r="Q46" s="30"/>
      <c r="R46" s="30">
        <v>2.777</v>
      </c>
      <c r="S46" s="18">
        <v>36.0</v>
      </c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5"/>
      <c r="AO46" s="25"/>
      <c r="AP46" s="25"/>
      <c r="AQ46" s="25"/>
      <c r="AR46" s="25"/>
      <c r="AS46" s="25"/>
      <c r="AT46" s="25"/>
      <c r="AU46" s="25"/>
    </row>
    <row r="47">
      <c r="A47" s="113">
        <f>D8/$D$34</f>
        <v>0.5185185185</v>
      </c>
      <c r="B47" s="114">
        <f t="shared" si="48"/>
        <v>51.85185185</v>
      </c>
      <c r="C47" s="115">
        <f>100*(D8/C8)/($D$34/$C$34)</f>
        <v>91.40740741</v>
      </c>
      <c r="D47" s="116">
        <f t="shared" si="49"/>
        <v>17.90740741</v>
      </c>
      <c r="E47" s="117">
        <f t="shared" si="50"/>
        <v>7.407407407</v>
      </c>
      <c r="F47" s="32">
        <f t="shared" ref="F47:G47" si="55">B47*($D$39)</f>
        <v>12.96296296</v>
      </c>
      <c r="G47" s="32">
        <f t="shared" si="55"/>
        <v>22.85185185</v>
      </c>
      <c r="H47" s="17"/>
      <c r="I47" s="127"/>
      <c r="J47" s="126"/>
      <c r="K47" s="119" t="s">
        <v>91</v>
      </c>
      <c r="L47" s="120"/>
      <c r="M47" s="5"/>
      <c r="N47" s="25"/>
      <c r="O47" s="33"/>
      <c r="P47" s="33"/>
      <c r="Q47" s="30"/>
      <c r="R47" s="30">
        <v>2.775</v>
      </c>
      <c r="S47" s="18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</row>
    <row r="48">
      <c r="A48" s="113">
        <f>D9/$D$33</f>
        <v>0.7142857143</v>
      </c>
      <c r="B48" s="114">
        <f t="shared" si="48"/>
        <v>71.42857143</v>
      </c>
      <c r="C48" s="115">
        <f>100*(D9/C9)/($D$33/$C$33)</f>
        <v>136.6809882</v>
      </c>
      <c r="D48" s="116">
        <f t="shared" si="49"/>
        <v>78.04108485</v>
      </c>
      <c r="E48" s="117">
        <f t="shared" si="50"/>
        <v>34.48275862</v>
      </c>
      <c r="F48" s="32">
        <f t="shared" ref="F48:G48" si="56">B48*(1-$D$39)</f>
        <v>53.57142857</v>
      </c>
      <c r="G48" s="32">
        <f t="shared" si="56"/>
        <v>102.5107411</v>
      </c>
      <c r="H48" s="17">
        <v>2013.0</v>
      </c>
      <c r="I48" s="125">
        <f>AVERAGE(B47:B48)</f>
        <v>61.64021164</v>
      </c>
      <c r="J48" s="119">
        <f>D47+D48</f>
        <v>95.94849226</v>
      </c>
      <c r="L48" s="120">
        <f>AVERAGE(C47:C48)</f>
        <v>114.0441978</v>
      </c>
      <c r="M48" s="121">
        <f>J48</f>
        <v>95.94849226</v>
      </c>
      <c r="N48" s="28">
        <f>AVERAGE(I48,L48)</f>
        <v>87.84220472</v>
      </c>
      <c r="O48" s="33"/>
      <c r="P48" s="33">
        <f>H9</f>
        <v>-0.1944444444</v>
      </c>
      <c r="Q48" s="30"/>
      <c r="R48" s="30">
        <v>2.741</v>
      </c>
      <c r="S48" s="18">
        <v>29.0</v>
      </c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5"/>
      <c r="AN48" s="25"/>
      <c r="AO48" s="25"/>
      <c r="AP48" s="25"/>
      <c r="AQ48" s="25"/>
      <c r="AR48" s="25"/>
      <c r="AS48" s="25"/>
      <c r="AT48" s="25"/>
      <c r="AU48" s="25"/>
    </row>
    <row r="49">
      <c r="A49" s="113">
        <f>D10/$D$34</f>
        <v>0</v>
      </c>
      <c r="B49" s="114">
        <f t="shared" si="48"/>
        <v>0</v>
      </c>
      <c r="C49" s="115">
        <f>100*(D10/C10)/($D$34/$C$34)</f>
        <v>0</v>
      </c>
      <c r="D49" s="116">
        <f t="shared" si="49"/>
        <v>0</v>
      </c>
      <c r="E49" s="117">
        <f t="shared" si="50"/>
        <v>0</v>
      </c>
      <c r="F49" s="32">
        <f t="shared" ref="F49:G49" si="57">B49*($D$39)</f>
        <v>0</v>
      </c>
      <c r="G49" s="32">
        <f t="shared" si="57"/>
        <v>0</v>
      </c>
      <c r="H49" s="17"/>
      <c r="I49" s="124"/>
      <c r="J49" s="16"/>
      <c r="K49" s="119"/>
      <c r="L49" s="120"/>
      <c r="M49" s="5"/>
      <c r="N49" s="25"/>
      <c r="O49" s="33"/>
      <c r="P49" s="33"/>
      <c r="Q49" s="30"/>
      <c r="R49" s="30">
        <v>3.142</v>
      </c>
      <c r="S49" s="18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  <c r="AO49" s="25"/>
      <c r="AP49" s="25"/>
      <c r="AQ49" s="25"/>
      <c r="AR49" s="25"/>
      <c r="AS49" s="25"/>
      <c r="AT49" s="25"/>
      <c r="AU49" s="25"/>
    </row>
    <row r="50">
      <c r="A50" s="113">
        <f>D11/$D$33</f>
        <v>0.4285714286</v>
      </c>
      <c r="B50" s="114">
        <f t="shared" si="48"/>
        <v>42.85714286</v>
      </c>
      <c r="C50" s="115">
        <f>100*(D11/C11)/($D$33/$C$33)</f>
        <v>86.56462585</v>
      </c>
      <c r="D50" s="116">
        <f t="shared" si="49"/>
        <v>48.53316327</v>
      </c>
      <c r="E50" s="117">
        <f t="shared" si="50"/>
        <v>25</v>
      </c>
      <c r="F50" s="32">
        <f t="shared" ref="F50:G50" si="58">B50*(1-$D$39)</f>
        <v>32.14285714</v>
      </c>
      <c r="G50" s="32">
        <f t="shared" si="58"/>
        <v>64.92346939</v>
      </c>
      <c r="H50" s="17">
        <v>2014.0</v>
      </c>
      <c r="I50" s="125">
        <f>AVERAGE(B49:B50)</f>
        <v>21.42857143</v>
      </c>
      <c r="J50" s="119">
        <f>D49+D50</f>
        <v>48.53316327</v>
      </c>
      <c r="L50" s="120">
        <f>AVERAGE(C49:C50)</f>
        <v>43.28231293</v>
      </c>
      <c r="M50" s="121">
        <f>J50</f>
        <v>48.53316327</v>
      </c>
      <c r="N50" s="28">
        <f>AVERAGE(I50,L50)</f>
        <v>32.35544218</v>
      </c>
      <c r="O50" s="33"/>
      <c r="P50" s="33">
        <f>H11</f>
        <v>-0.1724137931</v>
      </c>
      <c r="Q50" s="30"/>
      <c r="R50" s="30">
        <v>2.85</v>
      </c>
      <c r="S50" s="18">
        <v>24.0</v>
      </c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/>
      <c r="AQ50" s="25"/>
      <c r="AR50" s="25"/>
      <c r="AS50" s="25"/>
      <c r="AT50" s="25"/>
      <c r="AU50" s="25"/>
    </row>
    <row r="51">
      <c r="A51" s="113">
        <f>D12/$D$34</f>
        <v>1.037037037</v>
      </c>
      <c r="B51" s="114">
        <f t="shared" si="48"/>
        <v>103.7037037</v>
      </c>
      <c r="C51" s="115">
        <f>100*(D12/C12)/($D$34/$C$34)</f>
        <v>240.545809</v>
      </c>
      <c r="D51" s="116">
        <f t="shared" si="49"/>
        <v>43.03118908</v>
      </c>
      <c r="E51" s="117">
        <f t="shared" si="50"/>
        <v>17.39130435</v>
      </c>
      <c r="F51" s="32">
        <f t="shared" ref="F51:G51" si="59">B51*($D$39)</f>
        <v>25.92592593</v>
      </c>
      <c r="G51" s="32">
        <f t="shared" si="59"/>
        <v>60.13645224</v>
      </c>
      <c r="H51" s="17"/>
      <c r="I51" s="128"/>
      <c r="J51" s="16" t="s">
        <v>92</v>
      </c>
      <c r="K51" s="119" t="s">
        <v>93</v>
      </c>
      <c r="L51" s="120"/>
      <c r="M51" s="5"/>
      <c r="N51" s="25"/>
      <c r="O51" s="33"/>
      <c r="P51" s="33"/>
      <c r="Q51" s="30"/>
      <c r="R51" s="30">
        <v>3.006</v>
      </c>
      <c r="S51" s="18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  <c r="AO51" s="25"/>
      <c r="AP51" s="25"/>
      <c r="AQ51" s="25"/>
      <c r="AR51" s="25"/>
      <c r="AS51" s="25"/>
      <c r="AT51" s="25"/>
      <c r="AU51" s="25"/>
    </row>
    <row r="52">
      <c r="A52" s="113">
        <f>D13/$D$33</f>
        <v>1</v>
      </c>
      <c r="B52" s="114">
        <f t="shared" si="48"/>
        <v>100</v>
      </c>
      <c r="C52" s="115">
        <f>100*(D13/C13)/($D$33/$C$33)</f>
        <v>181.7857143</v>
      </c>
      <c r="D52" s="116">
        <f t="shared" si="49"/>
        <v>105.6696429</v>
      </c>
      <c r="E52" s="117">
        <f t="shared" si="50"/>
        <v>41.17647059</v>
      </c>
      <c r="F52" s="32">
        <f t="shared" ref="F52:G52" si="60">B52*(1-$D$39)</f>
        <v>75</v>
      </c>
      <c r="G52" s="32">
        <f t="shared" si="60"/>
        <v>136.3392857</v>
      </c>
      <c r="H52" s="17">
        <v>2015.0</v>
      </c>
      <c r="I52" s="125">
        <f>AVERAGE(B51:B52)</f>
        <v>101.8518519</v>
      </c>
      <c r="J52" s="119">
        <f>D51+D52</f>
        <v>148.7008319</v>
      </c>
      <c r="L52" s="120">
        <f>AVERAGE(C51:C52)</f>
        <v>211.1657616</v>
      </c>
      <c r="M52" s="121">
        <f>J52</f>
        <v>148.7008319</v>
      </c>
      <c r="N52" s="28">
        <f>AVERAGE(I52,L52)</f>
        <v>156.5088067</v>
      </c>
      <c r="O52" s="33"/>
      <c r="P52" s="33">
        <f>H13</f>
        <v>0.4166666667</v>
      </c>
      <c r="Q52" s="30"/>
      <c r="R52" s="30">
        <v>2.506</v>
      </c>
      <c r="S52" s="18">
        <v>34.0</v>
      </c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  <c r="AO52" s="25"/>
      <c r="AP52" s="25"/>
      <c r="AQ52" s="25"/>
      <c r="AR52" s="25"/>
      <c r="AS52" s="25"/>
      <c r="AT52" s="25"/>
      <c r="AU52" s="25"/>
    </row>
    <row r="53">
      <c r="A53" s="113">
        <f>D14/$D$34</f>
        <v>0.5185185185</v>
      </c>
      <c r="B53" s="114">
        <f t="shared" si="48"/>
        <v>51.85185185</v>
      </c>
      <c r="C53" s="115">
        <f>100*(D14/C14)/($D$34/$C$34)</f>
        <v>73.71565114</v>
      </c>
      <c r="D53" s="116">
        <f t="shared" si="49"/>
        <v>15.69593787</v>
      </c>
      <c r="E53" s="117">
        <f t="shared" si="50"/>
        <v>6.060606061</v>
      </c>
      <c r="F53" s="32">
        <f t="shared" ref="F53:G53" si="61">B53*($D$39)</f>
        <v>12.96296296</v>
      </c>
      <c r="G53" s="32">
        <f t="shared" si="61"/>
        <v>18.42891278</v>
      </c>
      <c r="H53" s="17"/>
      <c r="I53" s="128"/>
      <c r="J53" s="16" t="s">
        <v>92</v>
      </c>
      <c r="K53" s="119" t="s">
        <v>93</v>
      </c>
      <c r="L53" s="120"/>
      <c r="M53" s="5"/>
      <c r="N53" s="25"/>
      <c r="O53" s="33"/>
      <c r="P53" s="33"/>
      <c r="Q53" s="30"/>
      <c r="R53" s="30">
        <v>2.874</v>
      </c>
      <c r="S53" s="18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5"/>
      <c r="AP53" s="25"/>
      <c r="AQ53" s="25"/>
      <c r="AR53" s="25"/>
      <c r="AS53" s="25"/>
      <c r="AT53" s="25"/>
      <c r="AU53" s="25"/>
    </row>
    <row r="54">
      <c r="A54" s="113">
        <f>D15/$D$33</f>
        <v>0.8571428571</v>
      </c>
      <c r="B54" s="114">
        <f t="shared" si="48"/>
        <v>85.71428571</v>
      </c>
      <c r="C54" s="115">
        <f>100*(D15/C15)/($D$33/$C$33)</f>
        <v>119.8587127</v>
      </c>
      <c r="D54" s="116">
        <f t="shared" si="49"/>
        <v>77.08987441</v>
      </c>
      <c r="E54" s="117">
        <f t="shared" si="50"/>
        <v>31.57894737</v>
      </c>
      <c r="F54" s="32">
        <f t="shared" ref="F54:G54" si="62">B54*(1-$D$39)</f>
        <v>64.28571429</v>
      </c>
      <c r="G54" s="32">
        <f t="shared" si="62"/>
        <v>89.89403454</v>
      </c>
      <c r="H54" s="17">
        <v>2016.0</v>
      </c>
      <c r="I54" s="125">
        <f>AVERAGE(B53:B54)</f>
        <v>68.78306878</v>
      </c>
      <c r="J54" s="119">
        <f>D53+D54</f>
        <v>92.78581228</v>
      </c>
      <c r="L54" s="120">
        <f>AVERAGE(C53:C54)</f>
        <v>96.78718193</v>
      </c>
      <c r="M54" s="121">
        <f>J54</f>
        <v>92.78581228</v>
      </c>
      <c r="N54" s="28">
        <f>AVERAGE(I54,L54)</f>
        <v>82.78512535</v>
      </c>
      <c r="O54" s="33"/>
      <c r="P54" s="33">
        <f>H15</f>
        <v>0.1176470588</v>
      </c>
      <c r="Q54" s="30"/>
      <c r="R54" s="30">
        <v>2.668</v>
      </c>
      <c r="S54" s="18">
        <v>38.0</v>
      </c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  <c r="AM54" s="25"/>
      <c r="AN54" s="25"/>
      <c r="AO54" s="25"/>
      <c r="AP54" s="25"/>
      <c r="AQ54" s="25"/>
      <c r="AR54" s="25"/>
      <c r="AS54" s="25"/>
      <c r="AT54" s="25"/>
      <c r="AU54" s="25"/>
    </row>
    <row r="55">
      <c r="A55" s="113">
        <f>D16/$D$34</f>
        <v>1.296296296</v>
      </c>
      <c r="B55" s="114">
        <f t="shared" si="48"/>
        <v>129.6296296</v>
      </c>
      <c r="C55" s="115">
        <f>100*(D16/C16)/($D$34/$C$34)</f>
        <v>154.4044044</v>
      </c>
      <c r="D55" s="116">
        <f t="shared" si="49"/>
        <v>35.50425425</v>
      </c>
      <c r="E55" s="117">
        <f t="shared" si="50"/>
        <v>11.9047619</v>
      </c>
      <c r="F55" s="32">
        <f t="shared" ref="F55:G55" si="63">B55*($D$39)</f>
        <v>32.40740741</v>
      </c>
      <c r="G55" s="32">
        <f t="shared" si="63"/>
        <v>38.6011011</v>
      </c>
      <c r="H55" s="17"/>
      <c r="I55" s="128"/>
      <c r="J55" s="16" t="s">
        <v>94</v>
      </c>
      <c r="K55" s="119" t="s">
        <v>93</v>
      </c>
      <c r="L55" s="120"/>
      <c r="M55" s="5"/>
      <c r="N55" s="25"/>
      <c r="O55" s="33"/>
      <c r="P55" s="33"/>
      <c r="Q55" s="30"/>
      <c r="R55" s="30">
        <v>2.977</v>
      </c>
      <c r="S55" s="18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5"/>
      <c r="AN55" s="25"/>
      <c r="AO55" s="25"/>
      <c r="AP55" s="25"/>
      <c r="AQ55" s="25"/>
      <c r="AR55" s="25"/>
      <c r="AS55" s="25"/>
      <c r="AT55" s="25"/>
      <c r="AU55" s="25"/>
    </row>
    <row r="56">
      <c r="A56" s="113">
        <f>D17/$D$33</f>
        <v>0.7142857143</v>
      </c>
      <c r="B56" s="114">
        <f t="shared" si="48"/>
        <v>71.42857143</v>
      </c>
      <c r="C56" s="115">
        <f>100*(D17/C17)/($D$33/$C$33)</f>
        <v>78.69511441</v>
      </c>
      <c r="D56" s="116">
        <f t="shared" si="49"/>
        <v>56.29638219</v>
      </c>
      <c r="E56" s="117">
        <f t="shared" si="50"/>
        <v>23.25581395</v>
      </c>
      <c r="F56" s="32">
        <f t="shared" ref="F56:G56" si="64">B56*(1-$D$39)</f>
        <v>53.57142857</v>
      </c>
      <c r="G56" s="32">
        <f t="shared" si="64"/>
        <v>59.02133581</v>
      </c>
      <c r="H56" s="17">
        <v>2017.0</v>
      </c>
      <c r="I56" s="125">
        <f>AVERAGE(B55:B56)</f>
        <v>100.5291005</v>
      </c>
      <c r="J56" s="119">
        <f>D55+D56</f>
        <v>91.80063644</v>
      </c>
      <c r="L56" s="120">
        <f>AVERAGE(C55:C56)</f>
        <v>116.5497594</v>
      </c>
      <c r="M56" s="121">
        <f>J56</f>
        <v>91.80063644</v>
      </c>
      <c r="N56" s="28">
        <f>AVERAGE(I56,L56)</f>
        <v>108.53943</v>
      </c>
      <c r="O56" s="33"/>
      <c r="P56" s="33">
        <f>H17</f>
        <v>0.1315789474</v>
      </c>
      <c r="Q56" s="30"/>
      <c r="R56" s="30">
        <v>3.081</v>
      </c>
      <c r="S56" s="18">
        <v>43.0</v>
      </c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25"/>
      <c r="AQ56" s="25"/>
      <c r="AR56" s="25"/>
      <c r="AS56" s="25"/>
      <c r="AT56" s="25"/>
      <c r="AU56" s="25"/>
    </row>
    <row r="57">
      <c r="A57" s="113">
        <f>D18/$D$34</f>
        <v>0.2592592593</v>
      </c>
      <c r="B57" s="114">
        <f t="shared" si="48"/>
        <v>25.92592593</v>
      </c>
      <c r="C57" s="115">
        <f>100*(D18/C18)/($D$34/$C$34)</f>
        <v>24.31048069</v>
      </c>
      <c r="D57" s="116">
        <f t="shared" si="49"/>
        <v>6.279550827</v>
      </c>
      <c r="E57" s="117">
        <f t="shared" si="50"/>
        <v>2.083333333</v>
      </c>
      <c r="F57" s="32">
        <f t="shared" ref="F57:G57" si="65">B57*($D$39)</f>
        <v>6.481481481</v>
      </c>
      <c r="G57" s="32">
        <f t="shared" si="65"/>
        <v>6.077620173</v>
      </c>
      <c r="H57" s="17"/>
      <c r="I57" s="128"/>
      <c r="J57" s="16" t="s">
        <v>95</v>
      </c>
      <c r="K57" s="16" t="s">
        <v>96</v>
      </c>
      <c r="L57" s="120"/>
      <c r="M57" s="5"/>
      <c r="N57" s="25"/>
      <c r="O57" s="33"/>
      <c r="P57" s="33"/>
      <c r="Q57" s="30"/>
      <c r="R57" s="30">
        <v>2.937</v>
      </c>
      <c r="S57" s="18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  <c r="AO57" s="25"/>
      <c r="AP57" s="25"/>
      <c r="AQ57" s="25"/>
      <c r="AR57" s="25"/>
      <c r="AS57" s="25"/>
      <c r="AT57" s="25"/>
      <c r="AU57" s="25"/>
    </row>
    <row r="58">
      <c r="A58" s="113">
        <f>D19/$D$33</f>
        <v>1.571428571</v>
      </c>
      <c r="B58" s="114">
        <f t="shared" si="48"/>
        <v>157.1428571</v>
      </c>
      <c r="C58" s="115">
        <f>100*(D19/C19)/($D$33/$C$33)</f>
        <v>142.8316327</v>
      </c>
      <c r="D58" s="116">
        <f t="shared" si="49"/>
        <v>112.4904337</v>
      </c>
      <c r="E58" s="117">
        <f t="shared" si="50"/>
        <v>35.48387097</v>
      </c>
      <c r="F58" s="32">
        <f t="shared" ref="F58:G58" si="66">B58*(1-$D$39)</f>
        <v>117.8571429</v>
      </c>
      <c r="G58" s="32">
        <f t="shared" si="66"/>
        <v>107.1237245</v>
      </c>
      <c r="H58" s="17">
        <v>2018.0</v>
      </c>
      <c r="I58" s="125">
        <f>AVERAGE(B57:B58)</f>
        <v>91.53439153</v>
      </c>
      <c r="J58" s="119">
        <f>D57+D58</f>
        <v>118.7699845</v>
      </c>
      <c r="L58" s="120">
        <f>AVERAGE(C57:C58)</f>
        <v>83.57105667</v>
      </c>
      <c r="M58" s="121">
        <f>J58</f>
        <v>118.7699845</v>
      </c>
      <c r="N58" s="28">
        <f>AVERAGE(I58,L58)</f>
        <v>87.5527241</v>
      </c>
      <c r="O58" s="33"/>
      <c r="P58" s="33">
        <f>H19</f>
        <v>0.4418604651</v>
      </c>
      <c r="Q58" s="30"/>
      <c r="R58" s="30">
        <v>2.733</v>
      </c>
      <c r="S58" s="18">
        <v>62.0</v>
      </c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5"/>
      <c r="AN58" s="25"/>
      <c r="AO58" s="25"/>
      <c r="AP58" s="25"/>
      <c r="AQ58" s="25"/>
      <c r="AR58" s="25"/>
      <c r="AS58" s="25"/>
      <c r="AT58" s="25"/>
      <c r="AU58" s="25"/>
    </row>
    <row r="59">
      <c r="A59" s="113">
        <f>D20/$D$34</f>
        <v>2.333333333</v>
      </c>
      <c r="B59" s="114">
        <f t="shared" si="48"/>
        <v>233.3333333</v>
      </c>
      <c r="C59" s="115">
        <f>100*(D20/C20)/($D$34/$C$34)</f>
        <v>186.969697</v>
      </c>
      <c r="D59" s="116">
        <f t="shared" si="49"/>
        <v>52.53787879</v>
      </c>
      <c r="E59" s="117">
        <f t="shared" si="50"/>
        <v>14.0625</v>
      </c>
      <c r="F59" s="32">
        <f t="shared" ref="F59:G59" si="67">B59*($D$39)</f>
        <v>58.33333333</v>
      </c>
      <c r="G59" s="32">
        <f t="shared" si="67"/>
        <v>46.74242424</v>
      </c>
      <c r="H59" s="123"/>
      <c r="I59" s="127"/>
      <c r="J59" s="16" t="s">
        <v>97</v>
      </c>
      <c r="K59" s="119" t="s">
        <v>98</v>
      </c>
      <c r="L59" s="120"/>
      <c r="M59" s="5"/>
      <c r="N59" s="25"/>
      <c r="O59" s="33"/>
      <c r="P59" s="33"/>
      <c r="Q59" s="30"/>
      <c r="R59" s="30">
        <v>2.919</v>
      </c>
      <c r="S59" s="18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  <c r="AM59" s="25"/>
      <c r="AN59" s="25"/>
      <c r="AO59" s="25"/>
      <c r="AP59" s="25"/>
      <c r="AQ59" s="25"/>
      <c r="AR59" s="25"/>
      <c r="AS59" s="25"/>
      <c r="AT59" s="25"/>
      <c r="AU59" s="25"/>
    </row>
    <row r="60">
      <c r="A60" s="113">
        <f>D21/$D$33</f>
        <v>1.714285714</v>
      </c>
      <c r="B60" s="114">
        <f t="shared" si="48"/>
        <v>171.4285714</v>
      </c>
      <c r="C60" s="115">
        <f>100*(D21/C21)/($D$33/$C$33)</f>
        <v>117.5972276</v>
      </c>
      <c r="D60" s="116">
        <f t="shared" si="49"/>
        <v>108.3846746</v>
      </c>
      <c r="E60" s="117">
        <f t="shared" si="50"/>
        <v>31.16883117</v>
      </c>
      <c r="F60" s="32">
        <f t="shared" ref="F60:G60" si="68">B60*(1-$D$39)</f>
        <v>128.5714286</v>
      </c>
      <c r="G60" s="32">
        <f t="shared" si="68"/>
        <v>88.19792068</v>
      </c>
      <c r="H60" s="17">
        <v>2019.0</v>
      </c>
      <c r="I60" s="125">
        <f>AVERAGE(B59:B60)</f>
        <v>202.3809524</v>
      </c>
      <c r="J60" s="119">
        <f>D59+D60</f>
        <v>160.9225534</v>
      </c>
      <c r="L60" s="120">
        <f>AVERAGE(C59:C60)</f>
        <v>152.2834623</v>
      </c>
      <c r="M60" s="121">
        <f>J60</f>
        <v>160.9225534</v>
      </c>
      <c r="N60" s="28">
        <f>AVERAGE(I60,L60)</f>
        <v>177.3322073</v>
      </c>
      <c r="O60" s="33"/>
      <c r="P60" s="33">
        <f>H21</f>
        <v>0.2419354839</v>
      </c>
      <c r="Q60" s="30"/>
      <c r="R60" s="30">
        <v>2.819</v>
      </c>
      <c r="S60" s="18">
        <v>77.0</v>
      </c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  <c r="AM60" s="25"/>
      <c r="AN60" s="25"/>
      <c r="AO60" s="25"/>
      <c r="AP60" s="25"/>
      <c r="AQ60" s="25"/>
      <c r="AR60" s="25"/>
      <c r="AS60" s="25"/>
      <c r="AT60" s="25"/>
      <c r="AU60" s="25"/>
    </row>
    <row r="61">
      <c r="A61" s="113">
        <f>D22/$D$34</f>
        <v>1.555555556</v>
      </c>
      <c r="B61" s="114">
        <f t="shared" si="48"/>
        <v>155.5555556</v>
      </c>
      <c r="C61" s="115">
        <f>100*(D22/C22)/($D$34/$C$34)</f>
        <v>93.91171994</v>
      </c>
      <c r="D61" s="116">
        <f t="shared" si="49"/>
        <v>31.18340944</v>
      </c>
      <c r="E61" s="117">
        <f t="shared" si="50"/>
        <v>7.594936709</v>
      </c>
      <c r="F61" s="32">
        <f t="shared" ref="F61:G61" si="69">B61*($D$39)</f>
        <v>38.88888889</v>
      </c>
      <c r="G61" s="32">
        <f t="shared" si="69"/>
        <v>23.47792998</v>
      </c>
      <c r="H61" s="123"/>
      <c r="I61" s="127"/>
      <c r="J61" s="16" t="s">
        <v>99</v>
      </c>
      <c r="K61" s="16" t="s">
        <v>97</v>
      </c>
      <c r="L61" s="120"/>
      <c r="M61" s="5"/>
      <c r="N61" s="25"/>
      <c r="O61" s="33"/>
      <c r="P61" s="33"/>
      <c r="Q61" s="30"/>
      <c r="R61" s="30">
        <v>3.25</v>
      </c>
      <c r="S61" s="18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  <c r="AO61" s="25"/>
      <c r="AP61" s="25"/>
      <c r="AQ61" s="25"/>
      <c r="AR61" s="25"/>
      <c r="AS61" s="25"/>
      <c r="AT61" s="25"/>
      <c r="AU61" s="25"/>
    </row>
    <row r="62">
      <c r="A62" s="113">
        <f>D23/$D$33</f>
        <v>1.428571429</v>
      </c>
      <c r="B62" s="114">
        <f t="shared" si="48"/>
        <v>142.8571429</v>
      </c>
      <c r="C62" s="115">
        <f>100*(D23/C23)/($D$33/$C$33)</f>
        <v>85.14553362</v>
      </c>
      <c r="D62" s="116">
        <f t="shared" si="49"/>
        <v>85.50100368</v>
      </c>
      <c r="E62" s="117">
        <f t="shared" si="50"/>
        <v>24.69135802</v>
      </c>
      <c r="F62" s="32">
        <f t="shared" ref="F62:G62" si="70">B62*(1-$D$39)</f>
        <v>107.1428571</v>
      </c>
      <c r="G62" s="32">
        <f t="shared" si="70"/>
        <v>63.85915022</v>
      </c>
      <c r="H62" s="17">
        <v>2020.0</v>
      </c>
      <c r="I62" s="125">
        <f>AVERAGE(B61:B62)</f>
        <v>149.2063492</v>
      </c>
      <c r="J62" s="119">
        <f>D61+D62</f>
        <v>116.6844131</v>
      </c>
      <c r="L62" s="120">
        <f>AVERAGE(C61:C62)</f>
        <v>89.52862678</v>
      </c>
      <c r="M62" s="121">
        <f>J62</f>
        <v>116.6844131</v>
      </c>
      <c r="N62" s="28">
        <f>AVERAGE(I62,L62)</f>
        <v>119.367488</v>
      </c>
      <c r="O62" s="33"/>
      <c r="P62" s="33">
        <f>H23</f>
        <v>0.05194805195</v>
      </c>
      <c r="Q62" s="30"/>
      <c r="R62" s="30">
        <v>3.006</v>
      </c>
      <c r="S62" s="18">
        <v>81.0</v>
      </c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5"/>
      <c r="AP62" s="25"/>
      <c r="AQ62" s="25"/>
      <c r="AR62" s="25"/>
      <c r="AS62" s="25"/>
      <c r="AT62" s="25"/>
      <c r="AU62" s="25"/>
    </row>
    <row r="63">
      <c r="A63" s="113">
        <f>D24/$D$34</f>
        <v>2.592592593</v>
      </c>
      <c r="B63" s="114">
        <f t="shared" si="48"/>
        <v>259.2592593</v>
      </c>
      <c r="C63" s="115">
        <f>100*(D24/C24)/($D$34/$C$34)</f>
        <v>178.5300926</v>
      </c>
      <c r="D63" s="116">
        <f t="shared" si="49"/>
        <v>54.72366898</v>
      </c>
      <c r="E63" s="117">
        <f t="shared" si="50"/>
        <v>13.51351351</v>
      </c>
      <c r="F63" s="32">
        <f t="shared" ref="F63:G63" si="71">B63*($D$39)</f>
        <v>64.81481481</v>
      </c>
      <c r="G63" s="32">
        <f t="shared" si="71"/>
        <v>44.63252315</v>
      </c>
      <c r="H63" s="123"/>
      <c r="I63" s="128"/>
      <c r="J63" s="16" t="s">
        <v>100</v>
      </c>
      <c r="K63" s="16" t="s">
        <v>101</v>
      </c>
      <c r="L63" s="120"/>
      <c r="M63" s="5"/>
      <c r="N63" s="25"/>
      <c r="O63" s="33"/>
      <c r="P63" s="33"/>
      <c r="Q63" s="30"/>
      <c r="R63" s="30">
        <v>3.267</v>
      </c>
      <c r="S63" s="18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  <c r="AO63" s="25"/>
      <c r="AP63" s="25"/>
      <c r="AQ63" s="25"/>
      <c r="AR63" s="25"/>
      <c r="AS63" s="25"/>
      <c r="AT63" s="25"/>
      <c r="AU63" s="25"/>
    </row>
    <row r="64">
      <c r="A64" s="113">
        <f>D25/$D$33</f>
        <v>0.9285714286</v>
      </c>
      <c r="B64" s="114">
        <f t="shared" si="48"/>
        <v>92.85714286</v>
      </c>
      <c r="C64" s="115">
        <f>100*(D25/C25)/($D$33/$C$33)</f>
        <v>55.34459686</v>
      </c>
      <c r="D64" s="116">
        <f t="shared" si="49"/>
        <v>55.57565239</v>
      </c>
      <c r="E64" s="117">
        <f t="shared" si="50"/>
        <v>17.56756757</v>
      </c>
      <c r="F64" s="32">
        <f t="shared" ref="F64:G64" si="72">B64*(1-$D$39)</f>
        <v>69.64285714</v>
      </c>
      <c r="G64" s="32">
        <f t="shared" si="72"/>
        <v>41.50844764</v>
      </c>
      <c r="H64" s="17">
        <v>2021.0</v>
      </c>
      <c r="I64" s="119">
        <f>AVERAGE(B63:B64)</f>
        <v>176.0582011</v>
      </c>
      <c r="J64" s="119">
        <f>D63+D64</f>
        <v>110.2993214</v>
      </c>
      <c r="L64" s="119">
        <f>AVERAGE(C63:C64)</f>
        <v>116.9373447</v>
      </c>
      <c r="M64" s="121">
        <f>J64</f>
        <v>110.2993214</v>
      </c>
      <c r="N64" s="28">
        <f>AVERAGE(I64,L64)</f>
        <v>146.4977729</v>
      </c>
      <c r="O64" s="33"/>
      <c r="P64" s="33">
        <f>H25</f>
        <v>-0.08641975309</v>
      </c>
      <c r="Q64" s="30"/>
      <c r="R64" s="30">
        <v>3.167</v>
      </c>
      <c r="S64" s="18">
        <v>74.0</v>
      </c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  <c r="AO64" s="25"/>
      <c r="AP64" s="25"/>
      <c r="AQ64" s="25"/>
      <c r="AR64" s="25"/>
      <c r="AS64" s="25"/>
      <c r="AT64" s="25"/>
      <c r="AU64" s="25"/>
    </row>
    <row r="65">
      <c r="A65" s="113">
        <f>D26/$D$34</f>
        <v>1.037037037</v>
      </c>
      <c r="B65" s="129">
        <f t="shared" si="48"/>
        <v>103.7037037</v>
      </c>
      <c r="C65" s="115">
        <f>100*(D26/C26)/($D$34/$C$34)</f>
        <v>71.41203704</v>
      </c>
      <c r="D65" s="130">
        <f t="shared" si="49"/>
        <v>21.88946759</v>
      </c>
      <c r="E65" s="117">
        <f t="shared" si="50"/>
        <v>5.882352941</v>
      </c>
      <c r="F65" s="32">
        <f t="shared" ref="F65:G65" si="73">B65*($D$39)</f>
        <v>25.92592593</v>
      </c>
      <c r="G65" s="49">
        <f t="shared" si="73"/>
        <v>17.85300926</v>
      </c>
      <c r="H65" s="123"/>
      <c r="I65" s="5"/>
      <c r="J65" s="16" t="s">
        <v>102</v>
      </c>
      <c r="K65" s="16" t="s">
        <v>103</v>
      </c>
      <c r="L65" s="119"/>
      <c r="M65" s="5"/>
      <c r="N65" s="25"/>
      <c r="O65" s="33"/>
      <c r="P65" s="33"/>
      <c r="Q65" s="30"/>
      <c r="R65" s="50">
        <v>3.331</v>
      </c>
      <c r="S65" s="37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  <c r="AO65" s="25"/>
      <c r="AP65" s="25"/>
      <c r="AQ65" s="25"/>
      <c r="AR65" s="25"/>
      <c r="AS65" s="25"/>
      <c r="AT65" s="25"/>
      <c r="AU65" s="25"/>
    </row>
    <row r="66">
      <c r="A66" s="113">
        <f>D27/$D$33</f>
        <v>0.9285714286</v>
      </c>
      <c r="B66" s="131">
        <f t="shared" si="48"/>
        <v>92.85714286</v>
      </c>
      <c r="C66" s="115">
        <f>100*(D27/C27)/($D$33/$C$33)</f>
        <v>59.22842821</v>
      </c>
      <c r="D66" s="132">
        <f t="shared" si="49"/>
        <v>57.03208915</v>
      </c>
      <c r="E66" s="117">
        <f t="shared" si="50"/>
        <v>18.57142857</v>
      </c>
      <c r="F66" s="32">
        <f t="shared" ref="F66:G66" si="74">B66*(1-$D$39)</f>
        <v>69.64285714</v>
      </c>
      <c r="G66" s="53">
        <f t="shared" si="74"/>
        <v>44.42132116</v>
      </c>
      <c r="H66" s="17">
        <v>2022.0</v>
      </c>
      <c r="I66" s="119">
        <f>AVERAGE(B65:B66)</f>
        <v>98.28042328</v>
      </c>
      <c r="J66" s="119">
        <f>D65+D66</f>
        <v>78.92155674</v>
      </c>
      <c r="L66" s="119">
        <f>AVERAGE(C65:C66)</f>
        <v>65.32023263</v>
      </c>
      <c r="M66" s="121">
        <f>J66</f>
        <v>78.92155674</v>
      </c>
      <c r="N66" s="28">
        <f>AVERAGE(I66,L66)</f>
        <v>81.80032795</v>
      </c>
      <c r="O66" s="33"/>
      <c r="P66" s="33">
        <f>H27</f>
        <v>-0.05405405405</v>
      </c>
      <c r="Q66" s="30"/>
      <c r="R66" s="54">
        <v>3.091</v>
      </c>
      <c r="S66" s="43">
        <v>70.0</v>
      </c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  <c r="AO66" s="25"/>
      <c r="AP66" s="25"/>
      <c r="AQ66" s="25"/>
      <c r="AR66" s="25"/>
      <c r="AS66" s="25"/>
      <c r="AT66" s="25"/>
      <c r="AU66" s="25"/>
    </row>
    <row r="67">
      <c r="A67" s="113">
        <f>D28/$D$34</f>
        <v>1.296296296</v>
      </c>
      <c r="B67" s="114">
        <f t="shared" si="48"/>
        <v>129.6296296</v>
      </c>
      <c r="C67" s="115">
        <f>100*(D28/C28)/($D$34/$C$34)</f>
        <v>90.68195179</v>
      </c>
      <c r="D67" s="116">
        <f t="shared" si="49"/>
        <v>27.53894768</v>
      </c>
      <c r="E67" s="117">
        <f t="shared" si="50"/>
        <v>7.352941176</v>
      </c>
      <c r="F67" s="32">
        <f t="shared" ref="F67:G67" si="75">B67*($D$39)</f>
        <v>32.40740741</v>
      </c>
      <c r="G67" s="32">
        <f t="shared" si="75"/>
        <v>22.67048795</v>
      </c>
      <c r="H67" s="123"/>
      <c r="I67" s="128"/>
      <c r="J67" s="16" t="s">
        <v>104</v>
      </c>
      <c r="K67" s="16" t="s">
        <v>105</v>
      </c>
      <c r="L67" s="120"/>
      <c r="M67" s="5"/>
      <c r="N67" s="25"/>
      <c r="O67" s="33"/>
      <c r="P67" s="33"/>
      <c r="Q67" s="30"/>
      <c r="R67" s="30">
        <v>3.121</v>
      </c>
      <c r="S67" s="18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  <c r="AO67" s="25"/>
      <c r="AP67" s="25"/>
      <c r="AQ67" s="25"/>
      <c r="AR67" s="25"/>
      <c r="AS67" s="25"/>
      <c r="AT67" s="25"/>
      <c r="AU67" s="25"/>
    </row>
    <row r="68">
      <c r="A68" s="113">
        <f>D29/$D$33</f>
        <v>0.9285714286</v>
      </c>
      <c r="B68" s="114">
        <f t="shared" si="48"/>
        <v>92.85714286</v>
      </c>
      <c r="C68" s="115">
        <f>100*(D29/C29)/($D$33/$C$33)</f>
        <v>71.83022145</v>
      </c>
      <c r="D68" s="116">
        <f t="shared" si="49"/>
        <v>61.75776162</v>
      </c>
      <c r="E68" s="117">
        <f t="shared" si="50"/>
        <v>21.66666667</v>
      </c>
      <c r="F68" s="32">
        <f t="shared" ref="F68:G68" si="76">B68*(1-$D$39)</f>
        <v>69.64285714</v>
      </c>
      <c r="G68" s="32">
        <f t="shared" si="76"/>
        <v>53.87266609</v>
      </c>
      <c r="H68" s="17">
        <v>2023.0</v>
      </c>
      <c r="I68" s="125">
        <f>AVERAGE(B67:B68)</f>
        <v>111.2433862</v>
      </c>
      <c r="J68" s="119">
        <f>D67+D68</f>
        <v>89.29670929</v>
      </c>
      <c r="L68" s="120">
        <f>AVERAGE(C67:C68)</f>
        <v>81.25608662</v>
      </c>
      <c r="M68" s="121">
        <f>J68</f>
        <v>89.29670929</v>
      </c>
      <c r="N68" s="28">
        <f>AVERAGE(I68,L68)</f>
        <v>96.24973643</v>
      </c>
      <c r="O68" s="33"/>
      <c r="P68" s="33">
        <f>H29</f>
        <v>-0.1428571429</v>
      </c>
      <c r="Q68" s="18"/>
      <c r="R68" s="18">
        <v>2.997</v>
      </c>
      <c r="S68" s="18">
        <v>63.0</v>
      </c>
      <c r="T68" s="25"/>
      <c r="U68" s="18"/>
      <c r="V68" s="18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  <c r="AO68" s="25"/>
      <c r="AP68" s="25"/>
      <c r="AQ68" s="25"/>
      <c r="AR68" s="25"/>
      <c r="AS68" s="25"/>
      <c r="AT68" s="25"/>
      <c r="AU68" s="25"/>
    </row>
    <row r="69">
      <c r="A69" s="113">
        <f>D30/$D$34</f>
        <v>1.296296296</v>
      </c>
      <c r="B69" s="114">
        <f t="shared" si="48"/>
        <v>129.6296296</v>
      </c>
      <c r="C69" s="115">
        <f>100*(D30/C30)/($D$34/$C$34)</f>
        <v>107.791754</v>
      </c>
      <c r="D69" s="116">
        <f t="shared" si="49"/>
        <v>89.03301887</v>
      </c>
      <c r="E69" s="5">
        <f t="shared" si="50"/>
        <v>8.620689655</v>
      </c>
      <c r="F69" s="32">
        <f t="shared" ref="F69:G69" si="77">B69*(1-$D$39)</f>
        <v>97.22222222</v>
      </c>
      <c r="G69" s="32">
        <f t="shared" si="77"/>
        <v>80.84381551</v>
      </c>
      <c r="H69" s="133"/>
      <c r="I69" s="25"/>
      <c r="J69" s="119" t="s">
        <v>106</v>
      </c>
      <c r="L69" s="25"/>
      <c r="M69" s="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  <c r="AO69" s="25"/>
      <c r="AP69" s="25"/>
      <c r="AQ69" s="25"/>
      <c r="AR69" s="25"/>
      <c r="AS69" s="25"/>
      <c r="AT69" s="25"/>
      <c r="AU69" s="25"/>
    </row>
    <row r="70">
      <c r="A70" s="113"/>
      <c r="B70" s="134"/>
      <c r="C70" s="135"/>
      <c r="D70" s="136"/>
      <c r="E70" s="5" t="str">
        <f t="shared" si="50"/>
        <v>#DIV/0!</v>
      </c>
      <c r="F70" s="32"/>
      <c r="G70" s="58"/>
      <c r="H70" s="133"/>
      <c r="I70" s="125">
        <f>AVERAGE(B69:B70)</f>
        <v>129.6296296</v>
      </c>
      <c r="J70" s="119">
        <f>D69+D70</f>
        <v>89.03301887</v>
      </c>
      <c r="L70" s="120">
        <f>AVERAGE(C69:C70)</f>
        <v>107.791754</v>
      </c>
      <c r="M70" s="28">
        <f t="shared" ref="M70:N70" si="78">AVERAGE(M42:M68)</f>
        <v>101.9599469</v>
      </c>
      <c r="N70" s="28">
        <f t="shared" si="78"/>
        <v>103.9815099</v>
      </c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  <c r="AO70" s="25"/>
      <c r="AP70" s="25"/>
      <c r="AQ70" s="25"/>
      <c r="AR70" s="25"/>
      <c r="AS70" s="25"/>
      <c r="AT70" s="25"/>
      <c r="AU70" s="25"/>
    </row>
    <row r="71">
      <c r="A71" s="137">
        <f t="shared" ref="A71:D71" si="79">AVERAGE(A42:A69)</f>
        <v>1</v>
      </c>
      <c r="B71" s="63">
        <f t="shared" si="79"/>
        <v>100</v>
      </c>
      <c r="C71" s="64">
        <f t="shared" si="79"/>
        <v>104.2620607</v>
      </c>
      <c r="D71" s="138">
        <f t="shared" si="79"/>
        <v>54.15972411</v>
      </c>
      <c r="E71" s="5"/>
      <c r="F71" s="139">
        <f t="shared" ref="F71:G71" si="80">AVERAGE(F42:F69)</f>
        <v>52.31481481</v>
      </c>
      <c r="G71" s="139">
        <f t="shared" si="80"/>
        <v>56.00463341</v>
      </c>
      <c r="H71" s="5"/>
      <c r="I71" s="5"/>
      <c r="J71" s="5"/>
      <c r="K71" s="5"/>
      <c r="L71" s="25"/>
      <c r="M71" s="29">
        <f t="shared" ref="M71:N71" si="81">STDEV(M42:M68)</f>
        <v>33.10054156</v>
      </c>
      <c r="N71" s="29">
        <f t="shared" si="81"/>
        <v>46.08213141</v>
      </c>
      <c r="O71" s="25"/>
      <c r="P71" s="25"/>
      <c r="Q71" s="25"/>
      <c r="R71" s="25"/>
      <c r="S71" s="25"/>
      <c r="T71" s="18"/>
      <c r="U71" s="18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25"/>
      <c r="AM71" s="25"/>
      <c r="AN71" s="25"/>
      <c r="AO71" s="25"/>
      <c r="AP71" s="25"/>
      <c r="AQ71" s="25"/>
      <c r="AR71" s="25"/>
      <c r="AS71" s="25"/>
      <c r="AT71" s="25"/>
      <c r="AU71" s="25"/>
    </row>
    <row r="72">
      <c r="A72" s="88">
        <f t="shared" ref="A72:D72" si="82">AVERAGE(A42,A44,A46,A48,A50,A52,A54,A56,A58,A60,A62,A64,A66,A68)</f>
        <v>1</v>
      </c>
      <c r="B72" s="70">
        <f t="shared" si="82"/>
        <v>100</v>
      </c>
      <c r="C72" s="71">
        <f t="shared" si="82"/>
        <v>112.057062</v>
      </c>
      <c r="D72" s="140">
        <f t="shared" si="82"/>
        <v>79.52139825</v>
      </c>
      <c r="E72" s="5"/>
      <c r="F72" s="141">
        <f t="shared" ref="F72:G72" si="83">AVERAGE(F42,F44,F46,F48,F50,F52,F54,F56,F58,F60,F62,F64,F66,F68)</f>
        <v>75</v>
      </c>
      <c r="G72" s="141">
        <f t="shared" si="83"/>
        <v>84.0427965</v>
      </c>
      <c r="H72" s="5"/>
      <c r="I72" s="5"/>
      <c r="J72" s="5"/>
      <c r="K72" s="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5"/>
      <c r="AM72" s="25"/>
      <c r="AN72" s="25"/>
      <c r="AO72" s="25"/>
      <c r="AP72" s="25"/>
      <c r="AQ72" s="25"/>
      <c r="AR72" s="25"/>
      <c r="AS72" s="25"/>
      <c r="AT72" s="25"/>
      <c r="AU72" s="25"/>
    </row>
    <row r="73">
      <c r="A73" s="94">
        <f t="shared" ref="A73:D73" si="84">AVERAGE(A43,A45,A47,A49,A51,A53,A55,A57,A59,A61,A63,A65,A67,A69)</f>
        <v>1</v>
      </c>
      <c r="B73" s="81">
        <f t="shared" si="84"/>
        <v>100</v>
      </c>
      <c r="C73" s="82">
        <f t="shared" si="84"/>
        <v>96.46705932</v>
      </c>
      <c r="D73" s="142">
        <f t="shared" si="84"/>
        <v>28.79804998</v>
      </c>
      <c r="E73" s="5"/>
      <c r="F73" s="143">
        <f t="shared" ref="F73:G73" si="85">AVERAGE(F43,F45,F47,F49,F51,F53,F55,F57,F59,F61,F63,F65,F67,F69)</f>
        <v>29.62962963</v>
      </c>
      <c r="G73" s="143">
        <f t="shared" si="85"/>
        <v>27.96647033</v>
      </c>
      <c r="H73" s="5"/>
      <c r="I73" s="5"/>
      <c r="J73" s="5"/>
      <c r="K73" s="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25"/>
      <c r="AM73" s="25"/>
      <c r="AN73" s="25"/>
      <c r="AO73" s="25"/>
      <c r="AP73" s="25"/>
      <c r="AQ73" s="25"/>
      <c r="AR73" s="25"/>
      <c r="AS73" s="25"/>
      <c r="AT73" s="25"/>
      <c r="AU73" s="25"/>
    </row>
    <row r="74">
      <c r="A74" s="92" t="s">
        <v>107</v>
      </c>
      <c r="B74" s="92" t="s">
        <v>108</v>
      </c>
      <c r="C74" s="92" t="s">
        <v>109</v>
      </c>
      <c r="D74" s="93" t="s">
        <v>110</v>
      </c>
      <c r="E74" s="92"/>
      <c r="F74" s="92"/>
      <c r="G74" s="5"/>
      <c r="H74" s="5"/>
      <c r="I74" s="5"/>
      <c r="J74" s="5"/>
      <c r="K74" s="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25"/>
      <c r="AM74" s="25"/>
      <c r="AN74" s="25"/>
      <c r="AO74" s="25"/>
      <c r="AP74" s="25"/>
      <c r="AQ74" s="25"/>
      <c r="AR74" s="25"/>
      <c r="AS74" s="25"/>
      <c r="AT74" s="25"/>
      <c r="AU74" s="25"/>
    </row>
    <row r="75">
      <c r="A75" s="92" t="s">
        <v>111</v>
      </c>
      <c r="B75" s="92" t="s">
        <v>112</v>
      </c>
      <c r="C75" s="92" t="s">
        <v>113</v>
      </c>
      <c r="D75" s="16" t="s">
        <v>114</v>
      </c>
      <c r="E75" s="92"/>
      <c r="F75" s="92"/>
      <c r="G75" s="5"/>
      <c r="H75" s="5"/>
      <c r="I75" s="5"/>
      <c r="J75" s="5"/>
      <c r="K75" s="5"/>
      <c r="L75" s="25"/>
      <c r="M75" s="25"/>
      <c r="N75" s="25"/>
      <c r="O75" s="25"/>
      <c r="P75" s="25"/>
      <c r="Q75" s="25"/>
      <c r="R75" s="25"/>
      <c r="S75" s="25"/>
      <c r="T75" s="18"/>
      <c r="U75" s="18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25"/>
      <c r="AM75" s="25"/>
      <c r="AN75" s="25"/>
      <c r="AO75" s="25"/>
      <c r="AP75" s="25"/>
      <c r="AQ75" s="25"/>
      <c r="AR75" s="25"/>
      <c r="AS75" s="25"/>
      <c r="AT75" s="25"/>
      <c r="AU75" s="25"/>
    </row>
    <row r="76">
      <c r="A76" s="144" t="s">
        <v>115</v>
      </c>
      <c r="B76" s="91" t="s">
        <v>116</v>
      </c>
      <c r="C76" s="92" t="s">
        <v>117</v>
      </c>
      <c r="D76" s="18" t="s">
        <v>118</v>
      </c>
      <c r="E76" s="91"/>
      <c r="F76" s="91"/>
      <c r="G76" s="5"/>
      <c r="H76" s="5"/>
      <c r="I76" s="5"/>
      <c r="J76" s="5"/>
      <c r="K76" s="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25"/>
      <c r="AM76" s="25"/>
      <c r="AN76" s="25"/>
      <c r="AO76" s="25"/>
      <c r="AP76" s="25"/>
      <c r="AQ76" s="25"/>
      <c r="AR76" s="25"/>
      <c r="AS76" s="25"/>
      <c r="AT76" s="25"/>
      <c r="AU76" s="25"/>
    </row>
    <row r="77">
      <c r="A77" s="25"/>
      <c r="B77" s="91" t="s">
        <v>119</v>
      </c>
      <c r="C77" s="92" t="s">
        <v>120</v>
      </c>
      <c r="D77" s="25"/>
      <c r="E77" s="91"/>
      <c r="F77" s="91"/>
      <c r="G77" s="5"/>
      <c r="H77" s="5"/>
      <c r="I77" s="5"/>
      <c r="J77" s="5"/>
      <c r="K77" s="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  <c r="AM77" s="25"/>
      <c r="AN77" s="25"/>
      <c r="AO77" s="25"/>
      <c r="AP77" s="25"/>
      <c r="AQ77" s="25"/>
      <c r="AR77" s="25"/>
      <c r="AS77" s="25"/>
      <c r="AT77" s="25"/>
      <c r="AU77" s="25"/>
    </row>
    <row r="78">
      <c r="A78" s="25"/>
      <c r="B78" s="25"/>
      <c r="C78" s="92"/>
      <c r="D78" s="25"/>
      <c r="E78" s="25"/>
      <c r="F78" s="25"/>
      <c r="G78" s="5"/>
      <c r="H78" s="5"/>
      <c r="I78" s="5"/>
      <c r="J78" s="5"/>
      <c r="K78" s="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25"/>
      <c r="AM78" s="25"/>
      <c r="AN78" s="25"/>
      <c r="AO78" s="25"/>
      <c r="AP78" s="25"/>
      <c r="AQ78" s="25"/>
      <c r="AR78" s="25"/>
      <c r="AS78" s="25"/>
      <c r="AT78" s="25"/>
      <c r="AU78" s="25"/>
    </row>
    <row r="79">
      <c r="A79" s="25"/>
      <c r="B79" s="25"/>
      <c r="C79" s="92" t="s">
        <v>121</v>
      </c>
      <c r="D79" s="25"/>
      <c r="E79" s="25"/>
      <c r="F79" s="25"/>
      <c r="G79" s="5"/>
      <c r="H79" s="5"/>
      <c r="I79" s="5"/>
      <c r="J79" s="5"/>
      <c r="K79" s="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/>
      <c r="AM79" s="25"/>
      <c r="AN79" s="25"/>
      <c r="AO79" s="25"/>
      <c r="AP79" s="25"/>
      <c r="AQ79" s="25"/>
      <c r="AR79" s="25"/>
      <c r="AS79" s="25"/>
      <c r="AT79" s="25"/>
      <c r="AU79" s="25"/>
    </row>
    <row r="80">
      <c r="A80" s="25"/>
      <c r="B80" s="25"/>
      <c r="C80" s="18" t="s">
        <v>122</v>
      </c>
      <c r="D80" s="25"/>
      <c r="E80" s="25"/>
      <c r="F80" s="25"/>
      <c r="G80" s="5"/>
      <c r="H80" s="5"/>
      <c r="I80" s="5"/>
      <c r="J80" s="5"/>
      <c r="K80" s="5"/>
      <c r="L80" s="25"/>
      <c r="M80" s="25"/>
      <c r="N80" s="25"/>
      <c r="O80" s="25"/>
      <c r="P80" s="25"/>
      <c r="Q80" s="25"/>
      <c r="R80" s="25"/>
      <c r="S80" s="25"/>
      <c r="T80" s="18"/>
      <c r="U80" s="18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25"/>
      <c r="AL80" s="25"/>
      <c r="AM80" s="25"/>
      <c r="AN80" s="25"/>
      <c r="AO80" s="25"/>
      <c r="AP80" s="25"/>
      <c r="AQ80" s="25"/>
      <c r="AR80" s="25"/>
      <c r="AS80" s="25"/>
      <c r="AT80" s="25"/>
      <c r="AU80" s="25"/>
    </row>
    <row r="81">
      <c r="A81" s="25"/>
      <c r="B81" s="25"/>
      <c r="C81" s="18" t="s">
        <v>123</v>
      </c>
      <c r="D81" s="25"/>
      <c r="E81" s="25"/>
      <c r="F81" s="25"/>
      <c r="G81" s="5"/>
      <c r="H81" s="5"/>
      <c r="I81" s="5"/>
      <c r="J81" s="5"/>
      <c r="K81" s="5"/>
      <c r="L81" s="25"/>
      <c r="M81" s="25"/>
      <c r="N81" s="25"/>
      <c r="O81" s="25"/>
      <c r="P81" s="25"/>
      <c r="Q81" s="25"/>
      <c r="R81" s="25"/>
      <c r="S81" s="25"/>
      <c r="T81" s="18"/>
      <c r="U81" s="18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25"/>
      <c r="AM81" s="25"/>
      <c r="AN81" s="25"/>
      <c r="AO81" s="25"/>
      <c r="AP81" s="25"/>
      <c r="AQ81" s="25"/>
      <c r="AR81" s="25"/>
      <c r="AS81" s="25"/>
      <c r="AT81" s="25"/>
      <c r="AU81" s="25"/>
    </row>
    <row r="82">
      <c r="A82" s="25"/>
      <c r="B82" s="25"/>
      <c r="C82" s="25"/>
      <c r="D82" s="25"/>
      <c r="E82" s="25"/>
      <c r="F82" s="25"/>
      <c r="G82" s="5"/>
      <c r="H82" s="5"/>
      <c r="I82" s="5"/>
      <c r="J82" s="5"/>
      <c r="K82" s="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  <c r="AU82" s="25"/>
    </row>
    <row r="83">
      <c r="A83" s="25"/>
      <c r="B83" s="25"/>
      <c r="C83" s="25"/>
      <c r="D83" s="25"/>
      <c r="E83" s="25"/>
      <c r="F83" s="25"/>
      <c r="G83" s="5"/>
      <c r="H83" s="5"/>
      <c r="I83" s="5"/>
      <c r="J83" s="5"/>
      <c r="K83" s="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25"/>
      <c r="AM83" s="25"/>
      <c r="AN83" s="25"/>
      <c r="AO83" s="25"/>
      <c r="AP83" s="25"/>
      <c r="AQ83" s="25"/>
      <c r="AR83" s="25"/>
      <c r="AS83" s="25"/>
      <c r="AT83" s="25"/>
      <c r="AU83" s="25"/>
    </row>
    <row r="84">
      <c r="A84" s="25"/>
      <c r="B84" s="25"/>
      <c r="C84" s="25"/>
      <c r="D84" s="25"/>
      <c r="E84" s="25"/>
      <c r="F84" s="25"/>
      <c r="G84" s="5"/>
      <c r="H84" s="5"/>
      <c r="I84" s="5"/>
      <c r="J84" s="5"/>
      <c r="K84" s="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25"/>
      <c r="AL84" s="25"/>
      <c r="AM84" s="25"/>
      <c r="AN84" s="25"/>
      <c r="AO84" s="25"/>
      <c r="AP84" s="25"/>
      <c r="AQ84" s="25"/>
      <c r="AR84" s="25"/>
      <c r="AS84" s="25"/>
      <c r="AT84" s="25"/>
      <c r="AU84" s="25"/>
    </row>
    <row r="85">
      <c r="A85" s="25"/>
      <c r="B85" s="25"/>
      <c r="C85" s="25"/>
      <c r="D85" s="25"/>
      <c r="E85" s="25"/>
      <c r="F85" s="25"/>
      <c r="G85" s="5"/>
      <c r="H85" s="5"/>
      <c r="I85" s="5"/>
      <c r="J85" s="5"/>
      <c r="K85" s="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  <c r="AK85" s="25"/>
      <c r="AL85" s="25"/>
      <c r="AM85" s="25"/>
      <c r="AN85" s="25"/>
      <c r="AO85" s="25"/>
      <c r="AP85" s="25"/>
      <c r="AQ85" s="25"/>
      <c r="AR85" s="25"/>
      <c r="AS85" s="25"/>
      <c r="AT85" s="25"/>
      <c r="AU85" s="25"/>
    </row>
    <row r="86">
      <c r="A86" s="25"/>
      <c r="B86" s="25"/>
      <c r="C86" s="25"/>
      <c r="D86" s="25"/>
      <c r="E86" s="25"/>
      <c r="F86" s="25"/>
      <c r="G86" s="5"/>
      <c r="H86" s="5"/>
      <c r="I86" s="5"/>
      <c r="J86" s="5"/>
      <c r="K86" s="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  <c r="AK86" s="25"/>
      <c r="AL86" s="25"/>
      <c r="AM86" s="25"/>
      <c r="AN86" s="25"/>
      <c r="AO86" s="25"/>
      <c r="AP86" s="25"/>
      <c r="AQ86" s="25"/>
      <c r="AR86" s="25"/>
      <c r="AS86" s="25"/>
      <c r="AT86" s="25"/>
      <c r="AU86" s="25"/>
    </row>
    <row r="87">
      <c r="A87" s="25"/>
      <c r="B87" s="25"/>
      <c r="C87" s="25"/>
      <c r="D87" s="25"/>
      <c r="E87" s="25"/>
      <c r="F87" s="25"/>
      <c r="G87" s="5"/>
      <c r="H87" s="5"/>
      <c r="I87" s="5"/>
      <c r="J87" s="5"/>
      <c r="K87" s="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  <c r="AL87" s="25"/>
      <c r="AM87" s="25"/>
      <c r="AN87" s="25"/>
      <c r="AO87" s="25"/>
      <c r="AP87" s="25"/>
      <c r="AQ87" s="25"/>
      <c r="AR87" s="25"/>
      <c r="AS87" s="25"/>
      <c r="AT87" s="25"/>
      <c r="AU87" s="25"/>
    </row>
    <row r="88">
      <c r="A88" s="25"/>
      <c r="B88" s="25"/>
      <c r="C88" s="25"/>
      <c r="D88" s="25"/>
      <c r="E88" s="25"/>
      <c r="F88" s="25"/>
      <c r="G88" s="5"/>
      <c r="H88" s="5"/>
      <c r="I88" s="5"/>
      <c r="J88" s="5"/>
      <c r="K88" s="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25"/>
      <c r="AK88" s="25"/>
      <c r="AL88" s="25"/>
      <c r="AM88" s="25"/>
      <c r="AN88" s="25"/>
      <c r="AO88" s="25"/>
      <c r="AP88" s="25"/>
      <c r="AQ88" s="25"/>
      <c r="AR88" s="25"/>
      <c r="AS88" s="25"/>
      <c r="AT88" s="25"/>
      <c r="AU88" s="25"/>
    </row>
    <row r="89">
      <c r="A89" s="25"/>
      <c r="B89" s="25"/>
      <c r="C89" s="25"/>
      <c r="D89" s="25"/>
      <c r="E89" s="25"/>
      <c r="F89" s="25"/>
      <c r="G89" s="5"/>
      <c r="H89" s="5"/>
      <c r="I89" s="5"/>
      <c r="J89" s="5"/>
      <c r="K89" s="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5"/>
      <c r="AL89" s="25"/>
      <c r="AM89" s="25"/>
      <c r="AN89" s="25"/>
      <c r="AO89" s="25"/>
      <c r="AP89" s="25"/>
      <c r="AQ89" s="25"/>
      <c r="AR89" s="25"/>
      <c r="AS89" s="25"/>
      <c r="AT89" s="25"/>
      <c r="AU89" s="25"/>
    </row>
    <row r="90">
      <c r="A90" s="25"/>
      <c r="B90" s="25"/>
      <c r="C90" s="25"/>
      <c r="D90" s="25"/>
      <c r="E90" s="25"/>
      <c r="F90" s="25"/>
      <c r="G90" s="5"/>
      <c r="H90" s="5"/>
      <c r="I90" s="5"/>
      <c r="J90" s="5"/>
      <c r="K90" s="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5"/>
      <c r="AL90" s="25"/>
      <c r="AM90" s="25"/>
      <c r="AN90" s="25"/>
      <c r="AO90" s="25"/>
      <c r="AP90" s="25"/>
      <c r="AQ90" s="25"/>
      <c r="AR90" s="25"/>
      <c r="AS90" s="25"/>
      <c r="AT90" s="25"/>
      <c r="AU90" s="25"/>
    </row>
    <row r="91">
      <c r="A91" s="25"/>
      <c r="B91" s="25"/>
      <c r="C91" s="25"/>
      <c r="D91" s="25"/>
      <c r="E91" s="25"/>
      <c r="F91" s="25"/>
      <c r="G91" s="5"/>
      <c r="H91" s="5"/>
      <c r="I91" s="5"/>
      <c r="J91" s="5"/>
      <c r="K91" s="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  <c r="AL91" s="25"/>
      <c r="AM91" s="25"/>
      <c r="AN91" s="25"/>
      <c r="AO91" s="25"/>
      <c r="AP91" s="25"/>
      <c r="AQ91" s="25"/>
      <c r="AR91" s="25"/>
      <c r="AS91" s="25"/>
      <c r="AT91" s="25"/>
      <c r="AU91" s="25"/>
    </row>
    <row r="92">
      <c r="A92" s="25"/>
      <c r="B92" s="25"/>
      <c r="C92" s="25"/>
      <c r="D92" s="25"/>
      <c r="E92" s="25"/>
      <c r="F92" s="25"/>
      <c r="G92" s="5"/>
      <c r="H92" s="5"/>
      <c r="I92" s="5"/>
      <c r="J92" s="5"/>
      <c r="K92" s="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  <c r="AL92" s="25"/>
      <c r="AM92" s="25"/>
      <c r="AN92" s="25"/>
      <c r="AO92" s="25"/>
      <c r="AP92" s="25"/>
      <c r="AQ92" s="25"/>
      <c r="AR92" s="25"/>
      <c r="AS92" s="25"/>
      <c r="AT92" s="25"/>
      <c r="AU92" s="25"/>
    </row>
    <row r="93">
      <c r="A93" s="25"/>
      <c r="B93" s="25"/>
      <c r="C93" s="25"/>
      <c r="D93" s="25"/>
      <c r="E93" s="25"/>
      <c r="F93" s="25"/>
      <c r="G93" s="5"/>
      <c r="H93" s="5"/>
      <c r="I93" s="5"/>
      <c r="J93" s="5"/>
      <c r="K93" s="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  <c r="AL93" s="25"/>
      <c r="AM93" s="25"/>
      <c r="AN93" s="25"/>
      <c r="AO93" s="25"/>
      <c r="AP93" s="25"/>
      <c r="AQ93" s="25"/>
      <c r="AR93" s="25"/>
      <c r="AS93" s="25"/>
      <c r="AT93" s="25"/>
      <c r="AU93" s="25"/>
    </row>
    <row r="94">
      <c r="A94" s="25"/>
      <c r="B94" s="25"/>
      <c r="C94" s="25"/>
      <c r="D94" s="25"/>
      <c r="E94" s="25"/>
      <c r="F94" s="25"/>
      <c r="G94" s="5"/>
      <c r="H94" s="5"/>
      <c r="I94" s="5"/>
      <c r="J94" s="5"/>
      <c r="K94" s="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  <c r="AL94" s="25"/>
      <c r="AM94" s="25"/>
      <c r="AN94" s="25"/>
      <c r="AO94" s="25"/>
      <c r="AP94" s="25"/>
      <c r="AQ94" s="25"/>
      <c r="AR94" s="25"/>
      <c r="AS94" s="25"/>
      <c r="AT94" s="25"/>
      <c r="AU94" s="25"/>
    </row>
    <row r="95">
      <c r="A95" s="25"/>
      <c r="B95" s="25"/>
      <c r="C95" s="25"/>
      <c r="D95" s="25"/>
      <c r="E95" s="25"/>
      <c r="F95" s="25"/>
      <c r="G95" s="5"/>
      <c r="H95" s="5"/>
      <c r="I95" s="5"/>
      <c r="J95" s="5"/>
      <c r="K95" s="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  <c r="AO95" s="25"/>
      <c r="AP95" s="25"/>
      <c r="AQ95" s="25"/>
      <c r="AR95" s="25"/>
      <c r="AS95" s="25"/>
      <c r="AT95" s="25"/>
      <c r="AU95" s="25"/>
    </row>
    <row r="96">
      <c r="A96" s="25"/>
      <c r="B96" s="25"/>
      <c r="C96" s="25"/>
      <c r="D96" s="25"/>
      <c r="E96" s="25"/>
      <c r="F96" s="25"/>
      <c r="G96" s="5"/>
      <c r="H96" s="5"/>
      <c r="I96" s="5"/>
      <c r="J96" s="5"/>
      <c r="K96" s="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  <c r="AO96" s="25"/>
      <c r="AP96" s="25"/>
      <c r="AQ96" s="25"/>
      <c r="AR96" s="25"/>
      <c r="AS96" s="25"/>
      <c r="AT96" s="25"/>
      <c r="AU96" s="25"/>
    </row>
    <row r="97">
      <c r="A97" s="25"/>
      <c r="B97" s="25"/>
      <c r="C97" s="25"/>
      <c r="D97" s="25"/>
      <c r="E97" s="25"/>
      <c r="F97" s="25"/>
      <c r="G97" s="5"/>
      <c r="H97" s="5"/>
      <c r="I97" s="5"/>
      <c r="J97" s="5"/>
      <c r="K97" s="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  <c r="AL97" s="25"/>
      <c r="AM97" s="25"/>
      <c r="AN97" s="25"/>
      <c r="AO97" s="25"/>
      <c r="AP97" s="25"/>
      <c r="AQ97" s="25"/>
      <c r="AR97" s="25"/>
      <c r="AS97" s="25"/>
      <c r="AT97" s="25"/>
      <c r="AU97" s="25"/>
    </row>
    <row r="98">
      <c r="A98" s="25"/>
      <c r="B98" s="25"/>
      <c r="C98" s="25"/>
      <c r="D98" s="25"/>
      <c r="E98" s="25"/>
      <c r="F98" s="25"/>
      <c r="G98" s="5"/>
      <c r="H98" s="5"/>
      <c r="I98" s="5"/>
      <c r="J98" s="5"/>
      <c r="K98" s="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  <c r="AO98" s="25"/>
      <c r="AP98" s="25"/>
      <c r="AQ98" s="25"/>
      <c r="AR98" s="25"/>
      <c r="AS98" s="25"/>
      <c r="AT98" s="25"/>
      <c r="AU98" s="25"/>
    </row>
    <row r="99">
      <c r="A99" s="25"/>
      <c r="B99" s="25"/>
      <c r="C99" s="25"/>
      <c r="D99" s="25"/>
      <c r="E99" s="25"/>
      <c r="F99" s="25"/>
      <c r="G99" s="5"/>
      <c r="H99" s="5"/>
      <c r="I99" s="5"/>
      <c r="J99" s="5"/>
      <c r="K99" s="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  <c r="AO99" s="25"/>
      <c r="AP99" s="25"/>
      <c r="AQ99" s="25"/>
      <c r="AR99" s="25"/>
      <c r="AS99" s="25"/>
      <c r="AT99" s="25"/>
      <c r="AU99" s="25"/>
    </row>
    <row r="100">
      <c r="A100" s="25"/>
      <c r="B100" s="25"/>
      <c r="C100" s="25"/>
      <c r="D100" s="25"/>
      <c r="E100" s="25"/>
      <c r="F100" s="25"/>
      <c r="G100" s="5"/>
      <c r="H100" s="5"/>
      <c r="I100" s="5"/>
      <c r="J100" s="5"/>
      <c r="K100" s="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  <c r="AK100" s="25"/>
      <c r="AL100" s="25"/>
      <c r="AM100" s="25"/>
      <c r="AN100" s="25"/>
      <c r="AO100" s="25"/>
      <c r="AP100" s="25"/>
      <c r="AQ100" s="25"/>
      <c r="AR100" s="25"/>
      <c r="AS100" s="25"/>
      <c r="AT100" s="25"/>
      <c r="AU100" s="25"/>
    </row>
    <row r="101">
      <c r="A101" s="25"/>
      <c r="B101" s="25"/>
      <c r="C101" s="25"/>
      <c r="D101" s="25"/>
      <c r="E101" s="25"/>
      <c r="F101" s="25"/>
      <c r="G101" s="5"/>
      <c r="H101" s="5"/>
      <c r="I101" s="5"/>
      <c r="J101" s="5"/>
      <c r="K101" s="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  <c r="AL101" s="25"/>
      <c r="AM101" s="25"/>
      <c r="AN101" s="25"/>
      <c r="AO101" s="25"/>
      <c r="AP101" s="25"/>
      <c r="AQ101" s="25"/>
      <c r="AR101" s="25"/>
      <c r="AS101" s="25"/>
      <c r="AT101" s="25"/>
      <c r="AU101" s="25"/>
    </row>
    <row r="102">
      <c r="A102" s="25"/>
      <c r="B102" s="25"/>
      <c r="C102" s="25"/>
      <c r="D102" s="25"/>
      <c r="E102" s="25"/>
      <c r="F102" s="25"/>
      <c r="G102" s="5"/>
      <c r="H102" s="5"/>
      <c r="I102" s="5"/>
      <c r="J102" s="5"/>
      <c r="K102" s="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  <c r="AO102" s="25"/>
      <c r="AP102" s="25"/>
      <c r="AQ102" s="25"/>
      <c r="AR102" s="25"/>
      <c r="AS102" s="25"/>
      <c r="AT102" s="25"/>
      <c r="AU102" s="25"/>
    </row>
    <row r="103">
      <c r="A103" s="25"/>
      <c r="B103" s="25"/>
      <c r="C103" s="25"/>
      <c r="D103" s="25"/>
      <c r="E103" s="25"/>
      <c r="F103" s="25"/>
      <c r="G103" s="5"/>
      <c r="H103" s="5"/>
      <c r="I103" s="5"/>
      <c r="J103" s="5"/>
      <c r="K103" s="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  <c r="AO103" s="25"/>
      <c r="AP103" s="25"/>
      <c r="AQ103" s="25"/>
      <c r="AR103" s="25"/>
      <c r="AS103" s="25"/>
      <c r="AT103" s="25"/>
      <c r="AU103" s="25"/>
    </row>
    <row r="104">
      <c r="A104" s="25"/>
      <c r="B104" s="25"/>
      <c r="C104" s="25"/>
      <c r="D104" s="25"/>
      <c r="E104" s="25"/>
      <c r="F104" s="25"/>
      <c r="G104" s="5"/>
      <c r="H104" s="5"/>
      <c r="I104" s="5"/>
      <c r="J104" s="5"/>
      <c r="K104" s="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  <c r="AO104" s="25"/>
      <c r="AP104" s="25"/>
      <c r="AQ104" s="25"/>
      <c r="AR104" s="25"/>
      <c r="AS104" s="25"/>
      <c r="AT104" s="25"/>
      <c r="AU104" s="25"/>
    </row>
    <row r="105">
      <c r="A105" s="25"/>
      <c r="B105" s="25"/>
      <c r="C105" s="25"/>
      <c r="D105" s="25"/>
      <c r="E105" s="25"/>
      <c r="F105" s="25"/>
      <c r="G105" s="5"/>
      <c r="H105" s="5"/>
      <c r="I105" s="5"/>
      <c r="J105" s="5"/>
      <c r="K105" s="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  <c r="AO105" s="25"/>
      <c r="AP105" s="25"/>
      <c r="AQ105" s="25"/>
      <c r="AR105" s="25"/>
      <c r="AS105" s="25"/>
      <c r="AT105" s="25"/>
      <c r="AU105" s="25"/>
    </row>
    <row r="106">
      <c r="A106" s="25"/>
      <c r="B106" s="25"/>
      <c r="C106" s="25"/>
      <c r="D106" s="25"/>
      <c r="E106" s="25"/>
      <c r="F106" s="25"/>
      <c r="G106" s="5"/>
      <c r="H106" s="5"/>
      <c r="I106" s="5"/>
      <c r="J106" s="5"/>
      <c r="K106" s="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  <c r="AO106" s="25"/>
      <c r="AP106" s="25"/>
      <c r="AQ106" s="25"/>
      <c r="AR106" s="25"/>
      <c r="AS106" s="25"/>
      <c r="AT106" s="25"/>
      <c r="AU106" s="25"/>
    </row>
    <row r="107">
      <c r="A107" s="25"/>
      <c r="B107" s="25"/>
      <c r="C107" s="25"/>
      <c r="D107" s="25"/>
      <c r="E107" s="25"/>
      <c r="F107" s="25"/>
      <c r="G107" s="5"/>
      <c r="H107" s="5"/>
      <c r="I107" s="5"/>
      <c r="J107" s="5"/>
      <c r="K107" s="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  <c r="AO107" s="25"/>
      <c r="AP107" s="25"/>
      <c r="AQ107" s="25"/>
      <c r="AR107" s="25"/>
      <c r="AS107" s="25"/>
      <c r="AT107" s="25"/>
      <c r="AU107" s="25"/>
    </row>
    <row r="108">
      <c r="A108" s="25"/>
      <c r="B108" s="25"/>
      <c r="C108" s="25"/>
      <c r="D108" s="25"/>
      <c r="E108" s="25"/>
      <c r="F108" s="25"/>
      <c r="G108" s="5"/>
      <c r="H108" s="5"/>
      <c r="I108" s="5"/>
      <c r="J108" s="5"/>
      <c r="K108" s="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  <c r="AO108" s="25"/>
      <c r="AP108" s="25"/>
      <c r="AQ108" s="25"/>
      <c r="AR108" s="25"/>
      <c r="AS108" s="25"/>
      <c r="AT108" s="25"/>
      <c r="AU108" s="25"/>
    </row>
    <row r="109">
      <c r="A109" s="25"/>
      <c r="B109" s="25"/>
      <c r="C109" s="25"/>
      <c r="D109" s="25"/>
      <c r="E109" s="25"/>
      <c r="F109" s="25"/>
      <c r="G109" s="5"/>
      <c r="H109" s="5"/>
      <c r="I109" s="5"/>
      <c r="J109" s="5"/>
      <c r="K109" s="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  <c r="AO109" s="25"/>
      <c r="AP109" s="25"/>
      <c r="AQ109" s="25"/>
      <c r="AR109" s="25"/>
      <c r="AS109" s="25"/>
      <c r="AT109" s="25"/>
      <c r="AU109" s="25"/>
    </row>
    <row r="110">
      <c r="A110" s="25"/>
      <c r="B110" s="25"/>
      <c r="C110" s="25"/>
      <c r="D110" s="25"/>
      <c r="E110" s="25"/>
      <c r="F110" s="25"/>
      <c r="G110" s="5"/>
      <c r="H110" s="5"/>
      <c r="I110" s="5"/>
      <c r="J110" s="5"/>
      <c r="K110" s="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  <c r="AO110" s="25"/>
      <c r="AP110" s="25"/>
      <c r="AQ110" s="25"/>
      <c r="AR110" s="25"/>
      <c r="AS110" s="25"/>
      <c r="AT110" s="25"/>
      <c r="AU110" s="25"/>
    </row>
    <row r="111">
      <c r="A111" s="25"/>
      <c r="B111" s="25"/>
      <c r="C111" s="25"/>
      <c r="D111" s="25"/>
      <c r="E111" s="25"/>
      <c r="F111" s="25"/>
      <c r="G111" s="5"/>
      <c r="H111" s="5"/>
      <c r="I111" s="5"/>
      <c r="J111" s="5"/>
      <c r="K111" s="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  <c r="AO111" s="25"/>
      <c r="AP111" s="25"/>
      <c r="AQ111" s="25"/>
      <c r="AR111" s="25"/>
      <c r="AS111" s="25"/>
      <c r="AT111" s="25"/>
      <c r="AU111" s="25"/>
    </row>
    <row r="112">
      <c r="A112" s="25"/>
      <c r="B112" s="25"/>
      <c r="C112" s="25"/>
      <c r="D112" s="25"/>
      <c r="E112" s="25"/>
      <c r="F112" s="25"/>
      <c r="G112" s="5"/>
      <c r="H112" s="5"/>
      <c r="I112" s="5"/>
      <c r="J112" s="5"/>
      <c r="K112" s="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  <c r="AO112" s="25"/>
      <c r="AP112" s="25"/>
      <c r="AQ112" s="25"/>
      <c r="AR112" s="25"/>
      <c r="AS112" s="25"/>
      <c r="AT112" s="25"/>
      <c r="AU112" s="25"/>
    </row>
    <row r="113">
      <c r="A113" s="25"/>
      <c r="B113" s="25"/>
      <c r="C113" s="25"/>
      <c r="D113" s="25"/>
      <c r="E113" s="25"/>
      <c r="F113" s="25"/>
      <c r="G113" s="5"/>
      <c r="H113" s="5"/>
      <c r="I113" s="5"/>
      <c r="J113" s="5"/>
      <c r="K113" s="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  <c r="AO113" s="25"/>
      <c r="AP113" s="25"/>
      <c r="AQ113" s="25"/>
      <c r="AR113" s="25"/>
      <c r="AS113" s="25"/>
      <c r="AT113" s="25"/>
      <c r="AU113" s="25"/>
    </row>
    <row r="114">
      <c r="A114" s="25"/>
      <c r="B114" s="25"/>
      <c r="C114" s="25"/>
      <c r="D114" s="25"/>
      <c r="E114" s="25"/>
      <c r="F114" s="25"/>
      <c r="G114" s="5"/>
      <c r="H114" s="5"/>
      <c r="I114" s="5"/>
      <c r="J114" s="5"/>
      <c r="K114" s="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18"/>
      <c r="AN114" s="18"/>
      <c r="AO114" s="18"/>
      <c r="AP114" s="18"/>
      <c r="AQ114" s="18"/>
      <c r="AR114" s="18"/>
      <c r="AS114" s="18"/>
      <c r="AT114" s="18"/>
      <c r="AU114" s="18"/>
    </row>
    <row r="115">
      <c r="A115" s="25"/>
      <c r="B115" s="25"/>
      <c r="C115" s="25"/>
      <c r="D115" s="25"/>
      <c r="E115" s="25"/>
      <c r="F115" s="25"/>
      <c r="G115" s="5"/>
      <c r="H115" s="5"/>
      <c r="I115" s="5"/>
      <c r="J115" s="5"/>
      <c r="K115" s="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  <c r="AO115" s="25"/>
      <c r="AP115" s="25"/>
      <c r="AQ115" s="25"/>
      <c r="AR115" s="25"/>
      <c r="AS115" s="25"/>
      <c r="AT115" s="25"/>
      <c r="AU115" s="25"/>
    </row>
    <row r="116">
      <c r="A116" s="25"/>
      <c r="B116" s="25"/>
      <c r="C116" s="25"/>
      <c r="D116" s="25"/>
      <c r="E116" s="25"/>
      <c r="F116" s="25"/>
      <c r="G116" s="5"/>
      <c r="H116" s="5"/>
      <c r="I116" s="5"/>
      <c r="J116" s="5"/>
      <c r="K116" s="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  <c r="AO116" s="25"/>
      <c r="AP116" s="25"/>
      <c r="AQ116" s="25"/>
      <c r="AR116" s="25"/>
      <c r="AS116" s="25"/>
      <c r="AT116" s="25"/>
      <c r="AU116" s="25"/>
    </row>
    <row r="117">
      <c r="A117" s="25"/>
      <c r="B117" s="25"/>
      <c r="C117" s="25"/>
      <c r="D117" s="25"/>
      <c r="E117" s="25"/>
      <c r="F117" s="25"/>
      <c r="G117" s="5"/>
      <c r="H117" s="5"/>
      <c r="I117" s="5"/>
      <c r="J117" s="5"/>
      <c r="K117" s="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  <c r="AO117" s="25"/>
      <c r="AP117" s="25"/>
      <c r="AQ117" s="25"/>
      <c r="AR117" s="25"/>
      <c r="AS117" s="25"/>
      <c r="AT117" s="25"/>
      <c r="AU117" s="25"/>
    </row>
    <row r="118">
      <c r="A118" s="25"/>
      <c r="B118" s="25"/>
      <c r="C118" s="25"/>
      <c r="D118" s="25"/>
      <c r="E118" s="25"/>
      <c r="F118" s="25"/>
      <c r="G118" s="5"/>
      <c r="H118" s="5"/>
      <c r="I118" s="5"/>
      <c r="J118" s="5"/>
      <c r="K118" s="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  <c r="AO118" s="25"/>
      <c r="AP118" s="25"/>
      <c r="AQ118" s="25"/>
      <c r="AR118" s="25"/>
      <c r="AS118" s="25"/>
      <c r="AT118" s="25"/>
      <c r="AU118" s="25"/>
    </row>
    <row r="119">
      <c r="A119" s="25"/>
      <c r="B119" s="25"/>
      <c r="C119" s="25"/>
      <c r="D119" s="25"/>
      <c r="E119" s="25"/>
      <c r="F119" s="25"/>
      <c r="G119" s="5"/>
      <c r="H119" s="5"/>
      <c r="I119" s="5"/>
      <c r="J119" s="5"/>
      <c r="K119" s="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  <c r="AO119" s="25"/>
      <c r="AP119" s="25"/>
      <c r="AQ119" s="25"/>
      <c r="AR119" s="25"/>
      <c r="AS119" s="25"/>
      <c r="AT119" s="25"/>
      <c r="AU119" s="25"/>
    </row>
    <row r="120">
      <c r="A120" s="25"/>
      <c r="B120" s="25"/>
      <c r="C120" s="25"/>
      <c r="D120" s="25"/>
      <c r="E120" s="25"/>
      <c r="F120" s="25"/>
      <c r="G120" s="5"/>
      <c r="H120" s="5"/>
      <c r="I120" s="5"/>
      <c r="J120" s="5"/>
      <c r="K120" s="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  <c r="AO120" s="25"/>
      <c r="AP120" s="25"/>
      <c r="AQ120" s="25"/>
      <c r="AR120" s="25"/>
      <c r="AS120" s="25"/>
      <c r="AT120" s="25"/>
      <c r="AU120" s="25"/>
    </row>
    <row r="121">
      <c r="A121" s="25"/>
      <c r="B121" s="25"/>
      <c r="C121" s="25"/>
      <c r="D121" s="25"/>
      <c r="E121" s="25"/>
      <c r="F121" s="25"/>
      <c r="G121" s="5"/>
      <c r="H121" s="5"/>
      <c r="I121" s="5"/>
      <c r="J121" s="5"/>
      <c r="K121" s="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</row>
    <row r="122">
      <c r="A122" s="25"/>
      <c r="B122" s="25"/>
      <c r="C122" s="25"/>
      <c r="D122" s="25"/>
      <c r="E122" s="25"/>
      <c r="F122" s="25"/>
      <c r="G122" s="5"/>
      <c r="H122" s="5"/>
      <c r="I122" s="5"/>
      <c r="J122" s="5"/>
      <c r="K122" s="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  <c r="AO122" s="25"/>
      <c r="AP122" s="25"/>
      <c r="AQ122" s="25"/>
      <c r="AR122" s="25"/>
      <c r="AS122" s="25"/>
      <c r="AT122" s="25"/>
      <c r="AU122" s="25"/>
    </row>
    <row r="123">
      <c r="A123" s="25"/>
      <c r="B123" s="25"/>
      <c r="C123" s="25"/>
      <c r="D123" s="25"/>
      <c r="E123" s="25"/>
      <c r="F123" s="25"/>
      <c r="G123" s="5"/>
      <c r="H123" s="5"/>
      <c r="I123" s="5"/>
      <c r="J123" s="5"/>
      <c r="K123" s="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</row>
    <row r="124">
      <c r="A124" s="25"/>
      <c r="B124" s="25"/>
      <c r="C124" s="25"/>
      <c r="D124" s="25"/>
      <c r="E124" s="25"/>
      <c r="F124" s="25"/>
      <c r="G124" s="5"/>
      <c r="H124" s="5"/>
      <c r="I124" s="5"/>
      <c r="J124" s="5"/>
      <c r="K124" s="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</row>
    <row r="125">
      <c r="A125" s="25"/>
      <c r="B125" s="25"/>
      <c r="C125" s="25"/>
      <c r="D125" s="25"/>
      <c r="E125" s="25"/>
      <c r="F125" s="25"/>
      <c r="G125" s="5"/>
      <c r="H125" s="5"/>
      <c r="I125" s="5"/>
      <c r="J125" s="5"/>
      <c r="K125" s="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</row>
    <row r="126">
      <c r="A126" s="25"/>
      <c r="B126" s="25"/>
      <c r="C126" s="25"/>
      <c r="D126" s="25"/>
      <c r="E126" s="25"/>
      <c r="F126" s="25"/>
      <c r="G126" s="5"/>
      <c r="H126" s="5"/>
      <c r="I126" s="5"/>
      <c r="J126" s="5"/>
      <c r="K126" s="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  <c r="AL126" s="25"/>
      <c r="AM126" s="25"/>
      <c r="AN126" s="25"/>
      <c r="AO126" s="25"/>
      <c r="AP126" s="25"/>
      <c r="AQ126" s="25"/>
      <c r="AR126" s="25"/>
      <c r="AS126" s="25"/>
      <c r="AT126" s="25"/>
      <c r="AU126" s="25"/>
    </row>
    <row r="127">
      <c r="A127" s="25"/>
      <c r="B127" s="25"/>
      <c r="C127" s="25"/>
      <c r="D127" s="25"/>
      <c r="E127" s="25"/>
      <c r="F127" s="25"/>
      <c r="G127" s="5"/>
      <c r="H127" s="5"/>
      <c r="I127" s="5"/>
      <c r="J127" s="5"/>
      <c r="K127" s="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  <c r="AL127" s="25"/>
      <c r="AM127" s="25"/>
      <c r="AN127" s="25"/>
      <c r="AO127" s="25"/>
      <c r="AP127" s="25"/>
      <c r="AQ127" s="25"/>
      <c r="AR127" s="25"/>
      <c r="AS127" s="25"/>
      <c r="AT127" s="25"/>
      <c r="AU127" s="25"/>
    </row>
    <row r="128">
      <c r="A128" s="25"/>
      <c r="B128" s="25"/>
      <c r="C128" s="25"/>
      <c r="D128" s="25"/>
      <c r="E128" s="25"/>
      <c r="F128" s="25"/>
      <c r="G128" s="5"/>
      <c r="H128" s="5"/>
      <c r="I128" s="5"/>
      <c r="J128" s="5"/>
      <c r="K128" s="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  <c r="AL128" s="25"/>
      <c r="AM128" s="25"/>
      <c r="AN128" s="25"/>
      <c r="AO128" s="25"/>
      <c r="AP128" s="25"/>
      <c r="AQ128" s="25"/>
      <c r="AR128" s="25"/>
      <c r="AS128" s="25"/>
      <c r="AT128" s="25"/>
      <c r="AU128" s="25"/>
    </row>
    <row r="129">
      <c r="A129" s="25"/>
      <c r="B129" s="25"/>
      <c r="C129" s="25"/>
      <c r="D129" s="25"/>
      <c r="E129" s="25"/>
      <c r="F129" s="25"/>
      <c r="G129" s="5"/>
      <c r="H129" s="5"/>
      <c r="I129" s="5"/>
      <c r="J129" s="5"/>
      <c r="K129" s="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  <c r="AL129" s="25"/>
      <c r="AM129" s="25"/>
      <c r="AN129" s="25"/>
      <c r="AO129" s="25"/>
      <c r="AP129" s="25"/>
      <c r="AQ129" s="25"/>
      <c r="AR129" s="25"/>
      <c r="AS129" s="25"/>
      <c r="AT129" s="25"/>
      <c r="AU129" s="25"/>
    </row>
    <row r="130">
      <c r="A130" s="25"/>
      <c r="B130" s="25"/>
      <c r="C130" s="25"/>
      <c r="D130" s="25"/>
      <c r="E130" s="25"/>
      <c r="F130" s="25"/>
      <c r="G130" s="5"/>
      <c r="H130" s="5"/>
      <c r="I130" s="5"/>
      <c r="J130" s="5"/>
      <c r="K130" s="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  <c r="AO130" s="25"/>
      <c r="AP130" s="25"/>
      <c r="AQ130" s="25"/>
      <c r="AR130" s="25"/>
      <c r="AS130" s="25"/>
      <c r="AT130" s="25"/>
      <c r="AU130" s="25"/>
    </row>
    <row r="131">
      <c r="A131" s="25"/>
      <c r="B131" s="25"/>
      <c r="C131" s="25"/>
      <c r="D131" s="25"/>
      <c r="E131" s="25"/>
      <c r="F131" s="25"/>
      <c r="G131" s="5"/>
      <c r="H131" s="5"/>
      <c r="I131" s="5"/>
      <c r="J131" s="5"/>
      <c r="K131" s="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  <c r="AO131" s="25"/>
      <c r="AP131" s="25"/>
      <c r="AQ131" s="25"/>
      <c r="AR131" s="25"/>
      <c r="AS131" s="25"/>
      <c r="AT131" s="25"/>
      <c r="AU131" s="25"/>
    </row>
    <row r="132">
      <c r="A132" s="25"/>
      <c r="B132" s="25"/>
      <c r="C132" s="25"/>
      <c r="D132" s="25"/>
      <c r="E132" s="25"/>
      <c r="F132" s="25"/>
      <c r="G132" s="5"/>
      <c r="H132" s="5"/>
      <c r="I132" s="5"/>
      <c r="J132" s="5"/>
      <c r="K132" s="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  <c r="AL132" s="25"/>
      <c r="AM132" s="25"/>
      <c r="AN132" s="25"/>
      <c r="AO132" s="25"/>
      <c r="AP132" s="25"/>
      <c r="AQ132" s="25"/>
      <c r="AR132" s="25"/>
      <c r="AS132" s="25"/>
      <c r="AT132" s="25"/>
      <c r="AU132" s="25"/>
    </row>
    <row r="133">
      <c r="A133" s="25"/>
      <c r="B133" s="25"/>
      <c r="C133" s="25"/>
      <c r="D133" s="25"/>
      <c r="E133" s="25"/>
      <c r="F133" s="25"/>
      <c r="G133" s="5"/>
      <c r="H133" s="5"/>
      <c r="I133" s="5"/>
      <c r="J133" s="5"/>
      <c r="K133" s="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25"/>
      <c r="AL133" s="25"/>
      <c r="AM133" s="25"/>
      <c r="AN133" s="25"/>
      <c r="AO133" s="25"/>
      <c r="AP133" s="25"/>
      <c r="AQ133" s="25"/>
      <c r="AR133" s="25"/>
      <c r="AS133" s="25"/>
      <c r="AT133" s="25"/>
      <c r="AU133" s="25"/>
    </row>
    <row r="134">
      <c r="A134" s="25"/>
      <c r="B134" s="25"/>
      <c r="C134" s="25"/>
      <c r="D134" s="25"/>
      <c r="E134" s="25"/>
      <c r="F134" s="25"/>
      <c r="G134" s="5"/>
      <c r="H134" s="5"/>
      <c r="I134" s="5"/>
      <c r="J134" s="5"/>
      <c r="K134" s="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  <c r="AM134" s="25"/>
      <c r="AN134" s="25"/>
      <c r="AO134" s="25"/>
      <c r="AP134" s="25"/>
      <c r="AQ134" s="25"/>
      <c r="AR134" s="25"/>
      <c r="AS134" s="25"/>
      <c r="AT134" s="25"/>
      <c r="AU134" s="25"/>
    </row>
    <row r="135">
      <c r="A135" s="25"/>
      <c r="B135" s="25"/>
      <c r="C135" s="25"/>
      <c r="D135" s="25"/>
      <c r="E135" s="25"/>
      <c r="F135" s="25"/>
      <c r="G135" s="5"/>
      <c r="H135" s="5"/>
      <c r="I135" s="5"/>
      <c r="J135" s="5"/>
      <c r="K135" s="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  <c r="AO135" s="25"/>
      <c r="AP135" s="25"/>
      <c r="AQ135" s="25"/>
      <c r="AR135" s="25"/>
      <c r="AS135" s="25"/>
      <c r="AT135" s="25"/>
      <c r="AU135" s="25"/>
    </row>
    <row r="136">
      <c r="A136" s="25"/>
      <c r="B136" s="25"/>
      <c r="C136" s="25"/>
      <c r="D136" s="25"/>
      <c r="E136" s="25"/>
      <c r="F136" s="25"/>
      <c r="G136" s="5"/>
      <c r="H136" s="5"/>
      <c r="I136" s="5"/>
      <c r="J136" s="5"/>
      <c r="K136" s="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  <c r="AO136" s="25"/>
      <c r="AP136" s="25"/>
      <c r="AQ136" s="25"/>
      <c r="AR136" s="25"/>
      <c r="AS136" s="25"/>
      <c r="AT136" s="25"/>
      <c r="AU136" s="25"/>
    </row>
    <row r="137">
      <c r="A137" s="25"/>
      <c r="B137" s="25"/>
      <c r="C137" s="25"/>
      <c r="D137" s="25"/>
      <c r="E137" s="25"/>
      <c r="F137" s="25"/>
      <c r="G137" s="5"/>
      <c r="H137" s="5"/>
      <c r="I137" s="5"/>
      <c r="J137" s="5"/>
      <c r="K137" s="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  <c r="AO137" s="25"/>
      <c r="AP137" s="25"/>
      <c r="AQ137" s="25"/>
      <c r="AR137" s="25"/>
      <c r="AS137" s="25"/>
      <c r="AT137" s="25"/>
      <c r="AU137" s="25"/>
    </row>
    <row r="138">
      <c r="A138" s="25"/>
      <c r="B138" s="25"/>
      <c r="C138" s="25"/>
      <c r="D138" s="25"/>
      <c r="E138" s="25"/>
      <c r="F138" s="25"/>
      <c r="G138" s="5"/>
      <c r="H138" s="5"/>
      <c r="I138" s="5"/>
      <c r="J138" s="5"/>
      <c r="K138" s="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  <c r="AO138" s="25"/>
      <c r="AP138" s="25"/>
      <c r="AQ138" s="25"/>
      <c r="AR138" s="25"/>
      <c r="AS138" s="25"/>
      <c r="AT138" s="25"/>
      <c r="AU138" s="25"/>
    </row>
    <row r="139">
      <c r="A139" s="25"/>
      <c r="B139" s="25"/>
      <c r="C139" s="25"/>
      <c r="D139" s="25"/>
      <c r="E139" s="25"/>
      <c r="F139" s="25"/>
      <c r="G139" s="5"/>
      <c r="H139" s="5"/>
      <c r="I139" s="5"/>
      <c r="J139" s="5"/>
      <c r="K139" s="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  <c r="AO139" s="25"/>
      <c r="AP139" s="25"/>
      <c r="AQ139" s="25"/>
      <c r="AR139" s="25"/>
      <c r="AS139" s="25"/>
      <c r="AT139" s="25"/>
      <c r="AU139" s="25"/>
    </row>
    <row r="140">
      <c r="A140" s="25"/>
      <c r="B140" s="25"/>
      <c r="C140" s="25"/>
      <c r="D140" s="25"/>
      <c r="E140" s="25"/>
      <c r="F140" s="25"/>
      <c r="G140" s="5"/>
      <c r="H140" s="5"/>
      <c r="I140" s="5"/>
      <c r="J140" s="5"/>
      <c r="K140" s="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  <c r="AO140" s="25"/>
      <c r="AP140" s="25"/>
      <c r="AQ140" s="25"/>
      <c r="AR140" s="25"/>
      <c r="AS140" s="25"/>
      <c r="AT140" s="25"/>
      <c r="AU140" s="25"/>
    </row>
    <row r="141">
      <c r="A141" s="25"/>
      <c r="B141" s="25"/>
      <c r="C141" s="25"/>
      <c r="D141" s="25"/>
      <c r="E141" s="25"/>
      <c r="F141" s="25"/>
      <c r="G141" s="5"/>
      <c r="H141" s="5"/>
      <c r="I141" s="5"/>
      <c r="J141" s="5"/>
      <c r="K141" s="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  <c r="AO141" s="25"/>
      <c r="AP141" s="25"/>
      <c r="AQ141" s="25"/>
      <c r="AR141" s="25"/>
      <c r="AS141" s="25"/>
      <c r="AT141" s="25"/>
      <c r="AU141" s="25"/>
    </row>
    <row r="142">
      <c r="A142" s="25"/>
      <c r="B142" s="25"/>
      <c r="C142" s="25"/>
      <c r="D142" s="25"/>
      <c r="E142" s="25"/>
      <c r="F142" s="25"/>
      <c r="G142" s="5"/>
      <c r="H142" s="5"/>
      <c r="I142" s="5"/>
      <c r="J142" s="5"/>
      <c r="K142" s="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  <c r="AO142" s="25"/>
      <c r="AP142" s="25"/>
      <c r="AQ142" s="25"/>
      <c r="AR142" s="25"/>
      <c r="AS142" s="25"/>
      <c r="AT142" s="25"/>
      <c r="AU142" s="25"/>
    </row>
    <row r="143">
      <c r="A143" s="25"/>
      <c r="B143" s="25"/>
      <c r="C143" s="25"/>
      <c r="D143" s="25"/>
      <c r="E143" s="25"/>
      <c r="F143" s="25"/>
      <c r="G143" s="5"/>
      <c r="H143" s="5"/>
      <c r="I143" s="5"/>
      <c r="J143" s="5"/>
      <c r="K143" s="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  <c r="AO143" s="25"/>
      <c r="AP143" s="25"/>
      <c r="AQ143" s="25"/>
      <c r="AR143" s="25"/>
      <c r="AS143" s="25"/>
      <c r="AT143" s="25"/>
      <c r="AU143" s="25"/>
    </row>
    <row r="144">
      <c r="A144" s="25"/>
      <c r="B144" s="25"/>
      <c r="C144" s="25"/>
      <c r="D144" s="25"/>
      <c r="E144" s="25"/>
      <c r="F144" s="25"/>
      <c r="G144" s="5"/>
      <c r="H144" s="5"/>
      <c r="I144" s="5"/>
      <c r="J144" s="5"/>
      <c r="K144" s="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  <c r="AO144" s="25"/>
      <c r="AP144" s="25"/>
      <c r="AQ144" s="25"/>
      <c r="AR144" s="25"/>
      <c r="AS144" s="25"/>
      <c r="AT144" s="25"/>
      <c r="AU144" s="25"/>
    </row>
    <row r="145">
      <c r="A145" s="25"/>
      <c r="B145" s="25"/>
      <c r="C145" s="25"/>
      <c r="D145" s="25"/>
      <c r="E145" s="25"/>
      <c r="F145" s="25"/>
      <c r="G145" s="5"/>
      <c r="H145" s="5"/>
      <c r="I145" s="5"/>
      <c r="J145" s="5"/>
      <c r="K145" s="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  <c r="AO145" s="25"/>
      <c r="AP145" s="25"/>
      <c r="AQ145" s="25"/>
      <c r="AR145" s="25"/>
      <c r="AS145" s="25"/>
      <c r="AT145" s="25"/>
      <c r="AU145" s="25"/>
    </row>
    <row r="146">
      <c r="A146" s="25"/>
      <c r="B146" s="25"/>
      <c r="C146" s="25"/>
      <c r="D146" s="25"/>
      <c r="E146" s="25"/>
      <c r="F146" s="25"/>
      <c r="G146" s="5"/>
      <c r="H146" s="5"/>
      <c r="I146" s="5"/>
      <c r="J146" s="5"/>
      <c r="K146" s="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  <c r="AO146" s="25"/>
      <c r="AP146" s="25"/>
      <c r="AQ146" s="25"/>
      <c r="AR146" s="25"/>
      <c r="AS146" s="25"/>
      <c r="AT146" s="25"/>
      <c r="AU146" s="25"/>
    </row>
    <row r="147">
      <c r="A147" s="25"/>
      <c r="B147" s="25"/>
      <c r="C147" s="25"/>
      <c r="D147" s="25"/>
      <c r="E147" s="25"/>
      <c r="F147" s="25"/>
      <c r="G147" s="5"/>
      <c r="H147" s="5"/>
      <c r="I147" s="5"/>
      <c r="J147" s="5"/>
      <c r="K147" s="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  <c r="AO147" s="25"/>
      <c r="AP147" s="25"/>
      <c r="AQ147" s="25"/>
      <c r="AR147" s="25"/>
      <c r="AS147" s="25"/>
      <c r="AT147" s="25"/>
      <c r="AU147" s="25"/>
    </row>
    <row r="148">
      <c r="A148" s="25"/>
      <c r="B148" s="25"/>
      <c r="C148" s="25"/>
      <c r="D148" s="25"/>
      <c r="E148" s="25"/>
      <c r="F148" s="25"/>
      <c r="G148" s="5"/>
      <c r="H148" s="5"/>
      <c r="I148" s="5"/>
      <c r="J148" s="5"/>
      <c r="K148" s="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  <c r="AO148" s="25"/>
      <c r="AP148" s="25"/>
      <c r="AQ148" s="25"/>
      <c r="AR148" s="25"/>
      <c r="AS148" s="25"/>
      <c r="AT148" s="25"/>
      <c r="AU148" s="25"/>
    </row>
    <row r="149">
      <c r="A149" s="25"/>
      <c r="B149" s="25"/>
      <c r="C149" s="25"/>
      <c r="D149" s="25"/>
      <c r="E149" s="25"/>
      <c r="F149" s="25"/>
      <c r="G149" s="5"/>
      <c r="H149" s="5"/>
      <c r="I149" s="5"/>
      <c r="J149" s="5"/>
      <c r="K149" s="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  <c r="AO149" s="25"/>
      <c r="AP149" s="25"/>
      <c r="AQ149" s="25"/>
      <c r="AR149" s="25"/>
      <c r="AS149" s="25"/>
      <c r="AT149" s="25"/>
      <c r="AU149" s="25"/>
    </row>
    <row r="150">
      <c r="A150" s="25"/>
      <c r="B150" s="25"/>
      <c r="C150" s="25"/>
      <c r="D150" s="25"/>
      <c r="E150" s="25"/>
      <c r="F150" s="25"/>
      <c r="G150" s="5"/>
      <c r="H150" s="5"/>
      <c r="I150" s="5"/>
      <c r="J150" s="5"/>
      <c r="K150" s="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  <c r="AO150" s="25"/>
      <c r="AP150" s="25"/>
      <c r="AQ150" s="25"/>
      <c r="AR150" s="25"/>
      <c r="AS150" s="25"/>
      <c r="AT150" s="25"/>
      <c r="AU150" s="25"/>
    </row>
    <row r="151">
      <c r="A151" s="25"/>
      <c r="B151" s="25"/>
      <c r="C151" s="25"/>
      <c r="D151" s="25"/>
      <c r="E151" s="25"/>
      <c r="F151" s="25"/>
      <c r="G151" s="5"/>
      <c r="H151" s="5"/>
      <c r="I151" s="5"/>
      <c r="J151" s="5"/>
      <c r="K151" s="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  <c r="AO151" s="25"/>
      <c r="AP151" s="25"/>
      <c r="AQ151" s="25"/>
      <c r="AR151" s="25"/>
      <c r="AS151" s="25"/>
      <c r="AT151" s="25"/>
      <c r="AU151" s="25"/>
    </row>
    <row r="152">
      <c r="A152" s="25"/>
      <c r="B152" s="25"/>
      <c r="C152" s="25"/>
      <c r="D152" s="25"/>
      <c r="E152" s="25"/>
      <c r="F152" s="25"/>
      <c r="G152" s="5"/>
      <c r="H152" s="5"/>
      <c r="I152" s="5"/>
      <c r="J152" s="5"/>
      <c r="K152" s="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  <c r="AO152" s="25"/>
      <c r="AP152" s="25"/>
      <c r="AQ152" s="25"/>
      <c r="AR152" s="25"/>
      <c r="AS152" s="25"/>
      <c r="AT152" s="25"/>
      <c r="AU152" s="25"/>
    </row>
    <row r="153">
      <c r="A153" s="25"/>
      <c r="B153" s="25"/>
      <c r="C153" s="25"/>
      <c r="D153" s="25"/>
      <c r="E153" s="25"/>
      <c r="F153" s="25"/>
      <c r="G153" s="5"/>
      <c r="H153" s="5"/>
      <c r="I153" s="5"/>
      <c r="J153" s="5"/>
      <c r="K153" s="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  <c r="AO153" s="25"/>
      <c r="AP153" s="25"/>
      <c r="AQ153" s="25"/>
      <c r="AR153" s="25"/>
      <c r="AS153" s="25"/>
      <c r="AT153" s="25"/>
      <c r="AU153" s="25"/>
    </row>
    <row r="154">
      <c r="A154" s="25"/>
      <c r="B154" s="25"/>
      <c r="C154" s="25"/>
      <c r="D154" s="25"/>
      <c r="E154" s="25"/>
      <c r="F154" s="25"/>
      <c r="G154" s="5"/>
      <c r="H154" s="5"/>
      <c r="I154" s="5"/>
      <c r="J154" s="5"/>
      <c r="K154" s="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  <c r="AO154" s="25"/>
      <c r="AP154" s="25"/>
      <c r="AQ154" s="25"/>
      <c r="AR154" s="25"/>
      <c r="AS154" s="25"/>
      <c r="AT154" s="25"/>
      <c r="AU154" s="25"/>
    </row>
    <row r="155">
      <c r="A155" s="25"/>
      <c r="B155" s="25"/>
      <c r="C155" s="25"/>
      <c r="D155" s="25"/>
      <c r="E155" s="25"/>
      <c r="F155" s="25"/>
      <c r="G155" s="5"/>
      <c r="H155" s="5"/>
      <c r="I155" s="5"/>
      <c r="J155" s="5"/>
      <c r="K155" s="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  <c r="AO155" s="25"/>
      <c r="AP155" s="25"/>
      <c r="AQ155" s="25"/>
      <c r="AR155" s="25"/>
      <c r="AS155" s="25"/>
      <c r="AT155" s="25"/>
      <c r="AU155" s="25"/>
    </row>
    <row r="156">
      <c r="A156" s="25"/>
      <c r="B156" s="25"/>
      <c r="C156" s="25"/>
      <c r="D156" s="25"/>
      <c r="E156" s="25"/>
      <c r="F156" s="25"/>
      <c r="G156" s="5"/>
      <c r="H156" s="5"/>
      <c r="I156" s="5"/>
      <c r="J156" s="5"/>
      <c r="K156" s="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  <c r="AO156" s="25"/>
      <c r="AP156" s="25"/>
      <c r="AQ156" s="25"/>
      <c r="AR156" s="25"/>
      <c r="AS156" s="25"/>
      <c r="AT156" s="25"/>
      <c r="AU156" s="25"/>
    </row>
    <row r="157">
      <c r="A157" s="25"/>
      <c r="B157" s="25"/>
      <c r="C157" s="25"/>
      <c r="D157" s="25"/>
      <c r="E157" s="25"/>
      <c r="F157" s="25"/>
      <c r="G157" s="5"/>
      <c r="H157" s="5"/>
      <c r="I157" s="5"/>
      <c r="J157" s="5"/>
      <c r="K157" s="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  <c r="AO157" s="25"/>
      <c r="AP157" s="25"/>
      <c r="AQ157" s="25"/>
      <c r="AR157" s="25"/>
      <c r="AS157" s="25"/>
      <c r="AT157" s="25"/>
      <c r="AU157" s="25"/>
    </row>
    <row r="158">
      <c r="A158" s="25"/>
      <c r="B158" s="25"/>
      <c r="C158" s="25"/>
      <c r="D158" s="25"/>
      <c r="E158" s="25"/>
      <c r="F158" s="25"/>
      <c r="G158" s="5"/>
      <c r="H158" s="5"/>
      <c r="I158" s="5"/>
      <c r="J158" s="5"/>
      <c r="K158" s="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  <c r="AO158" s="25"/>
      <c r="AP158" s="25"/>
      <c r="AQ158" s="25"/>
      <c r="AR158" s="25"/>
      <c r="AS158" s="25"/>
      <c r="AT158" s="25"/>
      <c r="AU158" s="25"/>
    </row>
    <row r="159">
      <c r="A159" s="25"/>
      <c r="B159" s="25"/>
      <c r="C159" s="25"/>
      <c r="D159" s="25"/>
      <c r="E159" s="25"/>
      <c r="F159" s="25"/>
      <c r="G159" s="5"/>
      <c r="H159" s="5"/>
      <c r="I159" s="5"/>
      <c r="J159" s="5"/>
      <c r="K159" s="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  <c r="AO159" s="25"/>
      <c r="AP159" s="25"/>
      <c r="AQ159" s="25"/>
      <c r="AR159" s="25"/>
      <c r="AS159" s="25"/>
      <c r="AT159" s="25"/>
      <c r="AU159" s="25"/>
    </row>
    <row r="160">
      <c r="A160" s="25"/>
      <c r="B160" s="25"/>
      <c r="C160" s="25"/>
      <c r="D160" s="25"/>
      <c r="E160" s="25"/>
      <c r="F160" s="25"/>
      <c r="G160" s="5"/>
      <c r="H160" s="5"/>
      <c r="I160" s="5"/>
      <c r="J160" s="5"/>
      <c r="K160" s="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  <c r="AO160" s="25"/>
      <c r="AP160" s="25"/>
      <c r="AQ160" s="25"/>
      <c r="AR160" s="25"/>
      <c r="AS160" s="25"/>
      <c r="AT160" s="25"/>
      <c r="AU160" s="25"/>
    </row>
    <row r="161">
      <c r="A161" s="25"/>
      <c r="B161" s="25"/>
      <c r="C161" s="25"/>
      <c r="D161" s="25"/>
      <c r="E161" s="25"/>
      <c r="F161" s="25"/>
      <c r="G161" s="5"/>
      <c r="H161" s="5"/>
      <c r="I161" s="5"/>
      <c r="J161" s="5"/>
      <c r="K161" s="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  <c r="AO161" s="25"/>
      <c r="AP161" s="25"/>
      <c r="AQ161" s="25"/>
      <c r="AR161" s="25"/>
      <c r="AS161" s="25"/>
      <c r="AT161" s="25"/>
      <c r="AU161" s="25"/>
    </row>
    <row r="162">
      <c r="A162" s="25"/>
      <c r="B162" s="25"/>
      <c r="C162" s="25"/>
      <c r="D162" s="25"/>
      <c r="E162" s="25"/>
      <c r="F162" s="25"/>
      <c r="G162" s="5"/>
      <c r="H162" s="5"/>
      <c r="I162" s="5"/>
      <c r="J162" s="5"/>
      <c r="K162" s="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  <c r="AO162" s="25"/>
      <c r="AP162" s="25"/>
      <c r="AQ162" s="25"/>
      <c r="AR162" s="25"/>
      <c r="AS162" s="25"/>
      <c r="AT162" s="25"/>
      <c r="AU162" s="25"/>
    </row>
    <row r="163">
      <c r="A163" s="25"/>
      <c r="B163" s="25"/>
      <c r="C163" s="25"/>
      <c r="D163" s="25"/>
      <c r="E163" s="25"/>
      <c r="F163" s="25"/>
      <c r="G163" s="5"/>
      <c r="H163" s="5"/>
      <c r="I163" s="5"/>
      <c r="J163" s="5"/>
      <c r="K163" s="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  <c r="AO163" s="25"/>
      <c r="AP163" s="25"/>
      <c r="AQ163" s="25"/>
      <c r="AR163" s="25"/>
      <c r="AS163" s="25"/>
      <c r="AT163" s="25"/>
      <c r="AU163" s="25"/>
    </row>
    <row r="164">
      <c r="A164" s="25"/>
      <c r="B164" s="25"/>
      <c r="C164" s="25"/>
      <c r="D164" s="25"/>
      <c r="E164" s="25"/>
      <c r="F164" s="25"/>
      <c r="G164" s="5"/>
      <c r="H164" s="5"/>
      <c r="I164" s="5"/>
      <c r="J164" s="5"/>
      <c r="K164" s="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  <c r="AO164" s="25"/>
      <c r="AP164" s="25"/>
      <c r="AQ164" s="25"/>
      <c r="AR164" s="25"/>
      <c r="AS164" s="25"/>
      <c r="AT164" s="25"/>
      <c r="AU164" s="25"/>
    </row>
    <row r="165">
      <c r="A165" s="25"/>
      <c r="B165" s="25"/>
      <c r="C165" s="25"/>
      <c r="D165" s="25"/>
      <c r="E165" s="25"/>
      <c r="F165" s="25"/>
      <c r="G165" s="5"/>
      <c r="H165" s="5"/>
      <c r="I165" s="5"/>
      <c r="J165" s="5"/>
      <c r="K165" s="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  <c r="AO165" s="25"/>
      <c r="AP165" s="25"/>
      <c r="AQ165" s="25"/>
      <c r="AR165" s="25"/>
      <c r="AS165" s="25"/>
      <c r="AT165" s="25"/>
      <c r="AU165" s="25"/>
    </row>
    <row r="166">
      <c r="A166" s="25"/>
      <c r="B166" s="25"/>
      <c r="C166" s="25"/>
      <c r="D166" s="25"/>
      <c r="E166" s="25"/>
      <c r="F166" s="25"/>
      <c r="G166" s="5"/>
      <c r="H166" s="5"/>
      <c r="I166" s="5"/>
      <c r="J166" s="5"/>
      <c r="K166" s="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  <c r="AO166" s="25"/>
      <c r="AP166" s="25"/>
      <c r="AQ166" s="25"/>
      <c r="AR166" s="25"/>
      <c r="AS166" s="25"/>
      <c r="AT166" s="25"/>
      <c r="AU166" s="25"/>
    </row>
    <row r="167">
      <c r="A167" s="25"/>
      <c r="B167" s="25"/>
      <c r="C167" s="25"/>
      <c r="D167" s="25"/>
      <c r="E167" s="25"/>
      <c r="F167" s="25"/>
      <c r="G167" s="5"/>
      <c r="H167" s="5"/>
      <c r="I167" s="5"/>
      <c r="J167" s="5"/>
      <c r="K167" s="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  <c r="AJ167" s="25"/>
      <c r="AK167" s="25"/>
      <c r="AL167" s="25"/>
      <c r="AM167" s="25"/>
      <c r="AN167" s="25"/>
      <c r="AO167" s="25"/>
      <c r="AP167" s="25"/>
      <c r="AQ167" s="25"/>
      <c r="AR167" s="25"/>
      <c r="AS167" s="25"/>
      <c r="AT167" s="25"/>
      <c r="AU167" s="25"/>
    </row>
    <row r="168">
      <c r="A168" s="25"/>
      <c r="B168" s="25"/>
      <c r="C168" s="25"/>
      <c r="D168" s="25"/>
      <c r="E168" s="25"/>
      <c r="F168" s="25"/>
      <c r="G168" s="5"/>
      <c r="H168" s="5"/>
      <c r="I168" s="5"/>
      <c r="J168" s="5"/>
      <c r="K168" s="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  <c r="AG168" s="25"/>
      <c r="AH168" s="25"/>
      <c r="AI168" s="25"/>
      <c r="AJ168" s="25"/>
      <c r="AK168" s="25"/>
      <c r="AL168" s="25"/>
      <c r="AM168" s="25"/>
      <c r="AN168" s="25"/>
      <c r="AO168" s="25"/>
      <c r="AP168" s="25"/>
      <c r="AQ168" s="25"/>
      <c r="AR168" s="25"/>
      <c r="AS168" s="25"/>
      <c r="AT168" s="25"/>
      <c r="AU168" s="25"/>
    </row>
    <row r="169">
      <c r="A169" s="25"/>
      <c r="B169" s="25"/>
      <c r="C169" s="25"/>
      <c r="D169" s="25"/>
      <c r="E169" s="25"/>
      <c r="F169" s="25"/>
      <c r="G169" s="5"/>
      <c r="H169" s="5"/>
      <c r="I169" s="5"/>
      <c r="J169" s="5"/>
      <c r="K169" s="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  <c r="AG169" s="25"/>
      <c r="AH169" s="25"/>
      <c r="AI169" s="25"/>
      <c r="AJ169" s="25"/>
      <c r="AK169" s="25"/>
      <c r="AL169" s="25"/>
      <c r="AM169" s="25"/>
      <c r="AN169" s="25"/>
      <c r="AO169" s="25"/>
      <c r="AP169" s="25"/>
      <c r="AQ169" s="25"/>
      <c r="AR169" s="25"/>
      <c r="AS169" s="25"/>
      <c r="AT169" s="25"/>
      <c r="AU169" s="25"/>
    </row>
    <row r="170">
      <c r="A170" s="25"/>
      <c r="B170" s="25"/>
      <c r="C170" s="25"/>
      <c r="D170" s="25"/>
      <c r="E170" s="25"/>
      <c r="F170" s="25"/>
      <c r="G170" s="5"/>
      <c r="H170" s="5"/>
      <c r="I170" s="5"/>
      <c r="J170" s="5"/>
      <c r="K170" s="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  <c r="AG170" s="25"/>
      <c r="AH170" s="25"/>
      <c r="AI170" s="25"/>
      <c r="AJ170" s="25"/>
      <c r="AK170" s="25"/>
      <c r="AL170" s="25"/>
      <c r="AM170" s="25"/>
      <c r="AN170" s="25"/>
      <c r="AO170" s="25"/>
      <c r="AP170" s="25"/>
      <c r="AQ170" s="25"/>
      <c r="AR170" s="25"/>
      <c r="AS170" s="25"/>
      <c r="AT170" s="25"/>
      <c r="AU170" s="25"/>
    </row>
    <row r="171">
      <c r="A171" s="25"/>
      <c r="B171" s="25"/>
      <c r="C171" s="25"/>
      <c r="D171" s="25"/>
      <c r="E171" s="25"/>
      <c r="F171" s="25"/>
      <c r="G171" s="5"/>
      <c r="H171" s="5"/>
      <c r="I171" s="5"/>
      <c r="J171" s="5"/>
      <c r="K171" s="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  <c r="AO171" s="25"/>
      <c r="AP171" s="25"/>
      <c r="AQ171" s="25"/>
      <c r="AR171" s="25"/>
      <c r="AS171" s="25"/>
      <c r="AT171" s="25"/>
      <c r="AU171" s="25"/>
    </row>
    <row r="172">
      <c r="A172" s="25"/>
      <c r="B172" s="25"/>
      <c r="C172" s="25"/>
      <c r="D172" s="25"/>
      <c r="E172" s="25"/>
      <c r="F172" s="25"/>
      <c r="G172" s="5"/>
      <c r="H172" s="5"/>
      <c r="I172" s="5"/>
      <c r="J172" s="5"/>
      <c r="K172" s="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  <c r="AO172" s="25"/>
      <c r="AP172" s="25"/>
      <c r="AQ172" s="25"/>
      <c r="AR172" s="25"/>
      <c r="AS172" s="25"/>
      <c r="AT172" s="25"/>
      <c r="AU172" s="25"/>
    </row>
    <row r="173">
      <c r="A173" s="25"/>
      <c r="B173" s="25"/>
      <c r="C173" s="25"/>
      <c r="D173" s="25"/>
      <c r="E173" s="25"/>
      <c r="F173" s="25"/>
      <c r="G173" s="5"/>
      <c r="H173" s="5"/>
      <c r="I173" s="5"/>
      <c r="J173" s="5"/>
      <c r="K173" s="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  <c r="AO173" s="25"/>
      <c r="AP173" s="25"/>
      <c r="AQ173" s="25"/>
      <c r="AR173" s="25"/>
      <c r="AS173" s="25"/>
      <c r="AT173" s="25"/>
      <c r="AU173" s="25"/>
    </row>
    <row r="174">
      <c r="A174" s="25"/>
      <c r="B174" s="25"/>
      <c r="C174" s="25"/>
      <c r="D174" s="25"/>
      <c r="E174" s="25"/>
      <c r="F174" s="25"/>
      <c r="G174" s="5"/>
      <c r="H174" s="5"/>
      <c r="I174" s="5"/>
      <c r="J174" s="5"/>
      <c r="K174" s="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  <c r="AO174" s="25"/>
      <c r="AP174" s="25"/>
      <c r="AQ174" s="25"/>
      <c r="AR174" s="25"/>
      <c r="AS174" s="25"/>
      <c r="AT174" s="25"/>
      <c r="AU174" s="25"/>
    </row>
    <row r="175">
      <c r="A175" s="25"/>
      <c r="B175" s="25"/>
      <c r="C175" s="25"/>
      <c r="D175" s="25"/>
      <c r="E175" s="25"/>
      <c r="F175" s="25"/>
      <c r="G175" s="5"/>
      <c r="H175" s="5"/>
      <c r="I175" s="5"/>
      <c r="J175" s="5"/>
      <c r="K175" s="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  <c r="AO175" s="25"/>
      <c r="AP175" s="25"/>
      <c r="AQ175" s="25"/>
      <c r="AR175" s="25"/>
      <c r="AS175" s="25"/>
      <c r="AT175" s="25"/>
      <c r="AU175" s="25"/>
    </row>
    <row r="176">
      <c r="A176" s="25"/>
      <c r="B176" s="25"/>
      <c r="C176" s="25"/>
      <c r="D176" s="25"/>
      <c r="E176" s="25"/>
      <c r="F176" s="25"/>
      <c r="G176" s="5"/>
      <c r="H176" s="5"/>
      <c r="I176" s="5"/>
      <c r="J176" s="5"/>
      <c r="K176" s="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  <c r="AO176" s="25"/>
      <c r="AP176" s="25"/>
      <c r="AQ176" s="25"/>
      <c r="AR176" s="25"/>
      <c r="AS176" s="25"/>
      <c r="AT176" s="25"/>
      <c r="AU176" s="25"/>
    </row>
    <row r="177">
      <c r="A177" s="25"/>
      <c r="B177" s="25"/>
      <c r="C177" s="25"/>
      <c r="D177" s="25"/>
      <c r="E177" s="25"/>
      <c r="F177" s="25"/>
      <c r="G177" s="5"/>
      <c r="H177" s="5"/>
      <c r="I177" s="5"/>
      <c r="J177" s="5"/>
      <c r="K177" s="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  <c r="AO177" s="25"/>
      <c r="AP177" s="25"/>
      <c r="AQ177" s="25"/>
      <c r="AR177" s="25"/>
      <c r="AS177" s="25"/>
      <c r="AT177" s="25"/>
      <c r="AU177" s="25"/>
    </row>
    <row r="178">
      <c r="A178" s="25"/>
      <c r="B178" s="25"/>
      <c r="C178" s="25"/>
      <c r="D178" s="25"/>
      <c r="E178" s="25"/>
      <c r="F178" s="25"/>
      <c r="G178" s="5"/>
      <c r="H178" s="5"/>
      <c r="I178" s="5"/>
      <c r="J178" s="5"/>
      <c r="K178" s="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  <c r="AO178" s="25"/>
      <c r="AP178" s="25"/>
      <c r="AQ178" s="25"/>
      <c r="AR178" s="25"/>
      <c r="AS178" s="25"/>
      <c r="AT178" s="25"/>
      <c r="AU178" s="25"/>
    </row>
    <row r="179">
      <c r="A179" s="25"/>
      <c r="B179" s="25"/>
      <c r="C179" s="25"/>
      <c r="D179" s="25"/>
      <c r="E179" s="25"/>
      <c r="F179" s="25"/>
      <c r="G179" s="5"/>
      <c r="H179" s="5"/>
      <c r="I179" s="5"/>
      <c r="J179" s="5"/>
      <c r="K179" s="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  <c r="AO179" s="25"/>
      <c r="AP179" s="25"/>
      <c r="AQ179" s="25"/>
      <c r="AR179" s="25"/>
      <c r="AS179" s="25"/>
      <c r="AT179" s="25"/>
      <c r="AU179" s="25"/>
    </row>
    <row r="180">
      <c r="A180" s="25"/>
      <c r="B180" s="25"/>
      <c r="C180" s="25"/>
      <c r="D180" s="25"/>
      <c r="E180" s="25"/>
      <c r="F180" s="25"/>
      <c r="G180" s="5"/>
      <c r="H180" s="5"/>
      <c r="I180" s="5"/>
      <c r="J180" s="5"/>
      <c r="K180" s="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  <c r="AO180" s="25"/>
      <c r="AP180" s="25"/>
      <c r="AQ180" s="25"/>
      <c r="AR180" s="25"/>
      <c r="AS180" s="25"/>
      <c r="AT180" s="25"/>
      <c r="AU180" s="25"/>
    </row>
    <row r="181">
      <c r="A181" s="25"/>
      <c r="B181" s="25"/>
      <c r="C181" s="25"/>
      <c r="D181" s="25"/>
      <c r="E181" s="25"/>
      <c r="F181" s="25"/>
      <c r="G181" s="5"/>
      <c r="H181" s="5"/>
      <c r="I181" s="5"/>
      <c r="J181" s="5"/>
      <c r="K181" s="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  <c r="AO181" s="25"/>
      <c r="AP181" s="25"/>
      <c r="AQ181" s="25"/>
      <c r="AR181" s="25"/>
      <c r="AS181" s="25"/>
      <c r="AT181" s="25"/>
      <c r="AU181" s="25"/>
    </row>
    <row r="182">
      <c r="A182" s="25"/>
      <c r="B182" s="25"/>
      <c r="C182" s="25"/>
      <c r="D182" s="25"/>
      <c r="E182" s="25"/>
      <c r="F182" s="25"/>
      <c r="G182" s="5"/>
      <c r="H182" s="5"/>
      <c r="I182" s="5"/>
      <c r="J182" s="5"/>
      <c r="K182" s="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  <c r="AO182" s="25"/>
      <c r="AP182" s="25"/>
      <c r="AQ182" s="25"/>
      <c r="AR182" s="25"/>
      <c r="AS182" s="25"/>
      <c r="AT182" s="25"/>
      <c r="AU182" s="25"/>
    </row>
    <row r="183">
      <c r="A183" s="25"/>
      <c r="B183" s="25"/>
      <c r="C183" s="25"/>
      <c r="D183" s="25"/>
      <c r="E183" s="25"/>
      <c r="F183" s="25"/>
      <c r="G183" s="5"/>
      <c r="H183" s="5"/>
      <c r="I183" s="5"/>
      <c r="J183" s="5"/>
      <c r="K183" s="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  <c r="AO183" s="25"/>
      <c r="AP183" s="25"/>
      <c r="AQ183" s="25"/>
      <c r="AR183" s="25"/>
      <c r="AS183" s="25"/>
      <c r="AT183" s="25"/>
      <c r="AU183" s="25"/>
    </row>
    <row r="184">
      <c r="A184" s="25"/>
      <c r="B184" s="25"/>
      <c r="C184" s="25"/>
      <c r="D184" s="25"/>
      <c r="E184" s="25"/>
      <c r="F184" s="25"/>
      <c r="G184" s="5"/>
      <c r="H184" s="5"/>
      <c r="I184" s="5"/>
      <c r="J184" s="5"/>
      <c r="K184" s="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  <c r="AO184" s="25"/>
      <c r="AP184" s="25"/>
      <c r="AQ184" s="25"/>
      <c r="AR184" s="25"/>
      <c r="AS184" s="25"/>
      <c r="AT184" s="25"/>
      <c r="AU184" s="25"/>
    </row>
    <row r="185">
      <c r="A185" s="25"/>
      <c r="B185" s="25"/>
      <c r="C185" s="25"/>
      <c r="D185" s="25"/>
      <c r="E185" s="25"/>
      <c r="F185" s="25"/>
      <c r="G185" s="5"/>
      <c r="H185" s="5"/>
      <c r="I185" s="5"/>
      <c r="J185" s="5"/>
      <c r="K185" s="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  <c r="AO185" s="25"/>
      <c r="AP185" s="25"/>
      <c r="AQ185" s="25"/>
      <c r="AR185" s="25"/>
      <c r="AS185" s="25"/>
      <c r="AT185" s="25"/>
      <c r="AU185" s="25"/>
    </row>
    <row r="186">
      <c r="A186" s="25"/>
      <c r="B186" s="25"/>
      <c r="C186" s="25"/>
      <c r="D186" s="25"/>
      <c r="E186" s="25"/>
      <c r="F186" s="25"/>
      <c r="G186" s="5"/>
      <c r="H186" s="5"/>
      <c r="I186" s="5"/>
      <c r="J186" s="5"/>
      <c r="K186" s="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  <c r="AO186" s="25"/>
      <c r="AP186" s="25"/>
      <c r="AQ186" s="25"/>
      <c r="AR186" s="25"/>
      <c r="AS186" s="25"/>
      <c r="AT186" s="25"/>
      <c r="AU186" s="25"/>
    </row>
    <row r="187">
      <c r="A187" s="25"/>
      <c r="B187" s="25"/>
      <c r="C187" s="25"/>
      <c r="D187" s="25"/>
      <c r="E187" s="25"/>
      <c r="F187" s="25"/>
      <c r="G187" s="5"/>
      <c r="H187" s="5"/>
      <c r="I187" s="5"/>
      <c r="J187" s="5"/>
      <c r="K187" s="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  <c r="AO187" s="25"/>
      <c r="AP187" s="25"/>
      <c r="AQ187" s="25"/>
      <c r="AR187" s="25"/>
      <c r="AS187" s="25"/>
      <c r="AT187" s="25"/>
      <c r="AU187" s="25"/>
    </row>
    <row r="188">
      <c r="A188" s="25"/>
      <c r="B188" s="25"/>
      <c r="C188" s="25"/>
      <c r="D188" s="25"/>
      <c r="E188" s="25"/>
      <c r="F188" s="25"/>
      <c r="G188" s="5"/>
      <c r="H188" s="5"/>
      <c r="I188" s="5"/>
      <c r="J188" s="5"/>
      <c r="K188" s="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  <c r="AO188" s="25"/>
      <c r="AP188" s="25"/>
      <c r="AQ188" s="25"/>
      <c r="AR188" s="25"/>
      <c r="AS188" s="25"/>
      <c r="AT188" s="25"/>
      <c r="AU188" s="25"/>
    </row>
    <row r="189">
      <c r="A189" s="25"/>
      <c r="B189" s="25"/>
      <c r="C189" s="25"/>
      <c r="D189" s="25"/>
      <c r="E189" s="25"/>
      <c r="F189" s="25"/>
      <c r="G189" s="5"/>
      <c r="H189" s="5"/>
      <c r="I189" s="5"/>
      <c r="J189" s="5"/>
      <c r="K189" s="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  <c r="AO189" s="25"/>
      <c r="AP189" s="25"/>
      <c r="AQ189" s="25"/>
      <c r="AR189" s="25"/>
      <c r="AS189" s="25"/>
      <c r="AT189" s="25"/>
      <c r="AU189" s="25"/>
    </row>
    <row r="190">
      <c r="A190" s="25"/>
      <c r="B190" s="25"/>
      <c r="C190" s="25"/>
      <c r="D190" s="25"/>
      <c r="E190" s="25"/>
      <c r="F190" s="25"/>
      <c r="G190" s="5"/>
      <c r="H190" s="5"/>
      <c r="I190" s="5"/>
      <c r="J190" s="5"/>
      <c r="K190" s="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  <c r="AO190" s="25"/>
      <c r="AP190" s="25"/>
      <c r="AQ190" s="25"/>
      <c r="AR190" s="25"/>
      <c r="AS190" s="25"/>
      <c r="AT190" s="25"/>
      <c r="AU190" s="25"/>
    </row>
    <row r="191">
      <c r="A191" s="25"/>
      <c r="B191" s="25"/>
      <c r="C191" s="25"/>
      <c r="D191" s="25"/>
      <c r="E191" s="25"/>
      <c r="F191" s="25"/>
      <c r="G191" s="5"/>
      <c r="H191" s="5"/>
      <c r="I191" s="5"/>
      <c r="J191" s="5"/>
      <c r="K191" s="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  <c r="AO191" s="25"/>
      <c r="AP191" s="25"/>
      <c r="AQ191" s="25"/>
      <c r="AR191" s="25"/>
      <c r="AS191" s="25"/>
      <c r="AT191" s="25"/>
      <c r="AU191" s="25"/>
    </row>
    <row r="192">
      <c r="A192" s="25"/>
      <c r="B192" s="25"/>
      <c r="C192" s="25"/>
      <c r="D192" s="25"/>
      <c r="E192" s="25"/>
      <c r="F192" s="25"/>
      <c r="G192" s="5"/>
      <c r="H192" s="5"/>
      <c r="I192" s="5"/>
      <c r="J192" s="5"/>
      <c r="K192" s="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  <c r="AO192" s="25"/>
      <c r="AP192" s="25"/>
      <c r="AQ192" s="25"/>
      <c r="AR192" s="25"/>
      <c r="AS192" s="25"/>
      <c r="AT192" s="25"/>
      <c r="AU192" s="25"/>
    </row>
    <row r="193">
      <c r="A193" s="25"/>
      <c r="B193" s="25"/>
      <c r="C193" s="25"/>
      <c r="D193" s="25"/>
      <c r="E193" s="25"/>
      <c r="F193" s="25"/>
      <c r="G193" s="5"/>
      <c r="H193" s="5"/>
      <c r="I193" s="5"/>
      <c r="J193" s="5"/>
      <c r="K193" s="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  <c r="AO193" s="25"/>
      <c r="AP193" s="25"/>
      <c r="AQ193" s="25"/>
      <c r="AR193" s="25"/>
      <c r="AS193" s="25"/>
      <c r="AT193" s="25"/>
      <c r="AU193" s="25"/>
    </row>
    <row r="194">
      <c r="A194" s="25"/>
      <c r="B194" s="25"/>
      <c r="C194" s="25"/>
      <c r="D194" s="25"/>
      <c r="E194" s="25"/>
      <c r="F194" s="25"/>
      <c r="G194" s="5"/>
      <c r="H194" s="5"/>
      <c r="I194" s="5"/>
      <c r="J194" s="5"/>
      <c r="K194" s="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  <c r="AO194" s="25"/>
      <c r="AP194" s="25"/>
      <c r="AQ194" s="25"/>
      <c r="AR194" s="25"/>
      <c r="AS194" s="25"/>
      <c r="AT194" s="25"/>
      <c r="AU194" s="25"/>
    </row>
    <row r="195">
      <c r="A195" s="25"/>
      <c r="B195" s="25"/>
      <c r="C195" s="25"/>
      <c r="D195" s="25"/>
      <c r="E195" s="25"/>
      <c r="F195" s="25"/>
      <c r="G195" s="5"/>
      <c r="H195" s="5"/>
      <c r="I195" s="5"/>
      <c r="J195" s="5"/>
      <c r="K195" s="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  <c r="AO195" s="25"/>
      <c r="AP195" s="25"/>
      <c r="AQ195" s="25"/>
      <c r="AR195" s="25"/>
      <c r="AS195" s="25"/>
      <c r="AT195" s="25"/>
      <c r="AU195" s="25"/>
    </row>
    <row r="196">
      <c r="A196" s="25"/>
      <c r="B196" s="25"/>
      <c r="C196" s="25"/>
      <c r="D196" s="25"/>
      <c r="E196" s="25"/>
      <c r="F196" s="25"/>
      <c r="G196" s="5"/>
      <c r="H196" s="5"/>
      <c r="I196" s="5"/>
      <c r="J196" s="5"/>
      <c r="K196" s="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  <c r="AO196" s="25"/>
      <c r="AP196" s="25"/>
      <c r="AQ196" s="25"/>
      <c r="AR196" s="25"/>
      <c r="AS196" s="25"/>
      <c r="AT196" s="25"/>
      <c r="AU196" s="25"/>
    </row>
    <row r="197">
      <c r="A197" s="25"/>
      <c r="B197" s="25"/>
      <c r="C197" s="25"/>
      <c r="D197" s="25"/>
      <c r="E197" s="25"/>
      <c r="F197" s="25"/>
      <c r="G197" s="5"/>
      <c r="H197" s="5"/>
      <c r="I197" s="5"/>
      <c r="J197" s="5"/>
      <c r="K197" s="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  <c r="AO197" s="25"/>
      <c r="AP197" s="25"/>
      <c r="AQ197" s="25"/>
      <c r="AR197" s="25"/>
      <c r="AS197" s="25"/>
      <c r="AT197" s="25"/>
      <c r="AU197" s="25"/>
    </row>
    <row r="198">
      <c r="A198" s="25"/>
      <c r="B198" s="25"/>
      <c r="C198" s="25"/>
      <c r="D198" s="25"/>
      <c r="E198" s="25"/>
      <c r="F198" s="25"/>
      <c r="G198" s="5"/>
      <c r="H198" s="5"/>
      <c r="I198" s="5"/>
      <c r="J198" s="5"/>
      <c r="K198" s="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5"/>
      <c r="AH198" s="25"/>
      <c r="AI198" s="25"/>
      <c r="AJ198" s="25"/>
      <c r="AK198" s="25"/>
      <c r="AL198" s="25"/>
      <c r="AM198" s="25"/>
      <c r="AN198" s="25"/>
      <c r="AO198" s="25"/>
      <c r="AP198" s="25"/>
      <c r="AQ198" s="25"/>
      <c r="AR198" s="25"/>
      <c r="AS198" s="25"/>
      <c r="AT198" s="25"/>
      <c r="AU198" s="25"/>
    </row>
    <row r="199">
      <c r="A199" s="25"/>
      <c r="B199" s="25"/>
      <c r="C199" s="25"/>
      <c r="D199" s="25"/>
      <c r="E199" s="25"/>
      <c r="F199" s="25"/>
      <c r="G199" s="5"/>
      <c r="H199" s="5"/>
      <c r="I199" s="5"/>
      <c r="J199" s="5"/>
      <c r="K199" s="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  <c r="AN199" s="25"/>
      <c r="AO199" s="25"/>
      <c r="AP199" s="25"/>
      <c r="AQ199" s="25"/>
      <c r="AR199" s="25"/>
      <c r="AS199" s="25"/>
      <c r="AT199" s="25"/>
      <c r="AU199" s="25"/>
    </row>
    <row r="200">
      <c r="A200" s="25"/>
      <c r="B200" s="25"/>
      <c r="C200" s="25"/>
      <c r="D200" s="25"/>
      <c r="E200" s="25"/>
      <c r="F200" s="25"/>
      <c r="G200" s="5"/>
      <c r="H200" s="5"/>
      <c r="I200" s="5"/>
      <c r="J200" s="5"/>
      <c r="K200" s="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  <c r="AO200" s="25"/>
      <c r="AP200" s="25"/>
      <c r="AQ200" s="25"/>
      <c r="AR200" s="25"/>
      <c r="AS200" s="25"/>
      <c r="AT200" s="25"/>
      <c r="AU200" s="25"/>
    </row>
    <row r="201">
      <c r="A201" s="25"/>
      <c r="B201" s="25"/>
      <c r="C201" s="25"/>
      <c r="D201" s="25"/>
      <c r="E201" s="25"/>
      <c r="F201" s="25"/>
      <c r="G201" s="5"/>
      <c r="H201" s="5"/>
      <c r="I201" s="5"/>
      <c r="J201" s="5"/>
      <c r="K201" s="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  <c r="AO201" s="25"/>
      <c r="AP201" s="25"/>
      <c r="AQ201" s="25"/>
      <c r="AR201" s="25"/>
      <c r="AS201" s="25"/>
      <c r="AT201" s="25"/>
      <c r="AU201" s="25"/>
    </row>
    <row r="202">
      <c r="A202" s="25"/>
      <c r="B202" s="25"/>
      <c r="C202" s="25"/>
      <c r="D202" s="25"/>
      <c r="E202" s="25"/>
      <c r="F202" s="25"/>
      <c r="G202" s="5"/>
      <c r="H202" s="5"/>
      <c r="I202" s="5"/>
      <c r="J202" s="5"/>
      <c r="K202" s="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  <c r="AO202" s="25"/>
      <c r="AP202" s="25"/>
      <c r="AQ202" s="25"/>
      <c r="AR202" s="25"/>
      <c r="AS202" s="25"/>
      <c r="AT202" s="25"/>
      <c r="AU202" s="25"/>
    </row>
    <row r="203">
      <c r="A203" s="25"/>
      <c r="B203" s="25"/>
      <c r="C203" s="25"/>
      <c r="D203" s="25"/>
      <c r="E203" s="25"/>
      <c r="F203" s="25"/>
      <c r="G203" s="5"/>
      <c r="H203" s="5"/>
      <c r="I203" s="5"/>
      <c r="J203" s="5"/>
      <c r="K203" s="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  <c r="AO203" s="25"/>
      <c r="AP203" s="25"/>
      <c r="AQ203" s="25"/>
      <c r="AR203" s="25"/>
      <c r="AS203" s="25"/>
      <c r="AT203" s="25"/>
      <c r="AU203" s="25"/>
    </row>
    <row r="204">
      <c r="A204" s="25"/>
      <c r="B204" s="25"/>
      <c r="C204" s="25"/>
      <c r="D204" s="25"/>
      <c r="E204" s="25"/>
      <c r="F204" s="25"/>
      <c r="G204" s="5"/>
      <c r="H204" s="5"/>
      <c r="I204" s="5"/>
      <c r="J204" s="5"/>
      <c r="K204" s="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  <c r="AO204" s="25"/>
      <c r="AP204" s="25"/>
      <c r="AQ204" s="25"/>
      <c r="AR204" s="25"/>
      <c r="AS204" s="25"/>
      <c r="AT204" s="25"/>
      <c r="AU204" s="25"/>
    </row>
    <row r="205">
      <c r="A205" s="25"/>
      <c r="B205" s="25"/>
      <c r="C205" s="25"/>
      <c r="D205" s="25"/>
      <c r="E205" s="25"/>
      <c r="F205" s="25"/>
      <c r="G205" s="5"/>
      <c r="H205" s="5"/>
      <c r="I205" s="5"/>
      <c r="J205" s="5"/>
      <c r="K205" s="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  <c r="AO205" s="25"/>
      <c r="AP205" s="25"/>
      <c r="AQ205" s="25"/>
      <c r="AR205" s="25"/>
      <c r="AS205" s="25"/>
      <c r="AT205" s="25"/>
      <c r="AU205" s="25"/>
    </row>
    <row r="206">
      <c r="A206" s="25"/>
      <c r="B206" s="25"/>
      <c r="C206" s="25"/>
      <c r="D206" s="25"/>
      <c r="E206" s="25"/>
      <c r="F206" s="25"/>
      <c r="G206" s="5"/>
      <c r="H206" s="5"/>
      <c r="I206" s="5"/>
      <c r="J206" s="5"/>
      <c r="K206" s="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  <c r="AO206" s="25"/>
      <c r="AP206" s="25"/>
      <c r="AQ206" s="25"/>
      <c r="AR206" s="25"/>
      <c r="AS206" s="25"/>
      <c r="AT206" s="25"/>
      <c r="AU206" s="25"/>
    </row>
    <row r="207">
      <c r="A207" s="25"/>
      <c r="B207" s="25"/>
      <c r="C207" s="25"/>
      <c r="D207" s="25"/>
      <c r="E207" s="25"/>
      <c r="F207" s="25"/>
      <c r="G207" s="5"/>
      <c r="H207" s="5"/>
      <c r="I207" s="5"/>
      <c r="J207" s="5"/>
      <c r="K207" s="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  <c r="AO207" s="25"/>
      <c r="AP207" s="25"/>
      <c r="AQ207" s="25"/>
      <c r="AR207" s="25"/>
      <c r="AS207" s="25"/>
      <c r="AT207" s="25"/>
      <c r="AU207" s="25"/>
    </row>
    <row r="208">
      <c r="A208" s="25"/>
      <c r="B208" s="25"/>
      <c r="C208" s="25"/>
      <c r="D208" s="25"/>
      <c r="E208" s="25"/>
      <c r="F208" s="25"/>
      <c r="G208" s="5"/>
      <c r="H208" s="5"/>
      <c r="I208" s="5"/>
      <c r="J208" s="5"/>
      <c r="K208" s="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  <c r="AO208" s="25"/>
      <c r="AP208" s="25"/>
      <c r="AQ208" s="25"/>
      <c r="AR208" s="25"/>
      <c r="AS208" s="25"/>
      <c r="AT208" s="25"/>
      <c r="AU208" s="25"/>
    </row>
    <row r="209">
      <c r="A209" s="25"/>
      <c r="B209" s="25"/>
      <c r="C209" s="25"/>
      <c r="D209" s="25"/>
      <c r="E209" s="25"/>
      <c r="F209" s="25"/>
      <c r="G209" s="5"/>
      <c r="H209" s="5"/>
      <c r="I209" s="5"/>
      <c r="J209" s="5"/>
      <c r="K209" s="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  <c r="AO209" s="25"/>
      <c r="AP209" s="25"/>
      <c r="AQ209" s="25"/>
      <c r="AR209" s="25"/>
      <c r="AS209" s="25"/>
      <c r="AT209" s="25"/>
      <c r="AU209" s="25"/>
    </row>
    <row r="210">
      <c r="A210" s="25"/>
      <c r="B210" s="25"/>
      <c r="C210" s="25"/>
      <c r="D210" s="25"/>
      <c r="E210" s="25"/>
      <c r="F210" s="25"/>
      <c r="G210" s="5"/>
      <c r="H210" s="5"/>
      <c r="I210" s="5"/>
      <c r="J210" s="5"/>
      <c r="K210" s="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  <c r="AO210" s="25"/>
      <c r="AP210" s="25"/>
      <c r="AQ210" s="25"/>
      <c r="AR210" s="25"/>
      <c r="AS210" s="25"/>
      <c r="AT210" s="25"/>
      <c r="AU210" s="25"/>
    </row>
    <row r="211">
      <c r="A211" s="25"/>
      <c r="B211" s="25"/>
      <c r="C211" s="25"/>
      <c r="D211" s="25"/>
      <c r="E211" s="25"/>
      <c r="F211" s="25"/>
      <c r="G211" s="5"/>
      <c r="H211" s="5"/>
      <c r="I211" s="5"/>
      <c r="J211" s="5"/>
      <c r="K211" s="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  <c r="AO211" s="25"/>
      <c r="AP211" s="25"/>
      <c r="AQ211" s="25"/>
      <c r="AR211" s="25"/>
      <c r="AS211" s="25"/>
      <c r="AT211" s="25"/>
      <c r="AU211" s="25"/>
    </row>
    <row r="212">
      <c r="A212" s="25"/>
      <c r="B212" s="25"/>
      <c r="C212" s="25"/>
      <c r="D212" s="25"/>
      <c r="E212" s="25"/>
      <c r="F212" s="25"/>
      <c r="G212" s="5"/>
      <c r="H212" s="5"/>
      <c r="I212" s="5"/>
      <c r="J212" s="5"/>
      <c r="K212" s="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  <c r="AO212" s="25"/>
      <c r="AP212" s="25"/>
      <c r="AQ212" s="25"/>
      <c r="AR212" s="25"/>
      <c r="AS212" s="25"/>
      <c r="AT212" s="25"/>
      <c r="AU212" s="25"/>
    </row>
    <row r="213">
      <c r="A213" s="25"/>
      <c r="B213" s="25"/>
      <c r="C213" s="25"/>
      <c r="D213" s="25"/>
      <c r="E213" s="25"/>
      <c r="F213" s="25"/>
      <c r="G213" s="5"/>
      <c r="H213" s="5"/>
      <c r="I213" s="5"/>
      <c r="J213" s="5"/>
      <c r="K213" s="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  <c r="AO213" s="25"/>
      <c r="AP213" s="25"/>
      <c r="AQ213" s="25"/>
      <c r="AR213" s="25"/>
      <c r="AS213" s="25"/>
      <c r="AT213" s="25"/>
      <c r="AU213" s="25"/>
    </row>
    <row r="214">
      <c r="A214" s="25"/>
      <c r="B214" s="25"/>
      <c r="C214" s="25"/>
      <c r="D214" s="25"/>
      <c r="E214" s="25"/>
      <c r="F214" s="25"/>
      <c r="G214" s="5"/>
      <c r="H214" s="5"/>
      <c r="I214" s="5"/>
      <c r="J214" s="5"/>
      <c r="K214" s="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  <c r="AO214" s="25"/>
      <c r="AP214" s="25"/>
      <c r="AQ214" s="25"/>
      <c r="AR214" s="25"/>
      <c r="AS214" s="25"/>
      <c r="AT214" s="25"/>
      <c r="AU214" s="25"/>
    </row>
    <row r="215">
      <c r="A215" s="25"/>
      <c r="B215" s="25"/>
      <c r="C215" s="25"/>
      <c r="D215" s="25"/>
      <c r="E215" s="25"/>
      <c r="F215" s="25"/>
      <c r="G215" s="5"/>
      <c r="H215" s="5"/>
      <c r="I215" s="5"/>
      <c r="J215" s="5"/>
      <c r="K215" s="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  <c r="AO215" s="25"/>
      <c r="AP215" s="25"/>
      <c r="AQ215" s="25"/>
      <c r="AR215" s="25"/>
      <c r="AS215" s="25"/>
      <c r="AT215" s="25"/>
      <c r="AU215" s="25"/>
    </row>
    <row r="216">
      <c r="A216" s="25"/>
      <c r="B216" s="25"/>
      <c r="C216" s="25"/>
      <c r="D216" s="25"/>
      <c r="E216" s="25"/>
      <c r="F216" s="25"/>
      <c r="G216" s="5"/>
      <c r="H216" s="5"/>
      <c r="I216" s="5"/>
      <c r="J216" s="5"/>
      <c r="K216" s="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  <c r="AO216" s="25"/>
      <c r="AP216" s="25"/>
      <c r="AQ216" s="25"/>
      <c r="AR216" s="25"/>
      <c r="AS216" s="25"/>
      <c r="AT216" s="25"/>
      <c r="AU216" s="25"/>
    </row>
    <row r="217">
      <c r="A217" s="25"/>
      <c r="B217" s="25"/>
      <c r="C217" s="25"/>
      <c r="D217" s="25"/>
      <c r="E217" s="25"/>
      <c r="F217" s="25"/>
      <c r="G217" s="5"/>
      <c r="H217" s="5"/>
      <c r="I217" s="5"/>
      <c r="J217" s="5"/>
      <c r="K217" s="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  <c r="AO217" s="25"/>
      <c r="AP217" s="25"/>
      <c r="AQ217" s="25"/>
      <c r="AR217" s="25"/>
      <c r="AS217" s="25"/>
      <c r="AT217" s="25"/>
      <c r="AU217" s="25"/>
    </row>
    <row r="218">
      <c r="A218" s="25"/>
      <c r="B218" s="25"/>
      <c r="C218" s="25"/>
      <c r="D218" s="25"/>
      <c r="E218" s="25"/>
      <c r="F218" s="25"/>
      <c r="G218" s="5"/>
      <c r="H218" s="5"/>
      <c r="I218" s="5"/>
      <c r="J218" s="5"/>
      <c r="K218" s="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  <c r="AO218" s="25"/>
      <c r="AP218" s="25"/>
      <c r="AQ218" s="25"/>
      <c r="AR218" s="25"/>
      <c r="AS218" s="25"/>
      <c r="AT218" s="25"/>
      <c r="AU218" s="25"/>
    </row>
    <row r="219">
      <c r="A219" s="25"/>
      <c r="B219" s="25"/>
      <c r="C219" s="25"/>
      <c r="D219" s="25"/>
      <c r="E219" s="25"/>
      <c r="F219" s="25"/>
      <c r="G219" s="5"/>
      <c r="H219" s="5"/>
      <c r="I219" s="5"/>
      <c r="J219" s="5"/>
      <c r="K219" s="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  <c r="AO219" s="25"/>
      <c r="AP219" s="25"/>
      <c r="AQ219" s="25"/>
      <c r="AR219" s="25"/>
      <c r="AS219" s="25"/>
      <c r="AT219" s="25"/>
      <c r="AU219" s="25"/>
    </row>
    <row r="220">
      <c r="A220" s="25"/>
      <c r="B220" s="25"/>
      <c r="C220" s="25"/>
      <c r="D220" s="25"/>
      <c r="E220" s="25"/>
      <c r="F220" s="25"/>
      <c r="G220" s="5"/>
      <c r="H220" s="5"/>
      <c r="I220" s="5"/>
      <c r="J220" s="5"/>
      <c r="K220" s="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  <c r="AO220" s="25"/>
      <c r="AP220" s="25"/>
      <c r="AQ220" s="25"/>
      <c r="AR220" s="25"/>
      <c r="AS220" s="25"/>
      <c r="AT220" s="25"/>
      <c r="AU220" s="25"/>
    </row>
    <row r="221">
      <c r="A221" s="25"/>
      <c r="B221" s="25"/>
      <c r="C221" s="25"/>
      <c r="D221" s="25"/>
      <c r="E221" s="25"/>
      <c r="F221" s="25"/>
      <c r="G221" s="5"/>
      <c r="H221" s="5"/>
      <c r="I221" s="5"/>
      <c r="J221" s="5"/>
      <c r="K221" s="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  <c r="AO221" s="25"/>
      <c r="AP221" s="25"/>
      <c r="AQ221" s="25"/>
      <c r="AR221" s="25"/>
      <c r="AS221" s="25"/>
      <c r="AT221" s="25"/>
      <c r="AU221" s="25"/>
    </row>
    <row r="222">
      <c r="A222" s="25"/>
      <c r="B222" s="25"/>
      <c r="C222" s="25"/>
      <c r="D222" s="25"/>
      <c r="E222" s="25"/>
      <c r="F222" s="25"/>
      <c r="G222" s="5"/>
      <c r="H222" s="5"/>
      <c r="I222" s="5"/>
      <c r="J222" s="5"/>
      <c r="K222" s="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  <c r="AO222" s="25"/>
      <c r="AP222" s="25"/>
      <c r="AQ222" s="25"/>
      <c r="AR222" s="25"/>
      <c r="AS222" s="25"/>
      <c r="AT222" s="25"/>
      <c r="AU222" s="25"/>
    </row>
    <row r="223">
      <c r="A223" s="25"/>
      <c r="B223" s="25"/>
      <c r="C223" s="25"/>
      <c r="D223" s="25"/>
      <c r="E223" s="25"/>
      <c r="F223" s="25"/>
      <c r="G223" s="5"/>
      <c r="H223" s="5"/>
      <c r="I223" s="5"/>
      <c r="J223" s="5"/>
      <c r="K223" s="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  <c r="AO223" s="25"/>
      <c r="AP223" s="25"/>
      <c r="AQ223" s="25"/>
      <c r="AR223" s="25"/>
      <c r="AS223" s="25"/>
      <c r="AT223" s="25"/>
      <c r="AU223" s="25"/>
    </row>
    <row r="224">
      <c r="A224" s="25"/>
      <c r="B224" s="25"/>
      <c r="C224" s="25"/>
      <c r="D224" s="25"/>
      <c r="E224" s="25"/>
      <c r="F224" s="25"/>
      <c r="G224" s="5"/>
      <c r="H224" s="5"/>
      <c r="I224" s="5"/>
      <c r="J224" s="5"/>
      <c r="K224" s="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  <c r="AO224" s="25"/>
      <c r="AP224" s="25"/>
      <c r="AQ224" s="25"/>
      <c r="AR224" s="25"/>
      <c r="AS224" s="25"/>
      <c r="AT224" s="25"/>
      <c r="AU224" s="25"/>
    </row>
    <row r="225">
      <c r="A225" s="25"/>
      <c r="B225" s="25"/>
      <c r="C225" s="25"/>
      <c r="D225" s="25"/>
      <c r="E225" s="25"/>
      <c r="F225" s="25"/>
      <c r="G225" s="5"/>
      <c r="H225" s="5"/>
      <c r="I225" s="5"/>
      <c r="J225" s="5"/>
      <c r="K225" s="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  <c r="AO225" s="25"/>
      <c r="AP225" s="25"/>
      <c r="AQ225" s="25"/>
      <c r="AR225" s="25"/>
      <c r="AS225" s="25"/>
      <c r="AT225" s="25"/>
      <c r="AU225" s="25"/>
    </row>
    <row r="226">
      <c r="A226" s="25"/>
      <c r="B226" s="25"/>
      <c r="C226" s="25"/>
      <c r="D226" s="25"/>
      <c r="E226" s="25"/>
      <c r="F226" s="25"/>
      <c r="G226" s="5"/>
      <c r="H226" s="5"/>
      <c r="I226" s="5"/>
      <c r="J226" s="5"/>
      <c r="K226" s="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  <c r="AO226" s="25"/>
      <c r="AP226" s="25"/>
      <c r="AQ226" s="25"/>
      <c r="AR226" s="25"/>
      <c r="AS226" s="25"/>
      <c r="AT226" s="25"/>
      <c r="AU226" s="25"/>
    </row>
    <row r="227">
      <c r="A227" s="25"/>
      <c r="B227" s="25"/>
      <c r="C227" s="25"/>
      <c r="D227" s="25"/>
      <c r="E227" s="25"/>
      <c r="F227" s="25"/>
      <c r="G227" s="5"/>
      <c r="H227" s="5"/>
      <c r="I227" s="5"/>
      <c r="J227" s="5"/>
      <c r="K227" s="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  <c r="AO227" s="25"/>
      <c r="AP227" s="25"/>
      <c r="AQ227" s="25"/>
      <c r="AR227" s="25"/>
      <c r="AS227" s="25"/>
      <c r="AT227" s="25"/>
      <c r="AU227" s="25"/>
    </row>
    <row r="228">
      <c r="A228" s="25"/>
      <c r="B228" s="25"/>
      <c r="C228" s="25"/>
      <c r="D228" s="25"/>
      <c r="E228" s="25"/>
      <c r="F228" s="25"/>
      <c r="G228" s="5"/>
      <c r="H228" s="5"/>
      <c r="I228" s="5"/>
      <c r="J228" s="5"/>
      <c r="K228" s="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  <c r="AO228" s="25"/>
      <c r="AP228" s="25"/>
      <c r="AQ228" s="25"/>
      <c r="AR228" s="25"/>
      <c r="AS228" s="25"/>
      <c r="AT228" s="25"/>
      <c r="AU228" s="25"/>
    </row>
    <row r="229">
      <c r="A229" s="25"/>
      <c r="B229" s="25"/>
      <c r="C229" s="25"/>
      <c r="D229" s="25"/>
      <c r="E229" s="25"/>
      <c r="F229" s="25"/>
      <c r="G229" s="5"/>
      <c r="H229" s="5"/>
      <c r="I229" s="5"/>
      <c r="J229" s="5"/>
      <c r="K229" s="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  <c r="AO229" s="25"/>
      <c r="AP229" s="25"/>
      <c r="AQ229" s="25"/>
      <c r="AR229" s="25"/>
      <c r="AS229" s="25"/>
      <c r="AT229" s="25"/>
      <c r="AU229" s="25"/>
    </row>
    <row r="230">
      <c r="A230" s="25"/>
      <c r="B230" s="25"/>
      <c r="C230" s="25"/>
      <c r="D230" s="25"/>
      <c r="E230" s="25"/>
      <c r="F230" s="25"/>
      <c r="G230" s="5"/>
      <c r="H230" s="5"/>
      <c r="I230" s="5"/>
      <c r="J230" s="5"/>
      <c r="K230" s="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  <c r="AO230" s="25"/>
      <c r="AP230" s="25"/>
      <c r="AQ230" s="25"/>
      <c r="AR230" s="25"/>
      <c r="AS230" s="25"/>
      <c r="AT230" s="25"/>
      <c r="AU230" s="25"/>
    </row>
    <row r="231">
      <c r="A231" s="25"/>
      <c r="B231" s="25"/>
      <c r="C231" s="25"/>
      <c r="D231" s="25"/>
      <c r="E231" s="25"/>
      <c r="F231" s="25"/>
      <c r="G231" s="5"/>
      <c r="H231" s="5"/>
      <c r="I231" s="5"/>
      <c r="J231" s="5"/>
      <c r="K231" s="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  <c r="AO231" s="25"/>
      <c r="AP231" s="25"/>
      <c r="AQ231" s="25"/>
      <c r="AR231" s="25"/>
      <c r="AS231" s="25"/>
      <c r="AT231" s="25"/>
      <c r="AU231" s="25"/>
    </row>
    <row r="232">
      <c r="A232" s="25"/>
      <c r="B232" s="25"/>
      <c r="C232" s="25"/>
      <c r="D232" s="25"/>
      <c r="E232" s="25"/>
      <c r="F232" s="25"/>
      <c r="G232" s="5"/>
      <c r="H232" s="5"/>
      <c r="I232" s="5"/>
      <c r="J232" s="5"/>
      <c r="K232" s="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  <c r="AO232" s="25"/>
      <c r="AP232" s="25"/>
      <c r="AQ232" s="25"/>
      <c r="AR232" s="25"/>
      <c r="AS232" s="25"/>
      <c r="AT232" s="25"/>
      <c r="AU232" s="25"/>
    </row>
    <row r="233">
      <c r="A233" s="25"/>
      <c r="B233" s="25"/>
      <c r="C233" s="25"/>
      <c r="D233" s="25"/>
      <c r="E233" s="25"/>
      <c r="F233" s="25"/>
      <c r="G233" s="5"/>
      <c r="H233" s="5"/>
      <c r="I233" s="5"/>
      <c r="J233" s="5"/>
      <c r="K233" s="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  <c r="AO233" s="25"/>
      <c r="AP233" s="25"/>
      <c r="AQ233" s="25"/>
      <c r="AR233" s="25"/>
      <c r="AS233" s="25"/>
      <c r="AT233" s="25"/>
      <c r="AU233" s="25"/>
    </row>
    <row r="234">
      <c r="A234" s="25"/>
      <c r="B234" s="25"/>
      <c r="C234" s="25"/>
      <c r="D234" s="25"/>
      <c r="E234" s="25"/>
      <c r="F234" s="25"/>
      <c r="G234" s="5"/>
      <c r="H234" s="5"/>
      <c r="I234" s="5"/>
      <c r="J234" s="5"/>
      <c r="K234" s="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  <c r="AO234" s="25"/>
      <c r="AP234" s="25"/>
      <c r="AQ234" s="25"/>
      <c r="AR234" s="25"/>
      <c r="AS234" s="25"/>
      <c r="AT234" s="25"/>
      <c r="AU234" s="25"/>
    </row>
    <row r="235">
      <c r="A235" s="25"/>
      <c r="B235" s="25"/>
      <c r="C235" s="25"/>
      <c r="D235" s="25"/>
      <c r="E235" s="25"/>
      <c r="F235" s="25"/>
      <c r="G235" s="5"/>
      <c r="H235" s="5"/>
      <c r="I235" s="5"/>
      <c r="J235" s="5"/>
      <c r="K235" s="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  <c r="AO235" s="25"/>
      <c r="AP235" s="25"/>
      <c r="AQ235" s="25"/>
      <c r="AR235" s="25"/>
      <c r="AS235" s="25"/>
      <c r="AT235" s="25"/>
      <c r="AU235" s="25"/>
    </row>
    <row r="236">
      <c r="A236" s="25"/>
      <c r="B236" s="25"/>
      <c r="C236" s="25"/>
      <c r="D236" s="25"/>
      <c r="E236" s="25"/>
      <c r="F236" s="25"/>
      <c r="G236" s="5"/>
      <c r="H236" s="5"/>
      <c r="I236" s="5"/>
      <c r="J236" s="5"/>
      <c r="K236" s="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  <c r="AD236" s="25"/>
      <c r="AE236" s="25"/>
      <c r="AF236" s="25"/>
      <c r="AG236" s="25"/>
      <c r="AH236" s="25"/>
      <c r="AI236" s="25"/>
      <c r="AJ236" s="25"/>
      <c r="AK236" s="25"/>
      <c r="AL236" s="25"/>
      <c r="AM236" s="25"/>
      <c r="AN236" s="25"/>
      <c r="AO236" s="25"/>
      <c r="AP236" s="25"/>
      <c r="AQ236" s="25"/>
      <c r="AR236" s="25"/>
      <c r="AS236" s="25"/>
      <c r="AT236" s="25"/>
      <c r="AU236" s="25"/>
    </row>
    <row r="237">
      <c r="A237" s="25"/>
      <c r="B237" s="25"/>
      <c r="C237" s="25"/>
      <c r="D237" s="25"/>
      <c r="E237" s="25"/>
      <c r="F237" s="25"/>
      <c r="G237" s="5"/>
      <c r="H237" s="5"/>
      <c r="I237" s="5"/>
      <c r="J237" s="5"/>
      <c r="K237" s="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  <c r="AD237" s="25"/>
      <c r="AE237" s="25"/>
      <c r="AF237" s="25"/>
      <c r="AG237" s="25"/>
      <c r="AH237" s="25"/>
      <c r="AI237" s="25"/>
      <c r="AJ237" s="25"/>
      <c r="AK237" s="25"/>
      <c r="AL237" s="25"/>
      <c r="AM237" s="25"/>
      <c r="AN237" s="25"/>
      <c r="AO237" s="25"/>
      <c r="AP237" s="25"/>
      <c r="AQ237" s="25"/>
      <c r="AR237" s="25"/>
      <c r="AS237" s="25"/>
      <c r="AT237" s="25"/>
      <c r="AU237" s="25"/>
    </row>
    <row r="238">
      <c r="A238" s="25"/>
      <c r="B238" s="25"/>
      <c r="C238" s="25"/>
      <c r="D238" s="25"/>
      <c r="E238" s="25"/>
      <c r="F238" s="25"/>
      <c r="G238" s="5"/>
      <c r="H238" s="5"/>
      <c r="I238" s="5"/>
      <c r="J238" s="5"/>
      <c r="K238" s="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5"/>
      <c r="AH238" s="25"/>
      <c r="AI238" s="25"/>
      <c r="AJ238" s="25"/>
      <c r="AK238" s="25"/>
      <c r="AL238" s="25"/>
      <c r="AM238" s="25"/>
      <c r="AN238" s="25"/>
      <c r="AO238" s="25"/>
      <c r="AP238" s="25"/>
      <c r="AQ238" s="25"/>
      <c r="AR238" s="25"/>
      <c r="AS238" s="25"/>
      <c r="AT238" s="25"/>
      <c r="AU238" s="25"/>
    </row>
    <row r="239">
      <c r="A239" s="25"/>
      <c r="B239" s="25"/>
      <c r="C239" s="25"/>
      <c r="D239" s="25"/>
      <c r="E239" s="25"/>
      <c r="F239" s="25"/>
      <c r="G239" s="5"/>
      <c r="H239" s="5"/>
      <c r="I239" s="5"/>
      <c r="J239" s="5"/>
      <c r="K239" s="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  <c r="AD239" s="25"/>
      <c r="AE239" s="25"/>
      <c r="AF239" s="25"/>
      <c r="AG239" s="25"/>
      <c r="AH239" s="25"/>
      <c r="AI239" s="25"/>
      <c r="AJ239" s="25"/>
      <c r="AK239" s="25"/>
      <c r="AL239" s="25"/>
      <c r="AM239" s="25"/>
      <c r="AN239" s="25"/>
      <c r="AO239" s="25"/>
      <c r="AP239" s="25"/>
      <c r="AQ239" s="25"/>
      <c r="AR239" s="25"/>
      <c r="AS239" s="25"/>
      <c r="AT239" s="25"/>
      <c r="AU239" s="25"/>
    </row>
    <row r="240">
      <c r="A240" s="25"/>
      <c r="B240" s="25"/>
      <c r="C240" s="25"/>
      <c r="D240" s="25"/>
      <c r="E240" s="25"/>
      <c r="F240" s="25"/>
      <c r="G240" s="5"/>
      <c r="H240" s="5"/>
      <c r="I240" s="5"/>
      <c r="J240" s="5"/>
      <c r="K240" s="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  <c r="AE240" s="25"/>
      <c r="AF240" s="25"/>
      <c r="AG240" s="25"/>
      <c r="AH240" s="25"/>
      <c r="AI240" s="25"/>
      <c r="AJ240" s="25"/>
      <c r="AK240" s="25"/>
      <c r="AL240" s="25"/>
      <c r="AM240" s="25"/>
      <c r="AN240" s="25"/>
      <c r="AO240" s="25"/>
      <c r="AP240" s="25"/>
      <c r="AQ240" s="25"/>
      <c r="AR240" s="25"/>
      <c r="AS240" s="25"/>
      <c r="AT240" s="25"/>
      <c r="AU240" s="25"/>
    </row>
    <row r="241">
      <c r="A241" s="25"/>
      <c r="B241" s="25"/>
      <c r="C241" s="25"/>
      <c r="D241" s="25"/>
      <c r="E241" s="25"/>
      <c r="F241" s="25"/>
      <c r="G241" s="5"/>
      <c r="H241" s="5"/>
      <c r="I241" s="5"/>
      <c r="J241" s="5"/>
      <c r="K241" s="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  <c r="AD241" s="25"/>
      <c r="AE241" s="25"/>
      <c r="AF241" s="25"/>
      <c r="AG241" s="25"/>
      <c r="AH241" s="25"/>
      <c r="AI241" s="25"/>
      <c r="AJ241" s="25"/>
      <c r="AK241" s="25"/>
      <c r="AL241" s="25"/>
      <c r="AM241" s="25"/>
      <c r="AN241" s="25"/>
      <c r="AO241" s="25"/>
      <c r="AP241" s="25"/>
      <c r="AQ241" s="25"/>
      <c r="AR241" s="25"/>
      <c r="AS241" s="25"/>
      <c r="AT241" s="25"/>
      <c r="AU241" s="25"/>
    </row>
    <row r="242">
      <c r="A242" s="25"/>
      <c r="B242" s="25"/>
      <c r="C242" s="25"/>
      <c r="D242" s="25"/>
      <c r="E242" s="25"/>
      <c r="F242" s="25"/>
      <c r="G242" s="5"/>
      <c r="H242" s="5"/>
      <c r="I242" s="5"/>
      <c r="J242" s="5"/>
      <c r="K242" s="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  <c r="AD242" s="25"/>
      <c r="AE242" s="25"/>
      <c r="AF242" s="25"/>
      <c r="AG242" s="25"/>
      <c r="AH242" s="25"/>
      <c r="AI242" s="25"/>
      <c r="AJ242" s="25"/>
      <c r="AK242" s="25"/>
      <c r="AL242" s="25"/>
      <c r="AM242" s="25"/>
      <c r="AN242" s="25"/>
      <c r="AO242" s="25"/>
      <c r="AP242" s="25"/>
      <c r="AQ242" s="25"/>
      <c r="AR242" s="25"/>
      <c r="AS242" s="25"/>
      <c r="AT242" s="25"/>
      <c r="AU242" s="25"/>
    </row>
    <row r="243">
      <c r="A243" s="25"/>
      <c r="B243" s="25"/>
      <c r="C243" s="25"/>
      <c r="D243" s="25"/>
      <c r="E243" s="25"/>
      <c r="F243" s="25"/>
      <c r="G243" s="5"/>
      <c r="H243" s="5"/>
      <c r="I243" s="5"/>
      <c r="J243" s="5"/>
      <c r="K243" s="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  <c r="AD243" s="25"/>
      <c r="AE243" s="25"/>
      <c r="AF243" s="25"/>
      <c r="AG243" s="25"/>
      <c r="AH243" s="25"/>
      <c r="AI243" s="25"/>
      <c r="AJ243" s="25"/>
      <c r="AK243" s="25"/>
      <c r="AL243" s="25"/>
      <c r="AM243" s="25"/>
      <c r="AN243" s="25"/>
      <c r="AO243" s="25"/>
      <c r="AP243" s="25"/>
      <c r="AQ243" s="25"/>
      <c r="AR243" s="25"/>
      <c r="AS243" s="25"/>
      <c r="AT243" s="25"/>
      <c r="AU243" s="25"/>
    </row>
    <row r="244">
      <c r="A244" s="25"/>
      <c r="B244" s="25"/>
      <c r="C244" s="25"/>
      <c r="D244" s="25"/>
      <c r="E244" s="25"/>
      <c r="F244" s="25"/>
      <c r="G244" s="5"/>
      <c r="H244" s="5"/>
      <c r="I244" s="5"/>
      <c r="J244" s="5"/>
      <c r="K244" s="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  <c r="AD244" s="25"/>
      <c r="AE244" s="25"/>
      <c r="AF244" s="25"/>
      <c r="AG244" s="25"/>
      <c r="AH244" s="25"/>
      <c r="AI244" s="25"/>
      <c r="AJ244" s="25"/>
      <c r="AK244" s="25"/>
      <c r="AL244" s="25"/>
      <c r="AM244" s="25"/>
      <c r="AN244" s="25"/>
      <c r="AO244" s="25"/>
      <c r="AP244" s="25"/>
      <c r="AQ244" s="25"/>
      <c r="AR244" s="25"/>
      <c r="AS244" s="25"/>
      <c r="AT244" s="25"/>
      <c r="AU244" s="25"/>
    </row>
    <row r="245">
      <c r="A245" s="25"/>
      <c r="B245" s="25"/>
      <c r="C245" s="25"/>
      <c r="D245" s="25"/>
      <c r="E245" s="25"/>
      <c r="F245" s="25"/>
      <c r="G245" s="5"/>
      <c r="H245" s="5"/>
      <c r="I245" s="5"/>
      <c r="J245" s="5"/>
      <c r="K245" s="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  <c r="AD245" s="25"/>
      <c r="AE245" s="25"/>
      <c r="AF245" s="25"/>
      <c r="AG245" s="25"/>
      <c r="AH245" s="25"/>
      <c r="AI245" s="25"/>
      <c r="AJ245" s="25"/>
      <c r="AK245" s="25"/>
      <c r="AL245" s="25"/>
      <c r="AM245" s="25"/>
      <c r="AN245" s="25"/>
      <c r="AO245" s="25"/>
      <c r="AP245" s="25"/>
      <c r="AQ245" s="25"/>
      <c r="AR245" s="25"/>
      <c r="AS245" s="25"/>
      <c r="AT245" s="25"/>
      <c r="AU245" s="25"/>
    </row>
    <row r="246">
      <c r="A246" s="25"/>
      <c r="B246" s="25"/>
      <c r="C246" s="25"/>
      <c r="D246" s="25"/>
      <c r="E246" s="25"/>
      <c r="F246" s="25"/>
      <c r="G246" s="5"/>
      <c r="H246" s="5"/>
      <c r="I246" s="5"/>
      <c r="J246" s="5"/>
      <c r="K246" s="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  <c r="AD246" s="25"/>
      <c r="AE246" s="25"/>
      <c r="AF246" s="25"/>
      <c r="AG246" s="25"/>
      <c r="AH246" s="25"/>
      <c r="AI246" s="25"/>
      <c r="AJ246" s="25"/>
      <c r="AK246" s="25"/>
      <c r="AL246" s="25"/>
      <c r="AM246" s="25"/>
      <c r="AN246" s="25"/>
      <c r="AO246" s="25"/>
      <c r="AP246" s="25"/>
      <c r="AQ246" s="25"/>
      <c r="AR246" s="25"/>
      <c r="AS246" s="25"/>
      <c r="AT246" s="25"/>
      <c r="AU246" s="25"/>
    </row>
    <row r="247">
      <c r="A247" s="25"/>
      <c r="B247" s="25"/>
      <c r="C247" s="25"/>
      <c r="D247" s="25"/>
      <c r="E247" s="25"/>
      <c r="F247" s="25"/>
      <c r="G247" s="5"/>
      <c r="H247" s="5"/>
      <c r="I247" s="5"/>
      <c r="J247" s="5"/>
      <c r="K247" s="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  <c r="AD247" s="25"/>
      <c r="AE247" s="25"/>
      <c r="AF247" s="25"/>
      <c r="AG247" s="25"/>
      <c r="AH247" s="25"/>
      <c r="AI247" s="25"/>
      <c r="AJ247" s="25"/>
      <c r="AK247" s="25"/>
      <c r="AL247" s="25"/>
      <c r="AM247" s="25"/>
      <c r="AN247" s="25"/>
      <c r="AO247" s="25"/>
      <c r="AP247" s="25"/>
      <c r="AQ247" s="25"/>
      <c r="AR247" s="25"/>
      <c r="AS247" s="25"/>
      <c r="AT247" s="25"/>
      <c r="AU247" s="25"/>
    </row>
    <row r="248">
      <c r="A248" s="25"/>
      <c r="B248" s="25"/>
      <c r="C248" s="25"/>
      <c r="D248" s="25"/>
      <c r="E248" s="25"/>
      <c r="F248" s="25"/>
      <c r="G248" s="5"/>
      <c r="H248" s="5"/>
      <c r="I248" s="5"/>
      <c r="J248" s="5"/>
      <c r="K248" s="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  <c r="AD248" s="25"/>
      <c r="AE248" s="25"/>
      <c r="AF248" s="25"/>
      <c r="AG248" s="25"/>
      <c r="AH248" s="25"/>
      <c r="AI248" s="25"/>
      <c r="AJ248" s="25"/>
      <c r="AK248" s="25"/>
      <c r="AL248" s="25"/>
      <c r="AM248" s="25"/>
      <c r="AN248" s="25"/>
      <c r="AO248" s="25"/>
      <c r="AP248" s="25"/>
      <c r="AQ248" s="25"/>
      <c r="AR248" s="25"/>
      <c r="AS248" s="25"/>
      <c r="AT248" s="25"/>
      <c r="AU248" s="25"/>
    </row>
    <row r="249">
      <c r="A249" s="25"/>
      <c r="B249" s="25"/>
      <c r="C249" s="25"/>
      <c r="D249" s="25"/>
      <c r="E249" s="25"/>
      <c r="F249" s="25"/>
      <c r="G249" s="5"/>
      <c r="H249" s="5"/>
      <c r="I249" s="5"/>
      <c r="J249" s="5"/>
      <c r="K249" s="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  <c r="AD249" s="25"/>
      <c r="AE249" s="25"/>
      <c r="AF249" s="25"/>
      <c r="AG249" s="25"/>
      <c r="AH249" s="25"/>
      <c r="AI249" s="25"/>
      <c r="AJ249" s="25"/>
      <c r="AK249" s="25"/>
      <c r="AL249" s="25"/>
      <c r="AM249" s="25"/>
      <c r="AN249" s="25"/>
      <c r="AO249" s="25"/>
      <c r="AP249" s="25"/>
      <c r="AQ249" s="25"/>
      <c r="AR249" s="25"/>
      <c r="AS249" s="25"/>
      <c r="AT249" s="25"/>
      <c r="AU249" s="25"/>
    </row>
    <row r="250">
      <c r="A250" s="25"/>
      <c r="B250" s="25"/>
      <c r="C250" s="25"/>
      <c r="D250" s="25"/>
      <c r="E250" s="25"/>
      <c r="F250" s="25"/>
      <c r="G250" s="5"/>
      <c r="H250" s="5"/>
      <c r="I250" s="5"/>
      <c r="J250" s="5"/>
      <c r="K250" s="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  <c r="AD250" s="25"/>
      <c r="AE250" s="25"/>
      <c r="AF250" s="25"/>
      <c r="AG250" s="25"/>
      <c r="AH250" s="25"/>
      <c r="AI250" s="25"/>
      <c r="AJ250" s="25"/>
      <c r="AK250" s="25"/>
      <c r="AL250" s="25"/>
      <c r="AM250" s="25"/>
      <c r="AN250" s="25"/>
      <c r="AO250" s="25"/>
      <c r="AP250" s="25"/>
      <c r="AQ250" s="25"/>
      <c r="AR250" s="25"/>
      <c r="AS250" s="25"/>
      <c r="AT250" s="25"/>
      <c r="AU250" s="25"/>
    </row>
    <row r="251">
      <c r="A251" s="25"/>
      <c r="B251" s="25"/>
      <c r="C251" s="25"/>
      <c r="D251" s="25"/>
      <c r="E251" s="25"/>
      <c r="F251" s="25"/>
      <c r="G251" s="5"/>
      <c r="H251" s="5"/>
      <c r="I251" s="5"/>
      <c r="J251" s="5"/>
      <c r="K251" s="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  <c r="AD251" s="25"/>
      <c r="AE251" s="25"/>
      <c r="AF251" s="25"/>
      <c r="AG251" s="25"/>
      <c r="AH251" s="25"/>
      <c r="AI251" s="25"/>
      <c r="AJ251" s="25"/>
      <c r="AK251" s="25"/>
      <c r="AL251" s="25"/>
      <c r="AM251" s="25"/>
      <c r="AN251" s="25"/>
      <c r="AO251" s="25"/>
      <c r="AP251" s="25"/>
      <c r="AQ251" s="25"/>
      <c r="AR251" s="25"/>
      <c r="AS251" s="25"/>
      <c r="AT251" s="25"/>
      <c r="AU251" s="25"/>
    </row>
    <row r="252">
      <c r="A252" s="25"/>
      <c r="B252" s="25"/>
      <c r="C252" s="25"/>
      <c r="D252" s="25"/>
      <c r="E252" s="25"/>
      <c r="F252" s="25"/>
      <c r="G252" s="5"/>
      <c r="H252" s="5"/>
      <c r="I252" s="5"/>
      <c r="J252" s="5"/>
      <c r="K252" s="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  <c r="AD252" s="25"/>
      <c r="AE252" s="25"/>
      <c r="AF252" s="25"/>
      <c r="AG252" s="25"/>
      <c r="AH252" s="25"/>
      <c r="AI252" s="25"/>
      <c r="AJ252" s="25"/>
      <c r="AK252" s="25"/>
      <c r="AL252" s="25"/>
      <c r="AM252" s="25"/>
      <c r="AN252" s="25"/>
      <c r="AO252" s="25"/>
      <c r="AP252" s="25"/>
      <c r="AQ252" s="25"/>
      <c r="AR252" s="25"/>
      <c r="AS252" s="25"/>
      <c r="AT252" s="25"/>
      <c r="AU252" s="25"/>
    </row>
    <row r="253">
      <c r="A253" s="25"/>
      <c r="B253" s="25"/>
      <c r="C253" s="25"/>
      <c r="D253" s="25"/>
      <c r="E253" s="25"/>
      <c r="F253" s="25"/>
      <c r="G253" s="5"/>
      <c r="H253" s="5"/>
      <c r="I253" s="5"/>
      <c r="J253" s="5"/>
      <c r="K253" s="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  <c r="AD253" s="25"/>
      <c r="AE253" s="25"/>
      <c r="AF253" s="25"/>
      <c r="AG253" s="25"/>
      <c r="AH253" s="25"/>
      <c r="AI253" s="25"/>
      <c r="AJ253" s="25"/>
      <c r="AK253" s="25"/>
      <c r="AL253" s="25"/>
      <c r="AM253" s="25"/>
      <c r="AN253" s="25"/>
      <c r="AO253" s="25"/>
      <c r="AP253" s="25"/>
      <c r="AQ253" s="25"/>
      <c r="AR253" s="25"/>
      <c r="AS253" s="25"/>
      <c r="AT253" s="25"/>
      <c r="AU253" s="25"/>
    </row>
    <row r="254">
      <c r="A254" s="25"/>
      <c r="B254" s="25"/>
      <c r="C254" s="25"/>
      <c r="D254" s="25"/>
      <c r="E254" s="25"/>
      <c r="F254" s="25"/>
      <c r="G254" s="5"/>
      <c r="H254" s="5"/>
      <c r="I254" s="5"/>
      <c r="J254" s="5"/>
      <c r="K254" s="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  <c r="AD254" s="25"/>
      <c r="AE254" s="25"/>
      <c r="AF254" s="25"/>
      <c r="AG254" s="25"/>
      <c r="AH254" s="25"/>
      <c r="AI254" s="25"/>
      <c r="AJ254" s="25"/>
      <c r="AK254" s="25"/>
      <c r="AL254" s="25"/>
      <c r="AM254" s="25"/>
      <c r="AN254" s="25"/>
      <c r="AO254" s="25"/>
      <c r="AP254" s="25"/>
      <c r="AQ254" s="25"/>
      <c r="AR254" s="25"/>
      <c r="AS254" s="25"/>
      <c r="AT254" s="25"/>
      <c r="AU254" s="25"/>
    </row>
    <row r="255">
      <c r="A255" s="25"/>
      <c r="B255" s="25"/>
      <c r="C255" s="25"/>
      <c r="D255" s="25"/>
      <c r="E255" s="25"/>
      <c r="F255" s="25"/>
      <c r="G255" s="5"/>
      <c r="H255" s="5"/>
      <c r="I255" s="5"/>
      <c r="J255" s="5"/>
      <c r="K255" s="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  <c r="AD255" s="25"/>
      <c r="AE255" s="25"/>
      <c r="AF255" s="25"/>
      <c r="AG255" s="25"/>
      <c r="AH255" s="25"/>
      <c r="AI255" s="25"/>
      <c r="AJ255" s="25"/>
      <c r="AK255" s="25"/>
      <c r="AL255" s="25"/>
      <c r="AM255" s="25"/>
      <c r="AN255" s="25"/>
      <c r="AO255" s="25"/>
      <c r="AP255" s="25"/>
      <c r="AQ255" s="25"/>
      <c r="AR255" s="25"/>
      <c r="AS255" s="25"/>
      <c r="AT255" s="25"/>
      <c r="AU255" s="25"/>
    </row>
    <row r="256">
      <c r="A256" s="25"/>
      <c r="B256" s="25"/>
      <c r="C256" s="25"/>
      <c r="D256" s="25"/>
      <c r="E256" s="25"/>
      <c r="F256" s="25"/>
      <c r="G256" s="5"/>
      <c r="H256" s="5"/>
      <c r="I256" s="5"/>
      <c r="J256" s="5"/>
      <c r="K256" s="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  <c r="AD256" s="25"/>
      <c r="AE256" s="25"/>
      <c r="AF256" s="25"/>
      <c r="AG256" s="25"/>
      <c r="AH256" s="25"/>
      <c r="AI256" s="25"/>
      <c r="AJ256" s="25"/>
      <c r="AK256" s="25"/>
      <c r="AL256" s="25"/>
      <c r="AM256" s="25"/>
      <c r="AN256" s="25"/>
      <c r="AO256" s="25"/>
      <c r="AP256" s="25"/>
      <c r="AQ256" s="25"/>
      <c r="AR256" s="25"/>
      <c r="AS256" s="25"/>
      <c r="AT256" s="25"/>
      <c r="AU256" s="25"/>
    </row>
    <row r="257">
      <c r="A257" s="25"/>
      <c r="B257" s="25"/>
      <c r="C257" s="25"/>
      <c r="D257" s="25"/>
      <c r="E257" s="25"/>
      <c r="F257" s="25"/>
      <c r="G257" s="5"/>
      <c r="H257" s="5"/>
      <c r="I257" s="5"/>
      <c r="J257" s="5"/>
      <c r="K257" s="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  <c r="AD257" s="25"/>
      <c r="AE257" s="25"/>
      <c r="AF257" s="25"/>
      <c r="AG257" s="25"/>
      <c r="AH257" s="25"/>
      <c r="AI257" s="25"/>
      <c r="AJ257" s="25"/>
      <c r="AK257" s="25"/>
      <c r="AL257" s="25"/>
      <c r="AM257" s="25"/>
      <c r="AN257" s="25"/>
      <c r="AO257" s="25"/>
      <c r="AP257" s="25"/>
      <c r="AQ257" s="25"/>
      <c r="AR257" s="25"/>
      <c r="AS257" s="25"/>
      <c r="AT257" s="25"/>
      <c r="AU257" s="25"/>
    </row>
    <row r="258">
      <c r="A258" s="25"/>
      <c r="B258" s="25"/>
      <c r="C258" s="25"/>
      <c r="D258" s="25"/>
      <c r="E258" s="25"/>
      <c r="F258" s="25"/>
      <c r="G258" s="5"/>
      <c r="H258" s="5"/>
      <c r="I258" s="5"/>
      <c r="J258" s="5"/>
      <c r="K258" s="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  <c r="AD258" s="25"/>
      <c r="AE258" s="25"/>
      <c r="AF258" s="25"/>
      <c r="AG258" s="25"/>
      <c r="AH258" s="25"/>
      <c r="AI258" s="25"/>
      <c r="AJ258" s="25"/>
      <c r="AK258" s="25"/>
      <c r="AL258" s="25"/>
      <c r="AM258" s="25"/>
      <c r="AN258" s="25"/>
      <c r="AO258" s="25"/>
      <c r="AP258" s="25"/>
      <c r="AQ258" s="25"/>
      <c r="AR258" s="25"/>
      <c r="AS258" s="25"/>
      <c r="AT258" s="25"/>
      <c r="AU258" s="25"/>
    </row>
    <row r="259">
      <c r="A259" s="25"/>
      <c r="B259" s="25"/>
      <c r="C259" s="25"/>
      <c r="D259" s="25"/>
      <c r="E259" s="25"/>
      <c r="F259" s="25"/>
      <c r="G259" s="5"/>
      <c r="H259" s="5"/>
      <c r="I259" s="5"/>
      <c r="J259" s="5"/>
      <c r="K259" s="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  <c r="AD259" s="25"/>
      <c r="AE259" s="25"/>
      <c r="AF259" s="25"/>
      <c r="AG259" s="25"/>
      <c r="AH259" s="25"/>
      <c r="AI259" s="25"/>
      <c r="AJ259" s="25"/>
      <c r="AK259" s="25"/>
      <c r="AL259" s="25"/>
      <c r="AM259" s="25"/>
      <c r="AN259" s="25"/>
      <c r="AO259" s="25"/>
      <c r="AP259" s="25"/>
      <c r="AQ259" s="25"/>
      <c r="AR259" s="25"/>
      <c r="AS259" s="25"/>
      <c r="AT259" s="25"/>
      <c r="AU259" s="25"/>
    </row>
    <row r="260">
      <c r="A260" s="25"/>
      <c r="B260" s="25"/>
      <c r="C260" s="25"/>
      <c r="D260" s="25"/>
      <c r="E260" s="25"/>
      <c r="F260" s="25"/>
      <c r="G260" s="5"/>
      <c r="H260" s="5"/>
      <c r="I260" s="5"/>
      <c r="J260" s="5"/>
      <c r="K260" s="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  <c r="AO260" s="25"/>
      <c r="AP260" s="25"/>
      <c r="AQ260" s="25"/>
      <c r="AR260" s="25"/>
      <c r="AS260" s="25"/>
      <c r="AT260" s="25"/>
      <c r="AU260" s="25"/>
    </row>
    <row r="261">
      <c r="A261" s="25"/>
      <c r="B261" s="25"/>
      <c r="C261" s="25"/>
      <c r="D261" s="25"/>
      <c r="E261" s="25"/>
      <c r="F261" s="25"/>
      <c r="G261" s="5"/>
      <c r="H261" s="5"/>
      <c r="I261" s="5"/>
      <c r="J261" s="5"/>
      <c r="K261" s="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  <c r="AO261" s="25"/>
      <c r="AP261" s="25"/>
      <c r="AQ261" s="25"/>
      <c r="AR261" s="25"/>
      <c r="AS261" s="25"/>
      <c r="AT261" s="25"/>
      <c r="AU261" s="25"/>
    </row>
    <row r="262">
      <c r="A262" s="25"/>
      <c r="B262" s="25"/>
      <c r="C262" s="25"/>
      <c r="D262" s="25"/>
      <c r="E262" s="25"/>
      <c r="F262" s="25"/>
      <c r="G262" s="5"/>
      <c r="H262" s="5"/>
      <c r="I262" s="5"/>
      <c r="J262" s="5"/>
      <c r="K262" s="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  <c r="AO262" s="25"/>
      <c r="AP262" s="25"/>
      <c r="AQ262" s="25"/>
      <c r="AR262" s="25"/>
      <c r="AS262" s="25"/>
      <c r="AT262" s="25"/>
      <c r="AU262" s="25"/>
    </row>
    <row r="263">
      <c r="A263" s="25"/>
      <c r="B263" s="25"/>
      <c r="C263" s="25"/>
      <c r="D263" s="25"/>
      <c r="E263" s="25"/>
      <c r="F263" s="25"/>
      <c r="G263" s="5"/>
      <c r="H263" s="5"/>
      <c r="I263" s="5"/>
      <c r="J263" s="5"/>
      <c r="K263" s="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25"/>
      <c r="AH263" s="25"/>
      <c r="AI263" s="25"/>
      <c r="AJ263" s="25"/>
      <c r="AK263" s="25"/>
      <c r="AL263" s="25"/>
      <c r="AM263" s="25"/>
      <c r="AN263" s="25"/>
      <c r="AO263" s="25"/>
      <c r="AP263" s="25"/>
      <c r="AQ263" s="25"/>
      <c r="AR263" s="25"/>
      <c r="AS263" s="25"/>
      <c r="AT263" s="25"/>
      <c r="AU263" s="25"/>
    </row>
    <row r="264">
      <c r="A264" s="25"/>
      <c r="B264" s="25"/>
      <c r="C264" s="25"/>
      <c r="D264" s="25"/>
      <c r="E264" s="25"/>
      <c r="F264" s="25"/>
      <c r="G264" s="5"/>
      <c r="H264" s="5"/>
      <c r="I264" s="5"/>
      <c r="J264" s="5"/>
      <c r="K264" s="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5"/>
      <c r="AL264" s="25"/>
      <c r="AM264" s="25"/>
      <c r="AN264" s="25"/>
      <c r="AO264" s="25"/>
      <c r="AP264" s="25"/>
      <c r="AQ264" s="25"/>
      <c r="AR264" s="25"/>
      <c r="AS264" s="25"/>
      <c r="AT264" s="25"/>
      <c r="AU264" s="25"/>
    </row>
    <row r="265">
      <c r="A265" s="25"/>
      <c r="B265" s="25"/>
      <c r="C265" s="25"/>
      <c r="D265" s="25"/>
      <c r="E265" s="25"/>
      <c r="F265" s="25"/>
      <c r="G265" s="5"/>
      <c r="H265" s="5"/>
      <c r="I265" s="5"/>
      <c r="J265" s="5"/>
      <c r="K265" s="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  <c r="AD265" s="25"/>
      <c r="AE265" s="25"/>
      <c r="AF265" s="25"/>
      <c r="AG265" s="25"/>
      <c r="AH265" s="25"/>
      <c r="AI265" s="25"/>
      <c r="AJ265" s="25"/>
      <c r="AK265" s="25"/>
      <c r="AL265" s="25"/>
      <c r="AM265" s="25"/>
      <c r="AN265" s="25"/>
      <c r="AO265" s="25"/>
      <c r="AP265" s="25"/>
      <c r="AQ265" s="25"/>
      <c r="AR265" s="25"/>
      <c r="AS265" s="25"/>
      <c r="AT265" s="25"/>
      <c r="AU265" s="25"/>
    </row>
    <row r="266">
      <c r="A266" s="25"/>
      <c r="B266" s="25"/>
      <c r="C266" s="25"/>
      <c r="D266" s="25"/>
      <c r="E266" s="25"/>
      <c r="F266" s="25"/>
      <c r="G266" s="5"/>
      <c r="H266" s="5"/>
      <c r="I266" s="5"/>
      <c r="J266" s="5"/>
      <c r="K266" s="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  <c r="AD266" s="25"/>
      <c r="AE266" s="25"/>
      <c r="AF266" s="25"/>
      <c r="AG266" s="25"/>
      <c r="AH266" s="25"/>
      <c r="AI266" s="25"/>
      <c r="AJ266" s="25"/>
      <c r="AK266" s="25"/>
      <c r="AL266" s="25"/>
      <c r="AM266" s="25"/>
      <c r="AN266" s="25"/>
      <c r="AO266" s="25"/>
      <c r="AP266" s="25"/>
      <c r="AQ266" s="25"/>
      <c r="AR266" s="25"/>
      <c r="AS266" s="25"/>
      <c r="AT266" s="25"/>
      <c r="AU266" s="25"/>
    </row>
    <row r="267">
      <c r="A267" s="25"/>
      <c r="B267" s="25"/>
      <c r="C267" s="25"/>
      <c r="D267" s="25"/>
      <c r="E267" s="25"/>
      <c r="F267" s="25"/>
      <c r="G267" s="5"/>
      <c r="H267" s="5"/>
      <c r="I267" s="5"/>
      <c r="J267" s="5"/>
      <c r="K267" s="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  <c r="AD267" s="25"/>
      <c r="AE267" s="25"/>
      <c r="AF267" s="25"/>
      <c r="AG267" s="25"/>
      <c r="AH267" s="25"/>
      <c r="AI267" s="25"/>
      <c r="AJ267" s="25"/>
      <c r="AK267" s="25"/>
      <c r="AL267" s="25"/>
      <c r="AM267" s="25"/>
      <c r="AN267" s="25"/>
      <c r="AO267" s="25"/>
      <c r="AP267" s="25"/>
      <c r="AQ267" s="25"/>
      <c r="AR267" s="25"/>
      <c r="AS267" s="25"/>
      <c r="AT267" s="25"/>
      <c r="AU267" s="25"/>
    </row>
    <row r="268">
      <c r="A268" s="25"/>
      <c r="B268" s="25"/>
      <c r="C268" s="25"/>
      <c r="D268" s="25"/>
      <c r="E268" s="25"/>
      <c r="F268" s="25"/>
      <c r="G268" s="5"/>
      <c r="H268" s="5"/>
      <c r="I268" s="5"/>
      <c r="J268" s="5"/>
      <c r="K268" s="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  <c r="AD268" s="25"/>
      <c r="AE268" s="25"/>
      <c r="AF268" s="25"/>
      <c r="AG268" s="25"/>
      <c r="AH268" s="25"/>
      <c r="AI268" s="25"/>
      <c r="AJ268" s="25"/>
      <c r="AK268" s="25"/>
      <c r="AL268" s="25"/>
      <c r="AM268" s="25"/>
      <c r="AN268" s="25"/>
      <c r="AO268" s="25"/>
      <c r="AP268" s="25"/>
      <c r="AQ268" s="25"/>
      <c r="AR268" s="25"/>
      <c r="AS268" s="25"/>
      <c r="AT268" s="25"/>
      <c r="AU268" s="25"/>
    </row>
    <row r="269">
      <c r="A269" s="25"/>
      <c r="B269" s="25"/>
      <c r="C269" s="25"/>
      <c r="D269" s="25"/>
      <c r="E269" s="25"/>
      <c r="F269" s="25"/>
      <c r="G269" s="5"/>
      <c r="H269" s="5"/>
      <c r="I269" s="5"/>
      <c r="J269" s="5"/>
      <c r="K269" s="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  <c r="AD269" s="25"/>
      <c r="AE269" s="25"/>
      <c r="AF269" s="25"/>
      <c r="AG269" s="25"/>
      <c r="AH269" s="25"/>
      <c r="AI269" s="25"/>
      <c r="AJ269" s="25"/>
      <c r="AK269" s="25"/>
      <c r="AL269" s="25"/>
      <c r="AM269" s="25"/>
      <c r="AN269" s="25"/>
      <c r="AO269" s="25"/>
      <c r="AP269" s="25"/>
      <c r="AQ269" s="25"/>
      <c r="AR269" s="25"/>
      <c r="AS269" s="25"/>
      <c r="AT269" s="25"/>
      <c r="AU269" s="25"/>
    </row>
    <row r="270">
      <c r="A270" s="25"/>
      <c r="B270" s="25"/>
      <c r="C270" s="25"/>
      <c r="D270" s="25"/>
      <c r="E270" s="25"/>
      <c r="F270" s="25"/>
      <c r="G270" s="5"/>
      <c r="H270" s="5"/>
      <c r="I270" s="5"/>
      <c r="J270" s="5"/>
      <c r="K270" s="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5"/>
      <c r="AE270" s="25"/>
      <c r="AF270" s="25"/>
      <c r="AG270" s="25"/>
      <c r="AH270" s="25"/>
      <c r="AI270" s="25"/>
      <c r="AJ270" s="25"/>
      <c r="AK270" s="25"/>
      <c r="AL270" s="25"/>
      <c r="AM270" s="25"/>
      <c r="AN270" s="25"/>
      <c r="AO270" s="25"/>
      <c r="AP270" s="25"/>
      <c r="AQ270" s="25"/>
      <c r="AR270" s="25"/>
      <c r="AS270" s="25"/>
      <c r="AT270" s="25"/>
      <c r="AU270" s="25"/>
    </row>
    <row r="271">
      <c r="A271" s="25"/>
      <c r="B271" s="25"/>
      <c r="C271" s="25"/>
      <c r="D271" s="25"/>
      <c r="E271" s="25"/>
      <c r="F271" s="25"/>
      <c r="G271" s="5"/>
      <c r="H271" s="5"/>
      <c r="I271" s="5"/>
      <c r="J271" s="5"/>
      <c r="K271" s="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  <c r="AD271" s="25"/>
      <c r="AE271" s="25"/>
      <c r="AF271" s="25"/>
      <c r="AG271" s="25"/>
      <c r="AH271" s="25"/>
      <c r="AI271" s="25"/>
      <c r="AJ271" s="25"/>
      <c r="AK271" s="25"/>
      <c r="AL271" s="25"/>
      <c r="AM271" s="25"/>
      <c r="AN271" s="25"/>
      <c r="AO271" s="25"/>
      <c r="AP271" s="25"/>
      <c r="AQ271" s="25"/>
      <c r="AR271" s="25"/>
      <c r="AS271" s="25"/>
      <c r="AT271" s="25"/>
      <c r="AU271" s="25"/>
    </row>
    <row r="272">
      <c r="A272" s="25"/>
      <c r="B272" s="25"/>
      <c r="C272" s="25"/>
      <c r="D272" s="25"/>
      <c r="E272" s="25"/>
      <c r="F272" s="25"/>
      <c r="G272" s="5"/>
      <c r="H272" s="5"/>
      <c r="I272" s="5"/>
      <c r="J272" s="5"/>
      <c r="K272" s="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  <c r="AD272" s="25"/>
      <c r="AE272" s="25"/>
      <c r="AF272" s="25"/>
      <c r="AG272" s="25"/>
      <c r="AH272" s="25"/>
      <c r="AI272" s="25"/>
      <c r="AJ272" s="25"/>
      <c r="AK272" s="25"/>
      <c r="AL272" s="25"/>
      <c r="AM272" s="25"/>
      <c r="AN272" s="25"/>
      <c r="AO272" s="25"/>
      <c r="AP272" s="25"/>
      <c r="AQ272" s="25"/>
      <c r="AR272" s="25"/>
      <c r="AS272" s="25"/>
      <c r="AT272" s="25"/>
      <c r="AU272" s="25"/>
    </row>
    <row r="273">
      <c r="A273" s="25"/>
      <c r="B273" s="25"/>
      <c r="C273" s="25"/>
      <c r="D273" s="25"/>
      <c r="E273" s="25"/>
      <c r="F273" s="25"/>
      <c r="G273" s="5"/>
      <c r="H273" s="5"/>
      <c r="I273" s="5"/>
      <c r="J273" s="5"/>
      <c r="K273" s="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  <c r="AN273" s="25"/>
      <c r="AO273" s="25"/>
      <c r="AP273" s="25"/>
      <c r="AQ273" s="25"/>
      <c r="AR273" s="25"/>
      <c r="AS273" s="25"/>
      <c r="AT273" s="25"/>
      <c r="AU273" s="25"/>
    </row>
    <row r="274">
      <c r="A274" s="25"/>
      <c r="B274" s="25"/>
      <c r="C274" s="25"/>
      <c r="D274" s="25"/>
      <c r="E274" s="25"/>
      <c r="F274" s="25"/>
      <c r="G274" s="5"/>
      <c r="H274" s="5"/>
      <c r="I274" s="5"/>
      <c r="J274" s="5"/>
      <c r="K274" s="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  <c r="AD274" s="25"/>
      <c r="AE274" s="25"/>
      <c r="AF274" s="25"/>
      <c r="AG274" s="25"/>
      <c r="AH274" s="25"/>
      <c r="AI274" s="25"/>
      <c r="AJ274" s="25"/>
      <c r="AK274" s="25"/>
      <c r="AL274" s="25"/>
      <c r="AM274" s="25"/>
      <c r="AN274" s="25"/>
      <c r="AO274" s="25"/>
      <c r="AP274" s="25"/>
      <c r="AQ274" s="25"/>
      <c r="AR274" s="25"/>
      <c r="AS274" s="25"/>
      <c r="AT274" s="25"/>
      <c r="AU274" s="25"/>
    </row>
    <row r="275">
      <c r="A275" s="25"/>
      <c r="B275" s="25"/>
      <c r="C275" s="25"/>
      <c r="D275" s="25"/>
      <c r="E275" s="25"/>
      <c r="F275" s="25"/>
      <c r="G275" s="5"/>
      <c r="H275" s="5"/>
      <c r="I275" s="5"/>
      <c r="J275" s="5"/>
      <c r="K275" s="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  <c r="AD275" s="25"/>
      <c r="AE275" s="25"/>
      <c r="AF275" s="25"/>
      <c r="AG275" s="25"/>
      <c r="AH275" s="25"/>
      <c r="AI275" s="25"/>
      <c r="AJ275" s="25"/>
      <c r="AK275" s="25"/>
      <c r="AL275" s="25"/>
      <c r="AM275" s="25"/>
      <c r="AN275" s="25"/>
      <c r="AO275" s="25"/>
      <c r="AP275" s="25"/>
      <c r="AQ275" s="25"/>
      <c r="AR275" s="25"/>
      <c r="AS275" s="25"/>
      <c r="AT275" s="25"/>
      <c r="AU275" s="25"/>
    </row>
    <row r="276">
      <c r="A276" s="25"/>
      <c r="B276" s="25"/>
      <c r="C276" s="25"/>
      <c r="D276" s="25"/>
      <c r="E276" s="25"/>
      <c r="F276" s="25"/>
      <c r="G276" s="5"/>
      <c r="H276" s="5"/>
      <c r="I276" s="5"/>
      <c r="J276" s="5"/>
      <c r="K276" s="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  <c r="AM276" s="25"/>
      <c r="AN276" s="25"/>
      <c r="AO276" s="25"/>
      <c r="AP276" s="25"/>
      <c r="AQ276" s="25"/>
      <c r="AR276" s="25"/>
      <c r="AS276" s="25"/>
      <c r="AT276" s="25"/>
      <c r="AU276" s="25"/>
    </row>
    <row r="277">
      <c r="A277" s="25"/>
      <c r="B277" s="25"/>
      <c r="C277" s="25"/>
      <c r="D277" s="25"/>
      <c r="E277" s="25"/>
      <c r="F277" s="25"/>
      <c r="G277" s="5"/>
      <c r="H277" s="5"/>
      <c r="I277" s="5"/>
      <c r="J277" s="5"/>
      <c r="K277" s="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  <c r="AO277" s="25"/>
      <c r="AP277" s="25"/>
      <c r="AQ277" s="25"/>
      <c r="AR277" s="25"/>
      <c r="AS277" s="25"/>
      <c r="AT277" s="25"/>
      <c r="AU277" s="25"/>
    </row>
    <row r="278">
      <c r="A278" s="25"/>
      <c r="B278" s="25"/>
      <c r="C278" s="25"/>
      <c r="D278" s="25"/>
      <c r="E278" s="25"/>
      <c r="F278" s="25"/>
      <c r="G278" s="5"/>
      <c r="H278" s="5"/>
      <c r="I278" s="5"/>
      <c r="J278" s="5"/>
      <c r="K278" s="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  <c r="AO278" s="25"/>
      <c r="AP278" s="25"/>
      <c r="AQ278" s="25"/>
      <c r="AR278" s="25"/>
      <c r="AS278" s="25"/>
      <c r="AT278" s="25"/>
      <c r="AU278" s="25"/>
    </row>
    <row r="279">
      <c r="A279" s="25"/>
      <c r="B279" s="25"/>
      <c r="C279" s="25"/>
      <c r="D279" s="25"/>
      <c r="E279" s="25"/>
      <c r="F279" s="25"/>
      <c r="G279" s="5"/>
      <c r="H279" s="5"/>
      <c r="I279" s="5"/>
      <c r="J279" s="5"/>
      <c r="K279" s="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  <c r="AO279" s="25"/>
      <c r="AP279" s="25"/>
      <c r="AQ279" s="25"/>
      <c r="AR279" s="25"/>
      <c r="AS279" s="25"/>
      <c r="AT279" s="25"/>
      <c r="AU279" s="25"/>
    </row>
    <row r="280">
      <c r="A280" s="25"/>
      <c r="B280" s="25"/>
      <c r="C280" s="25"/>
      <c r="D280" s="25"/>
      <c r="E280" s="25"/>
      <c r="F280" s="25"/>
      <c r="G280" s="5"/>
      <c r="H280" s="5"/>
      <c r="I280" s="5"/>
      <c r="J280" s="5"/>
      <c r="K280" s="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  <c r="AO280" s="25"/>
      <c r="AP280" s="25"/>
      <c r="AQ280" s="25"/>
      <c r="AR280" s="25"/>
      <c r="AS280" s="25"/>
      <c r="AT280" s="25"/>
      <c r="AU280" s="25"/>
    </row>
    <row r="281">
      <c r="A281" s="25"/>
      <c r="B281" s="25"/>
      <c r="C281" s="25"/>
      <c r="D281" s="25"/>
      <c r="E281" s="25"/>
      <c r="F281" s="25"/>
      <c r="G281" s="5"/>
      <c r="H281" s="5"/>
      <c r="I281" s="5"/>
      <c r="J281" s="5"/>
      <c r="K281" s="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  <c r="AO281" s="25"/>
      <c r="AP281" s="25"/>
      <c r="AQ281" s="25"/>
      <c r="AR281" s="25"/>
      <c r="AS281" s="25"/>
      <c r="AT281" s="25"/>
      <c r="AU281" s="25"/>
    </row>
    <row r="282">
      <c r="A282" s="25"/>
      <c r="B282" s="25"/>
      <c r="C282" s="25"/>
      <c r="D282" s="25"/>
      <c r="E282" s="25"/>
      <c r="F282" s="25"/>
      <c r="G282" s="5"/>
      <c r="H282" s="5"/>
      <c r="I282" s="5"/>
      <c r="J282" s="5"/>
      <c r="K282" s="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  <c r="AO282" s="25"/>
      <c r="AP282" s="25"/>
      <c r="AQ282" s="25"/>
      <c r="AR282" s="25"/>
      <c r="AS282" s="25"/>
      <c r="AT282" s="25"/>
      <c r="AU282" s="25"/>
    </row>
    <row r="283">
      <c r="A283" s="25"/>
      <c r="B283" s="25"/>
      <c r="C283" s="25"/>
      <c r="D283" s="25"/>
      <c r="E283" s="25"/>
      <c r="F283" s="25"/>
      <c r="G283" s="5"/>
      <c r="H283" s="5"/>
      <c r="I283" s="5"/>
      <c r="J283" s="5"/>
      <c r="K283" s="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  <c r="AO283" s="25"/>
      <c r="AP283" s="25"/>
      <c r="AQ283" s="25"/>
      <c r="AR283" s="25"/>
      <c r="AS283" s="25"/>
      <c r="AT283" s="25"/>
      <c r="AU283" s="25"/>
    </row>
    <row r="284">
      <c r="A284" s="25"/>
      <c r="B284" s="25"/>
      <c r="C284" s="25"/>
      <c r="D284" s="25"/>
      <c r="E284" s="25"/>
      <c r="F284" s="25"/>
      <c r="G284" s="5"/>
      <c r="H284" s="5"/>
      <c r="I284" s="5"/>
      <c r="J284" s="5"/>
      <c r="K284" s="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  <c r="AO284" s="25"/>
      <c r="AP284" s="25"/>
      <c r="AQ284" s="25"/>
      <c r="AR284" s="25"/>
      <c r="AS284" s="25"/>
      <c r="AT284" s="25"/>
      <c r="AU284" s="25"/>
    </row>
    <row r="285">
      <c r="A285" s="25"/>
      <c r="B285" s="25"/>
      <c r="C285" s="25"/>
      <c r="D285" s="25"/>
      <c r="E285" s="25"/>
      <c r="F285" s="25"/>
      <c r="G285" s="5"/>
      <c r="H285" s="5"/>
      <c r="I285" s="5"/>
      <c r="J285" s="5"/>
      <c r="K285" s="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  <c r="AO285" s="25"/>
      <c r="AP285" s="25"/>
      <c r="AQ285" s="25"/>
      <c r="AR285" s="25"/>
      <c r="AS285" s="25"/>
      <c r="AT285" s="25"/>
      <c r="AU285" s="25"/>
    </row>
    <row r="286">
      <c r="A286" s="25"/>
      <c r="B286" s="25"/>
      <c r="C286" s="25"/>
      <c r="D286" s="25"/>
      <c r="E286" s="25"/>
      <c r="F286" s="25"/>
      <c r="G286" s="5"/>
      <c r="H286" s="5"/>
      <c r="I286" s="5"/>
      <c r="J286" s="5"/>
      <c r="K286" s="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  <c r="AO286" s="25"/>
      <c r="AP286" s="25"/>
      <c r="AQ286" s="25"/>
      <c r="AR286" s="25"/>
      <c r="AS286" s="25"/>
      <c r="AT286" s="25"/>
      <c r="AU286" s="25"/>
    </row>
    <row r="287">
      <c r="A287" s="25"/>
      <c r="B287" s="25"/>
      <c r="C287" s="25"/>
      <c r="D287" s="25"/>
      <c r="E287" s="25"/>
      <c r="F287" s="25"/>
      <c r="G287" s="5"/>
      <c r="H287" s="5"/>
      <c r="I287" s="5"/>
      <c r="J287" s="5"/>
      <c r="K287" s="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  <c r="AO287" s="25"/>
      <c r="AP287" s="25"/>
      <c r="AQ287" s="25"/>
      <c r="AR287" s="25"/>
      <c r="AS287" s="25"/>
      <c r="AT287" s="25"/>
      <c r="AU287" s="25"/>
    </row>
    <row r="288">
      <c r="A288" s="25"/>
      <c r="B288" s="25"/>
      <c r="C288" s="25"/>
      <c r="D288" s="25"/>
      <c r="E288" s="25"/>
      <c r="F288" s="25"/>
      <c r="G288" s="5"/>
      <c r="H288" s="5"/>
      <c r="I288" s="5"/>
      <c r="J288" s="5"/>
      <c r="K288" s="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  <c r="AO288" s="25"/>
      <c r="AP288" s="25"/>
      <c r="AQ288" s="25"/>
      <c r="AR288" s="25"/>
      <c r="AS288" s="25"/>
      <c r="AT288" s="25"/>
      <c r="AU288" s="25"/>
    </row>
    <row r="289">
      <c r="A289" s="25"/>
      <c r="B289" s="25"/>
      <c r="C289" s="25"/>
      <c r="D289" s="25"/>
      <c r="E289" s="25"/>
      <c r="F289" s="25"/>
      <c r="G289" s="5"/>
      <c r="H289" s="5"/>
      <c r="I289" s="5"/>
      <c r="J289" s="5"/>
      <c r="K289" s="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  <c r="AO289" s="25"/>
      <c r="AP289" s="25"/>
      <c r="AQ289" s="25"/>
      <c r="AR289" s="25"/>
      <c r="AS289" s="25"/>
      <c r="AT289" s="25"/>
      <c r="AU289" s="25"/>
    </row>
    <row r="290">
      <c r="A290" s="25"/>
      <c r="B290" s="25"/>
      <c r="C290" s="25"/>
      <c r="D290" s="25"/>
      <c r="E290" s="25"/>
      <c r="F290" s="25"/>
      <c r="G290" s="5"/>
      <c r="H290" s="5"/>
      <c r="I290" s="5"/>
      <c r="J290" s="5"/>
      <c r="K290" s="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  <c r="AO290" s="25"/>
      <c r="AP290" s="25"/>
      <c r="AQ290" s="25"/>
      <c r="AR290" s="25"/>
      <c r="AS290" s="25"/>
      <c r="AT290" s="25"/>
      <c r="AU290" s="25"/>
    </row>
    <row r="291">
      <c r="A291" s="25"/>
      <c r="B291" s="25"/>
      <c r="C291" s="25"/>
      <c r="D291" s="25"/>
      <c r="E291" s="25"/>
      <c r="F291" s="25"/>
      <c r="G291" s="5"/>
      <c r="H291" s="5"/>
      <c r="I291" s="5"/>
      <c r="J291" s="5"/>
      <c r="K291" s="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  <c r="AO291" s="25"/>
      <c r="AP291" s="25"/>
      <c r="AQ291" s="25"/>
      <c r="AR291" s="25"/>
      <c r="AS291" s="25"/>
      <c r="AT291" s="25"/>
      <c r="AU291" s="25"/>
    </row>
    <row r="292">
      <c r="A292" s="25"/>
      <c r="B292" s="25"/>
      <c r="C292" s="25"/>
      <c r="D292" s="25"/>
      <c r="E292" s="25"/>
      <c r="F292" s="25"/>
      <c r="G292" s="5"/>
      <c r="H292" s="5"/>
      <c r="I292" s="5"/>
      <c r="J292" s="5"/>
      <c r="K292" s="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  <c r="AO292" s="25"/>
      <c r="AP292" s="25"/>
      <c r="AQ292" s="25"/>
      <c r="AR292" s="25"/>
      <c r="AS292" s="25"/>
      <c r="AT292" s="25"/>
      <c r="AU292" s="25"/>
    </row>
    <row r="293">
      <c r="A293" s="25"/>
      <c r="B293" s="25"/>
      <c r="C293" s="25"/>
      <c r="D293" s="25"/>
      <c r="E293" s="25"/>
      <c r="F293" s="25"/>
      <c r="G293" s="5"/>
      <c r="H293" s="5"/>
      <c r="I293" s="5"/>
      <c r="J293" s="5"/>
      <c r="K293" s="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  <c r="AO293" s="25"/>
      <c r="AP293" s="25"/>
      <c r="AQ293" s="25"/>
      <c r="AR293" s="25"/>
      <c r="AS293" s="25"/>
      <c r="AT293" s="25"/>
      <c r="AU293" s="25"/>
    </row>
    <row r="294">
      <c r="A294" s="25"/>
      <c r="B294" s="25"/>
      <c r="C294" s="25"/>
      <c r="D294" s="25"/>
      <c r="E294" s="25"/>
      <c r="F294" s="25"/>
      <c r="G294" s="5"/>
      <c r="H294" s="5"/>
      <c r="I294" s="5"/>
      <c r="J294" s="5"/>
      <c r="K294" s="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  <c r="AO294" s="25"/>
      <c r="AP294" s="25"/>
      <c r="AQ294" s="25"/>
      <c r="AR294" s="25"/>
      <c r="AS294" s="25"/>
      <c r="AT294" s="25"/>
      <c r="AU294" s="25"/>
    </row>
    <row r="295">
      <c r="A295" s="25"/>
      <c r="B295" s="25"/>
      <c r="C295" s="25"/>
      <c r="D295" s="25"/>
      <c r="E295" s="25"/>
      <c r="F295" s="25"/>
      <c r="G295" s="5"/>
      <c r="H295" s="5"/>
      <c r="I295" s="5"/>
      <c r="J295" s="5"/>
      <c r="K295" s="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  <c r="AO295" s="25"/>
      <c r="AP295" s="25"/>
      <c r="AQ295" s="25"/>
      <c r="AR295" s="25"/>
      <c r="AS295" s="25"/>
      <c r="AT295" s="25"/>
      <c r="AU295" s="25"/>
    </row>
    <row r="296">
      <c r="A296" s="25"/>
      <c r="B296" s="25"/>
      <c r="C296" s="25"/>
      <c r="D296" s="25"/>
      <c r="E296" s="25"/>
      <c r="F296" s="25"/>
      <c r="G296" s="5"/>
      <c r="H296" s="5"/>
      <c r="I296" s="5"/>
      <c r="J296" s="5"/>
      <c r="K296" s="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  <c r="AO296" s="25"/>
      <c r="AP296" s="25"/>
      <c r="AQ296" s="25"/>
      <c r="AR296" s="25"/>
      <c r="AS296" s="25"/>
      <c r="AT296" s="25"/>
      <c r="AU296" s="25"/>
    </row>
    <row r="297">
      <c r="A297" s="25"/>
      <c r="B297" s="25"/>
      <c r="C297" s="25"/>
      <c r="D297" s="25"/>
      <c r="E297" s="25"/>
      <c r="F297" s="25"/>
      <c r="G297" s="5"/>
      <c r="H297" s="5"/>
      <c r="I297" s="5"/>
      <c r="J297" s="5"/>
      <c r="K297" s="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  <c r="AO297" s="25"/>
      <c r="AP297" s="25"/>
      <c r="AQ297" s="25"/>
      <c r="AR297" s="25"/>
      <c r="AS297" s="25"/>
      <c r="AT297" s="25"/>
      <c r="AU297" s="25"/>
    </row>
    <row r="298">
      <c r="A298" s="25"/>
      <c r="B298" s="25"/>
      <c r="C298" s="25"/>
      <c r="D298" s="25"/>
      <c r="E298" s="25"/>
      <c r="F298" s="25"/>
      <c r="G298" s="5"/>
      <c r="H298" s="5"/>
      <c r="I298" s="5"/>
      <c r="J298" s="5"/>
      <c r="K298" s="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  <c r="AO298" s="25"/>
      <c r="AP298" s="25"/>
      <c r="AQ298" s="25"/>
      <c r="AR298" s="25"/>
      <c r="AS298" s="25"/>
      <c r="AT298" s="25"/>
      <c r="AU298" s="25"/>
    </row>
    <row r="299">
      <c r="A299" s="25"/>
      <c r="B299" s="25"/>
      <c r="C299" s="25"/>
      <c r="D299" s="25"/>
      <c r="E299" s="25"/>
      <c r="F299" s="25"/>
      <c r="G299" s="5"/>
      <c r="H299" s="5"/>
      <c r="I299" s="5"/>
      <c r="J299" s="5"/>
      <c r="K299" s="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  <c r="AO299" s="25"/>
      <c r="AP299" s="25"/>
      <c r="AQ299" s="25"/>
      <c r="AR299" s="25"/>
      <c r="AS299" s="25"/>
      <c r="AT299" s="25"/>
      <c r="AU299" s="25"/>
    </row>
    <row r="300">
      <c r="A300" s="25"/>
      <c r="B300" s="25"/>
      <c r="C300" s="25"/>
      <c r="D300" s="25"/>
      <c r="E300" s="25"/>
      <c r="F300" s="25"/>
      <c r="G300" s="5"/>
      <c r="H300" s="5"/>
      <c r="I300" s="5"/>
      <c r="J300" s="5"/>
      <c r="K300" s="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  <c r="AO300" s="25"/>
      <c r="AP300" s="25"/>
      <c r="AQ300" s="25"/>
      <c r="AR300" s="25"/>
      <c r="AS300" s="25"/>
      <c r="AT300" s="25"/>
      <c r="AU300" s="25"/>
    </row>
    <row r="301">
      <c r="A301" s="25"/>
      <c r="B301" s="25"/>
      <c r="C301" s="25"/>
      <c r="D301" s="25"/>
      <c r="E301" s="25"/>
      <c r="F301" s="25"/>
      <c r="G301" s="5"/>
      <c r="H301" s="5"/>
      <c r="I301" s="5"/>
      <c r="J301" s="5"/>
      <c r="K301" s="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  <c r="AO301" s="25"/>
      <c r="AP301" s="25"/>
      <c r="AQ301" s="25"/>
      <c r="AR301" s="25"/>
      <c r="AS301" s="25"/>
      <c r="AT301" s="25"/>
      <c r="AU301" s="25"/>
    </row>
    <row r="302">
      <c r="A302" s="25"/>
      <c r="B302" s="25"/>
      <c r="C302" s="25"/>
      <c r="D302" s="25"/>
      <c r="E302" s="25"/>
      <c r="F302" s="25"/>
      <c r="G302" s="5"/>
      <c r="H302" s="5"/>
      <c r="I302" s="5"/>
      <c r="J302" s="5"/>
      <c r="K302" s="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  <c r="AO302" s="25"/>
      <c r="AP302" s="25"/>
      <c r="AQ302" s="25"/>
      <c r="AR302" s="25"/>
      <c r="AS302" s="25"/>
      <c r="AT302" s="25"/>
      <c r="AU302" s="25"/>
    </row>
    <row r="303">
      <c r="A303" s="25"/>
      <c r="B303" s="25"/>
      <c r="C303" s="25"/>
      <c r="D303" s="25"/>
      <c r="E303" s="25"/>
      <c r="F303" s="25"/>
      <c r="G303" s="5"/>
      <c r="H303" s="5"/>
      <c r="I303" s="5"/>
      <c r="J303" s="5"/>
      <c r="K303" s="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  <c r="AO303" s="25"/>
      <c r="AP303" s="25"/>
      <c r="AQ303" s="25"/>
      <c r="AR303" s="25"/>
      <c r="AS303" s="25"/>
      <c r="AT303" s="25"/>
      <c r="AU303" s="25"/>
    </row>
    <row r="304">
      <c r="A304" s="25"/>
      <c r="B304" s="25"/>
      <c r="C304" s="25"/>
      <c r="D304" s="25"/>
      <c r="E304" s="25"/>
      <c r="F304" s="25"/>
      <c r="G304" s="5"/>
      <c r="H304" s="5"/>
      <c r="I304" s="5"/>
      <c r="J304" s="5"/>
      <c r="K304" s="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  <c r="AO304" s="25"/>
      <c r="AP304" s="25"/>
      <c r="AQ304" s="25"/>
      <c r="AR304" s="25"/>
      <c r="AS304" s="25"/>
      <c r="AT304" s="25"/>
      <c r="AU304" s="25"/>
    </row>
    <row r="305">
      <c r="A305" s="25"/>
      <c r="B305" s="25"/>
      <c r="C305" s="25"/>
      <c r="D305" s="25"/>
      <c r="E305" s="25"/>
      <c r="F305" s="25"/>
      <c r="G305" s="5"/>
      <c r="H305" s="5"/>
      <c r="I305" s="5"/>
      <c r="J305" s="5"/>
      <c r="K305" s="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  <c r="AO305" s="25"/>
      <c r="AP305" s="25"/>
      <c r="AQ305" s="25"/>
      <c r="AR305" s="25"/>
      <c r="AS305" s="25"/>
      <c r="AT305" s="25"/>
      <c r="AU305" s="25"/>
    </row>
    <row r="306">
      <c r="A306" s="25"/>
      <c r="B306" s="25"/>
      <c r="C306" s="25"/>
      <c r="D306" s="25"/>
      <c r="E306" s="25"/>
      <c r="F306" s="25"/>
      <c r="G306" s="5"/>
      <c r="H306" s="5"/>
      <c r="I306" s="5"/>
      <c r="J306" s="5"/>
      <c r="K306" s="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  <c r="AO306" s="25"/>
      <c r="AP306" s="25"/>
      <c r="AQ306" s="25"/>
      <c r="AR306" s="25"/>
      <c r="AS306" s="25"/>
      <c r="AT306" s="25"/>
      <c r="AU306" s="25"/>
    </row>
    <row r="307">
      <c r="A307" s="25"/>
      <c r="B307" s="25"/>
      <c r="C307" s="25"/>
      <c r="D307" s="25"/>
      <c r="E307" s="25"/>
      <c r="F307" s="25"/>
      <c r="G307" s="5"/>
      <c r="H307" s="5"/>
      <c r="I307" s="5"/>
      <c r="J307" s="5"/>
      <c r="K307" s="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  <c r="AO307" s="25"/>
      <c r="AP307" s="25"/>
      <c r="AQ307" s="25"/>
      <c r="AR307" s="25"/>
      <c r="AS307" s="25"/>
      <c r="AT307" s="25"/>
      <c r="AU307" s="25"/>
    </row>
    <row r="308">
      <c r="A308" s="25"/>
      <c r="B308" s="25"/>
      <c r="C308" s="25"/>
      <c r="D308" s="25"/>
      <c r="E308" s="25"/>
      <c r="F308" s="25"/>
      <c r="G308" s="5"/>
      <c r="H308" s="5"/>
      <c r="I308" s="5"/>
      <c r="J308" s="5"/>
      <c r="K308" s="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  <c r="AO308" s="25"/>
      <c r="AP308" s="25"/>
      <c r="AQ308" s="25"/>
      <c r="AR308" s="25"/>
      <c r="AS308" s="25"/>
      <c r="AT308" s="25"/>
      <c r="AU308" s="25"/>
    </row>
    <row r="309">
      <c r="A309" s="25"/>
      <c r="B309" s="25"/>
      <c r="C309" s="25"/>
      <c r="D309" s="25"/>
      <c r="E309" s="25"/>
      <c r="F309" s="25"/>
      <c r="G309" s="5"/>
      <c r="H309" s="5"/>
      <c r="I309" s="5"/>
      <c r="J309" s="5"/>
      <c r="K309" s="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  <c r="AO309" s="25"/>
      <c r="AP309" s="25"/>
      <c r="AQ309" s="25"/>
      <c r="AR309" s="25"/>
      <c r="AS309" s="25"/>
      <c r="AT309" s="25"/>
      <c r="AU309" s="25"/>
    </row>
    <row r="310">
      <c r="A310" s="25"/>
      <c r="B310" s="25"/>
      <c r="C310" s="25"/>
      <c r="D310" s="25"/>
      <c r="E310" s="25"/>
      <c r="F310" s="25"/>
      <c r="G310" s="5"/>
      <c r="H310" s="5"/>
      <c r="I310" s="5"/>
      <c r="J310" s="5"/>
      <c r="K310" s="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  <c r="AO310" s="25"/>
      <c r="AP310" s="25"/>
      <c r="AQ310" s="25"/>
      <c r="AR310" s="25"/>
      <c r="AS310" s="25"/>
      <c r="AT310" s="25"/>
      <c r="AU310" s="25"/>
    </row>
    <row r="311">
      <c r="A311" s="25"/>
      <c r="B311" s="25"/>
      <c r="C311" s="25"/>
      <c r="D311" s="25"/>
      <c r="E311" s="25"/>
      <c r="F311" s="25"/>
      <c r="G311" s="5"/>
      <c r="H311" s="5"/>
      <c r="I311" s="5"/>
      <c r="J311" s="5"/>
      <c r="K311" s="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  <c r="AO311" s="25"/>
      <c r="AP311" s="25"/>
      <c r="AQ311" s="25"/>
      <c r="AR311" s="25"/>
      <c r="AS311" s="25"/>
      <c r="AT311" s="25"/>
      <c r="AU311" s="25"/>
    </row>
    <row r="312">
      <c r="A312" s="25"/>
      <c r="B312" s="25"/>
      <c r="C312" s="25"/>
      <c r="D312" s="25"/>
      <c r="E312" s="25"/>
      <c r="F312" s="25"/>
      <c r="G312" s="5"/>
      <c r="H312" s="5"/>
      <c r="I312" s="5"/>
      <c r="J312" s="5"/>
      <c r="K312" s="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  <c r="AO312" s="25"/>
      <c r="AP312" s="25"/>
      <c r="AQ312" s="25"/>
      <c r="AR312" s="25"/>
      <c r="AS312" s="25"/>
      <c r="AT312" s="25"/>
      <c r="AU312" s="25"/>
    </row>
    <row r="313">
      <c r="A313" s="25"/>
      <c r="B313" s="25"/>
      <c r="C313" s="25"/>
      <c r="D313" s="25"/>
      <c r="E313" s="25"/>
      <c r="F313" s="25"/>
      <c r="G313" s="5"/>
      <c r="H313" s="5"/>
      <c r="I313" s="5"/>
      <c r="J313" s="5"/>
      <c r="K313" s="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  <c r="AO313" s="25"/>
      <c r="AP313" s="25"/>
      <c r="AQ313" s="25"/>
      <c r="AR313" s="25"/>
      <c r="AS313" s="25"/>
      <c r="AT313" s="25"/>
      <c r="AU313" s="25"/>
    </row>
    <row r="314">
      <c r="A314" s="25"/>
      <c r="B314" s="25"/>
      <c r="C314" s="25"/>
      <c r="D314" s="25"/>
      <c r="E314" s="25"/>
      <c r="F314" s="25"/>
      <c r="G314" s="5"/>
      <c r="H314" s="5"/>
      <c r="I314" s="5"/>
      <c r="J314" s="5"/>
      <c r="K314" s="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  <c r="AO314" s="25"/>
      <c r="AP314" s="25"/>
      <c r="AQ314" s="25"/>
      <c r="AR314" s="25"/>
      <c r="AS314" s="25"/>
      <c r="AT314" s="25"/>
      <c r="AU314" s="25"/>
    </row>
    <row r="315">
      <c r="A315" s="25"/>
      <c r="B315" s="25"/>
      <c r="C315" s="25"/>
      <c r="D315" s="25"/>
      <c r="E315" s="25"/>
      <c r="F315" s="25"/>
      <c r="G315" s="5"/>
      <c r="H315" s="5"/>
      <c r="I315" s="5"/>
      <c r="J315" s="5"/>
      <c r="K315" s="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  <c r="AO315" s="25"/>
      <c r="AP315" s="25"/>
      <c r="AQ315" s="25"/>
      <c r="AR315" s="25"/>
      <c r="AS315" s="25"/>
      <c r="AT315" s="25"/>
      <c r="AU315" s="25"/>
    </row>
    <row r="316">
      <c r="A316" s="25"/>
      <c r="B316" s="25"/>
      <c r="C316" s="25"/>
      <c r="D316" s="25"/>
      <c r="E316" s="25"/>
      <c r="F316" s="25"/>
      <c r="G316" s="5"/>
      <c r="H316" s="5"/>
      <c r="I316" s="5"/>
      <c r="J316" s="5"/>
      <c r="K316" s="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  <c r="AO316" s="25"/>
      <c r="AP316" s="25"/>
      <c r="AQ316" s="25"/>
      <c r="AR316" s="25"/>
      <c r="AS316" s="25"/>
      <c r="AT316" s="25"/>
      <c r="AU316" s="25"/>
    </row>
    <row r="317">
      <c r="A317" s="25"/>
      <c r="B317" s="25"/>
      <c r="C317" s="25"/>
      <c r="D317" s="25"/>
      <c r="E317" s="25"/>
      <c r="F317" s="25"/>
      <c r="G317" s="5"/>
      <c r="H317" s="5"/>
      <c r="I317" s="5"/>
      <c r="J317" s="5"/>
      <c r="K317" s="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  <c r="AO317" s="25"/>
      <c r="AP317" s="25"/>
      <c r="AQ317" s="25"/>
      <c r="AR317" s="25"/>
      <c r="AS317" s="25"/>
      <c r="AT317" s="25"/>
      <c r="AU317" s="25"/>
    </row>
    <row r="318">
      <c r="A318" s="25"/>
      <c r="B318" s="25"/>
      <c r="C318" s="25"/>
      <c r="D318" s="25"/>
      <c r="E318" s="25"/>
      <c r="F318" s="25"/>
      <c r="G318" s="5"/>
      <c r="H318" s="5"/>
      <c r="I318" s="5"/>
      <c r="J318" s="5"/>
      <c r="K318" s="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  <c r="AO318" s="25"/>
      <c r="AP318" s="25"/>
      <c r="AQ318" s="25"/>
      <c r="AR318" s="25"/>
      <c r="AS318" s="25"/>
      <c r="AT318" s="25"/>
      <c r="AU318" s="25"/>
    </row>
    <row r="319">
      <c r="A319" s="25"/>
      <c r="B319" s="25"/>
      <c r="C319" s="25"/>
      <c r="D319" s="25"/>
      <c r="E319" s="25"/>
      <c r="F319" s="25"/>
      <c r="G319" s="5"/>
      <c r="H319" s="5"/>
      <c r="I319" s="5"/>
      <c r="J319" s="5"/>
      <c r="K319" s="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  <c r="AO319" s="25"/>
      <c r="AP319" s="25"/>
      <c r="AQ319" s="25"/>
      <c r="AR319" s="25"/>
      <c r="AS319" s="25"/>
      <c r="AT319" s="25"/>
      <c r="AU319" s="25"/>
    </row>
    <row r="320">
      <c r="A320" s="25"/>
      <c r="B320" s="25"/>
      <c r="C320" s="25"/>
      <c r="D320" s="25"/>
      <c r="E320" s="25"/>
      <c r="F320" s="25"/>
      <c r="G320" s="5"/>
      <c r="H320" s="5"/>
      <c r="I320" s="5"/>
      <c r="J320" s="5"/>
      <c r="K320" s="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  <c r="AO320" s="25"/>
      <c r="AP320" s="25"/>
      <c r="AQ320" s="25"/>
      <c r="AR320" s="25"/>
      <c r="AS320" s="25"/>
      <c r="AT320" s="25"/>
      <c r="AU320" s="25"/>
    </row>
    <row r="321">
      <c r="A321" s="25"/>
      <c r="B321" s="25"/>
      <c r="C321" s="25"/>
      <c r="D321" s="25"/>
      <c r="E321" s="25"/>
      <c r="F321" s="25"/>
      <c r="G321" s="5"/>
      <c r="H321" s="5"/>
      <c r="I321" s="5"/>
      <c r="J321" s="5"/>
      <c r="K321" s="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  <c r="AO321" s="25"/>
      <c r="AP321" s="25"/>
      <c r="AQ321" s="25"/>
      <c r="AR321" s="25"/>
      <c r="AS321" s="25"/>
      <c r="AT321" s="25"/>
      <c r="AU321" s="25"/>
    </row>
    <row r="322">
      <c r="A322" s="25"/>
      <c r="B322" s="25"/>
      <c r="C322" s="25"/>
      <c r="D322" s="25"/>
      <c r="E322" s="25"/>
      <c r="F322" s="25"/>
      <c r="G322" s="5"/>
      <c r="H322" s="5"/>
      <c r="I322" s="5"/>
      <c r="J322" s="5"/>
      <c r="K322" s="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  <c r="AO322" s="25"/>
      <c r="AP322" s="25"/>
      <c r="AQ322" s="25"/>
      <c r="AR322" s="25"/>
      <c r="AS322" s="25"/>
      <c r="AT322" s="25"/>
      <c r="AU322" s="25"/>
    </row>
    <row r="323">
      <c r="A323" s="25"/>
      <c r="B323" s="25"/>
      <c r="C323" s="25"/>
      <c r="D323" s="25"/>
      <c r="E323" s="25"/>
      <c r="F323" s="25"/>
      <c r="G323" s="5"/>
      <c r="H323" s="5"/>
      <c r="I323" s="5"/>
      <c r="J323" s="5"/>
      <c r="K323" s="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  <c r="AO323" s="25"/>
      <c r="AP323" s="25"/>
      <c r="AQ323" s="25"/>
      <c r="AR323" s="25"/>
      <c r="AS323" s="25"/>
      <c r="AT323" s="25"/>
      <c r="AU323" s="25"/>
    </row>
    <row r="324">
      <c r="A324" s="25"/>
      <c r="B324" s="25"/>
      <c r="C324" s="25"/>
      <c r="D324" s="25"/>
      <c r="E324" s="25"/>
      <c r="F324" s="25"/>
      <c r="G324" s="5"/>
      <c r="H324" s="5"/>
      <c r="I324" s="5"/>
      <c r="J324" s="5"/>
      <c r="K324" s="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  <c r="AO324" s="25"/>
      <c r="AP324" s="25"/>
      <c r="AQ324" s="25"/>
      <c r="AR324" s="25"/>
      <c r="AS324" s="25"/>
      <c r="AT324" s="25"/>
      <c r="AU324" s="25"/>
    </row>
    <row r="325">
      <c r="A325" s="25"/>
      <c r="B325" s="25"/>
      <c r="C325" s="25"/>
      <c r="D325" s="25"/>
      <c r="E325" s="25"/>
      <c r="F325" s="25"/>
      <c r="G325" s="5"/>
      <c r="H325" s="5"/>
      <c r="I325" s="5"/>
      <c r="J325" s="5"/>
      <c r="K325" s="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  <c r="AO325" s="25"/>
      <c r="AP325" s="25"/>
      <c r="AQ325" s="25"/>
      <c r="AR325" s="25"/>
      <c r="AS325" s="25"/>
      <c r="AT325" s="25"/>
      <c r="AU325" s="25"/>
    </row>
    <row r="326">
      <c r="A326" s="25"/>
      <c r="B326" s="25"/>
      <c r="C326" s="25"/>
      <c r="D326" s="25"/>
      <c r="E326" s="25"/>
      <c r="F326" s="25"/>
      <c r="G326" s="5"/>
      <c r="H326" s="5"/>
      <c r="I326" s="5"/>
      <c r="J326" s="5"/>
      <c r="K326" s="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  <c r="AO326" s="25"/>
      <c r="AP326" s="25"/>
      <c r="AQ326" s="25"/>
      <c r="AR326" s="25"/>
      <c r="AS326" s="25"/>
      <c r="AT326" s="25"/>
      <c r="AU326" s="25"/>
    </row>
    <row r="327">
      <c r="A327" s="25"/>
      <c r="B327" s="25"/>
      <c r="C327" s="25"/>
      <c r="D327" s="25"/>
      <c r="E327" s="25"/>
      <c r="F327" s="25"/>
      <c r="G327" s="5"/>
      <c r="H327" s="5"/>
      <c r="I327" s="5"/>
      <c r="J327" s="5"/>
      <c r="K327" s="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  <c r="AO327" s="25"/>
      <c r="AP327" s="25"/>
      <c r="AQ327" s="25"/>
      <c r="AR327" s="25"/>
      <c r="AS327" s="25"/>
      <c r="AT327" s="25"/>
      <c r="AU327" s="25"/>
    </row>
    <row r="328">
      <c r="A328" s="25"/>
      <c r="B328" s="25"/>
      <c r="C328" s="25"/>
      <c r="D328" s="25"/>
      <c r="E328" s="25"/>
      <c r="F328" s="25"/>
      <c r="G328" s="5"/>
      <c r="H328" s="5"/>
      <c r="I328" s="5"/>
      <c r="J328" s="5"/>
      <c r="K328" s="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  <c r="AO328" s="25"/>
      <c r="AP328" s="25"/>
      <c r="AQ328" s="25"/>
      <c r="AR328" s="25"/>
      <c r="AS328" s="25"/>
      <c r="AT328" s="25"/>
      <c r="AU328" s="25"/>
    </row>
    <row r="329">
      <c r="A329" s="25"/>
      <c r="B329" s="25"/>
      <c r="C329" s="25"/>
      <c r="D329" s="25"/>
      <c r="E329" s="25"/>
      <c r="F329" s="25"/>
      <c r="G329" s="5"/>
      <c r="H329" s="5"/>
      <c r="I329" s="5"/>
      <c r="J329" s="5"/>
      <c r="K329" s="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  <c r="AO329" s="25"/>
      <c r="AP329" s="25"/>
      <c r="AQ329" s="25"/>
      <c r="AR329" s="25"/>
      <c r="AS329" s="25"/>
      <c r="AT329" s="25"/>
      <c r="AU329" s="25"/>
    </row>
    <row r="330">
      <c r="A330" s="25"/>
      <c r="B330" s="25"/>
      <c r="C330" s="25"/>
      <c r="D330" s="25"/>
      <c r="E330" s="25"/>
      <c r="F330" s="25"/>
      <c r="G330" s="5"/>
      <c r="H330" s="5"/>
      <c r="I330" s="5"/>
      <c r="J330" s="5"/>
      <c r="K330" s="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  <c r="AO330" s="25"/>
      <c r="AP330" s="25"/>
      <c r="AQ330" s="25"/>
      <c r="AR330" s="25"/>
      <c r="AS330" s="25"/>
      <c r="AT330" s="25"/>
      <c r="AU330" s="25"/>
    </row>
    <row r="331">
      <c r="A331" s="25"/>
      <c r="B331" s="25"/>
      <c r="C331" s="25"/>
      <c r="D331" s="25"/>
      <c r="E331" s="25"/>
      <c r="F331" s="25"/>
      <c r="G331" s="5"/>
      <c r="H331" s="5"/>
      <c r="I331" s="5"/>
      <c r="J331" s="5"/>
      <c r="K331" s="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  <c r="AO331" s="25"/>
      <c r="AP331" s="25"/>
      <c r="AQ331" s="25"/>
      <c r="AR331" s="25"/>
      <c r="AS331" s="25"/>
      <c r="AT331" s="25"/>
      <c r="AU331" s="25"/>
    </row>
    <row r="332">
      <c r="A332" s="25"/>
      <c r="B332" s="25"/>
      <c r="C332" s="25"/>
      <c r="D332" s="25"/>
      <c r="E332" s="25"/>
      <c r="F332" s="25"/>
      <c r="G332" s="5"/>
      <c r="H332" s="5"/>
      <c r="I332" s="5"/>
      <c r="J332" s="5"/>
      <c r="K332" s="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  <c r="AO332" s="25"/>
      <c r="AP332" s="25"/>
      <c r="AQ332" s="25"/>
      <c r="AR332" s="25"/>
      <c r="AS332" s="25"/>
      <c r="AT332" s="25"/>
      <c r="AU332" s="25"/>
    </row>
    <row r="333">
      <c r="A333" s="25"/>
      <c r="B333" s="25"/>
      <c r="C333" s="25"/>
      <c r="D333" s="25"/>
      <c r="E333" s="25"/>
      <c r="F333" s="25"/>
      <c r="G333" s="5"/>
      <c r="H333" s="5"/>
      <c r="I333" s="5"/>
      <c r="J333" s="5"/>
      <c r="K333" s="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  <c r="AO333" s="25"/>
      <c r="AP333" s="25"/>
      <c r="AQ333" s="25"/>
      <c r="AR333" s="25"/>
      <c r="AS333" s="25"/>
      <c r="AT333" s="25"/>
      <c r="AU333" s="25"/>
    </row>
    <row r="334">
      <c r="A334" s="25"/>
      <c r="B334" s="25"/>
      <c r="C334" s="25"/>
      <c r="D334" s="25"/>
      <c r="E334" s="25"/>
      <c r="F334" s="25"/>
      <c r="G334" s="5"/>
      <c r="H334" s="5"/>
      <c r="I334" s="5"/>
      <c r="J334" s="5"/>
      <c r="K334" s="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  <c r="AO334" s="25"/>
      <c r="AP334" s="25"/>
      <c r="AQ334" s="25"/>
      <c r="AR334" s="25"/>
      <c r="AS334" s="25"/>
      <c r="AT334" s="25"/>
      <c r="AU334" s="25"/>
    </row>
    <row r="335">
      <c r="A335" s="25"/>
      <c r="B335" s="25"/>
      <c r="C335" s="25"/>
      <c r="D335" s="25"/>
      <c r="E335" s="25"/>
      <c r="F335" s="25"/>
      <c r="G335" s="5"/>
      <c r="H335" s="5"/>
      <c r="I335" s="5"/>
      <c r="J335" s="5"/>
      <c r="K335" s="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  <c r="AO335" s="25"/>
      <c r="AP335" s="25"/>
      <c r="AQ335" s="25"/>
      <c r="AR335" s="25"/>
      <c r="AS335" s="25"/>
      <c r="AT335" s="25"/>
      <c r="AU335" s="25"/>
    </row>
    <row r="336">
      <c r="A336" s="25"/>
      <c r="B336" s="25"/>
      <c r="C336" s="25"/>
      <c r="D336" s="25"/>
      <c r="E336" s="25"/>
      <c r="F336" s="25"/>
      <c r="G336" s="5"/>
      <c r="H336" s="5"/>
      <c r="I336" s="5"/>
      <c r="J336" s="5"/>
      <c r="K336" s="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  <c r="AO336" s="25"/>
      <c r="AP336" s="25"/>
      <c r="AQ336" s="25"/>
      <c r="AR336" s="25"/>
      <c r="AS336" s="25"/>
      <c r="AT336" s="25"/>
      <c r="AU336" s="25"/>
    </row>
    <row r="337">
      <c r="A337" s="25"/>
      <c r="B337" s="25"/>
      <c r="C337" s="25"/>
      <c r="D337" s="25"/>
      <c r="E337" s="25"/>
      <c r="F337" s="25"/>
      <c r="G337" s="5"/>
      <c r="H337" s="5"/>
      <c r="I337" s="5"/>
      <c r="J337" s="5"/>
      <c r="K337" s="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  <c r="AO337" s="25"/>
      <c r="AP337" s="25"/>
      <c r="AQ337" s="25"/>
      <c r="AR337" s="25"/>
      <c r="AS337" s="25"/>
      <c r="AT337" s="25"/>
      <c r="AU337" s="25"/>
    </row>
    <row r="338">
      <c r="A338" s="25"/>
      <c r="B338" s="25"/>
      <c r="C338" s="25"/>
      <c r="D338" s="25"/>
      <c r="E338" s="25"/>
      <c r="F338" s="25"/>
      <c r="G338" s="5"/>
      <c r="H338" s="5"/>
      <c r="I338" s="5"/>
      <c r="J338" s="5"/>
      <c r="K338" s="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  <c r="AO338" s="25"/>
      <c r="AP338" s="25"/>
      <c r="AQ338" s="25"/>
      <c r="AR338" s="25"/>
      <c r="AS338" s="25"/>
      <c r="AT338" s="25"/>
      <c r="AU338" s="25"/>
    </row>
    <row r="339">
      <c r="A339" s="25"/>
      <c r="B339" s="25"/>
      <c r="C339" s="25"/>
      <c r="D339" s="25"/>
      <c r="E339" s="25"/>
      <c r="F339" s="25"/>
      <c r="G339" s="5"/>
      <c r="H339" s="5"/>
      <c r="I339" s="5"/>
      <c r="J339" s="5"/>
      <c r="K339" s="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  <c r="AO339" s="25"/>
      <c r="AP339" s="25"/>
      <c r="AQ339" s="25"/>
      <c r="AR339" s="25"/>
      <c r="AS339" s="25"/>
      <c r="AT339" s="25"/>
      <c r="AU339" s="25"/>
    </row>
    <row r="340">
      <c r="A340" s="25"/>
      <c r="B340" s="25"/>
      <c r="C340" s="25"/>
      <c r="D340" s="25"/>
      <c r="E340" s="25"/>
      <c r="F340" s="25"/>
      <c r="G340" s="5"/>
      <c r="H340" s="5"/>
      <c r="I340" s="5"/>
      <c r="J340" s="5"/>
      <c r="K340" s="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  <c r="AO340" s="25"/>
      <c r="AP340" s="25"/>
      <c r="AQ340" s="25"/>
      <c r="AR340" s="25"/>
      <c r="AS340" s="25"/>
      <c r="AT340" s="25"/>
      <c r="AU340" s="25"/>
    </row>
    <row r="341">
      <c r="A341" s="25"/>
      <c r="B341" s="25"/>
      <c r="C341" s="25"/>
      <c r="D341" s="25"/>
      <c r="E341" s="25"/>
      <c r="F341" s="25"/>
      <c r="G341" s="5"/>
      <c r="H341" s="5"/>
      <c r="I341" s="5"/>
      <c r="J341" s="5"/>
      <c r="K341" s="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  <c r="AO341" s="25"/>
      <c r="AP341" s="25"/>
      <c r="AQ341" s="25"/>
      <c r="AR341" s="25"/>
      <c r="AS341" s="25"/>
      <c r="AT341" s="25"/>
      <c r="AU341" s="25"/>
    </row>
    <row r="342">
      <c r="A342" s="25"/>
      <c r="B342" s="25"/>
      <c r="C342" s="25"/>
      <c r="D342" s="25"/>
      <c r="E342" s="25"/>
      <c r="F342" s="25"/>
      <c r="G342" s="5"/>
      <c r="H342" s="5"/>
      <c r="I342" s="5"/>
      <c r="J342" s="5"/>
      <c r="K342" s="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  <c r="AO342" s="25"/>
      <c r="AP342" s="25"/>
      <c r="AQ342" s="25"/>
      <c r="AR342" s="25"/>
      <c r="AS342" s="25"/>
      <c r="AT342" s="25"/>
      <c r="AU342" s="25"/>
    </row>
    <row r="343">
      <c r="A343" s="25"/>
      <c r="B343" s="25"/>
      <c r="C343" s="25"/>
      <c r="D343" s="25"/>
      <c r="E343" s="25"/>
      <c r="F343" s="25"/>
      <c r="G343" s="5"/>
      <c r="H343" s="5"/>
      <c r="I343" s="5"/>
      <c r="J343" s="5"/>
      <c r="K343" s="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  <c r="AO343" s="25"/>
      <c r="AP343" s="25"/>
      <c r="AQ343" s="25"/>
      <c r="AR343" s="25"/>
      <c r="AS343" s="25"/>
      <c r="AT343" s="25"/>
      <c r="AU343" s="25"/>
    </row>
    <row r="344">
      <c r="A344" s="25"/>
      <c r="B344" s="25"/>
      <c r="C344" s="25"/>
      <c r="D344" s="25"/>
      <c r="E344" s="25"/>
      <c r="F344" s="25"/>
      <c r="G344" s="5"/>
      <c r="H344" s="5"/>
      <c r="I344" s="5"/>
      <c r="J344" s="5"/>
      <c r="K344" s="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  <c r="AO344" s="25"/>
      <c r="AP344" s="25"/>
      <c r="AQ344" s="25"/>
      <c r="AR344" s="25"/>
      <c r="AS344" s="25"/>
      <c r="AT344" s="25"/>
      <c r="AU344" s="25"/>
    </row>
    <row r="345">
      <c r="A345" s="25"/>
      <c r="B345" s="25"/>
      <c r="C345" s="25"/>
      <c r="D345" s="25"/>
      <c r="E345" s="25"/>
      <c r="F345" s="25"/>
      <c r="G345" s="5"/>
      <c r="H345" s="5"/>
      <c r="I345" s="5"/>
      <c r="J345" s="5"/>
      <c r="K345" s="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  <c r="AO345" s="25"/>
      <c r="AP345" s="25"/>
      <c r="AQ345" s="25"/>
      <c r="AR345" s="25"/>
      <c r="AS345" s="25"/>
      <c r="AT345" s="25"/>
      <c r="AU345" s="25"/>
    </row>
    <row r="346">
      <c r="A346" s="25"/>
      <c r="B346" s="25"/>
      <c r="C346" s="25"/>
      <c r="D346" s="25"/>
      <c r="E346" s="25"/>
      <c r="F346" s="25"/>
      <c r="G346" s="5"/>
      <c r="H346" s="5"/>
      <c r="I346" s="5"/>
      <c r="J346" s="5"/>
      <c r="K346" s="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  <c r="AO346" s="25"/>
      <c r="AP346" s="25"/>
      <c r="AQ346" s="25"/>
      <c r="AR346" s="25"/>
      <c r="AS346" s="25"/>
      <c r="AT346" s="25"/>
      <c r="AU346" s="25"/>
    </row>
    <row r="347">
      <c r="A347" s="25"/>
      <c r="B347" s="25"/>
      <c r="C347" s="25"/>
      <c r="D347" s="25"/>
      <c r="E347" s="25"/>
      <c r="F347" s="25"/>
      <c r="G347" s="5"/>
      <c r="H347" s="5"/>
      <c r="I347" s="5"/>
      <c r="J347" s="5"/>
      <c r="K347" s="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  <c r="AO347" s="25"/>
      <c r="AP347" s="25"/>
      <c r="AQ347" s="25"/>
      <c r="AR347" s="25"/>
      <c r="AS347" s="25"/>
      <c r="AT347" s="25"/>
      <c r="AU347" s="25"/>
    </row>
    <row r="348">
      <c r="A348" s="25"/>
      <c r="B348" s="25"/>
      <c r="C348" s="25"/>
      <c r="D348" s="25"/>
      <c r="E348" s="25"/>
      <c r="F348" s="25"/>
      <c r="G348" s="5"/>
      <c r="H348" s="5"/>
      <c r="I348" s="5"/>
      <c r="J348" s="5"/>
      <c r="K348" s="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  <c r="AO348" s="25"/>
      <c r="AP348" s="25"/>
      <c r="AQ348" s="25"/>
      <c r="AR348" s="25"/>
      <c r="AS348" s="25"/>
      <c r="AT348" s="25"/>
      <c r="AU348" s="25"/>
    </row>
    <row r="349">
      <c r="A349" s="25"/>
      <c r="B349" s="25"/>
      <c r="C349" s="25"/>
      <c r="D349" s="25"/>
      <c r="E349" s="25"/>
      <c r="F349" s="25"/>
      <c r="G349" s="5"/>
      <c r="H349" s="5"/>
      <c r="I349" s="5"/>
      <c r="J349" s="5"/>
      <c r="K349" s="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  <c r="AO349" s="25"/>
      <c r="AP349" s="25"/>
      <c r="AQ349" s="25"/>
      <c r="AR349" s="25"/>
      <c r="AS349" s="25"/>
      <c r="AT349" s="25"/>
      <c r="AU349" s="25"/>
    </row>
    <row r="350">
      <c r="A350" s="25"/>
      <c r="B350" s="25"/>
      <c r="C350" s="25"/>
      <c r="D350" s="25"/>
      <c r="E350" s="25"/>
      <c r="F350" s="25"/>
      <c r="G350" s="5"/>
      <c r="H350" s="5"/>
      <c r="I350" s="5"/>
      <c r="J350" s="5"/>
      <c r="K350" s="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  <c r="AO350" s="25"/>
      <c r="AP350" s="25"/>
      <c r="AQ350" s="25"/>
      <c r="AR350" s="25"/>
      <c r="AS350" s="25"/>
      <c r="AT350" s="25"/>
      <c r="AU350" s="25"/>
    </row>
    <row r="351">
      <c r="A351" s="25"/>
      <c r="B351" s="25"/>
      <c r="C351" s="25"/>
      <c r="D351" s="25"/>
      <c r="E351" s="25"/>
      <c r="F351" s="25"/>
      <c r="G351" s="5"/>
      <c r="H351" s="5"/>
      <c r="I351" s="5"/>
      <c r="J351" s="5"/>
      <c r="K351" s="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  <c r="AO351" s="25"/>
      <c r="AP351" s="25"/>
      <c r="AQ351" s="25"/>
      <c r="AR351" s="25"/>
      <c r="AS351" s="25"/>
      <c r="AT351" s="25"/>
      <c r="AU351" s="25"/>
    </row>
    <row r="352">
      <c r="A352" s="25"/>
      <c r="B352" s="25"/>
      <c r="C352" s="25"/>
      <c r="D352" s="25"/>
      <c r="E352" s="25"/>
      <c r="F352" s="25"/>
      <c r="G352" s="5"/>
      <c r="H352" s="5"/>
      <c r="I352" s="5"/>
      <c r="J352" s="5"/>
      <c r="K352" s="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  <c r="AO352" s="25"/>
      <c r="AP352" s="25"/>
      <c r="AQ352" s="25"/>
      <c r="AR352" s="25"/>
      <c r="AS352" s="25"/>
      <c r="AT352" s="25"/>
      <c r="AU352" s="25"/>
    </row>
    <row r="353">
      <c r="A353" s="25"/>
      <c r="B353" s="25"/>
      <c r="C353" s="25"/>
      <c r="D353" s="25"/>
      <c r="E353" s="25"/>
      <c r="F353" s="25"/>
      <c r="G353" s="5"/>
      <c r="H353" s="5"/>
      <c r="I353" s="5"/>
      <c r="J353" s="5"/>
      <c r="K353" s="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  <c r="AO353" s="25"/>
      <c r="AP353" s="25"/>
      <c r="AQ353" s="25"/>
      <c r="AR353" s="25"/>
      <c r="AS353" s="25"/>
      <c r="AT353" s="25"/>
      <c r="AU353" s="25"/>
    </row>
    <row r="354">
      <c r="A354" s="25"/>
      <c r="B354" s="25"/>
      <c r="C354" s="25"/>
      <c r="D354" s="25"/>
      <c r="E354" s="25"/>
      <c r="F354" s="25"/>
      <c r="G354" s="5"/>
      <c r="H354" s="5"/>
      <c r="I354" s="5"/>
      <c r="J354" s="5"/>
      <c r="K354" s="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  <c r="AO354" s="25"/>
      <c r="AP354" s="25"/>
      <c r="AQ354" s="25"/>
      <c r="AR354" s="25"/>
      <c r="AS354" s="25"/>
      <c r="AT354" s="25"/>
      <c r="AU354" s="25"/>
    </row>
    <row r="355">
      <c r="A355" s="25"/>
      <c r="B355" s="25"/>
      <c r="C355" s="25"/>
      <c r="D355" s="25"/>
      <c r="E355" s="25"/>
      <c r="F355" s="25"/>
      <c r="G355" s="5"/>
      <c r="H355" s="5"/>
      <c r="I355" s="5"/>
      <c r="J355" s="5"/>
      <c r="K355" s="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  <c r="AO355" s="25"/>
      <c r="AP355" s="25"/>
      <c r="AQ355" s="25"/>
      <c r="AR355" s="25"/>
      <c r="AS355" s="25"/>
      <c r="AT355" s="25"/>
      <c r="AU355" s="25"/>
    </row>
    <row r="356">
      <c r="A356" s="25"/>
      <c r="B356" s="25"/>
      <c r="C356" s="25"/>
      <c r="D356" s="25"/>
      <c r="E356" s="25"/>
      <c r="F356" s="25"/>
      <c r="G356" s="5"/>
      <c r="H356" s="5"/>
      <c r="I356" s="5"/>
      <c r="J356" s="5"/>
      <c r="K356" s="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  <c r="AD356" s="25"/>
      <c r="AE356" s="25"/>
      <c r="AF356" s="25"/>
      <c r="AG356" s="25"/>
      <c r="AH356" s="25"/>
      <c r="AI356" s="25"/>
      <c r="AJ356" s="25"/>
      <c r="AK356" s="25"/>
      <c r="AL356" s="25"/>
      <c r="AM356" s="25"/>
      <c r="AN356" s="25"/>
      <c r="AO356" s="25"/>
      <c r="AP356" s="25"/>
      <c r="AQ356" s="25"/>
      <c r="AR356" s="25"/>
      <c r="AS356" s="25"/>
      <c r="AT356" s="25"/>
      <c r="AU356" s="25"/>
    </row>
    <row r="357">
      <c r="A357" s="25"/>
      <c r="B357" s="25"/>
      <c r="C357" s="25"/>
      <c r="D357" s="25"/>
      <c r="E357" s="25"/>
      <c r="F357" s="25"/>
      <c r="G357" s="5"/>
      <c r="H357" s="5"/>
      <c r="I357" s="5"/>
      <c r="J357" s="5"/>
      <c r="K357" s="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  <c r="AC357" s="25"/>
      <c r="AD357" s="25"/>
      <c r="AE357" s="25"/>
      <c r="AF357" s="25"/>
      <c r="AG357" s="25"/>
      <c r="AH357" s="25"/>
      <c r="AI357" s="25"/>
      <c r="AJ357" s="25"/>
      <c r="AK357" s="25"/>
      <c r="AL357" s="25"/>
      <c r="AM357" s="25"/>
      <c r="AN357" s="25"/>
      <c r="AO357" s="25"/>
      <c r="AP357" s="25"/>
      <c r="AQ357" s="25"/>
      <c r="AR357" s="25"/>
      <c r="AS357" s="25"/>
      <c r="AT357" s="25"/>
      <c r="AU357" s="25"/>
    </row>
    <row r="358">
      <c r="A358" s="25"/>
      <c r="B358" s="25"/>
      <c r="C358" s="25"/>
      <c r="D358" s="25"/>
      <c r="E358" s="25"/>
      <c r="F358" s="25"/>
      <c r="G358" s="5"/>
      <c r="H358" s="5"/>
      <c r="I358" s="5"/>
      <c r="J358" s="5"/>
      <c r="K358" s="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  <c r="AC358" s="25"/>
      <c r="AD358" s="25"/>
      <c r="AE358" s="25"/>
      <c r="AF358" s="25"/>
      <c r="AG358" s="25"/>
      <c r="AH358" s="25"/>
      <c r="AI358" s="25"/>
      <c r="AJ358" s="25"/>
      <c r="AK358" s="25"/>
      <c r="AL358" s="25"/>
      <c r="AM358" s="25"/>
      <c r="AN358" s="25"/>
      <c r="AO358" s="25"/>
      <c r="AP358" s="25"/>
      <c r="AQ358" s="25"/>
      <c r="AR358" s="25"/>
      <c r="AS358" s="25"/>
      <c r="AT358" s="25"/>
      <c r="AU358" s="25"/>
    </row>
    <row r="359">
      <c r="A359" s="25"/>
      <c r="B359" s="25"/>
      <c r="C359" s="25"/>
      <c r="D359" s="25"/>
      <c r="E359" s="25"/>
      <c r="F359" s="25"/>
      <c r="G359" s="5"/>
      <c r="H359" s="5"/>
      <c r="I359" s="5"/>
      <c r="J359" s="5"/>
      <c r="K359" s="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  <c r="AC359" s="25"/>
      <c r="AD359" s="25"/>
      <c r="AE359" s="25"/>
      <c r="AF359" s="25"/>
      <c r="AG359" s="25"/>
      <c r="AH359" s="25"/>
      <c r="AI359" s="25"/>
      <c r="AJ359" s="25"/>
      <c r="AK359" s="25"/>
      <c r="AL359" s="25"/>
      <c r="AM359" s="25"/>
      <c r="AN359" s="25"/>
      <c r="AO359" s="25"/>
      <c r="AP359" s="25"/>
      <c r="AQ359" s="25"/>
      <c r="AR359" s="25"/>
      <c r="AS359" s="25"/>
      <c r="AT359" s="25"/>
      <c r="AU359" s="25"/>
    </row>
    <row r="360">
      <c r="A360" s="25"/>
      <c r="B360" s="25"/>
      <c r="C360" s="25"/>
      <c r="D360" s="25"/>
      <c r="E360" s="25"/>
      <c r="F360" s="25"/>
      <c r="G360" s="5"/>
      <c r="H360" s="5"/>
      <c r="I360" s="5"/>
      <c r="J360" s="5"/>
      <c r="K360" s="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  <c r="AC360" s="25"/>
      <c r="AD360" s="25"/>
      <c r="AE360" s="25"/>
      <c r="AF360" s="25"/>
      <c r="AG360" s="25"/>
      <c r="AH360" s="25"/>
      <c r="AI360" s="25"/>
      <c r="AJ360" s="25"/>
      <c r="AK360" s="25"/>
      <c r="AL360" s="25"/>
      <c r="AM360" s="25"/>
      <c r="AN360" s="25"/>
      <c r="AO360" s="25"/>
      <c r="AP360" s="25"/>
      <c r="AQ360" s="25"/>
      <c r="AR360" s="25"/>
      <c r="AS360" s="25"/>
      <c r="AT360" s="25"/>
      <c r="AU360" s="25"/>
    </row>
    <row r="361">
      <c r="A361" s="25"/>
      <c r="B361" s="25"/>
      <c r="C361" s="25"/>
      <c r="D361" s="25"/>
      <c r="E361" s="25"/>
      <c r="F361" s="25"/>
      <c r="G361" s="5"/>
      <c r="H361" s="5"/>
      <c r="I361" s="5"/>
      <c r="J361" s="5"/>
      <c r="K361" s="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  <c r="AC361" s="25"/>
      <c r="AD361" s="25"/>
      <c r="AE361" s="25"/>
      <c r="AF361" s="25"/>
      <c r="AG361" s="25"/>
      <c r="AH361" s="25"/>
      <c r="AI361" s="25"/>
      <c r="AJ361" s="25"/>
      <c r="AK361" s="25"/>
      <c r="AL361" s="25"/>
      <c r="AM361" s="25"/>
      <c r="AN361" s="25"/>
      <c r="AO361" s="25"/>
      <c r="AP361" s="25"/>
      <c r="AQ361" s="25"/>
      <c r="AR361" s="25"/>
      <c r="AS361" s="25"/>
      <c r="AT361" s="25"/>
      <c r="AU361" s="25"/>
    </row>
    <row r="362">
      <c r="A362" s="25"/>
      <c r="B362" s="25"/>
      <c r="C362" s="25"/>
      <c r="D362" s="25"/>
      <c r="E362" s="25"/>
      <c r="F362" s="25"/>
      <c r="G362" s="5"/>
      <c r="H362" s="5"/>
      <c r="I362" s="5"/>
      <c r="J362" s="5"/>
      <c r="K362" s="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  <c r="AC362" s="25"/>
      <c r="AD362" s="25"/>
      <c r="AE362" s="25"/>
      <c r="AF362" s="25"/>
      <c r="AG362" s="25"/>
      <c r="AH362" s="25"/>
      <c r="AI362" s="25"/>
      <c r="AJ362" s="25"/>
      <c r="AK362" s="25"/>
      <c r="AL362" s="25"/>
      <c r="AM362" s="25"/>
      <c r="AN362" s="25"/>
      <c r="AO362" s="25"/>
      <c r="AP362" s="25"/>
      <c r="AQ362" s="25"/>
      <c r="AR362" s="25"/>
      <c r="AS362" s="25"/>
      <c r="AT362" s="25"/>
      <c r="AU362" s="25"/>
    </row>
    <row r="363">
      <c r="A363" s="25"/>
      <c r="B363" s="25"/>
      <c r="C363" s="25"/>
      <c r="D363" s="25"/>
      <c r="E363" s="25"/>
      <c r="F363" s="25"/>
      <c r="G363" s="5"/>
      <c r="H363" s="5"/>
      <c r="I363" s="5"/>
      <c r="J363" s="5"/>
      <c r="K363" s="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  <c r="AC363" s="25"/>
      <c r="AD363" s="25"/>
      <c r="AE363" s="25"/>
      <c r="AF363" s="25"/>
      <c r="AG363" s="25"/>
      <c r="AH363" s="25"/>
      <c r="AI363" s="25"/>
      <c r="AJ363" s="25"/>
      <c r="AK363" s="25"/>
      <c r="AL363" s="25"/>
      <c r="AM363" s="25"/>
      <c r="AN363" s="25"/>
      <c r="AO363" s="25"/>
      <c r="AP363" s="25"/>
      <c r="AQ363" s="25"/>
      <c r="AR363" s="25"/>
      <c r="AS363" s="25"/>
      <c r="AT363" s="25"/>
      <c r="AU363" s="25"/>
    </row>
    <row r="364">
      <c r="A364" s="25"/>
      <c r="B364" s="25"/>
      <c r="C364" s="25"/>
      <c r="D364" s="25"/>
      <c r="E364" s="25"/>
      <c r="F364" s="25"/>
      <c r="G364" s="5"/>
      <c r="H364" s="5"/>
      <c r="I364" s="5"/>
      <c r="J364" s="5"/>
      <c r="K364" s="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  <c r="AD364" s="25"/>
      <c r="AE364" s="25"/>
      <c r="AF364" s="25"/>
      <c r="AG364" s="25"/>
      <c r="AH364" s="25"/>
      <c r="AI364" s="25"/>
      <c r="AJ364" s="25"/>
      <c r="AK364" s="25"/>
      <c r="AL364" s="25"/>
      <c r="AM364" s="25"/>
      <c r="AN364" s="25"/>
      <c r="AO364" s="25"/>
      <c r="AP364" s="25"/>
      <c r="AQ364" s="25"/>
      <c r="AR364" s="25"/>
      <c r="AS364" s="25"/>
      <c r="AT364" s="25"/>
      <c r="AU364" s="25"/>
    </row>
    <row r="365">
      <c r="A365" s="25"/>
      <c r="B365" s="25"/>
      <c r="C365" s="25"/>
      <c r="D365" s="25"/>
      <c r="E365" s="25"/>
      <c r="F365" s="25"/>
      <c r="G365" s="5"/>
      <c r="H365" s="5"/>
      <c r="I365" s="5"/>
      <c r="J365" s="5"/>
      <c r="K365" s="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  <c r="AC365" s="25"/>
      <c r="AD365" s="25"/>
      <c r="AE365" s="25"/>
      <c r="AF365" s="25"/>
      <c r="AG365" s="25"/>
      <c r="AH365" s="25"/>
      <c r="AI365" s="25"/>
      <c r="AJ365" s="25"/>
      <c r="AK365" s="25"/>
      <c r="AL365" s="25"/>
      <c r="AM365" s="25"/>
      <c r="AN365" s="25"/>
      <c r="AO365" s="25"/>
      <c r="AP365" s="25"/>
      <c r="AQ365" s="25"/>
      <c r="AR365" s="25"/>
      <c r="AS365" s="25"/>
      <c r="AT365" s="25"/>
      <c r="AU365" s="25"/>
    </row>
    <row r="366">
      <c r="A366" s="25"/>
      <c r="B366" s="25"/>
      <c r="C366" s="25"/>
      <c r="D366" s="25"/>
      <c r="E366" s="25"/>
      <c r="F366" s="25"/>
      <c r="G366" s="5"/>
      <c r="H366" s="5"/>
      <c r="I366" s="5"/>
      <c r="J366" s="5"/>
      <c r="K366" s="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  <c r="AD366" s="25"/>
      <c r="AE366" s="25"/>
      <c r="AF366" s="25"/>
      <c r="AG366" s="25"/>
      <c r="AH366" s="25"/>
      <c r="AI366" s="25"/>
      <c r="AJ366" s="25"/>
      <c r="AK366" s="25"/>
      <c r="AL366" s="25"/>
      <c r="AM366" s="25"/>
      <c r="AN366" s="25"/>
      <c r="AO366" s="25"/>
      <c r="AP366" s="25"/>
      <c r="AQ366" s="25"/>
      <c r="AR366" s="25"/>
      <c r="AS366" s="25"/>
      <c r="AT366" s="25"/>
      <c r="AU366" s="25"/>
    </row>
    <row r="367">
      <c r="A367" s="25"/>
      <c r="B367" s="25"/>
      <c r="C367" s="25"/>
      <c r="D367" s="25"/>
      <c r="E367" s="25"/>
      <c r="F367" s="25"/>
      <c r="G367" s="5"/>
      <c r="H367" s="5"/>
      <c r="I367" s="5"/>
      <c r="J367" s="5"/>
      <c r="K367" s="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  <c r="AC367" s="25"/>
      <c r="AD367" s="25"/>
      <c r="AE367" s="25"/>
      <c r="AF367" s="25"/>
      <c r="AG367" s="25"/>
      <c r="AH367" s="25"/>
      <c r="AI367" s="25"/>
      <c r="AJ367" s="25"/>
      <c r="AK367" s="25"/>
      <c r="AL367" s="25"/>
      <c r="AM367" s="25"/>
      <c r="AN367" s="25"/>
      <c r="AO367" s="25"/>
      <c r="AP367" s="25"/>
      <c r="AQ367" s="25"/>
      <c r="AR367" s="25"/>
      <c r="AS367" s="25"/>
      <c r="AT367" s="25"/>
      <c r="AU367" s="25"/>
    </row>
    <row r="368">
      <c r="A368" s="25"/>
      <c r="B368" s="25"/>
      <c r="C368" s="25"/>
      <c r="D368" s="25"/>
      <c r="E368" s="25"/>
      <c r="F368" s="25"/>
      <c r="G368" s="5"/>
      <c r="H368" s="5"/>
      <c r="I368" s="5"/>
      <c r="J368" s="5"/>
      <c r="K368" s="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  <c r="AD368" s="25"/>
      <c r="AE368" s="25"/>
      <c r="AF368" s="25"/>
      <c r="AG368" s="25"/>
      <c r="AH368" s="25"/>
      <c r="AI368" s="25"/>
      <c r="AJ368" s="25"/>
      <c r="AK368" s="25"/>
      <c r="AL368" s="25"/>
      <c r="AM368" s="25"/>
      <c r="AN368" s="25"/>
      <c r="AO368" s="25"/>
      <c r="AP368" s="25"/>
      <c r="AQ368" s="25"/>
      <c r="AR368" s="25"/>
      <c r="AS368" s="25"/>
      <c r="AT368" s="25"/>
      <c r="AU368" s="25"/>
    </row>
    <row r="369">
      <c r="A369" s="25"/>
      <c r="B369" s="25"/>
      <c r="C369" s="25"/>
      <c r="D369" s="25"/>
      <c r="E369" s="25"/>
      <c r="F369" s="25"/>
      <c r="G369" s="5"/>
      <c r="H369" s="5"/>
      <c r="I369" s="5"/>
      <c r="J369" s="5"/>
      <c r="K369" s="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  <c r="AD369" s="25"/>
      <c r="AE369" s="25"/>
      <c r="AF369" s="25"/>
      <c r="AG369" s="25"/>
      <c r="AH369" s="25"/>
      <c r="AI369" s="25"/>
      <c r="AJ369" s="25"/>
      <c r="AK369" s="25"/>
      <c r="AL369" s="25"/>
      <c r="AM369" s="25"/>
      <c r="AN369" s="25"/>
      <c r="AO369" s="25"/>
      <c r="AP369" s="25"/>
      <c r="AQ369" s="25"/>
      <c r="AR369" s="25"/>
      <c r="AS369" s="25"/>
      <c r="AT369" s="25"/>
      <c r="AU369" s="25"/>
    </row>
    <row r="370">
      <c r="A370" s="25"/>
      <c r="B370" s="25"/>
      <c r="C370" s="25"/>
      <c r="D370" s="25"/>
      <c r="E370" s="25"/>
      <c r="F370" s="25"/>
      <c r="G370" s="5"/>
      <c r="H370" s="5"/>
      <c r="I370" s="5"/>
      <c r="J370" s="5"/>
      <c r="K370" s="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  <c r="AD370" s="25"/>
      <c r="AE370" s="25"/>
      <c r="AF370" s="25"/>
      <c r="AG370" s="25"/>
      <c r="AH370" s="25"/>
      <c r="AI370" s="25"/>
      <c r="AJ370" s="25"/>
      <c r="AK370" s="25"/>
      <c r="AL370" s="25"/>
      <c r="AM370" s="25"/>
      <c r="AN370" s="25"/>
      <c r="AO370" s="25"/>
      <c r="AP370" s="25"/>
      <c r="AQ370" s="25"/>
      <c r="AR370" s="25"/>
      <c r="AS370" s="25"/>
      <c r="AT370" s="25"/>
      <c r="AU370" s="25"/>
    </row>
    <row r="371">
      <c r="A371" s="25"/>
      <c r="B371" s="25"/>
      <c r="C371" s="25"/>
      <c r="D371" s="25"/>
      <c r="E371" s="25"/>
      <c r="F371" s="25"/>
      <c r="G371" s="5"/>
      <c r="H371" s="5"/>
      <c r="I371" s="5"/>
      <c r="J371" s="5"/>
      <c r="K371" s="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  <c r="AC371" s="25"/>
      <c r="AD371" s="25"/>
      <c r="AE371" s="25"/>
      <c r="AF371" s="25"/>
      <c r="AG371" s="25"/>
      <c r="AH371" s="25"/>
      <c r="AI371" s="25"/>
      <c r="AJ371" s="25"/>
      <c r="AK371" s="25"/>
      <c r="AL371" s="25"/>
      <c r="AM371" s="25"/>
      <c r="AN371" s="25"/>
      <c r="AO371" s="25"/>
      <c r="AP371" s="25"/>
      <c r="AQ371" s="25"/>
      <c r="AR371" s="25"/>
      <c r="AS371" s="25"/>
      <c r="AT371" s="25"/>
      <c r="AU371" s="25"/>
    </row>
    <row r="372">
      <c r="A372" s="25"/>
      <c r="B372" s="25"/>
      <c r="C372" s="25"/>
      <c r="D372" s="25"/>
      <c r="E372" s="25"/>
      <c r="F372" s="25"/>
      <c r="G372" s="5"/>
      <c r="H372" s="5"/>
      <c r="I372" s="5"/>
      <c r="J372" s="5"/>
      <c r="K372" s="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  <c r="AC372" s="25"/>
      <c r="AD372" s="25"/>
      <c r="AE372" s="25"/>
      <c r="AF372" s="25"/>
      <c r="AG372" s="25"/>
      <c r="AH372" s="25"/>
      <c r="AI372" s="25"/>
      <c r="AJ372" s="25"/>
      <c r="AK372" s="25"/>
      <c r="AL372" s="25"/>
      <c r="AM372" s="25"/>
      <c r="AN372" s="25"/>
      <c r="AO372" s="25"/>
      <c r="AP372" s="25"/>
      <c r="AQ372" s="25"/>
      <c r="AR372" s="25"/>
      <c r="AS372" s="25"/>
      <c r="AT372" s="25"/>
      <c r="AU372" s="25"/>
    </row>
    <row r="373">
      <c r="A373" s="25"/>
      <c r="B373" s="25"/>
      <c r="C373" s="25"/>
      <c r="D373" s="25"/>
      <c r="E373" s="25"/>
      <c r="F373" s="25"/>
      <c r="G373" s="5"/>
      <c r="H373" s="5"/>
      <c r="I373" s="5"/>
      <c r="J373" s="5"/>
      <c r="K373" s="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  <c r="AC373" s="25"/>
      <c r="AD373" s="25"/>
      <c r="AE373" s="25"/>
      <c r="AF373" s="25"/>
      <c r="AG373" s="25"/>
      <c r="AH373" s="25"/>
      <c r="AI373" s="25"/>
      <c r="AJ373" s="25"/>
      <c r="AK373" s="25"/>
      <c r="AL373" s="25"/>
      <c r="AM373" s="25"/>
      <c r="AN373" s="25"/>
      <c r="AO373" s="25"/>
      <c r="AP373" s="25"/>
      <c r="AQ373" s="25"/>
      <c r="AR373" s="25"/>
      <c r="AS373" s="25"/>
      <c r="AT373" s="25"/>
      <c r="AU373" s="25"/>
    </row>
    <row r="374">
      <c r="A374" s="25"/>
      <c r="B374" s="25"/>
      <c r="C374" s="25"/>
      <c r="D374" s="25"/>
      <c r="E374" s="25"/>
      <c r="F374" s="25"/>
      <c r="G374" s="5"/>
      <c r="H374" s="5"/>
      <c r="I374" s="5"/>
      <c r="J374" s="5"/>
      <c r="K374" s="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  <c r="AC374" s="25"/>
      <c r="AD374" s="25"/>
      <c r="AE374" s="25"/>
      <c r="AF374" s="25"/>
      <c r="AG374" s="25"/>
      <c r="AH374" s="25"/>
      <c r="AI374" s="25"/>
      <c r="AJ374" s="25"/>
      <c r="AK374" s="25"/>
      <c r="AL374" s="25"/>
      <c r="AM374" s="25"/>
      <c r="AN374" s="25"/>
      <c r="AO374" s="25"/>
      <c r="AP374" s="25"/>
      <c r="AQ374" s="25"/>
      <c r="AR374" s="25"/>
      <c r="AS374" s="25"/>
      <c r="AT374" s="25"/>
      <c r="AU374" s="25"/>
    </row>
    <row r="375">
      <c r="A375" s="25"/>
      <c r="B375" s="25"/>
      <c r="C375" s="25"/>
      <c r="D375" s="25"/>
      <c r="E375" s="25"/>
      <c r="F375" s="25"/>
      <c r="G375" s="5"/>
      <c r="H375" s="5"/>
      <c r="I375" s="5"/>
      <c r="J375" s="5"/>
      <c r="K375" s="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  <c r="AD375" s="25"/>
      <c r="AE375" s="25"/>
      <c r="AF375" s="25"/>
      <c r="AG375" s="25"/>
      <c r="AH375" s="25"/>
      <c r="AI375" s="25"/>
      <c r="AJ375" s="25"/>
      <c r="AK375" s="25"/>
      <c r="AL375" s="25"/>
      <c r="AM375" s="25"/>
      <c r="AN375" s="25"/>
      <c r="AO375" s="25"/>
      <c r="AP375" s="25"/>
      <c r="AQ375" s="25"/>
      <c r="AR375" s="25"/>
      <c r="AS375" s="25"/>
      <c r="AT375" s="25"/>
      <c r="AU375" s="25"/>
    </row>
    <row r="376">
      <c r="A376" s="25"/>
      <c r="B376" s="25"/>
      <c r="C376" s="25"/>
      <c r="D376" s="25"/>
      <c r="E376" s="25"/>
      <c r="F376" s="25"/>
      <c r="G376" s="5"/>
      <c r="H376" s="5"/>
      <c r="I376" s="5"/>
      <c r="J376" s="5"/>
      <c r="K376" s="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  <c r="AD376" s="25"/>
      <c r="AE376" s="25"/>
      <c r="AF376" s="25"/>
      <c r="AG376" s="25"/>
      <c r="AH376" s="25"/>
      <c r="AI376" s="25"/>
      <c r="AJ376" s="25"/>
      <c r="AK376" s="25"/>
      <c r="AL376" s="25"/>
      <c r="AM376" s="25"/>
      <c r="AN376" s="25"/>
      <c r="AO376" s="25"/>
      <c r="AP376" s="25"/>
      <c r="AQ376" s="25"/>
      <c r="AR376" s="25"/>
      <c r="AS376" s="25"/>
      <c r="AT376" s="25"/>
      <c r="AU376" s="25"/>
    </row>
    <row r="377">
      <c r="A377" s="25"/>
      <c r="B377" s="25"/>
      <c r="C377" s="25"/>
      <c r="D377" s="25"/>
      <c r="E377" s="25"/>
      <c r="F377" s="25"/>
      <c r="G377" s="5"/>
      <c r="H377" s="5"/>
      <c r="I377" s="5"/>
      <c r="J377" s="5"/>
      <c r="K377" s="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  <c r="AD377" s="25"/>
      <c r="AE377" s="25"/>
      <c r="AF377" s="25"/>
      <c r="AG377" s="25"/>
      <c r="AH377" s="25"/>
      <c r="AI377" s="25"/>
      <c r="AJ377" s="25"/>
      <c r="AK377" s="25"/>
      <c r="AL377" s="25"/>
      <c r="AM377" s="25"/>
      <c r="AN377" s="25"/>
      <c r="AO377" s="25"/>
      <c r="AP377" s="25"/>
      <c r="AQ377" s="25"/>
      <c r="AR377" s="25"/>
      <c r="AS377" s="25"/>
      <c r="AT377" s="25"/>
      <c r="AU377" s="25"/>
    </row>
    <row r="378">
      <c r="A378" s="25"/>
      <c r="B378" s="25"/>
      <c r="C378" s="25"/>
      <c r="D378" s="25"/>
      <c r="E378" s="25"/>
      <c r="F378" s="25"/>
      <c r="G378" s="5"/>
      <c r="H378" s="5"/>
      <c r="I378" s="5"/>
      <c r="J378" s="5"/>
      <c r="K378" s="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  <c r="AD378" s="25"/>
      <c r="AE378" s="25"/>
      <c r="AF378" s="25"/>
      <c r="AG378" s="25"/>
      <c r="AH378" s="25"/>
      <c r="AI378" s="25"/>
      <c r="AJ378" s="25"/>
      <c r="AK378" s="25"/>
      <c r="AL378" s="25"/>
      <c r="AM378" s="25"/>
      <c r="AN378" s="25"/>
      <c r="AO378" s="25"/>
      <c r="AP378" s="25"/>
      <c r="AQ378" s="25"/>
      <c r="AR378" s="25"/>
      <c r="AS378" s="25"/>
      <c r="AT378" s="25"/>
      <c r="AU378" s="25"/>
    </row>
    <row r="379">
      <c r="A379" s="25"/>
      <c r="B379" s="25"/>
      <c r="C379" s="25"/>
      <c r="D379" s="25"/>
      <c r="E379" s="25"/>
      <c r="F379" s="25"/>
      <c r="G379" s="5"/>
      <c r="H379" s="5"/>
      <c r="I379" s="5"/>
      <c r="J379" s="5"/>
      <c r="K379" s="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  <c r="AD379" s="25"/>
      <c r="AE379" s="25"/>
      <c r="AF379" s="25"/>
      <c r="AG379" s="25"/>
      <c r="AH379" s="25"/>
      <c r="AI379" s="25"/>
      <c r="AJ379" s="25"/>
      <c r="AK379" s="25"/>
      <c r="AL379" s="25"/>
      <c r="AM379" s="25"/>
      <c r="AN379" s="25"/>
      <c r="AO379" s="25"/>
      <c r="AP379" s="25"/>
      <c r="AQ379" s="25"/>
      <c r="AR379" s="25"/>
      <c r="AS379" s="25"/>
      <c r="AT379" s="25"/>
      <c r="AU379" s="25"/>
    </row>
    <row r="380">
      <c r="A380" s="25"/>
      <c r="B380" s="25"/>
      <c r="C380" s="25"/>
      <c r="D380" s="25"/>
      <c r="E380" s="25"/>
      <c r="F380" s="25"/>
      <c r="G380" s="5"/>
      <c r="H380" s="5"/>
      <c r="I380" s="5"/>
      <c r="J380" s="5"/>
      <c r="K380" s="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  <c r="AC380" s="25"/>
      <c r="AD380" s="25"/>
      <c r="AE380" s="25"/>
      <c r="AF380" s="25"/>
      <c r="AG380" s="25"/>
      <c r="AH380" s="25"/>
      <c r="AI380" s="25"/>
      <c r="AJ380" s="25"/>
      <c r="AK380" s="25"/>
      <c r="AL380" s="25"/>
      <c r="AM380" s="25"/>
      <c r="AN380" s="25"/>
      <c r="AO380" s="25"/>
      <c r="AP380" s="25"/>
      <c r="AQ380" s="25"/>
      <c r="AR380" s="25"/>
      <c r="AS380" s="25"/>
      <c r="AT380" s="25"/>
      <c r="AU380" s="25"/>
    </row>
    <row r="381">
      <c r="A381" s="25"/>
      <c r="B381" s="25"/>
      <c r="C381" s="25"/>
      <c r="D381" s="25"/>
      <c r="E381" s="25"/>
      <c r="F381" s="25"/>
      <c r="G381" s="5"/>
      <c r="H381" s="5"/>
      <c r="I381" s="5"/>
      <c r="J381" s="5"/>
      <c r="K381" s="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  <c r="AC381" s="25"/>
      <c r="AD381" s="25"/>
      <c r="AE381" s="25"/>
      <c r="AF381" s="25"/>
      <c r="AG381" s="25"/>
      <c r="AH381" s="25"/>
      <c r="AI381" s="25"/>
      <c r="AJ381" s="25"/>
      <c r="AK381" s="25"/>
      <c r="AL381" s="25"/>
      <c r="AM381" s="25"/>
      <c r="AN381" s="25"/>
      <c r="AO381" s="25"/>
      <c r="AP381" s="25"/>
      <c r="AQ381" s="25"/>
      <c r="AR381" s="25"/>
      <c r="AS381" s="25"/>
      <c r="AT381" s="25"/>
      <c r="AU381" s="25"/>
    </row>
    <row r="382">
      <c r="A382" s="25"/>
      <c r="B382" s="25"/>
      <c r="C382" s="25"/>
      <c r="D382" s="25"/>
      <c r="E382" s="25"/>
      <c r="F382" s="25"/>
      <c r="G382" s="5"/>
      <c r="H382" s="5"/>
      <c r="I382" s="5"/>
      <c r="J382" s="5"/>
      <c r="K382" s="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  <c r="AC382" s="25"/>
      <c r="AD382" s="25"/>
      <c r="AE382" s="25"/>
      <c r="AF382" s="25"/>
      <c r="AG382" s="25"/>
      <c r="AH382" s="25"/>
      <c r="AI382" s="25"/>
      <c r="AJ382" s="25"/>
      <c r="AK382" s="25"/>
      <c r="AL382" s="25"/>
      <c r="AM382" s="25"/>
      <c r="AN382" s="25"/>
      <c r="AO382" s="25"/>
      <c r="AP382" s="25"/>
      <c r="AQ382" s="25"/>
      <c r="AR382" s="25"/>
      <c r="AS382" s="25"/>
      <c r="AT382" s="25"/>
      <c r="AU382" s="25"/>
    </row>
    <row r="383">
      <c r="A383" s="25"/>
      <c r="B383" s="25"/>
      <c r="C383" s="25"/>
      <c r="D383" s="25"/>
      <c r="E383" s="25"/>
      <c r="F383" s="25"/>
      <c r="G383" s="5"/>
      <c r="H383" s="5"/>
      <c r="I383" s="5"/>
      <c r="J383" s="5"/>
      <c r="K383" s="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  <c r="AC383" s="25"/>
      <c r="AD383" s="25"/>
      <c r="AE383" s="25"/>
      <c r="AF383" s="25"/>
      <c r="AG383" s="25"/>
      <c r="AH383" s="25"/>
      <c r="AI383" s="25"/>
      <c r="AJ383" s="25"/>
      <c r="AK383" s="25"/>
      <c r="AL383" s="25"/>
      <c r="AM383" s="25"/>
      <c r="AN383" s="25"/>
      <c r="AO383" s="25"/>
      <c r="AP383" s="25"/>
      <c r="AQ383" s="25"/>
      <c r="AR383" s="25"/>
      <c r="AS383" s="25"/>
      <c r="AT383" s="25"/>
      <c r="AU383" s="25"/>
    </row>
    <row r="384">
      <c r="A384" s="25"/>
      <c r="B384" s="25"/>
      <c r="C384" s="25"/>
      <c r="D384" s="25"/>
      <c r="E384" s="25"/>
      <c r="F384" s="25"/>
      <c r="G384" s="5"/>
      <c r="H384" s="5"/>
      <c r="I384" s="5"/>
      <c r="J384" s="5"/>
      <c r="K384" s="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  <c r="AC384" s="25"/>
      <c r="AD384" s="25"/>
      <c r="AE384" s="25"/>
      <c r="AF384" s="25"/>
      <c r="AG384" s="25"/>
      <c r="AH384" s="25"/>
      <c r="AI384" s="25"/>
      <c r="AJ384" s="25"/>
      <c r="AK384" s="25"/>
      <c r="AL384" s="25"/>
      <c r="AM384" s="25"/>
      <c r="AN384" s="25"/>
      <c r="AO384" s="25"/>
      <c r="AP384" s="25"/>
      <c r="AQ384" s="25"/>
      <c r="AR384" s="25"/>
      <c r="AS384" s="25"/>
      <c r="AT384" s="25"/>
      <c r="AU384" s="25"/>
    </row>
    <row r="385">
      <c r="A385" s="25"/>
      <c r="B385" s="25"/>
      <c r="C385" s="25"/>
      <c r="D385" s="25"/>
      <c r="E385" s="25"/>
      <c r="F385" s="25"/>
      <c r="G385" s="5"/>
      <c r="H385" s="5"/>
      <c r="I385" s="5"/>
      <c r="J385" s="5"/>
      <c r="K385" s="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  <c r="AC385" s="25"/>
      <c r="AD385" s="25"/>
      <c r="AE385" s="25"/>
      <c r="AF385" s="25"/>
      <c r="AG385" s="25"/>
      <c r="AH385" s="25"/>
      <c r="AI385" s="25"/>
      <c r="AJ385" s="25"/>
      <c r="AK385" s="25"/>
      <c r="AL385" s="25"/>
      <c r="AM385" s="25"/>
      <c r="AN385" s="25"/>
      <c r="AO385" s="25"/>
      <c r="AP385" s="25"/>
      <c r="AQ385" s="25"/>
      <c r="AR385" s="25"/>
      <c r="AS385" s="25"/>
      <c r="AT385" s="25"/>
      <c r="AU385" s="25"/>
    </row>
    <row r="386">
      <c r="A386" s="25"/>
      <c r="B386" s="25"/>
      <c r="C386" s="25"/>
      <c r="D386" s="25"/>
      <c r="E386" s="25"/>
      <c r="F386" s="25"/>
      <c r="G386" s="5"/>
      <c r="H386" s="5"/>
      <c r="I386" s="5"/>
      <c r="J386" s="5"/>
      <c r="K386" s="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  <c r="AC386" s="25"/>
      <c r="AD386" s="25"/>
      <c r="AE386" s="25"/>
      <c r="AF386" s="25"/>
      <c r="AG386" s="25"/>
      <c r="AH386" s="25"/>
      <c r="AI386" s="25"/>
      <c r="AJ386" s="25"/>
      <c r="AK386" s="25"/>
      <c r="AL386" s="25"/>
      <c r="AM386" s="25"/>
      <c r="AN386" s="25"/>
      <c r="AO386" s="25"/>
      <c r="AP386" s="25"/>
      <c r="AQ386" s="25"/>
      <c r="AR386" s="25"/>
      <c r="AS386" s="25"/>
      <c r="AT386" s="25"/>
      <c r="AU386" s="25"/>
    </row>
    <row r="387">
      <c r="A387" s="25"/>
      <c r="B387" s="25"/>
      <c r="C387" s="25"/>
      <c r="D387" s="25"/>
      <c r="E387" s="25"/>
      <c r="F387" s="25"/>
      <c r="G387" s="5"/>
      <c r="H387" s="5"/>
      <c r="I387" s="5"/>
      <c r="J387" s="5"/>
      <c r="K387" s="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  <c r="AD387" s="25"/>
      <c r="AE387" s="25"/>
      <c r="AF387" s="25"/>
      <c r="AG387" s="25"/>
      <c r="AH387" s="25"/>
      <c r="AI387" s="25"/>
      <c r="AJ387" s="25"/>
      <c r="AK387" s="25"/>
      <c r="AL387" s="25"/>
      <c r="AM387" s="25"/>
      <c r="AN387" s="25"/>
      <c r="AO387" s="25"/>
      <c r="AP387" s="25"/>
      <c r="AQ387" s="25"/>
      <c r="AR387" s="25"/>
      <c r="AS387" s="25"/>
      <c r="AT387" s="25"/>
      <c r="AU387" s="25"/>
    </row>
    <row r="388">
      <c r="A388" s="25"/>
      <c r="B388" s="25"/>
      <c r="C388" s="25"/>
      <c r="D388" s="25"/>
      <c r="E388" s="25"/>
      <c r="F388" s="25"/>
      <c r="G388" s="5"/>
      <c r="H388" s="5"/>
      <c r="I388" s="5"/>
      <c r="J388" s="5"/>
      <c r="K388" s="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  <c r="AC388" s="25"/>
      <c r="AD388" s="25"/>
      <c r="AE388" s="25"/>
      <c r="AF388" s="25"/>
      <c r="AG388" s="25"/>
      <c r="AH388" s="25"/>
      <c r="AI388" s="25"/>
      <c r="AJ388" s="25"/>
      <c r="AK388" s="25"/>
      <c r="AL388" s="25"/>
      <c r="AM388" s="25"/>
      <c r="AN388" s="25"/>
      <c r="AO388" s="25"/>
      <c r="AP388" s="25"/>
      <c r="AQ388" s="25"/>
      <c r="AR388" s="25"/>
      <c r="AS388" s="25"/>
      <c r="AT388" s="25"/>
      <c r="AU388" s="25"/>
    </row>
    <row r="389">
      <c r="A389" s="25"/>
      <c r="B389" s="25"/>
      <c r="C389" s="25"/>
      <c r="D389" s="25"/>
      <c r="E389" s="25"/>
      <c r="F389" s="25"/>
      <c r="G389" s="5"/>
      <c r="H389" s="5"/>
      <c r="I389" s="5"/>
      <c r="J389" s="5"/>
      <c r="K389" s="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  <c r="AD389" s="25"/>
      <c r="AE389" s="25"/>
      <c r="AF389" s="25"/>
      <c r="AG389" s="25"/>
      <c r="AH389" s="25"/>
      <c r="AI389" s="25"/>
      <c r="AJ389" s="25"/>
      <c r="AK389" s="25"/>
      <c r="AL389" s="25"/>
      <c r="AM389" s="25"/>
      <c r="AN389" s="25"/>
      <c r="AO389" s="25"/>
      <c r="AP389" s="25"/>
      <c r="AQ389" s="25"/>
      <c r="AR389" s="25"/>
      <c r="AS389" s="25"/>
      <c r="AT389" s="25"/>
      <c r="AU389" s="25"/>
    </row>
    <row r="390">
      <c r="A390" s="25"/>
      <c r="B390" s="25"/>
      <c r="C390" s="25"/>
      <c r="D390" s="25"/>
      <c r="E390" s="25"/>
      <c r="F390" s="25"/>
      <c r="G390" s="5"/>
      <c r="H390" s="5"/>
      <c r="I390" s="5"/>
      <c r="J390" s="5"/>
      <c r="K390" s="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  <c r="AD390" s="25"/>
      <c r="AE390" s="25"/>
      <c r="AF390" s="25"/>
      <c r="AG390" s="25"/>
      <c r="AH390" s="25"/>
      <c r="AI390" s="25"/>
      <c r="AJ390" s="25"/>
      <c r="AK390" s="25"/>
      <c r="AL390" s="25"/>
      <c r="AM390" s="25"/>
      <c r="AN390" s="25"/>
      <c r="AO390" s="25"/>
      <c r="AP390" s="25"/>
      <c r="AQ390" s="25"/>
      <c r="AR390" s="25"/>
      <c r="AS390" s="25"/>
      <c r="AT390" s="25"/>
      <c r="AU390" s="25"/>
    </row>
    <row r="391">
      <c r="A391" s="25"/>
      <c r="B391" s="25"/>
      <c r="C391" s="25"/>
      <c r="D391" s="25"/>
      <c r="E391" s="25"/>
      <c r="F391" s="25"/>
      <c r="G391" s="5"/>
      <c r="H391" s="5"/>
      <c r="I391" s="5"/>
      <c r="J391" s="5"/>
      <c r="K391" s="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  <c r="AD391" s="25"/>
      <c r="AE391" s="25"/>
      <c r="AF391" s="25"/>
      <c r="AG391" s="25"/>
      <c r="AH391" s="25"/>
      <c r="AI391" s="25"/>
      <c r="AJ391" s="25"/>
      <c r="AK391" s="25"/>
      <c r="AL391" s="25"/>
      <c r="AM391" s="25"/>
      <c r="AN391" s="25"/>
      <c r="AO391" s="25"/>
      <c r="AP391" s="25"/>
      <c r="AQ391" s="25"/>
      <c r="AR391" s="25"/>
      <c r="AS391" s="25"/>
      <c r="AT391" s="25"/>
      <c r="AU391" s="25"/>
    </row>
    <row r="392">
      <c r="A392" s="25"/>
      <c r="B392" s="25"/>
      <c r="C392" s="25"/>
      <c r="D392" s="25"/>
      <c r="E392" s="25"/>
      <c r="F392" s="25"/>
      <c r="G392" s="5"/>
      <c r="H392" s="5"/>
      <c r="I392" s="5"/>
      <c r="J392" s="5"/>
      <c r="K392" s="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  <c r="AC392" s="25"/>
      <c r="AD392" s="25"/>
      <c r="AE392" s="25"/>
      <c r="AF392" s="25"/>
      <c r="AG392" s="25"/>
      <c r="AH392" s="25"/>
      <c r="AI392" s="25"/>
      <c r="AJ392" s="25"/>
      <c r="AK392" s="25"/>
      <c r="AL392" s="25"/>
      <c r="AM392" s="25"/>
      <c r="AN392" s="25"/>
      <c r="AO392" s="25"/>
      <c r="AP392" s="25"/>
      <c r="AQ392" s="25"/>
      <c r="AR392" s="25"/>
      <c r="AS392" s="25"/>
      <c r="AT392" s="25"/>
      <c r="AU392" s="25"/>
    </row>
    <row r="393">
      <c r="A393" s="25"/>
      <c r="B393" s="25"/>
      <c r="C393" s="25"/>
      <c r="D393" s="25"/>
      <c r="E393" s="25"/>
      <c r="F393" s="25"/>
      <c r="G393" s="5"/>
      <c r="H393" s="5"/>
      <c r="I393" s="5"/>
      <c r="J393" s="5"/>
      <c r="K393" s="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  <c r="AC393" s="25"/>
      <c r="AD393" s="25"/>
      <c r="AE393" s="25"/>
      <c r="AF393" s="25"/>
      <c r="AG393" s="25"/>
      <c r="AH393" s="25"/>
      <c r="AI393" s="25"/>
      <c r="AJ393" s="25"/>
      <c r="AK393" s="25"/>
      <c r="AL393" s="25"/>
      <c r="AM393" s="25"/>
      <c r="AN393" s="25"/>
      <c r="AO393" s="25"/>
      <c r="AP393" s="25"/>
      <c r="AQ393" s="25"/>
      <c r="AR393" s="25"/>
      <c r="AS393" s="25"/>
      <c r="AT393" s="25"/>
      <c r="AU393" s="25"/>
    </row>
    <row r="394">
      <c r="A394" s="25"/>
      <c r="B394" s="25"/>
      <c r="C394" s="25"/>
      <c r="D394" s="25"/>
      <c r="E394" s="25"/>
      <c r="F394" s="25"/>
      <c r="G394" s="5"/>
      <c r="H394" s="5"/>
      <c r="I394" s="5"/>
      <c r="J394" s="5"/>
      <c r="K394" s="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  <c r="AC394" s="25"/>
      <c r="AD394" s="25"/>
      <c r="AE394" s="25"/>
      <c r="AF394" s="25"/>
      <c r="AG394" s="25"/>
      <c r="AH394" s="25"/>
      <c r="AI394" s="25"/>
      <c r="AJ394" s="25"/>
      <c r="AK394" s="25"/>
      <c r="AL394" s="25"/>
      <c r="AM394" s="25"/>
      <c r="AN394" s="25"/>
      <c r="AO394" s="25"/>
      <c r="AP394" s="25"/>
      <c r="AQ394" s="25"/>
      <c r="AR394" s="25"/>
      <c r="AS394" s="25"/>
      <c r="AT394" s="25"/>
      <c r="AU394" s="25"/>
    </row>
    <row r="395">
      <c r="A395" s="25"/>
      <c r="B395" s="25"/>
      <c r="C395" s="25"/>
      <c r="D395" s="25"/>
      <c r="E395" s="25"/>
      <c r="F395" s="25"/>
      <c r="G395" s="5"/>
      <c r="H395" s="5"/>
      <c r="I395" s="5"/>
      <c r="J395" s="5"/>
      <c r="K395" s="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  <c r="AD395" s="25"/>
      <c r="AE395" s="25"/>
      <c r="AF395" s="25"/>
      <c r="AG395" s="25"/>
      <c r="AH395" s="25"/>
      <c r="AI395" s="25"/>
      <c r="AJ395" s="25"/>
      <c r="AK395" s="25"/>
      <c r="AL395" s="25"/>
      <c r="AM395" s="25"/>
      <c r="AN395" s="25"/>
      <c r="AO395" s="25"/>
      <c r="AP395" s="25"/>
      <c r="AQ395" s="25"/>
      <c r="AR395" s="25"/>
      <c r="AS395" s="25"/>
      <c r="AT395" s="25"/>
      <c r="AU395" s="25"/>
    </row>
    <row r="396">
      <c r="A396" s="25"/>
      <c r="B396" s="25"/>
      <c r="C396" s="25"/>
      <c r="D396" s="25"/>
      <c r="E396" s="25"/>
      <c r="F396" s="25"/>
      <c r="G396" s="5"/>
      <c r="H396" s="5"/>
      <c r="I396" s="5"/>
      <c r="J396" s="5"/>
      <c r="K396" s="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  <c r="AC396" s="25"/>
      <c r="AD396" s="25"/>
      <c r="AE396" s="25"/>
      <c r="AF396" s="25"/>
      <c r="AG396" s="25"/>
      <c r="AH396" s="25"/>
      <c r="AI396" s="25"/>
      <c r="AJ396" s="25"/>
      <c r="AK396" s="25"/>
      <c r="AL396" s="25"/>
      <c r="AM396" s="25"/>
      <c r="AN396" s="25"/>
      <c r="AO396" s="25"/>
      <c r="AP396" s="25"/>
      <c r="AQ396" s="25"/>
      <c r="AR396" s="25"/>
      <c r="AS396" s="25"/>
      <c r="AT396" s="25"/>
      <c r="AU396" s="25"/>
    </row>
    <row r="397">
      <c r="A397" s="25"/>
      <c r="B397" s="25"/>
      <c r="C397" s="25"/>
      <c r="D397" s="25"/>
      <c r="E397" s="25"/>
      <c r="F397" s="25"/>
      <c r="G397" s="5"/>
      <c r="H397" s="5"/>
      <c r="I397" s="5"/>
      <c r="J397" s="5"/>
      <c r="K397" s="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  <c r="AC397" s="25"/>
      <c r="AD397" s="25"/>
      <c r="AE397" s="25"/>
      <c r="AF397" s="25"/>
      <c r="AG397" s="25"/>
      <c r="AH397" s="25"/>
      <c r="AI397" s="25"/>
      <c r="AJ397" s="25"/>
      <c r="AK397" s="25"/>
      <c r="AL397" s="25"/>
      <c r="AM397" s="25"/>
      <c r="AN397" s="25"/>
      <c r="AO397" s="25"/>
      <c r="AP397" s="25"/>
      <c r="AQ397" s="25"/>
      <c r="AR397" s="25"/>
      <c r="AS397" s="25"/>
      <c r="AT397" s="25"/>
      <c r="AU397" s="25"/>
    </row>
    <row r="398">
      <c r="A398" s="25"/>
      <c r="B398" s="25"/>
      <c r="C398" s="25"/>
      <c r="D398" s="25"/>
      <c r="E398" s="25"/>
      <c r="F398" s="25"/>
      <c r="G398" s="5"/>
      <c r="H398" s="5"/>
      <c r="I398" s="5"/>
      <c r="J398" s="5"/>
      <c r="K398" s="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  <c r="AC398" s="25"/>
      <c r="AD398" s="25"/>
      <c r="AE398" s="25"/>
      <c r="AF398" s="25"/>
      <c r="AG398" s="25"/>
      <c r="AH398" s="25"/>
      <c r="AI398" s="25"/>
      <c r="AJ398" s="25"/>
      <c r="AK398" s="25"/>
      <c r="AL398" s="25"/>
      <c r="AM398" s="25"/>
      <c r="AN398" s="25"/>
      <c r="AO398" s="25"/>
      <c r="AP398" s="25"/>
      <c r="AQ398" s="25"/>
      <c r="AR398" s="25"/>
      <c r="AS398" s="25"/>
      <c r="AT398" s="25"/>
      <c r="AU398" s="25"/>
    </row>
    <row r="399">
      <c r="A399" s="25"/>
      <c r="B399" s="25"/>
      <c r="C399" s="25"/>
      <c r="D399" s="25"/>
      <c r="E399" s="25"/>
      <c r="F399" s="25"/>
      <c r="G399" s="5"/>
      <c r="H399" s="5"/>
      <c r="I399" s="5"/>
      <c r="J399" s="5"/>
      <c r="K399" s="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  <c r="AD399" s="25"/>
      <c r="AE399" s="25"/>
      <c r="AF399" s="25"/>
      <c r="AG399" s="25"/>
      <c r="AH399" s="25"/>
      <c r="AI399" s="25"/>
      <c r="AJ399" s="25"/>
      <c r="AK399" s="25"/>
      <c r="AL399" s="25"/>
      <c r="AM399" s="25"/>
      <c r="AN399" s="25"/>
      <c r="AO399" s="25"/>
      <c r="AP399" s="25"/>
      <c r="AQ399" s="25"/>
      <c r="AR399" s="25"/>
      <c r="AS399" s="25"/>
      <c r="AT399" s="25"/>
      <c r="AU399" s="25"/>
    </row>
    <row r="400">
      <c r="A400" s="25"/>
      <c r="B400" s="25"/>
      <c r="C400" s="25"/>
      <c r="D400" s="25"/>
      <c r="E400" s="25"/>
      <c r="F400" s="25"/>
      <c r="G400" s="5"/>
      <c r="H400" s="5"/>
      <c r="I400" s="5"/>
      <c r="J400" s="5"/>
      <c r="K400" s="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  <c r="AN400" s="25"/>
      <c r="AO400" s="25"/>
      <c r="AP400" s="25"/>
      <c r="AQ400" s="25"/>
      <c r="AR400" s="25"/>
      <c r="AS400" s="25"/>
      <c r="AT400" s="25"/>
      <c r="AU400" s="25"/>
    </row>
    <row r="401">
      <c r="A401" s="25"/>
      <c r="B401" s="25"/>
      <c r="C401" s="25"/>
      <c r="D401" s="25"/>
      <c r="E401" s="25"/>
      <c r="F401" s="25"/>
      <c r="G401" s="5"/>
      <c r="H401" s="5"/>
      <c r="I401" s="5"/>
      <c r="J401" s="5"/>
      <c r="K401" s="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  <c r="AD401" s="25"/>
      <c r="AE401" s="25"/>
      <c r="AF401" s="25"/>
      <c r="AG401" s="25"/>
      <c r="AH401" s="25"/>
      <c r="AI401" s="25"/>
      <c r="AJ401" s="25"/>
      <c r="AK401" s="25"/>
      <c r="AL401" s="25"/>
      <c r="AM401" s="25"/>
      <c r="AN401" s="25"/>
      <c r="AO401" s="25"/>
      <c r="AP401" s="25"/>
      <c r="AQ401" s="25"/>
      <c r="AR401" s="25"/>
      <c r="AS401" s="25"/>
      <c r="AT401" s="25"/>
      <c r="AU401" s="25"/>
    </row>
    <row r="402">
      <c r="A402" s="25"/>
      <c r="B402" s="25"/>
      <c r="C402" s="25"/>
      <c r="D402" s="25"/>
      <c r="E402" s="25"/>
      <c r="F402" s="25"/>
      <c r="G402" s="5"/>
      <c r="H402" s="5"/>
      <c r="I402" s="5"/>
      <c r="J402" s="5"/>
      <c r="K402" s="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  <c r="AC402" s="25"/>
      <c r="AD402" s="25"/>
      <c r="AE402" s="25"/>
      <c r="AF402" s="25"/>
      <c r="AG402" s="25"/>
      <c r="AH402" s="25"/>
      <c r="AI402" s="25"/>
      <c r="AJ402" s="25"/>
      <c r="AK402" s="25"/>
      <c r="AL402" s="25"/>
      <c r="AM402" s="25"/>
      <c r="AN402" s="25"/>
      <c r="AO402" s="25"/>
      <c r="AP402" s="25"/>
      <c r="AQ402" s="25"/>
      <c r="AR402" s="25"/>
      <c r="AS402" s="25"/>
      <c r="AT402" s="25"/>
      <c r="AU402" s="25"/>
    </row>
    <row r="403">
      <c r="A403" s="25"/>
      <c r="B403" s="25"/>
      <c r="C403" s="25"/>
      <c r="D403" s="25"/>
      <c r="E403" s="25"/>
      <c r="F403" s="25"/>
      <c r="G403" s="5"/>
      <c r="H403" s="5"/>
      <c r="I403" s="5"/>
      <c r="J403" s="5"/>
      <c r="K403" s="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  <c r="AD403" s="25"/>
      <c r="AE403" s="25"/>
      <c r="AF403" s="25"/>
      <c r="AG403" s="25"/>
      <c r="AH403" s="25"/>
      <c r="AI403" s="25"/>
      <c r="AJ403" s="25"/>
      <c r="AK403" s="25"/>
      <c r="AL403" s="25"/>
      <c r="AM403" s="25"/>
      <c r="AN403" s="25"/>
      <c r="AO403" s="25"/>
      <c r="AP403" s="25"/>
      <c r="AQ403" s="25"/>
      <c r="AR403" s="25"/>
      <c r="AS403" s="25"/>
      <c r="AT403" s="25"/>
      <c r="AU403" s="25"/>
    </row>
    <row r="404">
      <c r="A404" s="25"/>
      <c r="B404" s="25"/>
      <c r="C404" s="25"/>
      <c r="D404" s="25"/>
      <c r="E404" s="25"/>
      <c r="F404" s="25"/>
      <c r="G404" s="5"/>
      <c r="H404" s="5"/>
      <c r="I404" s="5"/>
      <c r="J404" s="5"/>
      <c r="K404" s="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  <c r="AD404" s="25"/>
      <c r="AE404" s="25"/>
      <c r="AF404" s="25"/>
      <c r="AG404" s="25"/>
      <c r="AH404" s="25"/>
      <c r="AI404" s="25"/>
      <c r="AJ404" s="25"/>
      <c r="AK404" s="25"/>
      <c r="AL404" s="25"/>
      <c r="AM404" s="25"/>
      <c r="AN404" s="25"/>
      <c r="AO404" s="25"/>
      <c r="AP404" s="25"/>
      <c r="AQ404" s="25"/>
      <c r="AR404" s="25"/>
      <c r="AS404" s="25"/>
      <c r="AT404" s="25"/>
      <c r="AU404" s="25"/>
    </row>
    <row r="405">
      <c r="A405" s="25"/>
      <c r="B405" s="25"/>
      <c r="C405" s="25"/>
      <c r="D405" s="25"/>
      <c r="E405" s="25"/>
      <c r="F405" s="25"/>
      <c r="G405" s="5"/>
      <c r="H405" s="5"/>
      <c r="I405" s="5"/>
      <c r="J405" s="5"/>
      <c r="K405" s="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  <c r="AC405" s="25"/>
      <c r="AD405" s="25"/>
      <c r="AE405" s="25"/>
      <c r="AF405" s="25"/>
      <c r="AG405" s="25"/>
      <c r="AH405" s="25"/>
      <c r="AI405" s="25"/>
      <c r="AJ405" s="25"/>
      <c r="AK405" s="25"/>
      <c r="AL405" s="25"/>
      <c r="AM405" s="25"/>
      <c r="AN405" s="25"/>
      <c r="AO405" s="25"/>
      <c r="AP405" s="25"/>
      <c r="AQ405" s="25"/>
      <c r="AR405" s="25"/>
      <c r="AS405" s="25"/>
      <c r="AT405" s="25"/>
      <c r="AU405" s="25"/>
    </row>
    <row r="406">
      <c r="A406" s="25"/>
      <c r="B406" s="25"/>
      <c r="C406" s="25"/>
      <c r="D406" s="25"/>
      <c r="E406" s="25"/>
      <c r="F406" s="25"/>
      <c r="G406" s="5"/>
      <c r="H406" s="5"/>
      <c r="I406" s="5"/>
      <c r="J406" s="5"/>
      <c r="K406" s="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  <c r="AD406" s="25"/>
      <c r="AE406" s="25"/>
      <c r="AF406" s="25"/>
      <c r="AG406" s="25"/>
      <c r="AH406" s="25"/>
      <c r="AI406" s="25"/>
      <c r="AJ406" s="25"/>
      <c r="AK406" s="25"/>
      <c r="AL406" s="25"/>
      <c r="AM406" s="25"/>
      <c r="AN406" s="25"/>
      <c r="AO406" s="25"/>
      <c r="AP406" s="25"/>
      <c r="AQ406" s="25"/>
      <c r="AR406" s="25"/>
      <c r="AS406" s="25"/>
      <c r="AT406" s="25"/>
      <c r="AU406" s="25"/>
    </row>
    <row r="407">
      <c r="A407" s="25"/>
      <c r="B407" s="25"/>
      <c r="C407" s="25"/>
      <c r="D407" s="25"/>
      <c r="E407" s="25"/>
      <c r="F407" s="25"/>
      <c r="G407" s="5"/>
      <c r="H407" s="5"/>
      <c r="I407" s="5"/>
      <c r="J407" s="5"/>
      <c r="K407" s="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  <c r="AD407" s="25"/>
      <c r="AE407" s="25"/>
      <c r="AF407" s="25"/>
      <c r="AG407" s="25"/>
      <c r="AH407" s="25"/>
      <c r="AI407" s="25"/>
      <c r="AJ407" s="25"/>
      <c r="AK407" s="25"/>
      <c r="AL407" s="25"/>
      <c r="AM407" s="25"/>
      <c r="AN407" s="25"/>
      <c r="AO407" s="25"/>
      <c r="AP407" s="25"/>
      <c r="AQ407" s="25"/>
      <c r="AR407" s="25"/>
      <c r="AS407" s="25"/>
      <c r="AT407" s="25"/>
      <c r="AU407" s="25"/>
    </row>
    <row r="408">
      <c r="A408" s="25"/>
      <c r="B408" s="25"/>
      <c r="C408" s="25"/>
      <c r="D408" s="25"/>
      <c r="E408" s="25"/>
      <c r="F408" s="25"/>
      <c r="G408" s="5"/>
      <c r="H408" s="5"/>
      <c r="I408" s="5"/>
      <c r="J408" s="5"/>
      <c r="K408" s="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  <c r="AD408" s="25"/>
      <c r="AE408" s="25"/>
      <c r="AF408" s="25"/>
      <c r="AG408" s="25"/>
      <c r="AH408" s="25"/>
      <c r="AI408" s="25"/>
      <c r="AJ408" s="25"/>
      <c r="AK408" s="25"/>
      <c r="AL408" s="25"/>
      <c r="AM408" s="25"/>
      <c r="AN408" s="25"/>
      <c r="AO408" s="25"/>
      <c r="AP408" s="25"/>
      <c r="AQ408" s="25"/>
      <c r="AR408" s="25"/>
      <c r="AS408" s="25"/>
      <c r="AT408" s="25"/>
      <c r="AU408" s="25"/>
    </row>
    <row r="409">
      <c r="A409" s="25"/>
      <c r="B409" s="25"/>
      <c r="C409" s="25"/>
      <c r="D409" s="25"/>
      <c r="E409" s="25"/>
      <c r="F409" s="25"/>
      <c r="G409" s="5"/>
      <c r="H409" s="5"/>
      <c r="I409" s="5"/>
      <c r="J409" s="5"/>
      <c r="K409" s="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  <c r="AC409" s="25"/>
      <c r="AD409" s="25"/>
      <c r="AE409" s="25"/>
      <c r="AF409" s="25"/>
      <c r="AG409" s="25"/>
      <c r="AH409" s="25"/>
      <c r="AI409" s="25"/>
      <c r="AJ409" s="25"/>
      <c r="AK409" s="25"/>
      <c r="AL409" s="25"/>
      <c r="AM409" s="25"/>
      <c r="AN409" s="25"/>
      <c r="AO409" s="25"/>
      <c r="AP409" s="25"/>
      <c r="AQ409" s="25"/>
      <c r="AR409" s="25"/>
      <c r="AS409" s="25"/>
      <c r="AT409" s="25"/>
      <c r="AU409" s="25"/>
    </row>
    <row r="410">
      <c r="A410" s="25"/>
      <c r="B410" s="25"/>
      <c r="C410" s="25"/>
      <c r="D410" s="25"/>
      <c r="E410" s="25"/>
      <c r="F410" s="25"/>
      <c r="G410" s="5"/>
      <c r="H410" s="5"/>
      <c r="I410" s="5"/>
      <c r="J410" s="5"/>
      <c r="K410" s="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  <c r="AD410" s="25"/>
      <c r="AE410" s="25"/>
      <c r="AF410" s="25"/>
      <c r="AG410" s="25"/>
      <c r="AH410" s="25"/>
      <c r="AI410" s="25"/>
      <c r="AJ410" s="25"/>
      <c r="AK410" s="25"/>
      <c r="AL410" s="25"/>
      <c r="AM410" s="25"/>
      <c r="AN410" s="25"/>
      <c r="AO410" s="25"/>
      <c r="AP410" s="25"/>
      <c r="AQ410" s="25"/>
      <c r="AR410" s="25"/>
      <c r="AS410" s="25"/>
      <c r="AT410" s="25"/>
      <c r="AU410" s="25"/>
    </row>
    <row r="411">
      <c r="A411" s="25"/>
      <c r="B411" s="25"/>
      <c r="C411" s="25"/>
      <c r="D411" s="25"/>
      <c r="E411" s="25"/>
      <c r="F411" s="25"/>
      <c r="G411" s="5"/>
      <c r="H411" s="5"/>
      <c r="I411" s="5"/>
      <c r="J411" s="5"/>
      <c r="K411" s="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  <c r="AD411" s="25"/>
      <c r="AE411" s="25"/>
      <c r="AF411" s="25"/>
      <c r="AG411" s="25"/>
      <c r="AH411" s="25"/>
      <c r="AI411" s="25"/>
      <c r="AJ411" s="25"/>
      <c r="AK411" s="25"/>
      <c r="AL411" s="25"/>
      <c r="AM411" s="25"/>
      <c r="AN411" s="25"/>
      <c r="AO411" s="25"/>
      <c r="AP411" s="25"/>
      <c r="AQ411" s="25"/>
      <c r="AR411" s="25"/>
      <c r="AS411" s="25"/>
      <c r="AT411" s="25"/>
      <c r="AU411" s="25"/>
    </row>
    <row r="412">
      <c r="A412" s="25"/>
      <c r="B412" s="25"/>
      <c r="C412" s="25"/>
      <c r="D412" s="25"/>
      <c r="E412" s="25"/>
      <c r="F412" s="25"/>
      <c r="G412" s="5"/>
      <c r="H412" s="5"/>
      <c r="I412" s="5"/>
      <c r="J412" s="5"/>
      <c r="K412" s="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  <c r="AD412" s="25"/>
      <c r="AE412" s="25"/>
      <c r="AF412" s="25"/>
      <c r="AG412" s="25"/>
      <c r="AH412" s="25"/>
      <c r="AI412" s="25"/>
      <c r="AJ412" s="25"/>
      <c r="AK412" s="25"/>
      <c r="AL412" s="25"/>
      <c r="AM412" s="25"/>
      <c r="AN412" s="25"/>
      <c r="AO412" s="25"/>
      <c r="AP412" s="25"/>
      <c r="AQ412" s="25"/>
      <c r="AR412" s="25"/>
      <c r="AS412" s="25"/>
      <c r="AT412" s="25"/>
      <c r="AU412" s="25"/>
    </row>
    <row r="413">
      <c r="A413" s="25"/>
      <c r="B413" s="25"/>
      <c r="C413" s="25"/>
      <c r="D413" s="25"/>
      <c r="E413" s="25"/>
      <c r="F413" s="25"/>
      <c r="G413" s="5"/>
      <c r="H413" s="5"/>
      <c r="I413" s="5"/>
      <c r="J413" s="5"/>
      <c r="K413" s="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  <c r="AD413" s="25"/>
      <c r="AE413" s="25"/>
      <c r="AF413" s="25"/>
      <c r="AG413" s="25"/>
      <c r="AH413" s="25"/>
      <c r="AI413" s="25"/>
      <c r="AJ413" s="25"/>
      <c r="AK413" s="25"/>
      <c r="AL413" s="25"/>
      <c r="AM413" s="25"/>
      <c r="AN413" s="25"/>
      <c r="AO413" s="25"/>
      <c r="AP413" s="25"/>
      <c r="AQ413" s="25"/>
      <c r="AR413" s="25"/>
      <c r="AS413" s="25"/>
      <c r="AT413" s="25"/>
      <c r="AU413" s="25"/>
    </row>
    <row r="414">
      <c r="A414" s="25"/>
      <c r="B414" s="25"/>
      <c r="C414" s="25"/>
      <c r="D414" s="25"/>
      <c r="E414" s="25"/>
      <c r="F414" s="25"/>
      <c r="G414" s="5"/>
      <c r="H414" s="5"/>
      <c r="I414" s="5"/>
      <c r="J414" s="5"/>
      <c r="K414" s="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  <c r="AD414" s="25"/>
      <c r="AE414" s="25"/>
      <c r="AF414" s="25"/>
      <c r="AG414" s="25"/>
      <c r="AH414" s="25"/>
      <c r="AI414" s="25"/>
      <c r="AJ414" s="25"/>
      <c r="AK414" s="25"/>
      <c r="AL414" s="25"/>
      <c r="AM414" s="25"/>
      <c r="AN414" s="25"/>
      <c r="AO414" s="25"/>
      <c r="AP414" s="25"/>
      <c r="AQ414" s="25"/>
      <c r="AR414" s="25"/>
      <c r="AS414" s="25"/>
      <c r="AT414" s="25"/>
      <c r="AU414" s="25"/>
    </row>
    <row r="415">
      <c r="A415" s="25"/>
      <c r="B415" s="25"/>
      <c r="C415" s="25"/>
      <c r="D415" s="25"/>
      <c r="E415" s="25"/>
      <c r="F415" s="25"/>
      <c r="G415" s="5"/>
      <c r="H415" s="5"/>
      <c r="I415" s="5"/>
      <c r="J415" s="5"/>
      <c r="K415" s="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  <c r="AD415" s="25"/>
      <c r="AE415" s="25"/>
      <c r="AF415" s="25"/>
      <c r="AG415" s="25"/>
      <c r="AH415" s="25"/>
      <c r="AI415" s="25"/>
      <c r="AJ415" s="25"/>
      <c r="AK415" s="25"/>
      <c r="AL415" s="25"/>
      <c r="AM415" s="25"/>
      <c r="AN415" s="25"/>
      <c r="AO415" s="25"/>
      <c r="AP415" s="25"/>
      <c r="AQ415" s="25"/>
      <c r="AR415" s="25"/>
      <c r="AS415" s="25"/>
      <c r="AT415" s="25"/>
      <c r="AU415" s="25"/>
    </row>
    <row r="416">
      <c r="A416" s="25"/>
      <c r="B416" s="25"/>
      <c r="C416" s="25"/>
      <c r="D416" s="25"/>
      <c r="E416" s="25"/>
      <c r="F416" s="25"/>
      <c r="G416" s="5"/>
      <c r="H416" s="5"/>
      <c r="I416" s="5"/>
      <c r="J416" s="5"/>
      <c r="K416" s="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  <c r="AD416" s="25"/>
      <c r="AE416" s="25"/>
      <c r="AF416" s="25"/>
      <c r="AG416" s="25"/>
      <c r="AH416" s="25"/>
      <c r="AI416" s="25"/>
      <c r="AJ416" s="25"/>
      <c r="AK416" s="25"/>
      <c r="AL416" s="25"/>
      <c r="AM416" s="25"/>
      <c r="AN416" s="25"/>
      <c r="AO416" s="25"/>
      <c r="AP416" s="25"/>
      <c r="AQ416" s="25"/>
      <c r="AR416" s="25"/>
      <c r="AS416" s="25"/>
      <c r="AT416" s="25"/>
      <c r="AU416" s="25"/>
    </row>
    <row r="417">
      <c r="A417" s="25"/>
      <c r="B417" s="25"/>
      <c r="C417" s="25"/>
      <c r="D417" s="25"/>
      <c r="E417" s="25"/>
      <c r="F417" s="25"/>
      <c r="G417" s="5"/>
      <c r="H417" s="5"/>
      <c r="I417" s="5"/>
      <c r="J417" s="5"/>
      <c r="K417" s="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  <c r="AD417" s="25"/>
      <c r="AE417" s="25"/>
      <c r="AF417" s="25"/>
      <c r="AG417" s="25"/>
      <c r="AH417" s="25"/>
      <c r="AI417" s="25"/>
      <c r="AJ417" s="25"/>
      <c r="AK417" s="25"/>
      <c r="AL417" s="25"/>
      <c r="AM417" s="25"/>
      <c r="AN417" s="25"/>
      <c r="AO417" s="25"/>
      <c r="AP417" s="25"/>
      <c r="AQ417" s="25"/>
      <c r="AR417" s="25"/>
      <c r="AS417" s="25"/>
      <c r="AT417" s="25"/>
      <c r="AU417" s="25"/>
    </row>
    <row r="418">
      <c r="A418" s="25"/>
      <c r="B418" s="25"/>
      <c r="C418" s="25"/>
      <c r="D418" s="25"/>
      <c r="E418" s="25"/>
      <c r="F418" s="25"/>
      <c r="G418" s="5"/>
      <c r="H418" s="5"/>
      <c r="I418" s="5"/>
      <c r="J418" s="5"/>
      <c r="K418" s="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  <c r="AC418" s="25"/>
      <c r="AD418" s="25"/>
      <c r="AE418" s="25"/>
      <c r="AF418" s="25"/>
      <c r="AG418" s="25"/>
      <c r="AH418" s="25"/>
      <c r="AI418" s="25"/>
      <c r="AJ418" s="25"/>
      <c r="AK418" s="25"/>
      <c r="AL418" s="25"/>
      <c r="AM418" s="25"/>
      <c r="AN418" s="25"/>
      <c r="AO418" s="25"/>
      <c r="AP418" s="25"/>
      <c r="AQ418" s="25"/>
      <c r="AR418" s="25"/>
      <c r="AS418" s="25"/>
      <c r="AT418" s="25"/>
      <c r="AU418" s="25"/>
    </row>
    <row r="419">
      <c r="A419" s="25"/>
      <c r="B419" s="25"/>
      <c r="C419" s="25"/>
      <c r="D419" s="25"/>
      <c r="E419" s="25"/>
      <c r="F419" s="25"/>
      <c r="G419" s="5"/>
      <c r="H419" s="5"/>
      <c r="I419" s="5"/>
      <c r="J419" s="5"/>
      <c r="K419" s="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  <c r="AC419" s="25"/>
      <c r="AD419" s="25"/>
      <c r="AE419" s="25"/>
      <c r="AF419" s="25"/>
      <c r="AG419" s="25"/>
      <c r="AH419" s="25"/>
      <c r="AI419" s="25"/>
      <c r="AJ419" s="25"/>
      <c r="AK419" s="25"/>
      <c r="AL419" s="25"/>
      <c r="AM419" s="25"/>
      <c r="AN419" s="25"/>
      <c r="AO419" s="25"/>
      <c r="AP419" s="25"/>
      <c r="AQ419" s="25"/>
      <c r="AR419" s="25"/>
      <c r="AS419" s="25"/>
      <c r="AT419" s="25"/>
      <c r="AU419" s="25"/>
    </row>
    <row r="420">
      <c r="A420" s="25"/>
      <c r="B420" s="25"/>
      <c r="C420" s="25"/>
      <c r="D420" s="25"/>
      <c r="E420" s="25"/>
      <c r="F420" s="25"/>
      <c r="G420" s="5"/>
      <c r="H420" s="5"/>
      <c r="I420" s="5"/>
      <c r="J420" s="5"/>
      <c r="K420" s="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  <c r="AC420" s="25"/>
      <c r="AD420" s="25"/>
      <c r="AE420" s="25"/>
      <c r="AF420" s="25"/>
      <c r="AG420" s="25"/>
      <c r="AH420" s="25"/>
      <c r="AI420" s="25"/>
      <c r="AJ420" s="25"/>
      <c r="AK420" s="25"/>
      <c r="AL420" s="25"/>
      <c r="AM420" s="25"/>
      <c r="AN420" s="25"/>
      <c r="AO420" s="25"/>
      <c r="AP420" s="25"/>
      <c r="AQ420" s="25"/>
      <c r="AR420" s="25"/>
      <c r="AS420" s="25"/>
      <c r="AT420" s="25"/>
      <c r="AU420" s="25"/>
    </row>
    <row r="421">
      <c r="A421" s="25"/>
      <c r="B421" s="25"/>
      <c r="C421" s="25"/>
      <c r="D421" s="25"/>
      <c r="E421" s="25"/>
      <c r="F421" s="25"/>
      <c r="G421" s="5"/>
      <c r="H421" s="5"/>
      <c r="I421" s="5"/>
      <c r="J421" s="5"/>
      <c r="K421" s="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  <c r="AC421" s="25"/>
      <c r="AD421" s="25"/>
      <c r="AE421" s="25"/>
      <c r="AF421" s="25"/>
      <c r="AG421" s="25"/>
      <c r="AH421" s="25"/>
      <c r="AI421" s="25"/>
      <c r="AJ421" s="25"/>
      <c r="AK421" s="25"/>
      <c r="AL421" s="25"/>
      <c r="AM421" s="25"/>
      <c r="AN421" s="25"/>
      <c r="AO421" s="25"/>
      <c r="AP421" s="25"/>
      <c r="AQ421" s="25"/>
      <c r="AR421" s="25"/>
      <c r="AS421" s="25"/>
      <c r="AT421" s="25"/>
      <c r="AU421" s="25"/>
    </row>
    <row r="422">
      <c r="A422" s="25"/>
      <c r="B422" s="25"/>
      <c r="C422" s="25"/>
      <c r="D422" s="25"/>
      <c r="E422" s="25"/>
      <c r="F422" s="25"/>
      <c r="G422" s="5"/>
      <c r="H422" s="5"/>
      <c r="I422" s="5"/>
      <c r="J422" s="5"/>
      <c r="K422" s="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  <c r="AC422" s="25"/>
      <c r="AD422" s="25"/>
      <c r="AE422" s="25"/>
      <c r="AF422" s="25"/>
      <c r="AG422" s="25"/>
      <c r="AH422" s="25"/>
      <c r="AI422" s="25"/>
      <c r="AJ422" s="25"/>
      <c r="AK422" s="25"/>
      <c r="AL422" s="25"/>
      <c r="AM422" s="25"/>
      <c r="AN422" s="25"/>
      <c r="AO422" s="25"/>
      <c r="AP422" s="25"/>
      <c r="AQ422" s="25"/>
      <c r="AR422" s="25"/>
      <c r="AS422" s="25"/>
      <c r="AT422" s="25"/>
      <c r="AU422" s="25"/>
    </row>
    <row r="423">
      <c r="A423" s="25"/>
      <c r="B423" s="25"/>
      <c r="C423" s="25"/>
      <c r="D423" s="25"/>
      <c r="E423" s="25"/>
      <c r="F423" s="25"/>
      <c r="G423" s="5"/>
      <c r="H423" s="5"/>
      <c r="I423" s="5"/>
      <c r="J423" s="5"/>
      <c r="K423" s="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  <c r="AC423" s="25"/>
      <c r="AD423" s="25"/>
      <c r="AE423" s="25"/>
      <c r="AF423" s="25"/>
      <c r="AG423" s="25"/>
      <c r="AH423" s="25"/>
      <c r="AI423" s="25"/>
      <c r="AJ423" s="25"/>
      <c r="AK423" s="25"/>
      <c r="AL423" s="25"/>
      <c r="AM423" s="25"/>
      <c r="AN423" s="25"/>
      <c r="AO423" s="25"/>
      <c r="AP423" s="25"/>
      <c r="AQ423" s="25"/>
      <c r="AR423" s="25"/>
      <c r="AS423" s="25"/>
      <c r="AT423" s="25"/>
      <c r="AU423" s="25"/>
    </row>
    <row r="424">
      <c r="A424" s="25"/>
      <c r="B424" s="25"/>
      <c r="C424" s="25"/>
      <c r="D424" s="25"/>
      <c r="E424" s="25"/>
      <c r="F424" s="25"/>
      <c r="G424" s="5"/>
      <c r="H424" s="5"/>
      <c r="I424" s="5"/>
      <c r="J424" s="5"/>
      <c r="K424" s="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  <c r="AD424" s="25"/>
      <c r="AE424" s="25"/>
      <c r="AF424" s="25"/>
      <c r="AG424" s="25"/>
      <c r="AH424" s="25"/>
      <c r="AI424" s="25"/>
      <c r="AJ424" s="25"/>
      <c r="AK424" s="25"/>
      <c r="AL424" s="25"/>
      <c r="AM424" s="25"/>
      <c r="AN424" s="25"/>
      <c r="AO424" s="25"/>
      <c r="AP424" s="25"/>
      <c r="AQ424" s="25"/>
      <c r="AR424" s="25"/>
      <c r="AS424" s="25"/>
      <c r="AT424" s="25"/>
      <c r="AU424" s="25"/>
    </row>
    <row r="425">
      <c r="A425" s="25"/>
      <c r="B425" s="25"/>
      <c r="C425" s="25"/>
      <c r="D425" s="25"/>
      <c r="E425" s="25"/>
      <c r="F425" s="25"/>
      <c r="G425" s="5"/>
      <c r="H425" s="5"/>
      <c r="I425" s="5"/>
      <c r="J425" s="5"/>
      <c r="K425" s="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  <c r="AD425" s="25"/>
      <c r="AE425" s="25"/>
      <c r="AF425" s="25"/>
      <c r="AG425" s="25"/>
      <c r="AH425" s="25"/>
      <c r="AI425" s="25"/>
      <c r="AJ425" s="25"/>
      <c r="AK425" s="25"/>
      <c r="AL425" s="25"/>
      <c r="AM425" s="25"/>
      <c r="AN425" s="25"/>
      <c r="AO425" s="25"/>
      <c r="AP425" s="25"/>
      <c r="AQ425" s="25"/>
      <c r="AR425" s="25"/>
      <c r="AS425" s="25"/>
      <c r="AT425" s="25"/>
      <c r="AU425" s="25"/>
    </row>
    <row r="426">
      <c r="A426" s="25"/>
      <c r="B426" s="25"/>
      <c r="C426" s="25"/>
      <c r="D426" s="25"/>
      <c r="E426" s="25"/>
      <c r="F426" s="25"/>
      <c r="G426" s="5"/>
      <c r="H426" s="5"/>
      <c r="I426" s="5"/>
      <c r="J426" s="5"/>
      <c r="K426" s="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  <c r="AC426" s="25"/>
      <c r="AD426" s="25"/>
      <c r="AE426" s="25"/>
      <c r="AF426" s="25"/>
      <c r="AG426" s="25"/>
      <c r="AH426" s="25"/>
      <c r="AI426" s="25"/>
      <c r="AJ426" s="25"/>
      <c r="AK426" s="25"/>
      <c r="AL426" s="25"/>
      <c r="AM426" s="25"/>
      <c r="AN426" s="25"/>
      <c r="AO426" s="25"/>
      <c r="AP426" s="25"/>
      <c r="AQ426" s="25"/>
      <c r="AR426" s="25"/>
      <c r="AS426" s="25"/>
      <c r="AT426" s="25"/>
      <c r="AU426" s="25"/>
    </row>
    <row r="427">
      <c r="A427" s="25"/>
      <c r="B427" s="25"/>
      <c r="C427" s="25"/>
      <c r="D427" s="25"/>
      <c r="E427" s="25"/>
      <c r="F427" s="25"/>
      <c r="G427" s="5"/>
      <c r="H427" s="5"/>
      <c r="I427" s="5"/>
      <c r="J427" s="5"/>
      <c r="K427" s="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  <c r="AD427" s="25"/>
      <c r="AE427" s="25"/>
      <c r="AF427" s="25"/>
      <c r="AG427" s="25"/>
      <c r="AH427" s="25"/>
      <c r="AI427" s="25"/>
      <c r="AJ427" s="25"/>
      <c r="AK427" s="25"/>
      <c r="AL427" s="25"/>
      <c r="AM427" s="25"/>
      <c r="AN427" s="25"/>
      <c r="AO427" s="25"/>
      <c r="AP427" s="25"/>
      <c r="AQ427" s="25"/>
      <c r="AR427" s="25"/>
      <c r="AS427" s="25"/>
      <c r="AT427" s="25"/>
      <c r="AU427" s="25"/>
    </row>
    <row r="428">
      <c r="A428" s="25"/>
      <c r="B428" s="25"/>
      <c r="C428" s="25"/>
      <c r="D428" s="25"/>
      <c r="E428" s="25"/>
      <c r="F428" s="25"/>
      <c r="G428" s="5"/>
      <c r="H428" s="5"/>
      <c r="I428" s="5"/>
      <c r="J428" s="5"/>
      <c r="K428" s="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  <c r="AC428" s="25"/>
      <c r="AD428" s="25"/>
      <c r="AE428" s="25"/>
      <c r="AF428" s="25"/>
      <c r="AG428" s="25"/>
      <c r="AH428" s="25"/>
      <c r="AI428" s="25"/>
      <c r="AJ428" s="25"/>
      <c r="AK428" s="25"/>
      <c r="AL428" s="25"/>
      <c r="AM428" s="25"/>
      <c r="AN428" s="25"/>
      <c r="AO428" s="25"/>
      <c r="AP428" s="25"/>
      <c r="AQ428" s="25"/>
      <c r="AR428" s="25"/>
      <c r="AS428" s="25"/>
      <c r="AT428" s="25"/>
      <c r="AU428" s="25"/>
    </row>
    <row r="429">
      <c r="A429" s="25"/>
      <c r="B429" s="25"/>
      <c r="C429" s="25"/>
      <c r="D429" s="25"/>
      <c r="E429" s="25"/>
      <c r="F429" s="25"/>
      <c r="G429" s="5"/>
      <c r="H429" s="5"/>
      <c r="I429" s="5"/>
      <c r="J429" s="5"/>
      <c r="K429" s="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  <c r="AC429" s="25"/>
      <c r="AD429" s="25"/>
      <c r="AE429" s="25"/>
      <c r="AF429" s="25"/>
      <c r="AG429" s="25"/>
      <c r="AH429" s="25"/>
      <c r="AI429" s="25"/>
      <c r="AJ429" s="25"/>
      <c r="AK429" s="25"/>
      <c r="AL429" s="25"/>
      <c r="AM429" s="25"/>
      <c r="AN429" s="25"/>
      <c r="AO429" s="25"/>
      <c r="AP429" s="25"/>
      <c r="AQ429" s="25"/>
      <c r="AR429" s="25"/>
      <c r="AS429" s="25"/>
      <c r="AT429" s="25"/>
      <c r="AU429" s="25"/>
    </row>
    <row r="430">
      <c r="A430" s="25"/>
      <c r="B430" s="25"/>
      <c r="C430" s="25"/>
      <c r="D430" s="25"/>
      <c r="E430" s="25"/>
      <c r="F430" s="25"/>
      <c r="G430" s="5"/>
      <c r="H430" s="5"/>
      <c r="I430" s="5"/>
      <c r="J430" s="5"/>
      <c r="K430" s="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  <c r="AD430" s="25"/>
      <c r="AE430" s="25"/>
      <c r="AF430" s="25"/>
      <c r="AG430" s="25"/>
      <c r="AH430" s="25"/>
      <c r="AI430" s="25"/>
      <c r="AJ430" s="25"/>
      <c r="AK430" s="25"/>
      <c r="AL430" s="25"/>
      <c r="AM430" s="25"/>
      <c r="AN430" s="25"/>
      <c r="AO430" s="25"/>
      <c r="AP430" s="25"/>
      <c r="AQ430" s="25"/>
      <c r="AR430" s="25"/>
      <c r="AS430" s="25"/>
      <c r="AT430" s="25"/>
      <c r="AU430" s="25"/>
    </row>
    <row r="431">
      <c r="A431" s="25"/>
      <c r="B431" s="25"/>
      <c r="C431" s="25"/>
      <c r="D431" s="25"/>
      <c r="E431" s="25"/>
      <c r="F431" s="25"/>
      <c r="G431" s="5"/>
      <c r="H431" s="5"/>
      <c r="I431" s="5"/>
      <c r="J431" s="5"/>
      <c r="K431" s="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  <c r="AD431" s="25"/>
      <c r="AE431" s="25"/>
      <c r="AF431" s="25"/>
      <c r="AG431" s="25"/>
      <c r="AH431" s="25"/>
      <c r="AI431" s="25"/>
      <c r="AJ431" s="25"/>
      <c r="AK431" s="25"/>
      <c r="AL431" s="25"/>
      <c r="AM431" s="25"/>
      <c r="AN431" s="25"/>
      <c r="AO431" s="25"/>
      <c r="AP431" s="25"/>
      <c r="AQ431" s="25"/>
      <c r="AR431" s="25"/>
      <c r="AS431" s="25"/>
      <c r="AT431" s="25"/>
      <c r="AU431" s="25"/>
    </row>
    <row r="432">
      <c r="A432" s="25"/>
      <c r="B432" s="25"/>
      <c r="C432" s="25"/>
      <c r="D432" s="25"/>
      <c r="E432" s="25"/>
      <c r="F432" s="25"/>
      <c r="G432" s="5"/>
      <c r="H432" s="5"/>
      <c r="I432" s="5"/>
      <c r="J432" s="5"/>
      <c r="K432" s="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  <c r="AC432" s="25"/>
      <c r="AD432" s="25"/>
      <c r="AE432" s="25"/>
      <c r="AF432" s="25"/>
      <c r="AG432" s="25"/>
      <c r="AH432" s="25"/>
      <c r="AI432" s="25"/>
      <c r="AJ432" s="25"/>
      <c r="AK432" s="25"/>
      <c r="AL432" s="25"/>
      <c r="AM432" s="25"/>
      <c r="AN432" s="25"/>
      <c r="AO432" s="25"/>
      <c r="AP432" s="25"/>
      <c r="AQ432" s="25"/>
      <c r="AR432" s="25"/>
      <c r="AS432" s="25"/>
      <c r="AT432" s="25"/>
      <c r="AU432" s="25"/>
    </row>
    <row r="433">
      <c r="A433" s="25"/>
      <c r="B433" s="25"/>
      <c r="C433" s="25"/>
      <c r="D433" s="25"/>
      <c r="E433" s="25"/>
      <c r="F433" s="25"/>
      <c r="G433" s="5"/>
      <c r="H433" s="5"/>
      <c r="I433" s="5"/>
      <c r="J433" s="5"/>
      <c r="K433" s="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  <c r="AD433" s="25"/>
      <c r="AE433" s="25"/>
      <c r="AF433" s="25"/>
      <c r="AG433" s="25"/>
      <c r="AH433" s="25"/>
      <c r="AI433" s="25"/>
      <c r="AJ433" s="25"/>
      <c r="AK433" s="25"/>
      <c r="AL433" s="25"/>
      <c r="AM433" s="25"/>
      <c r="AN433" s="25"/>
      <c r="AO433" s="25"/>
      <c r="AP433" s="25"/>
      <c r="AQ433" s="25"/>
      <c r="AR433" s="25"/>
      <c r="AS433" s="25"/>
      <c r="AT433" s="25"/>
      <c r="AU433" s="25"/>
    </row>
    <row r="434">
      <c r="A434" s="25"/>
      <c r="B434" s="25"/>
      <c r="C434" s="25"/>
      <c r="D434" s="25"/>
      <c r="E434" s="25"/>
      <c r="F434" s="25"/>
      <c r="G434" s="5"/>
      <c r="H434" s="5"/>
      <c r="I434" s="5"/>
      <c r="J434" s="5"/>
      <c r="K434" s="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  <c r="AC434" s="25"/>
      <c r="AD434" s="25"/>
      <c r="AE434" s="25"/>
      <c r="AF434" s="25"/>
      <c r="AG434" s="25"/>
      <c r="AH434" s="25"/>
      <c r="AI434" s="25"/>
      <c r="AJ434" s="25"/>
      <c r="AK434" s="25"/>
      <c r="AL434" s="25"/>
      <c r="AM434" s="25"/>
      <c r="AN434" s="25"/>
      <c r="AO434" s="25"/>
      <c r="AP434" s="25"/>
      <c r="AQ434" s="25"/>
      <c r="AR434" s="25"/>
      <c r="AS434" s="25"/>
      <c r="AT434" s="25"/>
      <c r="AU434" s="25"/>
    </row>
    <row r="435">
      <c r="A435" s="25"/>
      <c r="B435" s="25"/>
      <c r="C435" s="25"/>
      <c r="D435" s="25"/>
      <c r="E435" s="25"/>
      <c r="F435" s="25"/>
      <c r="G435" s="5"/>
      <c r="H435" s="5"/>
      <c r="I435" s="5"/>
      <c r="J435" s="5"/>
      <c r="K435" s="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  <c r="AC435" s="25"/>
      <c r="AD435" s="25"/>
      <c r="AE435" s="25"/>
      <c r="AF435" s="25"/>
      <c r="AG435" s="25"/>
      <c r="AH435" s="25"/>
      <c r="AI435" s="25"/>
      <c r="AJ435" s="25"/>
      <c r="AK435" s="25"/>
      <c r="AL435" s="25"/>
      <c r="AM435" s="25"/>
      <c r="AN435" s="25"/>
      <c r="AO435" s="25"/>
      <c r="AP435" s="25"/>
      <c r="AQ435" s="25"/>
      <c r="AR435" s="25"/>
      <c r="AS435" s="25"/>
      <c r="AT435" s="25"/>
      <c r="AU435" s="25"/>
    </row>
    <row r="436">
      <c r="A436" s="25"/>
      <c r="B436" s="25"/>
      <c r="C436" s="25"/>
      <c r="D436" s="25"/>
      <c r="E436" s="25"/>
      <c r="F436" s="25"/>
      <c r="G436" s="5"/>
      <c r="H436" s="5"/>
      <c r="I436" s="5"/>
      <c r="J436" s="5"/>
      <c r="K436" s="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  <c r="AD436" s="25"/>
      <c r="AE436" s="25"/>
      <c r="AF436" s="25"/>
      <c r="AG436" s="25"/>
      <c r="AH436" s="25"/>
      <c r="AI436" s="25"/>
      <c r="AJ436" s="25"/>
      <c r="AK436" s="25"/>
      <c r="AL436" s="25"/>
      <c r="AM436" s="25"/>
      <c r="AN436" s="25"/>
      <c r="AO436" s="25"/>
      <c r="AP436" s="25"/>
      <c r="AQ436" s="25"/>
      <c r="AR436" s="25"/>
      <c r="AS436" s="25"/>
      <c r="AT436" s="25"/>
      <c r="AU436" s="25"/>
    </row>
    <row r="437">
      <c r="A437" s="25"/>
      <c r="B437" s="25"/>
      <c r="C437" s="25"/>
      <c r="D437" s="25"/>
      <c r="E437" s="25"/>
      <c r="F437" s="25"/>
      <c r="G437" s="5"/>
      <c r="H437" s="5"/>
      <c r="I437" s="5"/>
      <c r="J437" s="5"/>
      <c r="K437" s="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  <c r="AC437" s="25"/>
      <c r="AD437" s="25"/>
      <c r="AE437" s="25"/>
      <c r="AF437" s="25"/>
      <c r="AG437" s="25"/>
      <c r="AH437" s="25"/>
      <c r="AI437" s="25"/>
      <c r="AJ437" s="25"/>
      <c r="AK437" s="25"/>
      <c r="AL437" s="25"/>
      <c r="AM437" s="25"/>
      <c r="AN437" s="25"/>
      <c r="AO437" s="25"/>
      <c r="AP437" s="25"/>
      <c r="AQ437" s="25"/>
      <c r="AR437" s="25"/>
      <c r="AS437" s="25"/>
      <c r="AT437" s="25"/>
      <c r="AU437" s="25"/>
    </row>
    <row r="438">
      <c r="A438" s="25"/>
      <c r="B438" s="25"/>
      <c r="C438" s="25"/>
      <c r="D438" s="25"/>
      <c r="E438" s="25"/>
      <c r="F438" s="25"/>
      <c r="G438" s="5"/>
      <c r="H438" s="5"/>
      <c r="I438" s="5"/>
      <c r="J438" s="5"/>
      <c r="K438" s="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  <c r="AC438" s="25"/>
      <c r="AD438" s="25"/>
      <c r="AE438" s="25"/>
      <c r="AF438" s="25"/>
      <c r="AG438" s="25"/>
      <c r="AH438" s="25"/>
      <c r="AI438" s="25"/>
      <c r="AJ438" s="25"/>
      <c r="AK438" s="25"/>
      <c r="AL438" s="25"/>
      <c r="AM438" s="25"/>
      <c r="AN438" s="25"/>
      <c r="AO438" s="25"/>
      <c r="AP438" s="25"/>
      <c r="AQ438" s="25"/>
      <c r="AR438" s="25"/>
      <c r="AS438" s="25"/>
      <c r="AT438" s="25"/>
      <c r="AU438" s="25"/>
    </row>
    <row r="439">
      <c r="A439" s="25"/>
      <c r="B439" s="25"/>
      <c r="C439" s="25"/>
      <c r="D439" s="25"/>
      <c r="E439" s="25"/>
      <c r="F439" s="25"/>
      <c r="G439" s="5"/>
      <c r="H439" s="5"/>
      <c r="I439" s="5"/>
      <c r="J439" s="5"/>
      <c r="K439" s="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  <c r="AC439" s="25"/>
      <c r="AD439" s="25"/>
      <c r="AE439" s="25"/>
      <c r="AF439" s="25"/>
      <c r="AG439" s="25"/>
      <c r="AH439" s="25"/>
      <c r="AI439" s="25"/>
      <c r="AJ439" s="25"/>
      <c r="AK439" s="25"/>
      <c r="AL439" s="25"/>
      <c r="AM439" s="25"/>
      <c r="AN439" s="25"/>
      <c r="AO439" s="25"/>
      <c r="AP439" s="25"/>
      <c r="AQ439" s="25"/>
      <c r="AR439" s="25"/>
      <c r="AS439" s="25"/>
      <c r="AT439" s="25"/>
      <c r="AU439" s="25"/>
    </row>
    <row r="440">
      <c r="A440" s="25"/>
      <c r="B440" s="25"/>
      <c r="C440" s="25"/>
      <c r="D440" s="25"/>
      <c r="E440" s="25"/>
      <c r="F440" s="25"/>
      <c r="G440" s="5"/>
      <c r="H440" s="5"/>
      <c r="I440" s="5"/>
      <c r="J440" s="5"/>
      <c r="K440" s="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  <c r="AC440" s="25"/>
      <c r="AD440" s="25"/>
      <c r="AE440" s="25"/>
      <c r="AF440" s="25"/>
      <c r="AG440" s="25"/>
      <c r="AH440" s="25"/>
      <c r="AI440" s="25"/>
      <c r="AJ440" s="25"/>
      <c r="AK440" s="25"/>
      <c r="AL440" s="25"/>
      <c r="AM440" s="25"/>
      <c r="AN440" s="25"/>
      <c r="AO440" s="25"/>
      <c r="AP440" s="25"/>
      <c r="AQ440" s="25"/>
      <c r="AR440" s="25"/>
      <c r="AS440" s="25"/>
      <c r="AT440" s="25"/>
      <c r="AU440" s="25"/>
    </row>
    <row r="441">
      <c r="A441" s="25"/>
      <c r="B441" s="25"/>
      <c r="C441" s="25"/>
      <c r="D441" s="25"/>
      <c r="E441" s="25"/>
      <c r="F441" s="25"/>
      <c r="G441" s="5"/>
      <c r="H441" s="5"/>
      <c r="I441" s="5"/>
      <c r="J441" s="5"/>
      <c r="K441" s="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  <c r="AD441" s="25"/>
      <c r="AE441" s="25"/>
      <c r="AF441" s="25"/>
      <c r="AG441" s="25"/>
      <c r="AH441" s="25"/>
      <c r="AI441" s="25"/>
      <c r="AJ441" s="25"/>
      <c r="AK441" s="25"/>
      <c r="AL441" s="25"/>
      <c r="AM441" s="25"/>
      <c r="AN441" s="25"/>
      <c r="AO441" s="25"/>
      <c r="AP441" s="25"/>
      <c r="AQ441" s="25"/>
      <c r="AR441" s="25"/>
      <c r="AS441" s="25"/>
      <c r="AT441" s="25"/>
      <c r="AU441" s="25"/>
    </row>
    <row r="442">
      <c r="A442" s="25"/>
      <c r="B442" s="25"/>
      <c r="C442" s="25"/>
      <c r="D442" s="25"/>
      <c r="E442" s="25"/>
      <c r="F442" s="25"/>
      <c r="G442" s="5"/>
      <c r="H442" s="5"/>
      <c r="I442" s="5"/>
      <c r="J442" s="5"/>
      <c r="K442" s="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  <c r="AD442" s="25"/>
      <c r="AE442" s="25"/>
      <c r="AF442" s="25"/>
      <c r="AG442" s="25"/>
      <c r="AH442" s="25"/>
      <c r="AI442" s="25"/>
      <c r="AJ442" s="25"/>
      <c r="AK442" s="25"/>
      <c r="AL442" s="25"/>
      <c r="AM442" s="25"/>
      <c r="AN442" s="25"/>
      <c r="AO442" s="25"/>
      <c r="AP442" s="25"/>
      <c r="AQ442" s="25"/>
      <c r="AR442" s="25"/>
      <c r="AS442" s="25"/>
      <c r="AT442" s="25"/>
      <c r="AU442" s="25"/>
    </row>
    <row r="443">
      <c r="A443" s="25"/>
      <c r="B443" s="25"/>
      <c r="C443" s="25"/>
      <c r="D443" s="25"/>
      <c r="E443" s="25"/>
      <c r="F443" s="25"/>
      <c r="G443" s="5"/>
      <c r="H443" s="5"/>
      <c r="I443" s="5"/>
      <c r="J443" s="5"/>
      <c r="K443" s="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  <c r="AD443" s="25"/>
      <c r="AE443" s="25"/>
      <c r="AF443" s="25"/>
      <c r="AG443" s="25"/>
      <c r="AH443" s="25"/>
      <c r="AI443" s="25"/>
      <c r="AJ443" s="25"/>
      <c r="AK443" s="25"/>
      <c r="AL443" s="25"/>
      <c r="AM443" s="25"/>
      <c r="AN443" s="25"/>
      <c r="AO443" s="25"/>
      <c r="AP443" s="25"/>
      <c r="AQ443" s="25"/>
      <c r="AR443" s="25"/>
      <c r="AS443" s="25"/>
      <c r="AT443" s="25"/>
      <c r="AU443" s="25"/>
    </row>
    <row r="444">
      <c r="A444" s="25"/>
      <c r="B444" s="25"/>
      <c r="C444" s="25"/>
      <c r="D444" s="25"/>
      <c r="E444" s="25"/>
      <c r="F444" s="25"/>
      <c r="G444" s="5"/>
      <c r="H444" s="5"/>
      <c r="I444" s="5"/>
      <c r="J444" s="5"/>
      <c r="K444" s="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  <c r="AC444" s="25"/>
      <c r="AD444" s="25"/>
      <c r="AE444" s="25"/>
      <c r="AF444" s="25"/>
      <c r="AG444" s="25"/>
      <c r="AH444" s="25"/>
      <c r="AI444" s="25"/>
      <c r="AJ444" s="25"/>
      <c r="AK444" s="25"/>
      <c r="AL444" s="25"/>
      <c r="AM444" s="25"/>
      <c r="AN444" s="25"/>
      <c r="AO444" s="25"/>
      <c r="AP444" s="25"/>
      <c r="AQ444" s="25"/>
      <c r="AR444" s="25"/>
      <c r="AS444" s="25"/>
      <c r="AT444" s="25"/>
      <c r="AU444" s="25"/>
    </row>
    <row r="445">
      <c r="A445" s="25"/>
      <c r="B445" s="25"/>
      <c r="C445" s="25"/>
      <c r="D445" s="25"/>
      <c r="E445" s="25"/>
      <c r="F445" s="25"/>
      <c r="G445" s="5"/>
      <c r="H445" s="5"/>
      <c r="I445" s="5"/>
      <c r="J445" s="5"/>
      <c r="K445" s="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  <c r="AD445" s="25"/>
      <c r="AE445" s="25"/>
      <c r="AF445" s="25"/>
      <c r="AG445" s="25"/>
      <c r="AH445" s="25"/>
      <c r="AI445" s="25"/>
      <c r="AJ445" s="25"/>
      <c r="AK445" s="25"/>
      <c r="AL445" s="25"/>
      <c r="AM445" s="25"/>
      <c r="AN445" s="25"/>
      <c r="AO445" s="25"/>
      <c r="AP445" s="25"/>
      <c r="AQ445" s="25"/>
      <c r="AR445" s="25"/>
      <c r="AS445" s="25"/>
      <c r="AT445" s="25"/>
      <c r="AU445" s="25"/>
    </row>
    <row r="446">
      <c r="A446" s="25"/>
      <c r="B446" s="25"/>
      <c r="C446" s="25"/>
      <c r="D446" s="25"/>
      <c r="E446" s="25"/>
      <c r="F446" s="25"/>
      <c r="G446" s="5"/>
      <c r="H446" s="5"/>
      <c r="I446" s="5"/>
      <c r="J446" s="5"/>
      <c r="K446" s="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  <c r="AC446" s="25"/>
      <c r="AD446" s="25"/>
      <c r="AE446" s="25"/>
      <c r="AF446" s="25"/>
      <c r="AG446" s="25"/>
      <c r="AH446" s="25"/>
      <c r="AI446" s="25"/>
      <c r="AJ446" s="25"/>
      <c r="AK446" s="25"/>
      <c r="AL446" s="25"/>
      <c r="AM446" s="25"/>
      <c r="AN446" s="25"/>
      <c r="AO446" s="25"/>
      <c r="AP446" s="25"/>
      <c r="AQ446" s="25"/>
      <c r="AR446" s="25"/>
      <c r="AS446" s="25"/>
      <c r="AT446" s="25"/>
      <c r="AU446" s="25"/>
    </row>
    <row r="447">
      <c r="A447" s="25"/>
      <c r="B447" s="25"/>
      <c r="C447" s="25"/>
      <c r="D447" s="25"/>
      <c r="E447" s="25"/>
      <c r="F447" s="25"/>
      <c r="G447" s="5"/>
      <c r="H447" s="5"/>
      <c r="I447" s="5"/>
      <c r="J447" s="5"/>
      <c r="K447" s="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  <c r="AD447" s="25"/>
      <c r="AE447" s="25"/>
      <c r="AF447" s="25"/>
      <c r="AG447" s="25"/>
      <c r="AH447" s="25"/>
      <c r="AI447" s="25"/>
      <c r="AJ447" s="25"/>
      <c r="AK447" s="25"/>
      <c r="AL447" s="25"/>
      <c r="AM447" s="25"/>
      <c r="AN447" s="25"/>
      <c r="AO447" s="25"/>
      <c r="AP447" s="25"/>
      <c r="AQ447" s="25"/>
      <c r="AR447" s="25"/>
      <c r="AS447" s="25"/>
      <c r="AT447" s="25"/>
      <c r="AU447" s="25"/>
    </row>
    <row r="448">
      <c r="A448" s="25"/>
      <c r="B448" s="25"/>
      <c r="C448" s="25"/>
      <c r="D448" s="25"/>
      <c r="E448" s="25"/>
      <c r="F448" s="25"/>
      <c r="G448" s="5"/>
      <c r="H448" s="5"/>
      <c r="I448" s="5"/>
      <c r="J448" s="5"/>
      <c r="K448" s="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  <c r="AC448" s="25"/>
      <c r="AD448" s="25"/>
      <c r="AE448" s="25"/>
      <c r="AF448" s="25"/>
      <c r="AG448" s="25"/>
      <c r="AH448" s="25"/>
      <c r="AI448" s="25"/>
      <c r="AJ448" s="25"/>
      <c r="AK448" s="25"/>
      <c r="AL448" s="25"/>
      <c r="AM448" s="25"/>
      <c r="AN448" s="25"/>
      <c r="AO448" s="25"/>
      <c r="AP448" s="25"/>
      <c r="AQ448" s="25"/>
      <c r="AR448" s="25"/>
      <c r="AS448" s="25"/>
      <c r="AT448" s="25"/>
      <c r="AU448" s="25"/>
    </row>
    <row r="449">
      <c r="A449" s="25"/>
      <c r="B449" s="25"/>
      <c r="C449" s="25"/>
      <c r="D449" s="25"/>
      <c r="E449" s="25"/>
      <c r="F449" s="25"/>
      <c r="G449" s="5"/>
      <c r="H449" s="5"/>
      <c r="I449" s="5"/>
      <c r="J449" s="5"/>
      <c r="K449" s="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  <c r="AD449" s="25"/>
      <c r="AE449" s="25"/>
      <c r="AF449" s="25"/>
      <c r="AG449" s="25"/>
      <c r="AH449" s="25"/>
      <c r="AI449" s="25"/>
      <c r="AJ449" s="25"/>
      <c r="AK449" s="25"/>
      <c r="AL449" s="25"/>
      <c r="AM449" s="25"/>
      <c r="AN449" s="25"/>
      <c r="AO449" s="25"/>
      <c r="AP449" s="25"/>
      <c r="AQ449" s="25"/>
      <c r="AR449" s="25"/>
      <c r="AS449" s="25"/>
      <c r="AT449" s="25"/>
      <c r="AU449" s="25"/>
    </row>
    <row r="450">
      <c r="A450" s="25"/>
      <c r="B450" s="25"/>
      <c r="C450" s="25"/>
      <c r="D450" s="25"/>
      <c r="E450" s="25"/>
      <c r="F450" s="25"/>
      <c r="G450" s="5"/>
      <c r="H450" s="5"/>
      <c r="I450" s="5"/>
      <c r="J450" s="5"/>
      <c r="K450" s="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  <c r="AD450" s="25"/>
      <c r="AE450" s="25"/>
      <c r="AF450" s="25"/>
      <c r="AG450" s="25"/>
      <c r="AH450" s="25"/>
      <c r="AI450" s="25"/>
      <c r="AJ450" s="25"/>
      <c r="AK450" s="25"/>
      <c r="AL450" s="25"/>
      <c r="AM450" s="25"/>
      <c r="AN450" s="25"/>
      <c r="AO450" s="25"/>
      <c r="AP450" s="25"/>
      <c r="AQ450" s="25"/>
      <c r="AR450" s="25"/>
      <c r="AS450" s="25"/>
      <c r="AT450" s="25"/>
      <c r="AU450" s="25"/>
    </row>
    <row r="451">
      <c r="A451" s="25"/>
      <c r="B451" s="25"/>
      <c r="C451" s="25"/>
      <c r="D451" s="25"/>
      <c r="E451" s="25"/>
      <c r="F451" s="25"/>
      <c r="G451" s="5"/>
      <c r="H451" s="5"/>
      <c r="I451" s="5"/>
      <c r="J451" s="5"/>
      <c r="K451" s="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  <c r="AD451" s="25"/>
      <c r="AE451" s="25"/>
      <c r="AF451" s="25"/>
      <c r="AG451" s="25"/>
      <c r="AH451" s="25"/>
      <c r="AI451" s="25"/>
      <c r="AJ451" s="25"/>
      <c r="AK451" s="25"/>
      <c r="AL451" s="25"/>
      <c r="AM451" s="25"/>
      <c r="AN451" s="25"/>
      <c r="AO451" s="25"/>
      <c r="AP451" s="25"/>
      <c r="AQ451" s="25"/>
      <c r="AR451" s="25"/>
      <c r="AS451" s="25"/>
      <c r="AT451" s="25"/>
      <c r="AU451" s="25"/>
    </row>
    <row r="452">
      <c r="A452" s="25"/>
      <c r="B452" s="25"/>
      <c r="C452" s="25"/>
      <c r="D452" s="25"/>
      <c r="E452" s="25"/>
      <c r="F452" s="25"/>
      <c r="G452" s="5"/>
      <c r="H452" s="5"/>
      <c r="I452" s="5"/>
      <c r="J452" s="5"/>
      <c r="K452" s="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  <c r="AD452" s="25"/>
      <c r="AE452" s="25"/>
      <c r="AF452" s="25"/>
      <c r="AG452" s="25"/>
      <c r="AH452" s="25"/>
      <c r="AI452" s="25"/>
      <c r="AJ452" s="25"/>
      <c r="AK452" s="25"/>
      <c r="AL452" s="25"/>
      <c r="AM452" s="25"/>
      <c r="AN452" s="25"/>
      <c r="AO452" s="25"/>
      <c r="AP452" s="25"/>
      <c r="AQ452" s="25"/>
      <c r="AR452" s="25"/>
      <c r="AS452" s="25"/>
      <c r="AT452" s="25"/>
      <c r="AU452" s="25"/>
    </row>
    <row r="453">
      <c r="A453" s="25"/>
      <c r="B453" s="25"/>
      <c r="C453" s="25"/>
      <c r="D453" s="25"/>
      <c r="E453" s="25"/>
      <c r="F453" s="25"/>
      <c r="G453" s="5"/>
      <c r="H453" s="5"/>
      <c r="I453" s="5"/>
      <c r="J453" s="5"/>
      <c r="K453" s="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  <c r="AD453" s="25"/>
      <c r="AE453" s="25"/>
      <c r="AF453" s="25"/>
      <c r="AG453" s="25"/>
      <c r="AH453" s="25"/>
      <c r="AI453" s="25"/>
      <c r="AJ453" s="25"/>
      <c r="AK453" s="25"/>
      <c r="AL453" s="25"/>
      <c r="AM453" s="25"/>
      <c r="AN453" s="25"/>
      <c r="AO453" s="25"/>
      <c r="AP453" s="25"/>
      <c r="AQ453" s="25"/>
      <c r="AR453" s="25"/>
      <c r="AS453" s="25"/>
      <c r="AT453" s="25"/>
      <c r="AU453" s="25"/>
    </row>
    <row r="454">
      <c r="A454" s="25"/>
      <c r="B454" s="25"/>
      <c r="C454" s="25"/>
      <c r="D454" s="25"/>
      <c r="E454" s="25"/>
      <c r="F454" s="25"/>
      <c r="G454" s="5"/>
      <c r="H454" s="5"/>
      <c r="I454" s="5"/>
      <c r="J454" s="5"/>
      <c r="K454" s="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  <c r="AD454" s="25"/>
      <c r="AE454" s="25"/>
      <c r="AF454" s="25"/>
      <c r="AG454" s="25"/>
      <c r="AH454" s="25"/>
      <c r="AI454" s="25"/>
      <c r="AJ454" s="25"/>
      <c r="AK454" s="25"/>
      <c r="AL454" s="25"/>
      <c r="AM454" s="25"/>
      <c r="AN454" s="25"/>
      <c r="AO454" s="25"/>
      <c r="AP454" s="25"/>
      <c r="AQ454" s="25"/>
      <c r="AR454" s="25"/>
      <c r="AS454" s="25"/>
      <c r="AT454" s="25"/>
      <c r="AU454" s="25"/>
    </row>
    <row r="455">
      <c r="A455" s="25"/>
      <c r="B455" s="25"/>
      <c r="C455" s="25"/>
      <c r="D455" s="25"/>
      <c r="E455" s="25"/>
      <c r="F455" s="25"/>
      <c r="G455" s="5"/>
      <c r="H455" s="5"/>
      <c r="I455" s="5"/>
      <c r="J455" s="5"/>
      <c r="K455" s="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  <c r="AD455" s="25"/>
      <c r="AE455" s="25"/>
      <c r="AF455" s="25"/>
      <c r="AG455" s="25"/>
      <c r="AH455" s="25"/>
      <c r="AI455" s="25"/>
      <c r="AJ455" s="25"/>
      <c r="AK455" s="25"/>
      <c r="AL455" s="25"/>
      <c r="AM455" s="25"/>
      <c r="AN455" s="25"/>
      <c r="AO455" s="25"/>
      <c r="AP455" s="25"/>
      <c r="AQ455" s="25"/>
      <c r="AR455" s="25"/>
      <c r="AS455" s="25"/>
      <c r="AT455" s="25"/>
      <c r="AU455" s="25"/>
    </row>
    <row r="456">
      <c r="A456" s="25"/>
      <c r="B456" s="25"/>
      <c r="C456" s="25"/>
      <c r="D456" s="25"/>
      <c r="E456" s="25"/>
      <c r="F456" s="25"/>
      <c r="G456" s="5"/>
      <c r="H456" s="5"/>
      <c r="I456" s="5"/>
      <c r="J456" s="5"/>
      <c r="K456" s="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  <c r="AD456" s="25"/>
      <c r="AE456" s="25"/>
      <c r="AF456" s="25"/>
      <c r="AG456" s="25"/>
      <c r="AH456" s="25"/>
      <c r="AI456" s="25"/>
      <c r="AJ456" s="25"/>
      <c r="AK456" s="25"/>
      <c r="AL456" s="25"/>
      <c r="AM456" s="25"/>
      <c r="AN456" s="25"/>
      <c r="AO456" s="25"/>
      <c r="AP456" s="25"/>
      <c r="AQ456" s="25"/>
      <c r="AR456" s="25"/>
      <c r="AS456" s="25"/>
      <c r="AT456" s="25"/>
      <c r="AU456" s="25"/>
    </row>
    <row r="457">
      <c r="A457" s="25"/>
      <c r="B457" s="25"/>
      <c r="C457" s="25"/>
      <c r="D457" s="25"/>
      <c r="E457" s="25"/>
      <c r="F457" s="25"/>
      <c r="G457" s="5"/>
      <c r="H457" s="5"/>
      <c r="I457" s="5"/>
      <c r="J457" s="5"/>
      <c r="K457" s="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  <c r="AD457" s="25"/>
      <c r="AE457" s="25"/>
      <c r="AF457" s="25"/>
      <c r="AG457" s="25"/>
      <c r="AH457" s="25"/>
      <c r="AI457" s="25"/>
      <c r="AJ457" s="25"/>
      <c r="AK457" s="25"/>
      <c r="AL457" s="25"/>
      <c r="AM457" s="25"/>
      <c r="AN457" s="25"/>
      <c r="AO457" s="25"/>
      <c r="AP457" s="25"/>
      <c r="AQ457" s="25"/>
      <c r="AR457" s="25"/>
      <c r="AS457" s="25"/>
      <c r="AT457" s="25"/>
      <c r="AU457" s="25"/>
    </row>
    <row r="458">
      <c r="A458" s="25"/>
      <c r="B458" s="25"/>
      <c r="C458" s="25"/>
      <c r="D458" s="25"/>
      <c r="E458" s="25"/>
      <c r="F458" s="25"/>
      <c r="G458" s="5"/>
      <c r="H458" s="5"/>
      <c r="I458" s="5"/>
      <c r="J458" s="5"/>
      <c r="K458" s="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  <c r="AD458" s="25"/>
      <c r="AE458" s="25"/>
      <c r="AF458" s="25"/>
      <c r="AG458" s="25"/>
      <c r="AH458" s="25"/>
      <c r="AI458" s="25"/>
      <c r="AJ458" s="25"/>
      <c r="AK458" s="25"/>
      <c r="AL458" s="25"/>
      <c r="AM458" s="25"/>
      <c r="AN458" s="25"/>
      <c r="AO458" s="25"/>
      <c r="AP458" s="25"/>
      <c r="AQ458" s="25"/>
      <c r="AR458" s="25"/>
      <c r="AS458" s="25"/>
      <c r="AT458" s="25"/>
      <c r="AU458" s="25"/>
    </row>
    <row r="459">
      <c r="A459" s="25"/>
      <c r="B459" s="25"/>
      <c r="C459" s="25"/>
      <c r="D459" s="25"/>
      <c r="E459" s="25"/>
      <c r="F459" s="25"/>
      <c r="G459" s="5"/>
      <c r="H459" s="5"/>
      <c r="I459" s="5"/>
      <c r="J459" s="5"/>
      <c r="K459" s="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  <c r="AD459" s="25"/>
      <c r="AE459" s="25"/>
      <c r="AF459" s="25"/>
      <c r="AG459" s="25"/>
      <c r="AH459" s="25"/>
      <c r="AI459" s="25"/>
      <c r="AJ459" s="25"/>
      <c r="AK459" s="25"/>
      <c r="AL459" s="25"/>
      <c r="AM459" s="25"/>
      <c r="AN459" s="25"/>
      <c r="AO459" s="25"/>
      <c r="AP459" s="25"/>
      <c r="AQ459" s="25"/>
      <c r="AR459" s="25"/>
      <c r="AS459" s="25"/>
      <c r="AT459" s="25"/>
      <c r="AU459" s="25"/>
    </row>
    <row r="460">
      <c r="A460" s="25"/>
      <c r="B460" s="25"/>
      <c r="C460" s="25"/>
      <c r="D460" s="25"/>
      <c r="E460" s="25"/>
      <c r="F460" s="25"/>
      <c r="G460" s="5"/>
      <c r="H460" s="5"/>
      <c r="I460" s="5"/>
      <c r="J460" s="5"/>
      <c r="K460" s="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  <c r="AC460" s="25"/>
      <c r="AD460" s="25"/>
      <c r="AE460" s="25"/>
      <c r="AF460" s="25"/>
      <c r="AG460" s="25"/>
      <c r="AH460" s="25"/>
      <c r="AI460" s="25"/>
      <c r="AJ460" s="25"/>
      <c r="AK460" s="25"/>
      <c r="AL460" s="25"/>
      <c r="AM460" s="25"/>
      <c r="AN460" s="25"/>
      <c r="AO460" s="25"/>
      <c r="AP460" s="25"/>
      <c r="AQ460" s="25"/>
      <c r="AR460" s="25"/>
      <c r="AS460" s="25"/>
      <c r="AT460" s="25"/>
      <c r="AU460" s="25"/>
    </row>
    <row r="461">
      <c r="A461" s="25"/>
      <c r="B461" s="25"/>
      <c r="C461" s="25"/>
      <c r="D461" s="25"/>
      <c r="E461" s="25"/>
      <c r="F461" s="25"/>
      <c r="G461" s="5"/>
      <c r="H461" s="5"/>
      <c r="I461" s="5"/>
      <c r="J461" s="5"/>
      <c r="K461" s="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  <c r="AC461" s="25"/>
      <c r="AD461" s="25"/>
      <c r="AE461" s="25"/>
      <c r="AF461" s="25"/>
      <c r="AG461" s="25"/>
      <c r="AH461" s="25"/>
      <c r="AI461" s="25"/>
      <c r="AJ461" s="25"/>
      <c r="AK461" s="25"/>
      <c r="AL461" s="25"/>
      <c r="AM461" s="25"/>
      <c r="AN461" s="25"/>
      <c r="AO461" s="25"/>
      <c r="AP461" s="25"/>
      <c r="AQ461" s="25"/>
      <c r="AR461" s="25"/>
      <c r="AS461" s="25"/>
      <c r="AT461" s="25"/>
      <c r="AU461" s="25"/>
    </row>
    <row r="462">
      <c r="A462" s="25"/>
      <c r="B462" s="25"/>
      <c r="C462" s="25"/>
      <c r="D462" s="25"/>
      <c r="E462" s="25"/>
      <c r="F462" s="25"/>
      <c r="G462" s="5"/>
      <c r="H462" s="5"/>
      <c r="I462" s="5"/>
      <c r="J462" s="5"/>
      <c r="K462" s="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  <c r="AD462" s="25"/>
      <c r="AE462" s="25"/>
      <c r="AF462" s="25"/>
      <c r="AG462" s="25"/>
      <c r="AH462" s="25"/>
      <c r="AI462" s="25"/>
      <c r="AJ462" s="25"/>
      <c r="AK462" s="25"/>
      <c r="AL462" s="25"/>
      <c r="AM462" s="25"/>
      <c r="AN462" s="25"/>
      <c r="AO462" s="25"/>
      <c r="AP462" s="25"/>
      <c r="AQ462" s="25"/>
      <c r="AR462" s="25"/>
      <c r="AS462" s="25"/>
      <c r="AT462" s="25"/>
      <c r="AU462" s="25"/>
    </row>
    <row r="463">
      <c r="A463" s="25"/>
      <c r="B463" s="25"/>
      <c r="C463" s="25"/>
      <c r="D463" s="25"/>
      <c r="E463" s="25"/>
      <c r="F463" s="25"/>
      <c r="G463" s="5"/>
      <c r="H463" s="5"/>
      <c r="I463" s="5"/>
      <c r="J463" s="5"/>
      <c r="K463" s="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  <c r="AC463" s="25"/>
      <c r="AD463" s="25"/>
      <c r="AE463" s="25"/>
      <c r="AF463" s="25"/>
      <c r="AG463" s="25"/>
      <c r="AH463" s="25"/>
      <c r="AI463" s="25"/>
      <c r="AJ463" s="25"/>
      <c r="AK463" s="25"/>
      <c r="AL463" s="25"/>
      <c r="AM463" s="25"/>
      <c r="AN463" s="25"/>
      <c r="AO463" s="25"/>
      <c r="AP463" s="25"/>
      <c r="AQ463" s="25"/>
      <c r="AR463" s="25"/>
      <c r="AS463" s="25"/>
      <c r="AT463" s="25"/>
      <c r="AU463" s="25"/>
    </row>
    <row r="464">
      <c r="A464" s="25"/>
      <c r="B464" s="25"/>
      <c r="C464" s="25"/>
      <c r="D464" s="25"/>
      <c r="E464" s="25"/>
      <c r="F464" s="25"/>
      <c r="G464" s="5"/>
      <c r="H464" s="5"/>
      <c r="I464" s="5"/>
      <c r="J464" s="5"/>
      <c r="K464" s="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  <c r="AD464" s="25"/>
      <c r="AE464" s="25"/>
      <c r="AF464" s="25"/>
      <c r="AG464" s="25"/>
      <c r="AH464" s="25"/>
      <c r="AI464" s="25"/>
      <c r="AJ464" s="25"/>
      <c r="AK464" s="25"/>
      <c r="AL464" s="25"/>
      <c r="AM464" s="25"/>
      <c r="AN464" s="25"/>
      <c r="AO464" s="25"/>
      <c r="AP464" s="25"/>
      <c r="AQ464" s="25"/>
      <c r="AR464" s="25"/>
      <c r="AS464" s="25"/>
      <c r="AT464" s="25"/>
      <c r="AU464" s="25"/>
    </row>
    <row r="465">
      <c r="A465" s="25"/>
      <c r="B465" s="25"/>
      <c r="C465" s="25"/>
      <c r="D465" s="25"/>
      <c r="E465" s="25"/>
      <c r="F465" s="25"/>
      <c r="G465" s="5"/>
      <c r="H465" s="5"/>
      <c r="I465" s="5"/>
      <c r="J465" s="5"/>
      <c r="K465" s="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  <c r="AD465" s="25"/>
      <c r="AE465" s="25"/>
      <c r="AF465" s="25"/>
      <c r="AG465" s="25"/>
      <c r="AH465" s="25"/>
      <c r="AI465" s="25"/>
      <c r="AJ465" s="25"/>
      <c r="AK465" s="25"/>
      <c r="AL465" s="25"/>
      <c r="AM465" s="25"/>
      <c r="AN465" s="25"/>
      <c r="AO465" s="25"/>
      <c r="AP465" s="25"/>
      <c r="AQ465" s="25"/>
      <c r="AR465" s="25"/>
      <c r="AS465" s="25"/>
      <c r="AT465" s="25"/>
      <c r="AU465" s="25"/>
    </row>
    <row r="466">
      <c r="A466" s="25"/>
      <c r="B466" s="25"/>
      <c r="C466" s="25"/>
      <c r="D466" s="25"/>
      <c r="E466" s="25"/>
      <c r="F466" s="25"/>
      <c r="G466" s="5"/>
      <c r="H466" s="5"/>
      <c r="I466" s="5"/>
      <c r="J466" s="5"/>
      <c r="K466" s="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  <c r="AD466" s="25"/>
      <c r="AE466" s="25"/>
      <c r="AF466" s="25"/>
      <c r="AG466" s="25"/>
      <c r="AH466" s="25"/>
      <c r="AI466" s="25"/>
      <c r="AJ466" s="25"/>
      <c r="AK466" s="25"/>
      <c r="AL466" s="25"/>
      <c r="AM466" s="25"/>
      <c r="AN466" s="25"/>
      <c r="AO466" s="25"/>
      <c r="AP466" s="25"/>
      <c r="AQ466" s="25"/>
      <c r="AR466" s="25"/>
      <c r="AS466" s="25"/>
      <c r="AT466" s="25"/>
      <c r="AU466" s="25"/>
    </row>
    <row r="467">
      <c r="A467" s="25"/>
      <c r="B467" s="25"/>
      <c r="C467" s="25"/>
      <c r="D467" s="25"/>
      <c r="E467" s="25"/>
      <c r="F467" s="25"/>
      <c r="G467" s="5"/>
      <c r="H467" s="5"/>
      <c r="I467" s="5"/>
      <c r="J467" s="5"/>
      <c r="K467" s="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  <c r="AD467" s="25"/>
      <c r="AE467" s="25"/>
      <c r="AF467" s="25"/>
      <c r="AG467" s="25"/>
      <c r="AH467" s="25"/>
      <c r="AI467" s="25"/>
      <c r="AJ467" s="25"/>
      <c r="AK467" s="25"/>
      <c r="AL467" s="25"/>
      <c r="AM467" s="25"/>
      <c r="AN467" s="25"/>
      <c r="AO467" s="25"/>
      <c r="AP467" s="25"/>
      <c r="AQ467" s="25"/>
      <c r="AR467" s="25"/>
      <c r="AS467" s="25"/>
      <c r="AT467" s="25"/>
      <c r="AU467" s="25"/>
    </row>
    <row r="468">
      <c r="A468" s="25"/>
      <c r="B468" s="25"/>
      <c r="C468" s="25"/>
      <c r="D468" s="25"/>
      <c r="E468" s="25"/>
      <c r="F468" s="25"/>
      <c r="G468" s="5"/>
      <c r="H468" s="5"/>
      <c r="I468" s="5"/>
      <c r="J468" s="5"/>
      <c r="K468" s="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  <c r="AD468" s="25"/>
      <c r="AE468" s="25"/>
      <c r="AF468" s="25"/>
      <c r="AG468" s="25"/>
      <c r="AH468" s="25"/>
      <c r="AI468" s="25"/>
      <c r="AJ468" s="25"/>
      <c r="AK468" s="25"/>
      <c r="AL468" s="25"/>
      <c r="AM468" s="25"/>
      <c r="AN468" s="25"/>
      <c r="AO468" s="25"/>
      <c r="AP468" s="25"/>
      <c r="AQ468" s="25"/>
      <c r="AR468" s="25"/>
      <c r="AS468" s="25"/>
      <c r="AT468" s="25"/>
      <c r="AU468" s="25"/>
    </row>
    <row r="469">
      <c r="A469" s="25"/>
      <c r="B469" s="25"/>
      <c r="C469" s="25"/>
      <c r="D469" s="25"/>
      <c r="E469" s="25"/>
      <c r="F469" s="25"/>
      <c r="G469" s="5"/>
      <c r="H469" s="5"/>
      <c r="I469" s="5"/>
      <c r="J469" s="5"/>
      <c r="K469" s="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  <c r="AD469" s="25"/>
      <c r="AE469" s="25"/>
      <c r="AF469" s="25"/>
      <c r="AG469" s="25"/>
      <c r="AH469" s="25"/>
      <c r="AI469" s="25"/>
      <c r="AJ469" s="25"/>
      <c r="AK469" s="25"/>
      <c r="AL469" s="25"/>
      <c r="AM469" s="25"/>
      <c r="AN469" s="25"/>
      <c r="AO469" s="25"/>
      <c r="AP469" s="25"/>
      <c r="AQ469" s="25"/>
      <c r="AR469" s="25"/>
      <c r="AS469" s="25"/>
      <c r="AT469" s="25"/>
      <c r="AU469" s="25"/>
    </row>
    <row r="470">
      <c r="A470" s="25"/>
      <c r="B470" s="25"/>
      <c r="C470" s="25"/>
      <c r="D470" s="25"/>
      <c r="E470" s="25"/>
      <c r="F470" s="25"/>
      <c r="G470" s="5"/>
      <c r="H470" s="5"/>
      <c r="I470" s="5"/>
      <c r="J470" s="5"/>
      <c r="K470" s="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  <c r="AC470" s="25"/>
      <c r="AD470" s="25"/>
      <c r="AE470" s="25"/>
      <c r="AF470" s="25"/>
      <c r="AG470" s="25"/>
      <c r="AH470" s="25"/>
      <c r="AI470" s="25"/>
      <c r="AJ470" s="25"/>
      <c r="AK470" s="25"/>
      <c r="AL470" s="25"/>
      <c r="AM470" s="25"/>
      <c r="AN470" s="25"/>
      <c r="AO470" s="25"/>
      <c r="AP470" s="25"/>
      <c r="AQ470" s="25"/>
      <c r="AR470" s="25"/>
      <c r="AS470" s="25"/>
      <c r="AT470" s="25"/>
      <c r="AU470" s="25"/>
    </row>
    <row r="471">
      <c r="A471" s="25"/>
      <c r="B471" s="25"/>
      <c r="C471" s="25"/>
      <c r="D471" s="25"/>
      <c r="E471" s="25"/>
      <c r="F471" s="25"/>
      <c r="G471" s="5"/>
      <c r="H471" s="5"/>
      <c r="I471" s="5"/>
      <c r="J471" s="5"/>
      <c r="K471" s="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  <c r="AD471" s="25"/>
      <c r="AE471" s="25"/>
      <c r="AF471" s="25"/>
      <c r="AG471" s="25"/>
      <c r="AH471" s="25"/>
      <c r="AI471" s="25"/>
      <c r="AJ471" s="25"/>
      <c r="AK471" s="25"/>
      <c r="AL471" s="25"/>
      <c r="AM471" s="25"/>
      <c r="AN471" s="25"/>
      <c r="AO471" s="25"/>
      <c r="AP471" s="25"/>
      <c r="AQ471" s="25"/>
      <c r="AR471" s="25"/>
      <c r="AS471" s="25"/>
      <c r="AT471" s="25"/>
      <c r="AU471" s="25"/>
    </row>
    <row r="472">
      <c r="A472" s="25"/>
      <c r="B472" s="25"/>
      <c r="C472" s="25"/>
      <c r="D472" s="25"/>
      <c r="E472" s="25"/>
      <c r="F472" s="25"/>
      <c r="G472" s="5"/>
      <c r="H472" s="5"/>
      <c r="I472" s="5"/>
      <c r="J472" s="5"/>
      <c r="K472" s="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  <c r="AD472" s="25"/>
      <c r="AE472" s="25"/>
      <c r="AF472" s="25"/>
      <c r="AG472" s="25"/>
      <c r="AH472" s="25"/>
      <c r="AI472" s="25"/>
      <c r="AJ472" s="25"/>
      <c r="AK472" s="25"/>
      <c r="AL472" s="25"/>
      <c r="AM472" s="25"/>
      <c r="AN472" s="25"/>
      <c r="AO472" s="25"/>
      <c r="AP472" s="25"/>
      <c r="AQ472" s="25"/>
      <c r="AR472" s="25"/>
      <c r="AS472" s="25"/>
      <c r="AT472" s="25"/>
      <c r="AU472" s="25"/>
    </row>
    <row r="473">
      <c r="A473" s="25"/>
      <c r="B473" s="25"/>
      <c r="C473" s="25"/>
      <c r="D473" s="25"/>
      <c r="E473" s="25"/>
      <c r="F473" s="25"/>
      <c r="G473" s="5"/>
      <c r="H473" s="5"/>
      <c r="I473" s="5"/>
      <c r="J473" s="5"/>
      <c r="K473" s="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  <c r="AD473" s="25"/>
      <c r="AE473" s="25"/>
      <c r="AF473" s="25"/>
      <c r="AG473" s="25"/>
      <c r="AH473" s="25"/>
      <c r="AI473" s="25"/>
      <c r="AJ473" s="25"/>
      <c r="AK473" s="25"/>
      <c r="AL473" s="25"/>
      <c r="AM473" s="25"/>
      <c r="AN473" s="25"/>
      <c r="AO473" s="25"/>
      <c r="AP473" s="25"/>
      <c r="AQ473" s="25"/>
      <c r="AR473" s="25"/>
      <c r="AS473" s="25"/>
      <c r="AT473" s="25"/>
      <c r="AU473" s="25"/>
    </row>
    <row r="474">
      <c r="A474" s="25"/>
      <c r="B474" s="25"/>
      <c r="C474" s="25"/>
      <c r="D474" s="25"/>
      <c r="E474" s="25"/>
      <c r="F474" s="25"/>
      <c r="G474" s="5"/>
      <c r="H474" s="5"/>
      <c r="I474" s="5"/>
      <c r="J474" s="5"/>
      <c r="K474" s="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  <c r="AC474" s="25"/>
      <c r="AD474" s="25"/>
      <c r="AE474" s="25"/>
      <c r="AF474" s="25"/>
      <c r="AG474" s="25"/>
      <c r="AH474" s="25"/>
      <c r="AI474" s="25"/>
      <c r="AJ474" s="25"/>
      <c r="AK474" s="25"/>
      <c r="AL474" s="25"/>
      <c r="AM474" s="25"/>
      <c r="AN474" s="25"/>
      <c r="AO474" s="25"/>
      <c r="AP474" s="25"/>
      <c r="AQ474" s="25"/>
      <c r="AR474" s="25"/>
      <c r="AS474" s="25"/>
      <c r="AT474" s="25"/>
      <c r="AU474" s="25"/>
    </row>
    <row r="475">
      <c r="A475" s="25"/>
      <c r="B475" s="25"/>
      <c r="C475" s="25"/>
      <c r="D475" s="25"/>
      <c r="E475" s="25"/>
      <c r="F475" s="25"/>
      <c r="G475" s="5"/>
      <c r="H475" s="5"/>
      <c r="I475" s="5"/>
      <c r="J475" s="5"/>
      <c r="K475" s="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  <c r="AD475" s="25"/>
      <c r="AE475" s="25"/>
      <c r="AF475" s="25"/>
      <c r="AG475" s="25"/>
      <c r="AH475" s="25"/>
      <c r="AI475" s="25"/>
      <c r="AJ475" s="25"/>
      <c r="AK475" s="25"/>
      <c r="AL475" s="25"/>
      <c r="AM475" s="25"/>
      <c r="AN475" s="25"/>
      <c r="AO475" s="25"/>
      <c r="AP475" s="25"/>
      <c r="AQ475" s="25"/>
      <c r="AR475" s="25"/>
      <c r="AS475" s="25"/>
      <c r="AT475" s="25"/>
      <c r="AU475" s="25"/>
    </row>
    <row r="476">
      <c r="A476" s="25"/>
      <c r="B476" s="25"/>
      <c r="C476" s="25"/>
      <c r="D476" s="25"/>
      <c r="E476" s="25"/>
      <c r="F476" s="25"/>
      <c r="G476" s="5"/>
      <c r="H476" s="5"/>
      <c r="I476" s="5"/>
      <c r="J476" s="5"/>
      <c r="K476" s="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  <c r="AD476" s="25"/>
      <c r="AE476" s="25"/>
      <c r="AF476" s="25"/>
      <c r="AG476" s="25"/>
      <c r="AH476" s="25"/>
      <c r="AI476" s="25"/>
      <c r="AJ476" s="25"/>
      <c r="AK476" s="25"/>
      <c r="AL476" s="25"/>
      <c r="AM476" s="25"/>
      <c r="AN476" s="25"/>
      <c r="AO476" s="25"/>
      <c r="AP476" s="25"/>
      <c r="AQ476" s="25"/>
      <c r="AR476" s="25"/>
      <c r="AS476" s="25"/>
      <c r="AT476" s="25"/>
      <c r="AU476" s="25"/>
    </row>
    <row r="477">
      <c r="A477" s="25"/>
      <c r="B477" s="25"/>
      <c r="C477" s="25"/>
      <c r="D477" s="25"/>
      <c r="E477" s="25"/>
      <c r="F477" s="25"/>
      <c r="G477" s="5"/>
      <c r="H477" s="5"/>
      <c r="I477" s="5"/>
      <c r="J477" s="5"/>
      <c r="K477" s="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  <c r="AC477" s="25"/>
      <c r="AD477" s="25"/>
      <c r="AE477" s="25"/>
      <c r="AF477" s="25"/>
      <c r="AG477" s="25"/>
      <c r="AH477" s="25"/>
      <c r="AI477" s="25"/>
      <c r="AJ477" s="25"/>
      <c r="AK477" s="25"/>
      <c r="AL477" s="25"/>
      <c r="AM477" s="25"/>
      <c r="AN477" s="25"/>
      <c r="AO477" s="25"/>
      <c r="AP477" s="25"/>
      <c r="AQ477" s="25"/>
      <c r="AR477" s="25"/>
      <c r="AS477" s="25"/>
      <c r="AT477" s="25"/>
      <c r="AU477" s="25"/>
    </row>
    <row r="478">
      <c r="A478" s="25"/>
      <c r="B478" s="25"/>
      <c r="C478" s="25"/>
      <c r="D478" s="25"/>
      <c r="E478" s="25"/>
      <c r="F478" s="25"/>
      <c r="G478" s="5"/>
      <c r="H478" s="5"/>
      <c r="I478" s="5"/>
      <c r="J478" s="5"/>
      <c r="K478" s="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  <c r="AC478" s="25"/>
      <c r="AD478" s="25"/>
      <c r="AE478" s="25"/>
      <c r="AF478" s="25"/>
      <c r="AG478" s="25"/>
      <c r="AH478" s="25"/>
      <c r="AI478" s="25"/>
      <c r="AJ478" s="25"/>
      <c r="AK478" s="25"/>
      <c r="AL478" s="25"/>
      <c r="AM478" s="25"/>
      <c r="AN478" s="25"/>
      <c r="AO478" s="25"/>
      <c r="AP478" s="25"/>
      <c r="AQ478" s="25"/>
      <c r="AR478" s="25"/>
      <c r="AS478" s="25"/>
      <c r="AT478" s="25"/>
      <c r="AU478" s="25"/>
    </row>
    <row r="479">
      <c r="A479" s="25"/>
      <c r="B479" s="25"/>
      <c r="C479" s="25"/>
      <c r="D479" s="25"/>
      <c r="E479" s="25"/>
      <c r="F479" s="25"/>
      <c r="G479" s="5"/>
      <c r="H479" s="5"/>
      <c r="I479" s="5"/>
      <c r="J479" s="5"/>
      <c r="K479" s="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  <c r="AC479" s="25"/>
      <c r="AD479" s="25"/>
      <c r="AE479" s="25"/>
      <c r="AF479" s="25"/>
      <c r="AG479" s="25"/>
      <c r="AH479" s="25"/>
      <c r="AI479" s="25"/>
      <c r="AJ479" s="25"/>
      <c r="AK479" s="25"/>
      <c r="AL479" s="25"/>
      <c r="AM479" s="25"/>
      <c r="AN479" s="25"/>
      <c r="AO479" s="25"/>
      <c r="AP479" s="25"/>
      <c r="AQ479" s="25"/>
      <c r="AR479" s="25"/>
      <c r="AS479" s="25"/>
      <c r="AT479" s="25"/>
      <c r="AU479" s="25"/>
    </row>
    <row r="480">
      <c r="A480" s="25"/>
      <c r="B480" s="25"/>
      <c r="C480" s="25"/>
      <c r="D480" s="25"/>
      <c r="E480" s="25"/>
      <c r="F480" s="25"/>
      <c r="G480" s="5"/>
      <c r="H480" s="5"/>
      <c r="I480" s="5"/>
      <c r="J480" s="5"/>
      <c r="K480" s="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  <c r="AC480" s="25"/>
      <c r="AD480" s="25"/>
      <c r="AE480" s="25"/>
      <c r="AF480" s="25"/>
      <c r="AG480" s="25"/>
      <c r="AH480" s="25"/>
      <c r="AI480" s="25"/>
      <c r="AJ480" s="25"/>
      <c r="AK480" s="25"/>
      <c r="AL480" s="25"/>
      <c r="AM480" s="25"/>
      <c r="AN480" s="25"/>
      <c r="AO480" s="25"/>
      <c r="AP480" s="25"/>
      <c r="AQ480" s="25"/>
      <c r="AR480" s="25"/>
      <c r="AS480" s="25"/>
      <c r="AT480" s="25"/>
      <c r="AU480" s="25"/>
    </row>
    <row r="481">
      <c r="A481" s="25"/>
      <c r="B481" s="25"/>
      <c r="C481" s="25"/>
      <c r="D481" s="25"/>
      <c r="E481" s="25"/>
      <c r="F481" s="25"/>
      <c r="G481" s="5"/>
      <c r="H481" s="5"/>
      <c r="I481" s="5"/>
      <c r="J481" s="5"/>
      <c r="K481" s="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  <c r="AC481" s="25"/>
      <c r="AD481" s="25"/>
      <c r="AE481" s="25"/>
      <c r="AF481" s="25"/>
      <c r="AG481" s="25"/>
      <c r="AH481" s="25"/>
      <c r="AI481" s="25"/>
      <c r="AJ481" s="25"/>
      <c r="AK481" s="25"/>
      <c r="AL481" s="25"/>
      <c r="AM481" s="25"/>
      <c r="AN481" s="25"/>
      <c r="AO481" s="25"/>
      <c r="AP481" s="25"/>
      <c r="AQ481" s="25"/>
      <c r="AR481" s="25"/>
      <c r="AS481" s="25"/>
      <c r="AT481" s="25"/>
      <c r="AU481" s="25"/>
    </row>
    <row r="482">
      <c r="A482" s="25"/>
      <c r="B482" s="25"/>
      <c r="C482" s="25"/>
      <c r="D482" s="25"/>
      <c r="E482" s="25"/>
      <c r="F482" s="25"/>
      <c r="G482" s="5"/>
      <c r="H482" s="5"/>
      <c r="I482" s="5"/>
      <c r="J482" s="5"/>
      <c r="K482" s="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  <c r="AC482" s="25"/>
      <c r="AD482" s="25"/>
      <c r="AE482" s="25"/>
      <c r="AF482" s="25"/>
      <c r="AG482" s="25"/>
      <c r="AH482" s="25"/>
      <c r="AI482" s="25"/>
      <c r="AJ482" s="25"/>
      <c r="AK482" s="25"/>
      <c r="AL482" s="25"/>
      <c r="AM482" s="25"/>
      <c r="AN482" s="25"/>
      <c r="AO482" s="25"/>
      <c r="AP482" s="25"/>
      <c r="AQ482" s="25"/>
      <c r="AR482" s="25"/>
      <c r="AS482" s="25"/>
      <c r="AT482" s="25"/>
      <c r="AU482" s="25"/>
    </row>
    <row r="483">
      <c r="A483" s="25"/>
      <c r="B483" s="25"/>
      <c r="C483" s="25"/>
      <c r="D483" s="25"/>
      <c r="E483" s="25"/>
      <c r="F483" s="25"/>
      <c r="G483" s="5"/>
      <c r="H483" s="5"/>
      <c r="I483" s="5"/>
      <c r="J483" s="5"/>
      <c r="K483" s="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  <c r="AC483" s="25"/>
      <c r="AD483" s="25"/>
      <c r="AE483" s="25"/>
      <c r="AF483" s="25"/>
      <c r="AG483" s="25"/>
      <c r="AH483" s="25"/>
      <c r="AI483" s="25"/>
      <c r="AJ483" s="25"/>
      <c r="AK483" s="25"/>
      <c r="AL483" s="25"/>
      <c r="AM483" s="25"/>
      <c r="AN483" s="25"/>
      <c r="AO483" s="25"/>
      <c r="AP483" s="25"/>
      <c r="AQ483" s="25"/>
      <c r="AR483" s="25"/>
      <c r="AS483" s="25"/>
      <c r="AT483" s="25"/>
      <c r="AU483" s="25"/>
    </row>
    <row r="484">
      <c r="A484" s="25"/>
      <c r="B484" s="25"/>
      <c r="C484" s="25"/>
      <c r="D484" s="25"/>
      <c r="E484" s="25"/>
      <c r="F484" s="25"/>
      <c r="G484" s="5"/>
      <c r="H484" s="5"/>
      <c r="I484" s="5"/>
      <c r="J484" s="5"/>
      <c r="K484" s="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  <c r="AC484" s="25"/>
      <c r="AD484" s="25"/>
      <c r="AE484" s="25"/>
      <c r="AF484" s="25"/>
      <c r="AG484" s="25"/>
      <c r="AH484" s="25"/>
      <c r="AI484" s="25"/>
      <c r="AJ484" s="25"/>
      <c r="AK484" s="25"/>
      <c r="AL484" s="25"/>
      <c r="AM484" s="25"/>
      <c r="AN484" s="25"/>
      <c r="AO484" s="25"/>
      <c r="AP484" s="25"/>
      <c r="AQ484" s="25"/>
      <c r="AR484" s="25"/>
      <c r="AS484" s="25"/>
      <c r="AT484" s="25"/>
      <c r="AU484" s="25"/>
    </row>
    <row r="485">
      <c r="A485" s="25"/>
      <c r="B485" s="25"/>
      <c r="C485" s="25"/>
      <c r="D485" s="25"/>
      <c r="E485" s="25"/>
      <c r="F485" s="25"/>
      <c r="G485" s="5"/>
      <c r="H485" s="5"/>
      <c r="I485" s="5"/>
      <c r="J485" s="5"/>
      <c r="K485" s="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  <c r="AC485" s="25"/>
      <c r="AD485" s="25"/>
      <c r="AE485" s="25"/>
      <c r="AF485" s="25"/>
      <c r="AG485" s="25"/>
      <c r="AH485" s="25"/>
      <c r="AI485" s="25"/>
      <c r="AJ485" s="25"/>
      <c r="AK485" s="25"/>
      <c r="AL485" s="25"/>
      <c r="AM485" s="25"/>
      <c r="AN485" s="25"/>
      <c r="AO485" s="25"/>
      <c r="AP485" s="25"/>
      <c r="AQ485" s="25"/>
      <c r="AR485" s="25"/>
      <c r="AS485" s="25"/>
      <c r="AT485" s="25"/>
      <c r="AU485" s="25"/>
    </row>
    <row r="486">
      <c r="A486" s="25"/>
      <c r="B486" s="25"/>
      <c r="C486" s="25"/>
      <c r="D486" s="25"/>
      <c r="E486" s="25"/>
      <c r="F486" s="25"/>
      <c r="G486" s="5"/>
      <c r="H486" s="5"/>
      <c r="I486" s="5"/>
      <c r="J486" s="5"/>
      <c r="K486" s="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  <c r="AC486" s="25"/>
      <c r="AD486" s="25"/>
      <c r="AE486" s="25"/>
      <c r="AF486" s="25"/>
      <c r="AG486" s="25"/>
      <c r="AH486" s="25"/>
      <c r="AI486" s="25"/>
      <c r="AJ486" s="25"/>
      <c r="AK486" s="25"/>
      <c r="AL486" s="25"/>
      <c r="AM486" s="25"/>
      <c r="AN486" s="25"/>
      <c r="AO486" s="25"/>
      <c r="AP486" s="25"/>
      <c r="AQ486" s="25"/>
      <c r="AR486" s="25"/>
      <c r="AS486" s="25"/>
      <c r="AT486" s="25"/>
      <c r="AU486" s="25"/>
    </row>
    <row r="487">
      <c r="A487" s="25"/>
      <c r="B487" s="25"/>
      <c r="C487" s="25"/>
      <c r="D487" s="25"/>
      <c r="E487" s="25"/>
      <c r="F487" s="25"/>
      <c r="G487" s="5"/>
      <c r="H487" s="5"/>
      <c r="I487" s="5"/>
      <c r="J487" s="5"/>
      <c r="K487" s="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  <c r="AC487" s="25"/>
      <c r="AD487" s="25"/>
      <c r="AE487" s="25"/>
      <c r="AF487" s="25"/>
      <c r="AG487" s="25"/>
      <c r="AH487" s="25"/>
      <c r="AI487" s="25"/>
      <c r="AJ487" s="25"/>
      <c r="AK487" s="25"/>
      <c r="AL487" s="25"/>
      <c r="AM487" s="25"/>
      <c r="AN487" s="25"/>
      <c r="AO487" s="25"/>
      <c r="AP487" s="25"/>
      <c r="AQ487" s="25"/>
      <c r="AR487" s="25"/>
      <c r="AS487" s="25"/>
      <c r="AT487" s="25"/>
      <c r="AU487" s="25"/>
    </row>
    <row r="488">
      <c r="A488" s="25"/>
      <c r="B488" s="25"/>
      <c r="C488" s="25"/>
      <c r="D488" s="25"/>
      <c r="E488" s="25"/>
      <c r="F488" s="25"/>
      <c r="G488" s="5"/>
      <c r="H488" s="5"/>
      <c r="I488" s="5"/>
      <c r="J488" s="5"/>
      <c r="K488" s="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  <c r="AC488" s="25"/>
      <c r="AD488" s="25"/>
      <c r="AE488" s="25"/>
      <c r="AF488" s="25"/>
      <c r="AG488" s="25"/>
      <c r="AH488" s="25"/>
      <c r="AI488" s="25"/>
      <c r="AJ488" s="25"/>
      <c r="AK488" s="25"/>
      <c r="AL488" s="25"/>
      <c r="AM488" s="25"/>
      <c r="AN488" s="25"/>
      <c r="AO488" s="25"/>
      <c r="AP488" s="25"/>
      <c r="AQ488" s="25"/>
      <c r="AR488" s="25"/>
      <c r="AS488" s="25"/>
      <c r="AT488" s="25"/>
      <c r="AU488" s="25"/>
    </row>
    <row r="489">
      <c r="A489" s="25"/>
      <c r="B489" s="25"/>
      <c r="C489" s="25"/>
      <c r="D489" s="25"/>
      <c r="E489" s="25"/>
      <c r="F489" s="25"/>
      <c r="G489" s="5"/>
      <c r="H489" s="5"/>
      <c r="I489" s="5"/>
      <c r="J489" s="5"/>
      <c r="K489" s="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  <c r="AD489" s="25"/>
      <c r="AE489" s="25"/>
      <c r="AF489" s="25"/>
      <c r="AG489" s="25"/>
      <c r="AH489" s="25"/>
      <c r="AI489" s="25"/>
      <c r="AJ489" s="25"/>
      <c r="AK489" s="25"/>
      <c r="AL489" s="25"/>
      <c r="AM489" s="25"/>
      <c r="AN489" s="25"/>
      <c r="AO489" s="25"/>
      <c r="AP489" s="25"/>
      <c r="AQ489" s="25"/>
      <c r="AR489" s="25"/>
      <c r="AS489" s="25"/>
      <c r="AT489" s="25"/>
      <c r="AU489" s="25"/>
    </row>
    <row r="490">
      <c r="A490" s="25"/>
      <c r="B490" s="25"/>
      <c r="C490" s="25"/>
      <c r="D490" s="25"/>
      <c r="E490" s="25"/>
      <c r="F490" s="25"/>
      <c r="G490" s="5"/>
      <c r="H490" s="5"/>
      <c r="I490" s="5"/>
      <c r="J490" s="5"/>
      <c r="K490" s="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  <c r="AD490" s="25"/>
      <c r="AE490" s="25"/>
      <c r="AF490" s="25"/>
      <c r="AG490" s="25"/>
      <c r="AH490" s="25"/>
      <c r="AI490" s="25"/>
      <c r="AJ490" s="25"/>
      <c r="AK490" s="25"/>
      <c r="AL490" s="25"/>
      <c r="AM490" s="25"/>
      <c r="AN490" s="25"/>
      <c r="AO490" s="25"/>
      <c r="AP490" s="25"/>
      <c r="AQ490" s="25"/>
      <c r="AR490" s="25"/>
      <c r="AS490" s="25"/>
      <c r="AT490" s="25"/>
      <c r="AU490" s="25"/>
    </row>
    <row r="491">
      <c r="A491" s="25"/>
      <c r="B491" s="25"/>
      <c r="C491" s="25"/>
      <c r="D491" s="25"/>
      <c r="E491" s="25"/>
      <c r="F491" s="25"/>
      <c r="G491" s="5"/>
      <c r="H491" s="5"/>
      <c r="I491" s="5"/>
      <c r="J491" s="5"/>
      <c r="K491" s="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  <c r="AC491" s="25"/>
      <c r="AD491" s="25"/>
      <c r="AE491" s="25"/>
      <c r="AF491" s="25"/>
      <c r="AG491" s="25"/>
      <c r="AH491" s="25"/>
      <c r="AI491" s="25"/>
      <c r="AJ491" s="25"/>
      <c r="AK491" s="25"/>
      <c r="AL491" s="25"/>
      <c r="AM491" s="25"/>
      <c r="AN491" s="25"/>
      <c r="AO491" s="25"/>
      <c r="AP491" s="25"/>
      <c r="AQ491" s="25"/>
      <c r="AR491" s="25"/>
      <c r="AS491" s="25"/>
      <c r="AT491" s="25"/>
      <c r="AU491" s="25"/>
    </row>
    <row r="492">
      <c r="A492" s="25"/>
      <c r="B492" s="25"/>
      <c r="C492" s="25"/>
      <c r="D492" s="25"/>
      <c r="E492" s="25"/>
      <c r="F492" s="25"/>
      <c r="G492" s="5"/>
      <c r="H492" s="5"/>
      <c r="I492" s="5"/>
      <c r="J492" s="5"/>
      <c r="K492" s="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  <c r="AC492" s="25"/>
      <c r="AD492" s="25"/>
      <c r="AE492" s="25"/>
      <c r="AF492" s="25"/>
      <c r="AG492" s="25"/>
      <c r="AH492" s="25"/>
      <c r="AI492" s="25"/>
      <c r="AJ492" s="25"/>
      <c r="AK492" s="25"/>
      <c r="AL492" s="25"/>
      <c r="AM492" s="25"/>
      <c r="AN492" s="25"/>
      <c r="AO492" s="25"/>
      <c r="AP492" s="25"/>
      <c r="AQ492" s="25"/>
      <c r="AR492" s="25"/>
      <c r="AS492" s="25"/>
      <c r="AT492" s="25"/>
      <c r="AU492" s="25"/>
    </row>
    <row r="493">
      <c r="A493" s="25"/>
      <c r="B493" s="25"/>
      <c r="C493" s="25"/>
      <c r="D493" s="25"/>
      <c r="E493" s="25"/>
      <c r="F493" s="25"/>
      <c r="G493" s="5"/>
      <c r="H493" s="5"/>
      <c r="I493" s="5"/>
      <c r="J493" s="5"/>
      <c r="K493" s="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  <c r="AC493" s="25"/>
      <c r="AD493" s="25"/>
      <c r="AE493" s="25"/>
      <c r="AF493" s="25"/>
      <c r="AG493" s="25"/>
      <c r="AH493" s="25"/>
      <c r="AI493" s="25"/>
      <c r="AJ493" s="25"/>
      <c r="AK493" s="25"/>
      <c r="AL493" s="25"/>
      <c r="AM493" s="25"/>
      <c r="AN493" s="25"/>
      <c r="AO493" s="25"/>
      <c r="AP493" s="25"/>
      <c r="AQ493" s="25"/>
      <c r="AR493" s="25"/>
      <c r="AS493" s="25"/>
      <c r="AT493" s="25"/>
      <c r="AU493" s="25"/>
    </row>
    <row r="494">
      <c r="A494" s="25"/>
      <c r="B494" s="25"/>
      <c r="C494" s="25"/>
      <c r="D494" s="25"/>
      <c r="E494" s="25"/>
      <c r="F494" s="25"/>
      <c r="G494" s="5"/>
      <c r="H494" s="5"/>
      <c r="I494" s="5"/>
      <c r="J494" s="5"/>
      <c r="K494" s="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  <c r="AC494" s="25"/>
      <c r="AD494" s="25"/>
      <c r="AE494" s="25"/>
      <c r="AF494" s="25"/>
      <c r="AG494" s="25"/>
      <c r="AH494" s="25"/>
      <c r="AI494" s="25"/>
      <c r="AJ494" s="25"/>
      <c r="AK494" s="25"/>
      <c r="AL494" s="25"/>
      <c r="AM494" s="25"/>
      <c r="AN494" s="25"/>
      <c r="AO494" s="25"/>
      <c r="AP494" s="25"/>
      <c r="AQ494" s="25"/>
      <c r="AR494" s="25"/>
      <c r="AS494" s="25"/>
      <c r="AT494" s="25"/>
      <c r="AU494" s="25"/>
    </row>
    <row r="495">
      <c r="A495" s="25"/>
      <c r="B495" s="25"/>
      <c r="C495" s="25"/>
      <c r="D495" s="25"/>
      <c r="E495" s="25"/>
      <c r="F495" s="25"/>
      <c r="G495" s="5"/>
      <c r="H495" s="5"/>
      <c r="I495" s="5"/>
      <c r="J495" s="5"/>
      <c r="K495" s="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  <c r="AC495" s="25"/>
      <c r="AD495" s="25"/>
      <c r="AE495" s="25"/>
      <c r="AF495" s="25"/>
      <c r="AG495" s="25"/>
      <c r="AH495" s="25"/>
      <c r="AI495" s="25"/>
      <c r="AJ495" s="25"/>
      <c r="AK495" s="25"/>
      <c r="AL495" s="25"/>
      <c r="AM495" s="25"/>
      <c r="AN495" s="25"/>
      <c r="AO495" s="25"/>
      <c r="AP495" s="25"/>
      <c r="AQ495" s="25"/>
      <c r="AR495" s="25"/>
      <c r="AS495" s="25"/>
      <c r="AT495" s="25"/>
      <c r="AU495" s="25"/>
    </row>
    <row r="496">
      <c r="A496" s="25"/>
      <c r="B496" s="25"/>
      <c r="C496" s="25"/>
      <c r="D496" s="25"/>
      <c r="E496" s="25"/>
      <c r="F496" s="25"/>
      <c r="G496" s="5"/>
      <c r="H496" s="5"/>
      <c r="I496" s="5"/>
      <c r="J496" s="5"/>
      <c r="K496" s="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  <c r="AC496" s="25"/>
      <c r="AD496" s="25"/>
      <c r="AE496" s="25"/>
      <c r="AF496" s="25"/>
      <c r="AG496" s="25"/>
      <c r="AH496" s="25"/>
      <c r="AI496" s="25"/>
      <c r="AJ496" s="25"/>
      <c r="AK496" s="25"/>
      <c r="AL496" s="25"/>
      <c r="AM496" s="25"/>
      <c r="AN496" s="25"/>
      <c r="AO496" s="25"/>
      <c r="AP496" s="25"/>
      <c r="AQ496" s="25"/>
      <c r="AR496" s="25"/>
      <c r="AS496" s="25"/>
      <c r="AT496" s="25"/>
      <c r="AU496" s="25"/>
    </row>
    <row r="497">
      <c r="A497" s="25"/>
      <c r="B497" s="25"/>
      <c r="C497" s="25"/>
      <c r="D497" s="25"/>
      <c r="E497" s="25"/>
      <c r="F497" s="25"/>
      <c r="G497" s="5"/>
      <c r="H497" s="5"/>
      <c r="I497" s="5"/>
      <c r="J497" s="5"/>
      <c r="K497" s="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  <c r="AC497" s="25"/>
      <c r="AD497" s="25"/>
      <c r="AE497" s="25"/>
      <c r="AF497" s="25"/>
      <c r="AG497" s="25"/>
      <c r="AH497" s="25"/>
      <c r="AI497" s="25"/>
      <c r="AJ497" s="25"/>
      <c r="AK497" s="25"/>
      <c r="AL497" s="25"/>
      <c r="AM497" s="25"/>
      <c r="AN497" s="25"/>
      <c r="AO497" s="25"/>
      <c r="AP497" s="25"/>
      <c r="AQ497" s="25"/>
      <c r="AR497" s="25"/>
      <c r="AS497" s="25"/>
      <c r="AT497" s="25"/>
      <c r="AU497" s="25"/>
    </row>
    <row r="498">
      <c r="A498" s="25"/>
      <c r="B498" s="25"/>
      <c r="C498" s="25"/>
      <c r="D498" s="25"/>
      <c r="E498" s="25"/>
      <c r="F498" s="25"/>
      <c r="G498" s="5"/>
      <c r="H498" s="5"/>
      <c r="I498" s="5"/>
      <c r="J498" s="5"/>
      <c r="K498" s="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  <c r="AC498" s="25"/>
      <c r="AD498" s="25"/>
      <c r="AE498" s="25"/>
      <c r="AF498" s="25"/>
      <c r="AG498" s="25"/>
      <c r="AH498" s="25"/>
      <c r="AI498" s="25"/>
      <c r="AJ498" s="25"/>
      <c r="AK498" s="25"/>
      <c r="AL498" s="25"/>
      <c r="AM498" s="25"/>
      <c r="AN498" s="25"/>
      <c r="AO498" s="25"/>
      <c r="AP498" s="25"/>
      <c r="AQ498" s="25"/>
      <c r="AR498" s="25"/>
      <c r="AS498" s="25"/>
      <c r="AT498" s="25"/>
      <c r="AU498" s="25"/>
    </row>
    <row r="499">
      <c r="A499" s="25"/>
      <c r="B499" s="25"/>
      <c r="C499" s="25"/>
      <c r="D499" s="25"/>
      <c r="E499" s="25"/>
      <c r="F499" s="25"/>
      <c r="G499" s="5"/>
      <c r="H499" s="5"/>
      <c r="I499" s="5"/>
      <c r="J499" s="5"/>
      <c r="K499" s="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  <c r="AC499" s="25"/>
      <c r="AD499" s="25"/>
      <c r="AE499" s="25"/>
      <c r="AF499" s="25"/>
      <c r="AG499" s="25"/>
      <c r="AH499" s="25"/>
      <c r="AI499" s="25"/>
      <c r="AJ499" s="25"/>
      <c r="AK499" s="25"/>
      <c r="AL499" s="25"/>
      <c r="AM499" s="25"/>
      <c r="AN499" s="25"/>
      <c r="AO499" s="25"/>
      <c r="AP499" s="25"/>
      <c r="AQ499" s="25"/>
      <c r="AR499" s="25"/>
      <c r="AS499" s="25"/>
      <c r="AT499" s="25"/>
      <c r="AU499" s="25"/>
    </row>
    <row r="500">
      <c r="A500" s="25"/>
      <c r="B500" s="25"/>
      <c r="C500" s="25"/>
      <c r="D500" s="25"/>
      <c r="E500" s="25"/>
      <c r="F500" s="25"/>
      <c r="G500" s="5"/>
      <c r="H500" s="5"/>
      <c r="I500" s="5"/>
      <c r="J500" s="5"/>
      <c r="K500" s="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  <c r="AC500" s="25"/>
      <c r="AD500" s="25"/>
      <c r="AE500" s="25"/>
      <c r="AF500" s="25"/>
      <c r="AG500" s="25"/>
      <c r="AH500" s="25"/>
      <c r="AI500" s="25"/>
      <c r="AJ500" s="25"/>
      <c r="AK500" s="25"/>
      <c r="AL500" s="25"/>
      <c r="AM500" s="25"/>
      <c r="AN500" s="25"/>
      <c r="AO500" s="25"/>
      <c r="AP500" s="25"/>
      <c r="AQ500" s="25"/>
      <c r="AR500" s="25"/>
      <c r="AS500" s="25"/>
      <c r="AT500" s="25"/>
      <c r="AU500" s="25"/>
    </row>
    <row r="501">
      <c r="A501" s="25"/>
      <c r="B501" s="25"/>
      <c r="C501" s="25"/>
      <c r="D501" s="25"/>
      <c r="E501" s="25"/>
      <c r="F501" s="25"/>
      <c r="G501" s="5"/>
      <c r="H501" s="5"/>
      <c r="I501" s="5"/>
      <c r="J501" s="5"/>
      <c r="K501" s="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  <c r="AC501" s="25"/>
      <c r="AD501" s="25"/>
      <c r="AE501" s="25"/>
      <c r="AF501" s="25"/>
      <c r="AG501" s="25"/>
      <c r="AH501" s="25"/>
      <c r="AI501" s="25"/>
      <c r="AJ501" s="25"/>
      <c r="AK501" s="25"/>
      <c r="AL501" s="25"/>
      <c r="AM501" s="25"/>
      <c r="AN501" s="25"/>
      <c r="AO501" s="25"/>
      <c r="AP501" s="25"/>
      <c r="AQ501" s="25"/>
      <c r="AR501" s="25"/>
      <c r="AS501" s="25"/>
      <c r="AT501" s="25"/>
      <c r="AU501" s="25"/>
    </row>
    <row r="502">
      <c r="A502" s="25"/>
      <c r="B502" s="25"/>
      <c r="C502" s="25"/>
      <c r="D502" s="25"/>
      <c r="E502" s="25"/>
      <c r="F502" s="25"/>
      <c r="G502" s="5"/>
      <c r="H502" s="5"/>
      <c r="I502" s="5"/>
      <c r="J502" s="5"/>
      <c r="K502" s="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  <c r="AC502" s="25"/>
      <c r="AD502" s="25"/>
      <c r="AE502" s="25"/>
      <c r="AF502" s="25"/>
      <c r="AG502" s="25"/>
      <c r="AH502" s="25"/>
      <c r="AI502" s="25"/>
      <c r="AJ502" s="25"/>
      <c r="AK502" s="25"/>
      <c r="AL502" s="25"/>
      <c r="AM502" s="25"/>
      <c r="AN502" s="25"/>
      <c r="AO502" s="25"/>
      <c r="AP502" s="25"/>
      <c r="AQ502" s="25"/>
      <c r="AR502" s="25"/>
      <c r="AS502" s="25"/>
      <c r="AT502" s="25"/>
      <c r="AU502" s="25"/>
    </row>
    <row r="503">
      <c r="A503" s="25"/>
      <c r="B503" s="25"/>
      <c r="C503" s="25"/>
      <c r="D503" s="25"/>
      <c r="E503" s="25"/>
      <c r="F503" s="25"/>
      <c r="G503" s="5"/>
      <c r="H503" s="5"/>
      <c r="I503" s="5"/>
      <c r="J503" s="5"/>
      <c r="K503" s="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  <c r="AC503" s="25"/>
      <c r="AD503" s="25"/>
      <c r="AE503" s="25"/>
      <c r="AF503" s="25"/>
      <c r="AG503" s="25"/>
      <c r="AH503" s="25"/>
      <c r="AI503" s="25"/>
      <c r="AJ503" s="25"/>
      <c r="AK503" s="25"/>
      <c r="AL503" s="25"/>
      <c r="AM503" s="25"/>
      <c r="AN503" s="25"/>
      <c r="AO503" s="25"/>
      <c r="AP503" s="25"/>
      <c r="AQ503" s="25"/>
      <c r="AR503" s="25"/>
      <c r="AS503" s="25"/>
      <c r="AT503" s="25"/>
      <c r="AU503" s="25"/>
    </row>
    <row r="504">
      <c r="A504" s="25"/>
      <c r="B504" s="25"/>
      <c r="C504" s="25"/>
      <c r="D504" s="25"/>
      <c r="E504" s="25"/>
      <c r="F504" s="25"/>
      <c r="G504" s="5"/>
      <c r="H504" s="5"/>
      <c r="I504" s="5"/>
      <c r="J504" s="5"/>
      <c r="K504" s="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  <c r="AC504" s="25"/>
      <c r="AD504" s="25"/>
      <c r="AE504" s="25"/>
      <c r="AF504" s="25"/>
      <c r="AG504" s="25"/>
      <c r="AH504" s="25"/>
      <c r="AI504" s="25"/>
      <c r="AJ504" s="25"/>
      <c r="AK504" s="25"/>
      <c r="AL504" s="25"/>
      <c r="AM504" s="25"/>
      <c r="AN504" s="25"/>
      <c r="AO504" s="25"/>
      <c r="AP504" s="25"/>
      <c r="AQ504" s="25"/>
      <c r="AR504" s="25"/>
      <c r="AS504" s="25"/>
      <c r="AT504" s="25"/>
      <c r="AU504" s="25"/>
    </row>
    <row r="505">
      <c r="A505" s="25"/>
      <c r="B505" s="25"/>
      <c r="C505" s="25"/>
      <c r="D505" s="25"/>
      <c r="E505" s="25"/>
      <c r="F505" s="25"/>
      <c r="G505" s="5"/>
      <c r="H505" s="5"/>
      <c r="I505" s="5"/>
      <c r="J505" s="5"/>
      <c r="K505" s="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  <c r="AC505" s="25"/>
      <c r="AD505" s="25"/>
      <c r="AE505" s="25"/>
      <c r="AF505" s="25"/>
      <c r="AG505" s="25"/>
      <c r="AH505" s="25"/>
      <c r="AI505" s="25"/>
      <c r="AJ505" s="25"/>
      <c r="AK505" s="25"/>
      <c r="AL505" s="25"/>
      <c r="AM505" s="25"/>
      <c r="AN505" s="25"/>
      <c r="AO505" s="25"/>
      <c r="AP505" s="25"/>
      <c r="AQ505" s="25"/>
      <c r="AR505" s="25"/>
      <c r="AS505" s="25"/>
      <c r="AT505" s="25"/>
      <c r="AU505" s="25"/>
    </row>
    <row r="506">
      <c r="A506" s="25"/>
      <c r="B506" s="25"/>
      <c r="C506" s="25"/>
      <c r="D506" s="25"/>
      <c r="E506" s="25"/>
      <c r="F506" s="25"/>
      <c r="G506" s="5"/>
      <c r="H506" s="5"/>
      <c r="I506" s="5"/>
      <c r="J506" s="5"/>
      <c r="K506" s="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  <c r="AC506" s="25"/>
      <c r="AD506" s="25"/>
      <c r="AE506" s="25"/>
      <c r="AF506" s="25"/>
      <c r="AG506" s="25"/>
      <c r="AH506" s="25"/>
      <c r="AI506" s="25"/>
      <c r="AJ506" s="25"/>
      <c r="AK506" s="25"/>
      <c r="AL506" s="25"/>
      <c r="AM506" s="25"/>
      <c r="AN506" s="25"/>
      <c r="AO506" s="25"/>
      <c r="AP506" s="25"/>
      <c r="AQ506" s="25"/>
      <c r="AR506" s="25"/>
      <c r="AS506" s="25"/>
      <c r="AT506" s="25"/>
      <c r="AU506" s="25"/>
    </row>
    <row r="507">
      <c r="A507" s="25"/>
      <c r="B507" s="25"/>
      <c r="C507" s="25"/>
      <c r="D507" s="25"/>
      <c r="E507" s="25"/>
      <c r="F507" s="25"/>
      <c r="G507" s="5"/>
      <c r="H507" s="5"/>
      <c r="I507" s="5"/>
      <c r="J507" s="5"/>
      <c r="K507" s="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  <c r="AC507" s="25"/>
      <c r="AD507" s="25"/>
      <c r="AE507" s="25"/>
      <c r="AF507" s="25"/>
      <c r="AG507" s="25"/>
      <c r="AH507" s="25"/>
      <c r="AI507" s="25"/>
      <c r="AJ507" s="25"/>
      <c r="AK507" s="25"/>
      <c r="AL507" s="25"/>
      <c r="AM507" s="25"/>
      <c r="AN507" s="25"/>
      <c r="AO507" s="25"/>
      <c r="AP507" s="25"/>
      <c r="AQ507" s="25"/>
      <c r="AR507" s="25"/>
      <c r="AS507" s="25"/>
      <c r="AT507" s="25"/>
      <c r="AU507" s="25"/>
    </row>
    <row r="508">
      <c r="A508" s="25"/>
      <c r="B508" s="25"/>
      <c r="C508" s="25"/>
      <c r="D508" s="25"/>
      <c r="E508" s="25"/>
      <c r="F508" s="25"/>
      <c r="G508" s="5"/>
      <c r="H508" s="5"/>
      <c r="I508" s="5"/>
      <c r="J508" s="5"/>
      <c r="K508" s="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  <c r="AC508" s="25"/>
      <c r="AD508" s="25"/>
      <c r="AE508" s="25"/>
      <c r="AF508" s="25"/>
      <c r="AG508" s="25"/>
      <c r="AH508" s="25"/>
      <c r="AI508" s="25"/>
      <c r="AJ508" s="25"/>
      <c r="AK508" s="25"/>
      <c r="AL508" s="25"/>
      <c r="AM508" s="25"/>
      <c r="AN508" s="25"/>
      <c r="AO508" s="25"/>
      <c r="AP508" s="25"/>
      <c r="AQ508" s="25"/>
      <c r="AR508" s="25"/>
      <c r="AS508" s="25"/>
      <c r="AT508" s="25"/>
      <c r="AU508" s="25"/>
    </row>
    <row r="509">
      <c r="A509" s="25"/>
      <c r="B509" s="25"/>
      <c r="C509" s="25"/>
      <c r="D509" s="25"/>
      <c r="E509" s="25"/>
      <c r="F509" s="25"/>
      <c r="G509" s="5"/>
      <c r="H509" s="5"/>
      <c r="I509" s="5"/>
      <c r="J509" s="5"/>
      <c r="K509" s="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  <c r="AC509" s="25"/>
      <c r="AD509" s="25"/>
      <c r="AE509" s="25"/>
      <c r="AF509" s="25"/>
      <c r="AG509" s="25"/>
      <c r="AH509" s="25"/>
      <c r="AI509" s="25"/>
      <c r="AJ509" s="25"/>
      <c r="AK509" s="25"/>
      <c r="AL509" s="25"/>
      <c r="AM509" s="25"/>
      <c r="AN509" s="25"/>
      <c r="AO509" s="25"/>
      <c r="AP509" s="25"/>
      <c r="AQ509" s="25"/>
      <c r="AR509" s="25"/>
      <c r="AS509" s="25"/>
      <c r="AT509" s="25"/>
      <c r="AU509" s="25"/>
    </row>
    <row r="510">
      <c r="A510" s="25"/>
      <c r="B510" s="25"/>
      <c r="C510" s="25"/>
      <c r="D510" s="25"/>
      <c r="E510" s="25"/>
      <c r="F510" s="25"/>
      <c r="G510" s="5"/>
      <c r="H510" s="5"/>
      <c r="I510" s="5"/>
      <c r="J510" s="5"/>
      <c r="K510" s="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  <c r="AC510" s="25"/>
      <c r="AD510" s="25"/>
      <c r="AE510" s="25"/>
      <c r="AF510" s="25"/>
      <c r="AG510" s="25"/>
      <c r="AH510" s="25"/>
      <c r="AI510" s="25"/>
      <c r="AJ510" s="25"/>
      <c r="AK510" s="25"/>
      <c r="AL510" s="25"/>
      <c r="AM510" s="25"/>
      <c r="AN510" s="25"/>
      <c r="AO510" s="25"/>
      <c r="AP510" s="25"/>
      <c r="AQ510" s="25"/>
      <c r="AR510" s="25"/>
      <c r="AS510" s="25"/>
      <c r="AT510" s="25"/>
      <c r="AU510" s="25"/>
    </row>
    <row r="511">
      <c r="A511" s="25"/>
      <c r="B511" s="25"/>
      <c r="C511" s="25"/>
      <c r="D511" s="25"/>
      <c r="E511" s="25"/>
      <c r="F511" s="25"/>
      <c r="G511" s="5"/>
      <c r="H511" s="5"/>
      <c r="I511" s="5"/>
      <c r="J511" s="5"/>
      <c r="K511" s="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  <c r="AC511" s="25"/>
      <c r="AD511" s="25"/>
      <c r="AE511" s="25"/>
      <c r="AF511" s="25"/>
      <c r="AG511" s="25"/>
      <c r="AH511" s="25"/>
      <c r="AI511" s="25"/>
      <c r="AJ511" s="25"/>
      <c r="AK511" s="25"/>
      <c r="AL511" s="25"/>
      <c r="AM511" s="25"/>
      <c r="AN511" s="25"/>
      <c r="AO511" s="25"/>
      <c r="AP511" s="25"/>
      <c r="AQ511" s="25"/>
      <c r="AR511" s="25"/>
      <c r="AS511" s="25"/>
      <c r="AT511" s="25"/>
      <c r="AU511" s="25"/>
    </row>
    <row r="512">
      <c r="A512" s="25"/>
      <c r="B512" s="25"/>
      <c r="C512" s="25"/>
      <c r="D512" s="25"/>
      <c r="E512" s="25"/>
      <c r="F512" s="25"/>
      <c r="G512" s="5"/>
      <c r="H512" s="5"/>
      <c r="I512" s="5"/>
      <c r="J512" s="5"/>
      <c r="K512" s="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  <c r="AC512" s="25"/>
      <c r="AD512" s="25"/>
      <c r="AE512" s="25"/>
      <c r="AF512" s="25"/>
      <c r="AG512" s="25"/>
      <c r="AH512" s="25"/>
      <c r="AI512" s="25"/>
      <c r="AJ512" s="25"/>
      <c r="AK512" s="25"/>
      <c r="AL512" s="25"/>
      <c r="AM512" s="25"/>
      <c r="AN512" s="25"/>
      <c r="AO512" s="25"/>
      <c r="AP512" s="25"/>
      <c r="AQ512" s="25"/>
      <c r="AR512" s="25"/>
      <c r="AS512" s="25"/>
      <c r="AT512" s="25"/>
      <c r="AU512" s="25"/>
    </row>
    <row r="513">
      <c r="A513" s="25"/>
      <c r="B513" s="25"/>
      <c r="C513" s="25"/>
      <c r="D513" s="25"/>
      <c r="E513" s="25"/>
      <c r="F513" s="25"/>
      <c r="G513" s="5"/>
      <c r="H513" s="5"/>
      <c r="I513" s="5"/>
      <c r="J513" s="5"/>
      <c r="K513" s="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  <c r="AC513" s="25"/>
      <c r="AD513" s="25"/>
      <c r="AE513" s="25"/>
      <c r="AF513" s="25"/>
      <c r="AG513" s="25"/>
      <c r="AH513" s="25"/>
      <c r="AI513" s="25"/>
      <c r="AJ513" s="25"/>
      <c r="AK513" s="25"/>
      <c r="AL513" s="25"/>
      <c r="AM513" s="25"/>
      <c r="AN513" s="25"/>
      <c r="AO513" s="25"/>
      <c r="AP513" s="25"/>
      <c r="AQ513" s="25"/>
      <c r="AR513" s="25"/>
      <c r="AS513" s="25"/>
      <c r="AT513" s="25"/>
      <c r="AU513" s="25"/>
    </row>
    <row r="514">
      <c r="A514" s="25"/>
      <c r="B514" s="25"/>
      <c r="C514" s="25"/>
      <c r="D514" s="25"/>
      <c r="E514" s="25"/>
      <c r="F514" s="25"/>
      <c r="G514" s="5"/>
      <c r="H514" s="5"/>
      <c r="I514" s="5"/>
      <c r="J514" s="5"/>
      <c r="K514" s="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  <c r="AC514" s="25"/>
      <c r="AD514" s="25"/>
      <c r="AE514" s="25"/>
      <c r="AF514" s="25"/>
      <c r="AG514" s="25"/>
      <c r="AH514" s="25"/>
      <c r="AI514" s="25"/>
      <c r="AJ514" s="25"/>
      <c r="AK514" s="25"/>
      <c r="AL514" s="25"/>
      <c r="AM514" s="25"/>
      <c r="AN514" s="25"/>
      <c r="AO514" s="25"/>
      <c r="AP514" s="25"/>
      <c r="AQ514" s="25"/>
      <c r="AR514" s="25"/>
      <c r="AS514" s="25"/>
      <c r="AT514" s="25"/>
      <c r="AU514" s="25"/>
    </row>
    <row r="515">
      <c r="A515" s="25"/>
      <c r="B515" s="25"/>
      <c r="C515" s="25"/>
      <c r="D515" s="25"/>
      <c r="E515" s="25"/>
      <c r="F515" s="25"/>
      <c r="G515" s="5"/>
      <c r="H515" s="5"/>
      <c r="I515" s="5"/>
      <c r="J515" s="5"/>
      <c r="K515" s="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  <c r="AC515" s="25"/>
      <c r="AD515" s="25"/>
      <c r="AE515" s="25"/>
      <c r="AF515" s="25"/>
      <c r="AG515" s="25"/>
      <c r="AH515" s="25"/>
      <c r="AI515" s="25"/>
      <c r="AJ515" s="25"/>
      <c r="AK515" s="25"/>
      <c r="AL515" s="25"/>
      <c r="AM515" s="25"/>
      <c r="AN515" s="25"/>
      <c r="AO515" s="25"/>
      <c r="AP515" s="25"/>
      <c r="AQ515" s="25"/>
      <c r="AR515" s="25"/>
      <c r="AS515" s="25"/>
      <c r="AT515" s="25"/>
      <c r="AU515" s="25"/>
    </row>
    <row r="516">
      <c r="A516" s="25"/>
      <c r="B516" s="25"/>
      <c r="C516" s="25"/>
      <c r="D516" s="25"/>
      <c r="E516" s="25"/>
      <c r="F516" s="25"/>
      <c r="G516" s="5"/>
      <c r="H516" s="5"/>
      <c r="I516" s="5"/>
      <c r="J516" s="5"/>
      <c r="K516" s="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  <c r="AC516" s="25"/>
      <c r="AD516" s="25"/>
      <c r="AE516" s="25"/>
      <c r="AF516" s="25"/>
      <c r="AG516" s="25"/>
      <c r="AH516" s="25"/>
      <c r="AI516" s="25"/>
      <c r="AJ516" s="25"/>
      <c r="AK516" s="25"/>
      <c r="AL516" s="25"/>
      <c r="AM516" s="25"/>
      <c r="AN516" s="25"/>
      <c r="AO516" s="25"/>
      <c r="AP516" s="25"/>
      <c r="AQ516" s="25"/>
      <c r="AR516" s="25"/>
      <c r="AS516" s="25"/>
      <c r="AT516" s="25"/>
      <c r="AU516" s="25"/>
    </row>
    <row r="517">
      <c r="A517" s="25"/>
      <c r="B517" s="25"/>
      <c r="C517" s="25"/>
      <c r="D517" s="25"/>
      <c r="E517" s="25"/>
      <c r="F517" s="25"/>
      <c r="G517" s="5"/>
      <c r="H517" s="5"/>
      <c r="I517" s="5"/>
      <c r="J517" s="5"/>
      <c r="K517" s="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  <c r="AC517" s="25"/>
      <c r="AD517" s="25"/>
      <c r="AE517" s="25"/>
      <c r="AF517" s="25"/>
      <c r="AG517" s="25"/>
      <c r="AH517" s="25"/>
      <c r="AI517" s="25"/>
      <c r="AJ517" s="25"/>
      <c r="AK517" s="25"/>
      <c r="AL517" s="25"/>
      <c r="AM517" s="25"/>
      <c r="AN517" s="25"/>
      <c r="AO517" s="25"/>
      <c r="AP517" s="25"/>
      <c r="AQ517" s="25"/>
      <c r="AR517" s="25"/>
      <c r="AS517" s="25"/>
      <c r="AT517" s="25"/>
      <c r="AU517" s="25"/>
    </row>
    <row r="518">
      <c r="A518" s="25"/>
      <c r="B518" s="25"/>
      <c r="C518" s="25"/>
      <c r="D518" s="25"/>
      <c r="E518" s="25"/>
      <c r="F518" s="25"/>
      <c r="G518" s="5"/>
      <c r="H518" s="5"/>
      <c r="I518" s="5"/>
      <c r="J518" s="5"/>
      <c r="K518" s="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  <c r="AC518" s="25"/>
      <c r="AD518" s="25"/>
      <c r="AE518" s="25"/>
      <c r="AF518" s="25"/>
      <c r="AG518" s="25"/>
      <c r="AH518" s="25"/>
      <c r="AI518" s="25"/>
      <c r="AJ518" s="25"/>
      <c r="AK518" s="25"/>
      <c r="AL518" s="25"/>
      <c r="AM518" s="25"/>
      <c r="AN518" s="25"/>
      <c r="AO518" s="25"/>
      <c r="AP518" s="25"/>
      <c r="AQ518" s="25"/>
      <c r="AR518" s="25"/>
      <c r="AS518" s="25"/>
      <c r="AT518" s="25"/>
      <c r="AU518" s="25"/>
    </row>
    <row r="519">
      <c r="A519" s="25"/>
      <c r="B519" s="25"/>
      <c r="C519" s="25"/>
      <c r="D519" s="25"/>
      <c r="E519" s="25"/>
      <c r="F519" s="25"/>
      <c r="G519" s="5"/>
      <c r="H519" s="5"/>
      <c r="I519" s="5"/>
      <c r="J519" s="5"/>
      <c r="K519" s="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  <c r="AC519" s="25"/>
      <c r="AD519" s="25"/>
      <c r="AE519" s="25"/>
      <c r="AF519" s="25"/>
      <c r="AG519" s="25"/>
      <c r="AH519" s="25"/>
      <c r="AI519" s="25"/>
      <c r="AJ519" s="25"/>
      <c r="AK519" s="25"/>
      <c r="AL519" s="25"/>
      <c r="AM519" s="25"/>
      <c r="AN519" s="25"/>
      <c r="AO519" s="25"/>
      <c r="AP519" s="25"/>
      <c r="AQ519" s="25"/>
      <c r="AR519" s="25"/>
      <c r="AS519" s="25"/>
      <c r="AT519" s="25"/>
      <c r="AU519" s="25"/>
    </row>
    <row r="520">
      <c r="A520" s="25"/>
      <c r="B520" s="25"/>
      <c r="C520" s="25"/>
      <c r="D520" s="25"/>
      <c r="E520" s="25"/>
      <c r="F520" s="25"/>
      <c r="G520" s="5"/>
      <c r="H520" s="5"/>
      <c r="I520" s="5"/>
      <c r="J520" s="5"/>
      <c r="K520" s="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  <c r="AC520" s="25"/>
      <c r="AD520" s="25"/>
      <c r="AE520" s="25"/>
      <c r="AF520" s="25"/>
      <c r="AG520" s="25"/>
      <c r="AH520" s="25"/>
      <c r="AI520" s="25"/>
      <c r="AJ520" s="25"/>
      <c r="AK520" s="25"/>
      <c r="AL520" s="25"/>
      <c r="AM520" s="25"/>
      <c r="AN520" s="25"/>
      <c r="AO520" s="25"/>
      <c r="AP520" s="25"/>
      <c r="AQ520" s="25"/>
      <c r="AR520" s="25"/>
      <c r="AS520" s="25"/>
      <c r="AT520" s="25"/>
      <c r="AU520" s="25"/>
    </row>
    <row r="521">
      <c r="A521" s="25"/>
      <c r="B521" s="25"/>
      <c r="C521" s="25"/>
      <c r="D521" s="25"/>
      <c r="E521" s="25"/>
      <c r="F521" s="25"/>
      <c r="G521" s="5"/>
      <c r="H521" s="5"/>
      <c r="I521" s="5"/>
      <c r="J521" s="5"/>
      <c r="K521" s="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  <c r="AC521" s="25"/>
      <c r="AD521" s="25"/>
      <c r="AE521" s="25"/>
      <c r="AF521" s="25"/>
      <c r="AG521" s="25"/>
      <c r="AH521" s="25"/>
      <c r="AI521" s="25"/>
      <c r="AJ521" s="25"/>
      <c r="AK521" s="25"/>
      <c r="AL521" s="25"/>
      <c r="AM521" s="25"/>
      <c r="AN521" s="25"/>
      <c r="AO521" s="25"/>
      <c r="AP521" s="25"/>
      <c r="AQ521" s="25"/>
      <c r="AR521" s="25"/>
      <c r="AS521" s="25"/>
      <c r="AT521" s="25"/>
      <c r="AU521" s="25"/>
    </row>
    <row r="522">
      <c r="A522" s="25"/>
      <c r="B522" s="25"/>
      <c r="C522" s="25"/>
      <c r="D522" s="25"/>
      <c r="E522" s="25"/>
      <c r="F522" s="25"/>
      <c r="G522" s="5"/>
      <c r="H522" s="5"/>
      <c r="I522" s="5"/>
      <c r="J522" s="5"/>
      <c r="K522" s="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  <c r="AC522" s="25"/>
      <c r="AD522" s="25"/>
      <c r="AE522" s="25"/>
      <c r="AF522" s="25"/>
      <c r="AG522" s="25"/>
      <c r="AH522" s="25"/>
      <c r="AI522" s="25"/>
      <c r="AJ522" s="25"/>
      <c r="AK522" s="25"/>
      <c r="AL522" s="25"/>
      <c r="AM522" s="25"/>
      <c r="AN522" s="25"/>
      <c r="AO522" s="25"/>
      <c r="AP522" s="25"/>
      <c r="AQ522" s="25"/>
      <c r="AR522" s="25"/>
      <c r="AS522" s="25"/>
      <c r="AT522" s="25"/>
      <c r="AU522" s="25"/>
    </row>
    <row r="523">
      <c r="A523" s="25"/>
      <c r="B523" s="25"/>
      <c r="C523" s="25"/>
      <c r="D523" s="25"/>
      <c r="E523" s="25"/>
      <c r="F523" s="25"/>
      <c r="G523" s="5"/>
      <c r="H523" s="5"/>
      <c r="I523" s="5"/>
      <c r="J523" s="5"/>
      <c r="K523" s="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  <c r="AC523" s="25"/>
      <c r="AD523" s="25"/>
      <c r="AE523" s="25"/>
      <c r="AF523" s="25"/>
      <c r="AG523" s="25"/>
      <c r="AH523" s="25"/>
      <c r="AI523" s="25"/>
      <c r="AJ523" s="25"/>
      <c r="AK523" s="25"/>
      <c r="AL523" s="25"/>
      <c r="AM523" s="25"/>
      <c r="AN523" s="25"/>
      <c r="AO523" s="25"/>
      <c r="AP523" s="25"/>
      <c r="AQ523" s="25"/>
      <c r="AR523" s="25"/>
      <c r="AS523" s="25"/>
      <c r="AT523" s="25"/>
      <c r="AU523" s="25"/>
    </row>
    <row r="524">
      <c r="A524" s="25"/>
      <c r="B524" s="25"/>
      <c r="C524" s="25"/>
      <c r="D524" s="25"/>
      <c r="E524" s="25"/>
      <c r="F524" s="25"/>
      <c r="G524" s="5"/>
      <c r="H524" s="5"/>
      <c r="I524" s="5"/>
      <c r="J524" s="5"/>
      <c r="K524" s="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  <c r="AC524" s="25"/>
      <c r="AD524" s="25"/>
      <c r="AE524" s="25"/>
      <c r="AF524" s="25"/>
      <c r="AG524" s="25"/>
      <c r="AH524" s="25"/>
      <c r="AI524" s="25"/>
      <c r="AJ524" s="25"/>
      <c r="AK524" s="25"/>
      <c r="AL524" s="25"/>
      <c r="AM524" s="25"/>
      <c r="AN524" s="25"/>
      <c r="AO524" s="25"/>
      <c r="AP524" s="25"/>
      <c r="AQ524" s="25"/>
      <c r="AR524" s="25"/>
      <c r="AS524" s="25"/>
      <c r="AT524" s="25"/>
      <c r="AU524" s="25"/>
    </row>
    <row r="525">
      <c r="A525" s="25"/>
      <c r="B525" s="25"/>
      <c r="C525" s="25"/>
      <c r="D525" s="25"/>
      <c r="E525" s="25"/>
      <c r="F525" s="25"/>
      <c r="G525" s="5"/>
      <c r="H525" s="5"/>
      <c r="I525" s="5"/>
      <c r="J525" s="5"/>
      <c r="K525" s="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  <c r="AC525" s="25"/>
      <c r="AD525" s="25"/>
      <c r="AE525" s="25"/>
      <c r="AF525" s="25"/>
      <c r="AG525" s="25"/>
      <c r="AH525" s="25"/>
      <c r="AI525" s="25"/>
      <c r="AJ525" s="25"/>
      <c r="AK525" s="25"/>
      <c r="AL525" s="25"/>
      <c r="AM525" s="25"/>
      <c r="AN525" s="25"/>
      <c r="AO525" s="25"/>
      <c r="AP525" s="25"/>
      <c r="AQ525" s="25"/>
      <c r="AR525" s="25"/>
      <c r="AS525" s="25"/>
      <c r="AT525" s="25"/>
      <c r="AU525" s="25"/>
    </row>
    <row r="526">
      <c r="A526" s="25"/>
      <c r="B526" s="25"/>
      <c r="C526" s="25"/>
      <c r="D526" s="25"/>
      <c r="E526" s="25"/>
      <c r="F526" s="25"/>
      <c r="G526" s="5"/>
      <c r="H526" s="5"/>
      <c r="I526" s="5"/>
      <c r="J526" s="5"/>
      <c r="K526" s="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  <c r="AC526" s="25"/>
      <c r="AD526" s="25"/>
      <c r="AE526" s="25"/>
      <c r="AF526" s="25"/>
      <c r="AG526" s="25"/>
      <c r="AH526" s="25"/>
      <c r="AI526" s="25"/>
      <c r="AJ526" s="25"/>
      <c r="AK526" s="25"/>
      <c r="AL526" s="25"/>
      <c r="AM526" s="25"/>
      <c r="AN526" s="25"/>
      <c r="AO526" s="25"/>
      <c r="AP526" s="25"/>
      <c r="AQ526" s="25"/>
      <c r="AR526" s="25"/>
      <c r="AS526" s="25"/>
      <c r="AT526" s="25"/>
      <c r="AU526" s="25"/>
    </row>
    <row r="527">
      <c r="A527" s="25"/>
      <c r="B527" s="25"/>
      <c r="C527" s="25"/>
      <c r="D527" s="25"/>
      <c r="E527" s="25"/>
      <c r="F527" s="25"/>
      <c r="G527" s="5"/>
      <c r="H527" s="5"/>
      <c r="I527" s="5"/>
      <c r="J527" s="5"/>
      <c r="K527" s="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  <c r="AC527" s="25"/>
      <c r="AD527" s="25"/>
      <c r="AE527" s="25"/>
      <c r="AF527" s="25"/>
      <c r="AG527" s="25"/>
      <c r="AH527" s="25"/>
      <c r="AI527" s="25"/>
      <c r="AJ527" s="25"/>
      <c r="AK527" s="25"/>
      <c r="AL527" s="25"/>
      <c r="AM527" s="25"/>
      <c r="AN527" s="25"/>
      <c r="AO527" s="25"/>
      <c r="AP527" s="25"/>
      <c r="AQ527" s="25"/>
      <c r="AR527" s="25"/>
      <c r="AS527" s="25"/>
      <c r="AT527" s="25"/>
      <c r="AU527" s="25"/>
    </row>
    <row r="528">
      <c r="A528" s="25"/>
      <c r="B528" s="25"/>
      <c r="C528" s="25"/>
      <c r="D528" s="25"/>
      <c r="E528" s="25"/>
      <c r="F528" s="25"/>
      <c r="G528" s="5"/>
      <c r="H528" s="5"/>
      <c r="I528" s="5"/>
      <c r="J528" s="5"/>
      <c r="K528" s="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  <c r="AC528" s="25"/>
      <c r="AD528" s="25"/>
      <c r="AE528" s="25"/>
      <c r="AF528" s="25"/>
      <c r="AG528" s="25"/>
      <c r="AH528" s="25"/>
      <c r="AI528" s="25"/>
      <c r="AJ528" s="25"/>
      <c r="AK528" s="25"/>
      <c r="AL528" s="25"/>
      <c r="AM528" s="25"/>
      <c r="AN528" s="25"/>
      <c r="AO528" s="25"/>
      <c r="AP528" s="25"/>
      <c r="AQ528" s="25"/>
      <c r="AR528" s="25"/>
      <c r="AS528" s="25"/>
      <c r="AT528" s="25"/>
      <c r="AU528" s="25"/>
    </row>
    <row r="529">
      <c r="A529" s="25"/>
      <c r="B529" s="25"/>
      <c r="C529" s="25"/>
      <c r="D529" s="25"/>
      <c r="E529" s="25"/>
      <c r="F529" s="25"/>
      <c r="G529" s="5"/>
      <c r="H529" s="5"/>
      <c r="I529" s="5"/>
      <c r="J529" s="5"/>
      <c r="K529" s="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  <c r="AC529" s="25"/>
      <c r="AD529" s="25"/>
      <c r="AE529" s="25"/>
      <c r="AF529" s="25"/>
      <c r="AG529" s="25"/>
      <c r="AH529" s="25"/>
      <c r="AI529" s="25"/>
      <c r="AJ529" s="25"/>
      <c r="AK529" s="25"/>
      <c r="AL529" s="25"/>
      <c r="AM529" s="25"/>
      <c r="AN529" s="25"/>
      <c r="AO529" s="25"/>
      <c r="AP529" s="25"/>
      <c r="AQ529" s="25"/>
      <c r="AR529" s="25"/>
      <c r="AS529" s="25"/>
      <c r="AT529" s="25"/>
      <c r="AU529" s="25"/>
    </row>
    <row r="530">
      <c r="A530" s="25"/>
      <c r="B530" s="25"/>
      <c r="C530" s="25"/>
      <c r="D530" s="25"/>
      <c r="E530" s="25"/>
      <c r="F530" s="25"/>
      <c r="G530" s="5"/>
      <c r="H530" s="5"/>
      <c r="I530" s="5"/>
      <c r="J530" s="5"/>
      <c r="K530" s="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  <c r="AC530" s="25"/>
      <c r="AD530" s="25"/>
      <c r="AE530" s="25"/>
      <c r="AF530" s="25"/>
      <c r="AG530" s="25"/>
      <c r="AH530" s="25"/>
      <c r="AI530" s="25"/>
      <c r="AJ530" s="25"/>
      <c r="AK530" s="25"/>
      <c r="AL530" s="25"/>
      <c r="AM530" s="25"/>
      <c r="AN530" s="25"/>
      <c r="AO530" s="25"/>
      <c r="AP530" s="25"/>
      <c r="AQ530" s="25"/>
      <c r="AR530" s="25"/>
      <c r="AS530" s="25"/>
      <c r="AT530" s="25"/>
      <c r="AU530" s="25"/>
    </row>
    <row r="531">
      <c r="A531" s="25"/>
      <c r="B531" s="25"/>
      <c r="C531" s="25"/>
      <c r="D531" s="25"/>
      <c r="E531" s="25"/>
      <c r="F531" s="25"/>
      <c r="G531" s="5"/>
      <c r="H531" s="5"/>
      <c r="I531" s="5"/>
      <c r="J531" s="5"/>
      <c r="K531" s="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  <c r="AC531" s="25"/>
      <c r="AD531" s="25"/>
      <c r="AE531" s="25"/>
      <c r="AF531" s="25"/>
      <c r="AG531" s="25"/>
      <c r="AH531" s="25"/>
      <c r="AI531" s="25"/>
      <c r="AJ531" s="25"/>
      <c r="AK531" s="25"/>
      <c r="AL531" s="25"/>
      <c r="AM531" s="25"/>
      <c r="AN531" s="25"/>
      <c r="AO531" s="25"/>
      <c r="AP531" s="25"/>
      <c r="AQ531" s="25"/>
      <c r="AR531" s="25"/>
      <c r="AS531" s="25"/>
      <c r="AT531" s="25"/>
      <c r="AU531" s="25"/>
    </row>
    <row r="532">
      <c r="A532" s="25"/>
      <c r="B532" s="25"/>
      <c r="C532" s="25"/>
      <c r="D532" s="25"/>
      <c r="E532" s="25"/>
      <c r="F532" s="25"/>
      <c r="G532" s="5"/>
      <c r="H532" s="5"/>
      <c r="I532" s="5"/>
      <c r="J532" s="5"/>
      <c r="K532" s="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  <c r="AC532" s="25"/>
      <c r="AD532" s="25"/>
      <c r="AE532" s="25"/>
      <c r="AF532" s="25"/>
      <c r="AG532" s="25"/>
      <c r="AH532" s="25"/>
      <c r="AI532" s="25"/>
      <c r="AJ532" s="25"/>
      <c r="AK532" s="25"/>
      <c r="AL532" s="25"/>
      <c r="AM532" s="25"/>
      <c r="AN532" s="25"/>
      <c r="AO532" s="25"/>
      <c r="AP532" s="25"/>
      <c r="AQ532" s="25"/>
      <c r="AR532" s="25"/>
      <c r="AS532" s="25"/>
      <c r="AT532" s="25"/>
      <c r="AU532" s="25"/>
    </row>
    <row r="533">
      <c r="A533" s="25"/>
      <c r="B533" s="25"/>
      <c r="C533" s="25"/>
      <c r="D533" s="25"/>
      <c r="E533" s="25"/>
      <c r="F533" s="25"/>
      <c r="G533" s="5"/>
      <c r="H533" s="5"/>
      <c r="I533" s="5"/>
      <c r="J533" s="5"/>
      <c r="K533" s="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  <c r="AC533" s="25"/>
      <c r="AD533" s="25"/>
      <c r="AE533" s="25"/>
      <c r="AF533" s="25"/>
      <c r="AG533" s="25"/>
      <c r="AH533" s="25"/>
      <c r="AI533" s="25"/>
      <c r="AJ533" s="25"/>
      <c r="AK533" s="25"/>
      <c r="AL533" s="25"/>
      <c r="AM533" s="25"/>
      <c r="AN533" s="25"/>
      <c r="AO533" s="25"/>
      <c r="AP533" s="25"/>
      <c r="AQ533" s="25"/>
      <c r="AR533" s="25"/>
      <c r="AS533" s="25"/>
      <c r="AT533" s="25"/>
      <c r="AU533" s="25"/>
    </row>
    <row r="534">
      <c r="A534" s="25"/>
      <c r="B534" s="25"/>
      <c r="C534" s="25"/>
      <c r="D534" s="25"/>
      <c r="E534" s="25"/>
      <c r="F534" s="25"/>
      <c r="G534" s="5"/>
      <c r="H534" s="5"/>
      <c r="I534" s="5"/>
      <c r="J534" s="5"/>
      <c r="K534" s="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  <c r="AC534" s="25"/>
      <c r="AD534" s="25"/>
      <c r="AE534" s="25"/>
      <c r="AF534" s="25"/>
      <c r="AG534" s="25"/>
      <c r="AH534" s="25"/>
      <c r="AI534" s="25"/>
      <c r="AJ534" s="25"/>
      <c r="AK534" s="25"/>
      <c r="AL534" s="25"/>
      <c r="AM534" s="25"/>
      <c r="AN534" s="25"/>
      <c r="AO534" s="25"/>
      <c r="AP534" s="25"/>
      <c r="AQ534" s="25"/>
      <c r="AR534" s="25"/>
      <c r="AS534" s="25"/>
      <c r="AT534" s="25"/>
      <c r="AU534" s="25"/>
    </row>
    <row r="535">
      <c r="A535" s="25"/>
      <c r="B535" s="25"/>
      <c r="C535" s="25"/>
      <c r="D535" s="25"/>
      <c r="E535" s="25"/>
      <c r="F535" s="25"/>
      <c r="G535" s="5"/>
      <c r="H535" s="5"/>
      <c r="I535" s="5"/>
      <c r="J535" s="5"/>
      <c r="K535" s="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  <c r="AC535" s="25"/>
      <c r="AD535" s="25"/>
      <c r="AE535" s="25"/>
      <c r="AF535" s="25"/>
      <c r="AG535" s="25"/>
      <c r="AH535" s="25"/>
      <c r="AI535" s="25"/>
      <c r="AJ535" s="25"/>
      <c r="AK535" s="25"/>
      <c r="AL535" s="25"/>
      <c r="AM535" s="25"/>
      <c r="AN535" s="25"/>
      <c r="AO535" s="25"/>
      <c r="AP535" s="25"/>
      <c r="AQ535" s="25"/>
      <c r="AR535" s="25"/>
      <c r="AS535" s="25"/>
      <c r="AT535" s="25"/>
      <c r="AU535" s="25"/>
    </row>
    <row r="536">
      <c r="A536" s="25"/>
      <c r="B536" s="25"/>
      <c r="C536" s="25"/>
      <c r="D536" s="25"/>
      <c r="E536" s="25"/>
      <c r="F536" s="25"/>
      <c r="G536" s="5"/>
      <c r="H536" s="5"/>
      <c r="I536" s="5"/>
      <c r="J536" s="5"/>
      <c r="K536" s="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  <c r="AC536" s="25"/>
      <c r="AD536" s="25"/>
      <c r="AE536" s="25"/>
      <c r="AF536" s="25"/>
      <c r="AG536" s="25"/>
      <c r="AH536" s="25"/>
      <c r="AI536" s="25"/>
      <c r="AJ536" s="25"/>
      <c r="AK536" s="25"/>
      <c r="AL536" s="25"/>
      <c r="AM536" s="25"/>
      <c r="AN536" s="25"/>
      <c r="AO536" s="25"/>
      <c r="AP536" s="25"/>
      <c r="AQ536" s="25"/>
      <c r="AR536" s="25"/>
      <c r="AS536" s="25"/>
      <c r="AT536" s="25"/>
      <c r="AU536" s="25"/>
    </row>
    <row r="537">
      <c r="A537" s="25"/>
      <c r="B537" s="25"/>
      <c r="C537" s="25"/>
      <c r="D537" s="25"/>
      <c r="E537" s="25"/>
      <c r="F537" s="25"/>
      <c r="G537" s="5"/>
      <c r="H537" s="5"/>
      <c r="I537" s="5"/>
      <c r="J537" s="5"/>
      <c r="K537" s="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  <c r="AC537" s="25"/>
      <c r="AD537" s="25"/>
      <c r="AE537" s="25"/>
      <c r="AF537" s="25"/>
      <c r="AG537" s="25"/>
      <c r="AH537" s="25"/>
      <c r="AI537" s="25"/>
      <c r="AJ537" s="25"/>
      <c r="AK537" s="25"/>
      <c r="AL537" s="25"/>
      <c r="AM537" s="25"/>
      <c r="AN537" s="25"/>
      <c r="AO537" s="25"/>
      <c r="AP537" s="25"/>
      <c r="AQ537" s="25"/>
      <c r="AR537" s="25"/>
      <c r="AS537" s="25"/>
      <c r="AT537" s="25"/>
      <c r="AU537" s="25"/>
    </row>
    <row r="538">
      <c r="A538" s="25"/>
      <c r="B538" s="25"/>
      <c r="C538" s="25"/>
      <c r="D538" s="25"/>
      <c r="E538" s="25"/>
      <c r="F538" s="25"/>
      <c r="G538" s="5"/>
      <c r="H538" s="5"/>
      <c r="I538" s="5"/>
      <c r="J538" s="5"/>
      <c r="K538" s="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  <c r="AC538" s="25"/>
      <c r="AD538" s="25"/>
      <c r="AE538" s="25"/>
      <c r="AF538" s="25"/>
      <c r="AG538" s="25"/>
      <c r="AH538" s="25"/>
      <c r="AI538" s="25"/>
      <c r="AJ538" s="25"/>
      <c r="AK538" s="25"/>
      <c r="AL538" s="25"/>
      <c r="AM538" s="25"/>
      <c r="AN538" s="25"/>
      <c r="AO538" s="25"/>
      <c r="AP538" s="25"/>
      <c r="AQ538" s="25"/>
      <c r="AR538" s="25"/>
      <c r="AS538" s="25"/>
      <c r="AT538" s="25"/>
      <c r="AU538" s="25"/>
    </row>
    <row r="539">
      <c r="A539" s="25"/>
      <c r="B539" s="25"/>
      <c r="C539" s="25"/>
      <c r="D539" s="25"/>
      <c r="E539" s="25"/>
      <c r="F539" s="25"/>
      <c r="G539" s="5"/>
      <c r="H539" s="5"/>
      <c r="I539" s="5"/>
      <c r="J539" s="5"/>
      <c r="K539" s="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  <c r="AC539" s="25"/>
      <c r="AD539" s="25"/>
      <c r="AE539" s="25"/>
      <c r="AF539" s="25"/>
      <c r="AG539" s="25"/>
      <c r="AH539" s="25"/>
      <c r="AI539" s="25"/>
      <c r="AJ539" s="25"/>
      <c r="AK539" s="25"/>
      <c r="AL539" s="25"/>
      <c r="AM539" s="25"/>
      <c r="AN539" s="25"/>
      <c r="AO539" s="25"/>
      <c r="AP539" s="25"/>
      <c r="AQ539" s="25"/>
      <c r="AR539" s="25"/>
      <c r="AS539" s="25"/>
      <c r="AT539" s="25"/>
      <c r="AU539" s="25"/>
    </row>
    <row r="540">
      <c r="A540" s="25"/>
      <c r="B540" s="25"/>
      <c r="C540" s="25"/>
      <c r="D540" s="25"/>
      <c r="E540" s="25"/>
      <c r="F540" s="25"/>
      <c r="G540" s="5"/>
      <c r="H540" s="5"/>
      <c r="I540" s="5"/>
      <c r="J540" s="5"/>
      <c r="K540" s="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  <c r="AC540" s="25"/>
      <c r="AD540" s="25"/>
      <c r="AE540" s="25"/>
      <c r="AF540" s="25"/>
      <c r="AG540" s="25"/>
      <c r="AH540" s="25"/>
      <c r="AI540" s="25"/>
      <c r="AJ540" s="25"/>
      <c r="AK540" s="25"/>
      <c r="AL540" s="25"/>
      <c r="AM540" s="25"/>
      <c r="AN540" s="25"/>
      <c r="AO540" s="25"/>
      <c r="AP540" s="25"/>
      <c r="AQ540" s="25"/>
      <c r="AR540" s="25"/>
      <c r="AS540" s="25"/>
      <c r="AT540" s="25"/>
      <c r="AU540" s="25"/>
    </row>
    <row r="541">
      <c r="A541" s="25"/>
      <c r="B541" s="25"/>
      <c r="C541" s="25"/>
      <c r="D541" s="25"/>
      <c r="E541" s="25"/>
      <c r="F541" s="25"/>
      <c r="G541" s="5"/>
      <c r="H541" s="5"/>
      <c r="I541" s="5"/>
      <c r="J541" s="5"/>
      <c r="K541" s="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  <c r="AC541" s="25"/>
      <c r="AD541" s="25"/>
      <c r="AE541" s="25"/>
      <c r="AF541" s="25"/>
      <c r="AG541" s="25"/>
      <c r="AH541" s="25"/>
      <c r="AI541" s="25"/>
      <c r="AJ541" s="25"/>
      <c r="AK541" s="25"/>
      <c r="AL541" s="25"/>
      <c r="AM541" s="25"/>
      <c r="AN541" s="25"/>
      <c r="AO541" s="25"/>
      <c r="AP541" s="25"/>
      <c r="AQ541" s="25"/>
      <c r="AR541" s="25"/>
      <c r="AS541" s="25"/>
      <c r="AT541" s="25"/>
      <c r="AU541" s="25"/>
    </row>
    <row r="542">
      <c r="A542" s="25"/>
      <c r="B542" s="25"/>
      <c r="C542" s="25"/>
      <c r="D542" s="25"/>
      <c r="E542" s="25"/>
      <c r="F542" s="25"/>
      <c r="G542" s="5"/>
      <c r="H542" s="5"/>
      <c r="I542" s="5"/>
      <c r="J542" s="5"/>
      <c r="K542" s="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  <c r="AC542" s="25"/>
      <c r="AD542" s="25"/>
      <c r="AE542" s="25"/>
      <c r="AF542" s="25"/>
      <c r="AG542" s="25"/>
      <c r="AH542" s="25"/>
      <c r="AI542" s="25"/>
      <c r="AJ542" s="25"/>
      <c r="AK542" s="25"/>
      <c r="AL542" s="25"/>
      <c r="AM542" s="25"/>
      <c r="AN542" s="25"/>
      <c r="AO542" s="25"/>
      <c r="AP542" s="25"/>
      <c r="AQ542" s="25"/>
      <c r="AR542" s="25"/>
      <c r="AS542" s="25"/>
      <c r="AT542" s="25"/>
      <c r="AU542" s="25"/>
    </row>
    <row r="543">
      <c r="A543" s="25"/>
      <c r="B543" s="25"/>
      <c r="C543" s="25"/>
      <c r="D543" s="25"/>
      <c r="E543" s="25"/>
      <c r="F543" s="25"/>
      <c r="G543" s="5"/>
      <c r="H543" s="5"/>
      <c r="I543" s="5"/>
      <c r="J543" s="5"/>
      <c r="K543" s="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  <c r="AC543" s="25"/>
      <c r="AD543" s="25"/>
      <c r="AE543" s="25"/>
      <c r="AF543" s="25"/>
      <c r="AG543" s="25"/>
      <c r="AH543" s="25"/>
      <c r="AI543" s="25"/>
      <c r="AJ543" s="25"/>
      <c r="AK543" s="25"/>
      <c r="AL543" s="25"/>
      <c r="AM543" s="25"/>
      <c r="AN543" s="25"/>
      <c r="AO543" s="25"/>
      <c r="AP543" s="25"/>
      <c r="AQ543" s="25"/>
      <c r="AR543" s="25"/>
      <c r="AS543" s="25"/>
      <c r="AT543" s="25"/>
      <c r="AU543" s="25"/>
    </row>
    <row r="544">
      <c r="A544" s="25"/>
      <c r="B544" s="25"/>
      <c r="C544" s="25"/>
      <c r="D544" s="25"/>
      <c r="E544" s="25"/>
      <c r="F544" s="25"/>
      <c r="G544" s="5"/>
      <c r="H544" s="5"/>
      <c r="I544" s="5"/>
      <c r="J544" s="5"/>
      <c r="K544" s="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  <c r="AC544" s="25"/>
      <c r="AD544" s="25"/>
      <c r="AE544" s="25"/>
      <c r="AF544" s="25"/>
      <c r="AG544" s="25"/>
      <c r="AH544" s="25"/>
      <c r="AI544" s="25"/>
      <c r="AJ544" s="25"/>
      <c r="AK544" s="25"/>
      <c r="AL544" s="25"/>
      <c r="AM544" s="25"/>
      <c r="AN544" s="25"/>
      <c r="AO544" s="25"/>
      <c r="AP544" s="25"/>
      <c r="AQ544" s="25"/>
      <c r="AR544" s="25"/>
      <c r="AS544" s="25"/>
      <c r="AT544" s="25"/>
      <c r="AU544" s="25"/>
    </row>
    <row r="545">
      <c r="A545" s="25"/>
      <c r="B545" s="25"/>
      <c r="C545" s="25"/>
      <c r="D545" s="25"/>
      <c r="E545" s="25"/>
      <c r="F545" s="25"/>
      <c r="G545" s="5"/>
      <c r="H545" s="5"/>
      <c r="I545" s="5"/>
      <c r="J545" s="5"/>
      <c r="K545" s="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  <c r="AC545" s="25"/>
      <c r="AD545" s="25"/>
      <c r="AE545" s="25"/>
      <c r="AF545" s="25"/>
      <c r="AG545" s="25"/>
      <c r="AH545" s="25"/>
      <c r="AI545" s="25"/>
      <c r="AJ545" s="25"/>
      <c r="AK545" s="25"/>
      <c r="AL545" s="25"/>
      <c r="AM545" s="25"/>
      <c r="AN545" s="25"/>
      <c r="AO545" s="25"/>
      <c r="AP545" s="25"/>
      <c r="AQ545" s="25"/>
      <c r="AR545" s="25"/>
      <c r="AS545" s="25"/>
      <c r="AT545" s="25"/>
      <c r="AU545" s="25"/>
    </row>
    <row r="546">
      <c r="A546" s="25"/>
      <c r="B546" s="25"/>
      <c r="C546" s="25"/>
      <c r="D546" s="25"/>
      <c r="E546" s="25"/>
      <c r="F546" s="25"/>
      <c r="G546" s="5"/>
      <c r="H546" s="5"/>
      <c r="I546" s="5"/>
      <c r="J546" s="5"/>
      <c r="K546" s="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  <c r="AC546" s="25"/>
      <c r="AD546" s="25"/>
      <c r="AE546" s="25"/>
      <c r="AF546" s="25"/>
      <c r="AG546" s="25"/>
      <c r="AH546" s="25"/>
      <c r="AI546" s="25"/>
      <c r="AJ546" s="25"/>
      <c r="AK546" s="25"/>
      <c r="AL546" s="25"/>
      <c r="AM546" s="25"/>
      <c r="AN546" s="25"/>
      <c r="AO546" s="25"/>
      <c r="AP546" s="25"/>
      <c r="AQ546" s="25"/>
      <c r="AR546" s="25"/>
      <c r="AS546" s="25"/>
      <c r="AT546" s="25"/>
      <c r="AU546" s="25"/>
    </row>
    <row r="547">
      <c r="A547" s="25"/>
      <c r="B547" s="25"/>
      <c r="C547" s="25"/>
      <c r="D547" s="25"/>
      <c r="E547" s="25"/>
      <c r="F547" s="25"/>
      <c r="G547" s="5"/>
      <c r="H547" s="5"/>
      <c r="I547" s="5"/>
      <c r="J547" s="5"/>
      <c r="K547" s="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  <c r="AC547" s="25"/>
      <c r="AD547" s="25"/>
      <c r="AE547" s="25"/>
      <c r="AF547" s="25"/>
      <c r="AG547" s="25"/>
      <c r="AH547" s="25"/>
      <c r="AI547" s="25"/>
      <c r="AJ547" s="25"/>
      <c r="AK547" s="25"/>
      <c r="AL547" s="25"/>
      <c r="AM547" s="25"/>
      <c r="AN547" s="25"/>
      <c r="AO547" s="25"/>
      <c r="AP547" s="25"/>
      <c r="AQ547" s="25"/>
      <c r="AR547" s="25"/>
      <c r="AS547" s="25"/>
      <c r="AT547" s="25"/>
      <c r="AU547" s="25"/>
    </row>
    <row r="548">
      <c r="A548" s="25"/>
      <c r="B548" s="25"/>
      <c r="C548" s="25"/>
      <c r="D548" s="25"/>
      <c r="E548" s="25"/>
      <c r="F548" s="25"/>
      <c r="G548" s="5"/>
      <c r="H548" s="5"/>
      <c r="I548" s="5"/>
      <c r="J548" s="5"/>
      <c r="K548" s="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  <c r="AC548" s="25"/>
      <c r="AD548" s="25"/>
      <c r="AE548" s="25"/>
      <c r="AF548" s="25"/>
      <c r="AG548" s="25"/>
      <c r="AH548" s="25"/>
      <c r="AI548" s="25"/>
      <c r="AJ548" s="25"/>
      <c r="AK548" s="25"/>
      <c r="AL548" s="25"/>
      <c r="AM548" s="25"/>
      <c r="AN548" s="25"/>
      <c r="AO548" s="25"/>
      <c r="AP548" s="25"/>
      <c r="AQ548" s="25"/>
      <c r="AR548" s="25"/>
      <c r="AS548" s="25"/>
      <c r="AT548" s="25"/>
      <c r="AU548" s="25"/>
    </row>
    <row r="549">
      <c r="A549" s="25"/>
      <c r="B549" s="25"/>
      <c r="C549" s="25"/>
      <c r="D549" s="25"/>
      <c r="E549" s="25"/>
      <c r="F549" s="25"/>
      <c r="G549" s="5"/>
      <c r="H549" s="5"/>
      <c r="I549" s="5"/>
      <c r="J549" s="5"/>
      <c r="K549" s="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  <c r="AC549" s="25"/>
      <c r="AD549" s="25"/>
      <c r="AE549" s="25"/>
      <c r="AF549" s="25"/>
      <c r="AG549" s="25"/>
      <c r="AH549" s="25"/>
      <c r="AI549" s="25"/>
      <c r="AJ549" s="25"/>
      <c r="AK549" s="25"/>
      <c r="AL549" s="25"/>
      <c r="AM549" s="25"/>
      <c r="AN549" s="25"/>
      <c r="AO549" s="25"/>
      <c r="AP549" s="25"/>
      <c r="AQ549" s="25"/>
      <c r="AR549" s="25"/>
      <c r="AS549" s="25"/>
      <c r="AT549" s="25"/>
      <c r="AU549" s="25"/>
    </row>
    <row r="550">
      <c r="A550" s="25"/>
      <c r="B550" s="25"/>
      <c r="C550" s="25"/>
      <c r="D550" s="25"/>
      <c r="E550" s="25"/>
      <c r="F550" s="25"/>
      <c r="G550" s="5"/>
      <c r="H550" s="5"/>
      <c r="I550" s="5"/>
      <c r="J550" s="5"/>
      <c r="K550" s="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  <c r="AC550" s="25"/>
      <c r="AD550" s="25"/>
      <c r="AE550" s="25"/>
      <c r="AF550" s="25"/>
      <c r="AG550" s="25"/>
      <c r="AH550" s="25"/>
      <c r="AI550" s="25"/>
      <c r="AJ550" s="25"/>
      <c r="AK550" s="25"/>
      <c r="AL550" s="25"/>
      <c r="AM550" s="25"/>
      <c r="AN550" s="25"/>
      <c r="AO550" s="25"/>
      <c r="AP550" s="25"/>
      <c r="AQ550" s="25"/>
      <c r="AR550" s="25"/>
      <c r="AS550" s="25"/>
      <c r="AT550" s="25"/>
      <c r="AU550" s="25"/>
    </row>
    <row r="551">
      <c r="A551" s="25"/>
      <c r="B551" s="25"/>
      <c r="C551" s="25"/>
      <c r="D551" s="25"/>
      <c r="E551" s="25"/>
      <c r="F551" s="25"/>
      <c r="G551" s="5"/>
      <c r="H551" s="5"/>
      <c r="I551" s="5"/>
      <c r="J551" s="5"/>
      <c r="K551" s="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  <c r="AC551" s="25"/>
      <c r="AD551" s="25"/>
      <c r="AE551" s="25"/>
      <c r="AF551" s="25"/>
      <c r="AG551" s="25"/>
      <c r="AH551" s="25"/>
      <c r="AI551" s="25"/>
      <c r="AJ551" s="25"/>
      <c r="AK551" s="25"/>
      <c r="AL551" s="25"/>
      <c r="AM551" s="25"/>
      <c r="AN551" s="25"/>
      <c r="AO551" s="25"/>
      <c r="AP551" s="25"/>
      <c r="AQ551" s="25"/>
      <c r="AR551" s="25"/>
      <c r="AS551" s="25"/>
      <c r="AT551" s="25"/>
      <c r="AU551" s="25"/>
    </row>
    <row r="552">
      <c r="A552" s="25"/>
      <c r="B552" s="25"/>
      <c r="C552" s="25"/>
      <c r="D552" s="25"/>
      <c r="E552" s="25"/>
      <c r="F552" s="25"/>
      <c r="G552" s="5"/>
      <c r="H552" s="5"/>
      <c r="I552" s="5"/>
      <c r="J552" s="5"/>
      <c r="K552" s="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  <c r="AC552" s="25"/>
      <c r="AD552" s="25"/>
      <c r="AE552" s="25"/>
      <c r="AF552" s="25"/>
      <c r="AG552" s="25"/>
      <c r="AH552" s="25"/>
      <c r="AI552" s="25"/>
      <c r="AJ552" s="25"/>
      <c r="AK552" s="25"/>
      <c r="AL552" s="25"/>
      <c r="AM552" s="25"/>
      <c r="AN552" s="25"/>
      <c r="AO552" s="25"/>
      <c r="AP552" s="25"/>
      <c r="AQ552" s="25"/>
      <c r="AR552" s="25"/>
      <c r="AS552" s="25"/>
      <c r="AT552" s="25"/>
      <c r="AU552" s="25"/>
    </row>
    <row r="553">
      <c r="A553" s="25"/>
      <c r="B553" s="25"/>
      <c r="C553" s="25"/>
      <c r="D553" s="25"/>
      <c r="E553" s="25"/>
      <c r="F553" s="25"/>
      <c r="G553" s="5"/>
      <c r="H553" s="5"/>
      <c r="I553" s="5"/>
      <c r="J553" s="5"/>
      <c r="K553" s="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  <c r="AC553" s="25"/>
      <c r="AD553" s="25"/>
      <c r="AE553" s="25"/>
      <c r="AF553" s="25"/>
      <c r="AG553" s="25"/>
      <c r="AH553" s="25"/>
      <c r="AI553" s="25"/>
      <c r="AJ553" s="25"/>
      <c r="AK553" s="25"/>
      <c r="AL553" s="25"/>
      <c r="AM553" s="25"/>
      <c r="AN553" s="25"/>
      <c r="AO553" s="25"/>
      <c r="AP553" s="25"/>
      <c r="AQ553" s="25"/>
      <c r="AR553" s="25"/>
      <c r="AS553" s="25"/>
      <c r="AT553" s="25"/>
      <c r="AU553" s="25"/>
    </row>
    <row r="554">
      <c r="A554" s="25"/>
      <c r="B554" s="25"/>
      <c r="C554" s="25"/>
      <c r="D554" s="25"/>
      <c r="E554" s="25"/>
      <c r="F554" s="25"/>
      <c r="G554" s="5"/>
      <c r="H554" s="5"/>
      <c r="I554" s="5"/>
      <c r="J554" s="5"/>
      <c r="K554" s="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  <c r="AC554" s="25"/>
      <c r="AD554" s="25"/>
      <c r="AE554" s="25"/>
      <c r="AF554" s="25"/>
      <c r="AG554" s="25"/>
      <c r="AH554" s="25"/>
      <c r="AI554" s="25"/>
      <c r="AJ554" s="25"/>
      <c r="AK554" s="25"/>
      <c r="AL554" s="25"/>
      <c r="AM554" s="25"/>
      <c r="AN554" s="25"/>
      <c r="AO554" s="25"/>
      <c r="AP554" s="25"/>
      <c r="AQ554" s="25"/>
      <c r="AR554" s="25"/>
      <c r="AS554" s="25"/>
      <c r="AT554" s="25"/>
      <c r="AU554" s="25"/>
    </row>
    <row r="555">
      <c r="A555" s="25"/>
      <c r="B555" s="25"/>
      <c r="C555" s="25"/>
      <c r="D555" s="25"/>
      <c r="E555" s="25"/>
      <c r="F555" s="25"/>
      <c r="G555" s="5"/>
      <c r="H555" s="5"/>
      <c r="I555" s="5"/>
      <c r="J555" s="5"/>
      <c r="K555" s="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  <c r="AC555" s="25"/>
      <c r="AD555" s="25"/>
      <c r="AE555" s="25"/>
      <c r="AF555" s="25"/>
      <c r="AG555" s="25"/>
      <c r="AH555" s="25"/>
      <c r="AI555" s="25"/>
      <c r="AJ555" s="25"/>
      <c r="AK555" s="25"/>
      <c r="AL555" s="25"/>
      <c r="AM555" s="25"/>
      <c r="AN555" s="25"/>
      <c r="AO555" s="25"/>
      <c r="AP555" s="25"/>
      <c r="AQ555" s="25"/>
      <c r="AR555" s="25"/>
      <c r="AS555" s="25"/>
      <c r="AT555" s="25"/>
      <c r="AU555" s="25"/>
    </row>
    <row r="556">
      <c r="A556" s="25"/>
      <c r="B556" s="25"/>
      <c r="C556" s="25"/>
      <c r="D556" s="25"/>
      <c r="E556" s="25"/>
      <c r="F556" s="25"/>
      <c r="G556" s="5"/>
      <c r="H556" s="5"/>
      <c r="I556" s="5"/>
      <c r="J556" s="5"/>
      <c r="K556" s="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  <c r="AB556" s="25"/>
      <c r="AC556" s="25"/>
      <c r="AD556" s="25"/>
      <c r="AE556" s="25"/>
      <c r="AF556" s="25"/>
      <c r="AG556" s="25"/>
      <c r="AH556" s="25"/>
      <c r="AI556" s="25"/>
      <c r="AJ556" s="25"/>
      <c r="AK556" s="25"/>
      <c r="AL556" s="25"/>
      <c r="AM556" s="25"/>
      <c r="AN556" s="25"/>
      <c r="AO556" s="25"/>
      <c r="AP556" s="25"/>
      <c r="AQ556" s="25"/>
      <c r="AR556" s="25"/>
      <c r="AS556" s="25"/>
      <c r="AT556" s="25"/>
      <c r="AU556" s="25"/>
    </row>
    <row r="557">
      <c r="A557" s="25"/>
      <c r="B557" s="25"/>
      <c r="C557" s="25"/>
      <c r="D557" s="25"/>
      <c r="E557" s="25"/>
      <c r="F557" s="25"/>
      <c r="G557" s="5"/>
      <c r="H557" s="5"/>
      <c r="I557" s="5"/>
      <c r="J557" s="5"/>
      <c r="K557" s="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  <c r="AC557" s="25"/>
      <c r="AD557" s="25"/>
      <c r="AE557" s="25"/>
      <c r="AF557" s="25"/>
      <c r="AG557" s="25"/>
      <c r="AH557" s="25"/>
      <c r="AI557" s="25"/>
      <c r="AJ557" s="25"/>
      <c r="AK557" s="25"/>
      <c r="AL557" s="25"/>
      <c r="AM557" s="25"/>
      <c r="AN557" s="25"/>
      <c r="AO557" s="25"/>
      <c r="AP557" s="25"/>
      <c r="AQ557" s="25"/>
      <c r="AR557" s="25"/>
      <c r="AS557" s="25"/>
      <c r="AT557" s="25"/>
      <c r="AU557" s="25"/>
    </row>
    <row r="558">
      <c r="A558" s="25"/>
      <c r="B558" s="25"/>
      <c r="C558" s="25"/>
      <c r="D558" s="25"/>
      <c r="E558" s="25"/>
      <c r="F558" s="25"/>
      <c r="G558" s="5"/>
      <c r="H558" s="5"/>
      <c r="I558" s="5"/>
      <c r="J558" s="5"/>
      <c r="K558" s="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  <c r="AC558" s="25"/>
      <c r="AD558" s="25"/>
      <c r="AE558" s="25"/>
      <c r="AF558" s="25"/>
      <c r="AG558" s="25"/>
      <c r="AH558" s="25"/>
      <c r="AI558" s="25"/>
      <c r="AJ558" s="25"/>
      <c r="AK558" s="25"/>
      <c r="AL558" s="25"/>
      <c r="AM558" s="25"/>
      <c r="AN558" s="25"/>
      <c r="AO558" s="25"/>
      <c r="AP558" s="25"/>
      <c r="AQ558" s="25"/>
      <c r="AR558" s="25"/>
      <c r="AS558" s="25"/>
      <c r="AT558" s="25"/>
      <c r="AU558" s="25"/>
    </row>
    <row r="559">
      <c r="A559" s="25"/>
      <c r="B559" s="25"/>
      <c r="C559" s="25"/>
      <c r="D559" s="25"/>
      <c r="E559" s="25"/>
      <c r="F559" s="25"/>
      <c r="G559" s="5"/>
      <c r="H559" s="5"/>
      <c r="I559" s="5"/>
      <c r="J559" s="5"/>
      <c r="K559" s="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  <c r="AC559" s="25"/>
      <c r="AD559" s="25"/>
      <c r="AE559" s="25"/>
      <c r="AF559" s="25"/>
      <c r="AG559" s="25"/>
      <c r="AH559" s="25"/>
      <c r="AI559" s="25"/>
      <c r="AJ559" s="25"/>
      <c r="AK559" s="25"/>
      <c r="AL559" s="25"/>
      <c r="AM559" s="25"/>
      <c r="AN559" s="25"/>
      <c r="AO559" s="25"/>
      <c r="AP559" s="25"/>
      <c r="AQ559" s="25"/>
      <c r="AR559" s="25"/>
      <c r="AS559" s="25"/>
      <c r="AT559" s="25"/>
      <c r="AU559" s="25"/>
    </row>
    <row r="560">
      <c r="A560" s="25"/>
      <c r="B560" s="25"/>
      <c r="C560" s="25"/>
      <c r="D560" s="25"/>
      <c r="E560" s="25"/>
      <c r="F560" s="25"/>
      <c r="G560" s="5"/>
      <c r="H560" s="5"/>
      <c r="I560" s="5"/>
      <c r="J560" s="5"/>
      <c r="K560" s="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  <c r="AC560" s="25"/>
      <c r="AD560" s="25"/>
      <c r="AE560" s="25"/>
      <c r="AF560" s="25"/>
      <c r="AG560" s="25"/>
      <c r="AH560" s="25"/>
      <c r="AI560" s="25"/>
      <c r="AJ560" s="25"/>
      <c r="AK560" s="25"/>
      <c r="AL560" s="25"/>
      <c r="AM560" s="25"/>
      <c r="AN560" s="25"/>
      <c r="AO560" s="25"/>
      <c r="AP560" s="25"/>
      <c r="AQ560" s="25"/>
      <c r="AR560" s="25"/>
      <c r="AS560" s="25"/>
      <c r="AT560" s="25"/>
      <c r="AU560" s="25"/>
    </row>
    <row r="561">
      <c r="A561" s="25"/>
      <c r="B561" s="25"/>
      <c r="C561" s="25"/>
      <c r="D561" s="25"/>
      <c r="E561" s="25"/>
      <c r="F561" s="25"/>
      <c r="G561" s="5"/>
      <c r="H561" s="5"/>
      <c r="I561" s="5"/>
      <c r="J561" s="5"/>
      <c r="K561" s="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  <c r="AC561" s="25"/>
      <c r="AD561" s="25"/>
      <c r="AE561" s="25"/>
      <c r="AF561" s="25"/>
      <c r="AG561" s="25"/>
      <c r="AH561" s="25"/>
      <c r="AI561" s="25"/>
      <c r="AJ561" s="25"/>
      <c r="AK561" s="25"/>
      <c r="AL561" s="25"/>
      <c r="AM561" s="25"/>
      <c r="AN561" s="25"/>
      <c r="AO561" s="25"/>
      <c r="AP561" s="25"/>
      <c r="AQ561" s="25"/>
      <c r="AR561" s="25"/>
      <c r="AS561" s="25"/>
      <c r="AT561" s="25"/>
      <c r="AU561" s="25"/>
    </row>
    <row r="562">
      <c r="A562" s="25"/>
      <c r="B562" s="25"/>
      <c r="C562" s="25"/>
      <c r="D562" s="25"/>
      <c r="E562" s="25"/>
      <c r="F562" s="25"/>
      <c r="G562" s="5"/>
      <c r="H562" s="5"/>
      <c r="I562" s="5"/>
      <c r="J562" s="5"/>
      <c r="K562" s="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  <c r="AC562" s="25"/>
      <c r="AD562" s="25"/>
      <c r="AE562" s="25"/>
      <c r="AF562" s="25"/>
      <c r="AG562" s="25"/>
      <c r="AH562" s="25"/>
      <c r="AI562" s="25"/>
      <c r="AJ562" s="25"/>
      <c r="AK562" s="25"/>
      <c r="AL562" s="25"/>
      <c r="AM562" s="25"/>
      <c r="AN562" s="25"/>
      <c r="AO562" s="25"/>
      <c r="AP562" s="25"/>
      <c r="AQ562" s="25"/>
      <c r="AR562" s="25"/>
      <c r="AS562" s="25"/>
      <c r="AT562" s="25"/>
      <c r="AU562" s="25"/>
    </row>
    <row r="563">
      <c r="A563" s="25"/>
      <c r="B563" s="25"/>
      <c r="C563" s="25"/>
      <c r="D563" s="25"/>
      <c r="E563" s="25"/>
      <c r="F563" s="25"/>
      <c r="G563" s="5"/>
      <c r="H563" s="5"/>
      <c r="I563" s="5"/>
      <c r="J563" s="5"/>
      <c r="K563" s="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  <c r="AC563" s="25"/>
      <c r="AD563" s="25"/>
      <c r="AE563" s="25"/>
      <c r="AF563" s="25"/>
      <c r="AG563" s="25"/>
      <c r="AH563" s="25"/>
      <c r="AI563" s="25"/>
      <c r="AJ563" s="25"/>
      <c r="AK563" s="25"/>
      <c r="AL563" s="25"/>
      <c r="AM563" s="25"/>
      <c r="AN563" s="25"/>
      <c r="AO563" s="25"/>
      <c r="AP563" s="25"/>
      <c r="AQ563" s="25"/>
      <c r="AR563" s="25"/>
      <c r="AS563" s="25"/>
      <c r="AT563" s="25"/>
      <c r="AU563" s="25"/>
    </row>
    <row r="564">
      <c r="A564" s="25"/>
      <c r="B564" s="25"/>
      <c r="C564" s="25"/>
      <c r="D564" s="25"/>
      <c r="E564" s="25"/>
      <c r="F564" s="25"/>
      <c r="G564" s="5"/>
      <c r="H564" s="5"/>
      <c r="I564" s="5"/>
      <c r="J564" s="5"/>
      <c r="K564" s="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  <c r="AC564" s="25"/>
      <c r="AD564" s="25"/>
      <c r="AE564" s="25"/>
      <c r="AF564" s="25"/>
      <c r="AG564" s="25"/>
      <c r="AH564" s="25"/>
      <c r="AI564" s="25"/>
      <c r="AJ564" s="25"/>
      <c r="AK564" s="25"/>
      <c r="AL564" s="25"/>
      <c r="AM564" s="25"/>
      <c r="AN564" s="25"/>
      <c r="AO564" s="25"/>
      <c r="AP564" s="25"/>
      <c r="AQ564" s="25"/>
      <c r="AR564" s="25"/>
      <c r="AS564" s="25"/>
      <c r="AT564" s="25"/>
      <c r="AU564" s="25"/>
    </row>
    <row r="565">
      <c r="A565" s="25"/>
      <c r="B565" s="25"/>
      <c r="C565" s="25"/>
      <c r="D565" s="25"/>
      <c r="E565" s="25"/>
      <c r="F565" s="25"/>
      <c r="G565" s="5"/>
      <c r="H565" s="5"/>
      <c r="I565" s="5"/>
      <c r="J565" s="5"/>
      <c r="K565" s="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  <c r="AC565" s="25"/>
      <c r="AD565" s="25"/>
      <c r="AE565" s="25"/>
      <c r="AF565" s="25"/>
      <c r="AG565" s="25"/>
      <c r="AH565" s="25"/>
      <c r="AI565" s="25"/>
      <c r="AJ565" s="25"/>
      <c r="AK565" s="25"/>
      <c r="AL565" s="25"/>
      <c r="AM565" s="25"/>
      <c r="AN565" s="25"/>
      <c r="AO565" s="25"/>
      <c r="AP565" s="25"/>
      <c r="AQ565" s="25"/>
      <c r="AR565" s="25"/>
      <c r="AS565" s="25"/>
      <c r="AT565" s="25"/>
      <c r="AU565" s="25"/>
    </row>
    <row r="566">
      <c r="A566" s="25"/>
      <c r="B566" s="25"/>
      <c r="C566" s="25"/>
      <c r="D566" s="25"/>
      <c r="E566" s="25"/>
      <c r="F566" s="25"/>
      <c r="G566" s="5"/>
      <c r="H566" s="5"/>
      <c r="I566" s="5"/>
      <c r="J566" s="5"/>
      <c r="K566" s="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  <c r="AC566" s="25"/>
      <c r="AD566" s="25"/>
      <c r="AE566" s="25"/>
      <c r="AF566" s="25"/>
      <c r="AG566" s="25"/>
      <c r="AH566" s="25"/>
      <c r="AI566" s="25"/>
      <c r="AJ566" s="25"/>
      <c r="AK566" s="25"/>
      <c r="AL566" s="25"/>
      <c r="AM566" s="25"/>
      <c r="AN566" s="25"/>
      <c r="AO566" s="25"/>
      <c r="AP566" s="25"/>
      <c r="AQ566" s="25"/>
      <c r="AR566" s="25"/>
      <c r="AS566" s="25"/>
      <c r="AT566" s="25"/>
      <c r="AU566" s="25"/>
    </row>
    <row r="567">
      <c r="A567" s="25"/>
      <c r="B567" s="25"/>
      <c r="C567" s="25"/>
      <c r="D567" s="25"/>
      <c r="E567" s="25"/>
      <c r="F567" s="25"/>
      <c r="G567" s="5"/>
      <c r="H567" s="5"/>
      <c r="I567" s="5"/>
      <c r="J567" s="5"/>
      <c r="K567" s="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  <c r="AC567" s="25"/>
      <c r="AD567" s="25"/>
      <c r="AE567" s="25"/>
      <c r="AF567" s="25"/>
      <c r="AG567" s="25"/>
      <c r="AH567" s="25"/>
      <c r="AI567" s="25"/>
      <c r="AJ567" s="25"/>
      <c r="AK567" s="25"/>
      <c r="AL567" s="25"/>
      <c r="AM567" s="25"/>
      <c r="AN567" s="25"/>
      <c r="AO567" s="25"/>
      <c r="AP567" s="25"/>
      <c r="AQ567" s="25"/>
      <c r="AR567" s="25"/>
      <c r="AS567" s="25"/>
      <c r="AT567" s="25"/>
      <c r="AU567" s="25"/>
    </row>
    <row r="568">
      <c r="A568" s="25"/>
      <c r="B568" s="25"/>
      <c r="C568" s="25"/>
      <c r="D568" s="25"/>
      <c r="E568" s="25"/>
      <c r="F568" s="25"/>
      <c r="G568" s="5"/>
      <c r="H568" s="5"/>
      <c r="I568" s="5"/>
      <c r="J568" s="5"/>
      <c r="K568" s="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  <c r="AC568" s="25"/>
      <c r="AD568" s="25"/>
      <c r="AE568" s="25"/>
      <c r="AF568" s="25"/>
      <c r="AG568" s="25"/>
      <c r="AH568" s="25"/>
      <c r="AI568" s="25"/>
      <c r="AJ568" s="25"/>
      <c r="AK568" s="25"/>
      <c r="AL568" s="25"/>
      <c r="AM568" s="25"/>
      <c r="AN568" s="25"/>
      <c r="AO568" s="25"/>
      <c r="AP568" s="25"/>
      <c r="AQ568" s="25"/>
      <c r="AR568" s="25"/>
      <c r="AS568" s="25"/>
      <c r="AT568" s="25"/>
      <c r="AU568" s="25"/>
    </row>
    <row r="569">
      <c r="A569" s="25"/>
      <c r="B569" s="25"/>
      <c r="C569" s="25"/>
      <c r="D569" s="25"/>
      <c r="E569" s="25"/>
      <c r="F569" s="25"/>
      <c r="G569" s="5"/>
      <c r="H569" s="5"/>
      <c r="I569" s="5"/>
      <c r="J569" s="5"/>
      <c r="K569" s="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  <c r="AC569" s="25"/>
      <c r="AD569" s="25"/>
      <c r="AE569" s="25"/>
      <c r="AF569" s="25"/>
      <c r="AG569" s="25"/>
      <c r="AH569" s="25"/>
      <c r="AI569" s="25"/>
      <c r="AJ569" s="25"/>
      <c r="AK569" s="25"/>
      <c r="AL569" s="25"/>
      <c r="AM569" s="25"/>
      <c r="AN569" s="25"/>
      <c r="AO569" s="25"/>
      <c r="AP569" s="25"/>
      <c r="AQ569" s="25"/>
      <c r="AR569" s="25"/>
      <c r="AS569" s="25"/>
      <c r="AT569" s="25"/>
      <c r="AU569" s="25"/>
    </row>
    <row r="570">
      <c r="A570" s="25"/>
      <c r="B570" s="25"/>
      <c r="C570" s="25"/>
      <c r="D570" s="25"/>
      <c r="E570" s="25"/>
      <c r="F570" s="25"/>
      <c r="G570" s="5"/>
      <c r="H570" s="5"/>
      <c r="I570" s="5"/>
      <c r="J570" s="5"/>
      <c r="K570" s="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  <c r="AC570" s="25"/>
      <c r="AD570" s="25"/>
      <c r="AE570" s="25"/>
      <c r="AF570" s="25"/>
      <c r="AG570" s="25"/>
      <c r="AH570" s="25"/>
      <c r="AI570" s="25"/>
      <c r="AJ570" s="25"/>
      <c r="AK570" s="25"/>
      <c r="AL570" s="25"/>
      <c r="AM570" s="25"/>
      <c r="AN570" s="25"/>
      <c r="AO570" s="25"/>
      <c r="AP570" s="25"/>
      <c r="AQ570" s="25"/>
      <c r="AR570" s="25"/>
      <c r="AS570" s="25"/>
      <c r="AT570" s="25"/>
      <c r="AU570" s="25"/>
    </row>
    <row r="571">
      <c r="A571" s="25"/>
      <c r="B571" s="25"/>
      <c r="C571" s="25"/>
      <c r="D571" s="25"/>
      <c r="E571" s="25"/>
      <c r="F571" s="25"/>
      <c r="G571" s="5"/>
      <c r="H571" s="5"/>
      <c r="I571" s="5"/>
      <c r="J571" s="5"/>
      <c r="K571" s="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  <c r="AC571" s="25"/>
      <c r="AD571" s="25"/>
      <c r="AE571" s="25"/>
      <c r="AF571" s="25"/>
      <c r="AG571" s="25"/>
      <c r="AH571" s="25"/>
      <c r="AI571" s="25"/>
      <c r="AJ571" s="25"/>
      <c r="AK571" s="25"/>
      <c r="AL571" s="25"/>
      <c r="AM571" s="25"/>
      <c r="AN571" s="25"/>
      <c r="AO571" s="25"/>
      <c r="AP571" s="25"/>
      <c r="AQ571" s="25"/>
      <c r="AR571" s="25"/>
      <c r="AS571" s="25"/>
      <c r="AT571" s="25"/>
      <c r="AU571" s="25"/>
    </row>
    <row r="572">
      <c r="A572" s="25"/>
      <c r="B572" s="25"/>
      <c r="C572" s="25"/>
      <c r="D572" s="25"/>
      <c r="E572" s="25"/>
      <c r="F572" s="25"/>
      <c r="G572" s="5"/>
      <c r="H572" s="5"/>
      <c r="I572" s="5"/>
      <c r="J572" s="5"/>
      <c r="K572" s="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  <c r="AB572" s="25"/>
      <c r="AC572" s="25"/>
      <c r="AD572" s="25"/>
      <c r="AE572" s="25"/>
      <c r="AF572" s="25"/>
      <c r="AG572" s="25"/>
      <c r="AH572" s="25"/>
      <c r="AI572" s="25"/>
      <c r="AJ572" s="25"/>
      <c r="AK572" s="25"/>
      <c r="AL572" s="25"/>
      <c r="AM572" s="25"/>
      <c r="AN572" s="25"/>
      <c r="AO572" s="25"/>
      <c r="AP572" s="25"/>
      <c r="AQ572" s="25"/>
      <c r="AR572" s="25"/>
      <c r="AS572" s="25"/>
      <c r="AT572" s="25"/>
      <c r="AU572" s="25"/>
    </row>
    <row r="573">
      <c r="A573" s="25"/>
      <c r="B573" s="25"/>
      <c r="C573" s="25"/>
      <c r="D573" s="25"/>
      <c r="E573" s="25"/>
      <c r="F573" s="25"/>
      <c r="G573" s="5"/>
      <c r="H573" s="5"/>
      <c r="I573" s="5"/>
      <c r="J573" s="5"/>
      <c r="K573" s="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  <c r="AB573" s="25"/>
      <c r="AC573" s="25"/>
      <c r="AD573" s="25"/>
      <c r="AE573" s="25"/>
      <c r="AF573" s="25"/>
      <c r="AG573" s="25"/>
      <c r="AH573" s="25"/>
      <c r="AI573" s="25"/>
      <c r="AJ573" s="25"/>
      <c r="AK573" s="25"/>
      <c r="AL573" s="25"/>
      <c r="AM573" s="25"/>
      <c r="AN573" s="25"/>
      <c r="AO573" s="25"/>
      <c r="AP573" s="25"/>
      <c r="AQ573" s="25"/>
      <c r="AR573" s="25"/>
      <c r="AS573" s="25"/>
      <c r="AT573" s="25"/>
      <c r="AU573" s="25"/>
    </row>
    <row r="574">
      <c r="A574" s="25"/>
      <c r="B574" s="25"/>
      <c r="C574" s="25"/>
      <c r="D574" s="25"/>
      <c r="E574" s="25"/>
      <c r="F574" s="25"/>
      <c r="G574" s="5"/>
      <c r="H574" s="5"/>
      <c r="I574" s="5"/>
      <c r="J574" s="5"/>
      <c r="K574" s="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  <c r="AC574" s="25"/>
      <c r="AD574" s="25"/>
      <c r="AE574" s="25"/>
      <c r="AF574" s="25"/>
      <c r="AG574" s="25"/>
      <c r="AH574" s="25"/>
      <c r="AI574" s="25"/>
      <c r="AJ574" s="25"/>
      <c r="AK574" s="25"/>
      <c r="AL574" s="25"/>
      <c r="AM574" s="25"/>
      <c r="AN574" s="25"/>
      <c r="AO574" s="25"/>
      <c r="AP574" s="25"/>
      <c r="AQ574" s="25"/>
      <c r="AR574" s="25"/>
      <c r="AS574" s="25"/>
      <c r="AT574" s="25"/>
      <c r="AU574" s="25"/>
    </row>
    <row r="575">
      <c r="A575" s="25"/>
      <c r="B575" s="25"/>
      <c r="C575" s="25"/>
      <c r="D575" s="25"/>
      <c r="E575" s="25"/>
      <c r="F575" s="25"/>
      <c r="G575" s="5"/>
      <c r="H575" s="5"/>
      <c r="I575" s="5"/>
      <c r="J575" s="5"/>
      <c r="K575" s="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  <c r="AC575" s="25"/>
      <c r="AD575" s="25"/>
      <c r="AE575" s="25"/>
      <c r="AF575" s="25"/>
      <c r="AG575" s="25"/>
      <c r="AH575" s="25"/>
      <c r="AI575" s="25"/>
      <c r="AJ575" s="25"/>
      <c r="AK575" s="25"/>
      <c r="AL575" s="25"/>
      <c r="AM575" s="25"/>
      <c r="AN575" s="25"/>
      <c r="AO575" s="25"/>
      <c r="AP575" s="25"/>
      <c r="AQ575" s="25"/>
      <c r="AR575" s="25"/>
      <c r="AS575" s="25"/>
      <c r="AT575" s="25"/>
      <c r="AU575" s="25"/>
    </row>
    <row r="576">
      <c r="A576" s="25"/>
      <c r="B576" s="25"/>
      <c r="C576" s="25"/>
      <c r="D576" s="25"/>
      <c r="E576" s="25"/>
      <c r="F576" s="25"/>
      <c r="G576" s="5"/>
      <c r="H576" s="5"/>
      <c r="I576" s="5"/>
      <c r="J576" s="5"/>
      <c r="K576" s="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  <c r="AC576" s="25"/>
      <c r="AD576" s="25"/>
      <c r="AE576" s="25"/>
      <c r="AF576" s="25"/>
      <c r="AG576" s="25"/>
      <c r="AH576" s="25"/>
      <c r="AI576" s="25"/>
      <c r="AJ576" s="25"/>
      <c r="AK576" s="25"/>
      <c r="AL576" s="25"/>
      <c r="AM576" s="25"/>
      <c r="AN576" s="25"/>
      <c r="AO576" s="25"/>
      <c r="AP576" s="25"/>
      <c r="AQ576" s="25"/>
      <c r="AR576" s="25"/>
      <c r="AS576" s="25"/>
      <c r="AT576" s="25"/>
      <c r="AU576" s="25"/>
    </row>
    <row r="577">
      <c r="A577" s="25"/>
      <c r="B577" s="25"/>
      <c r="C577" s="25"/>
      <c r="D577" s="25"/>
      <c r="E577" s="25"/>
      <c r="F577" s="25"/>
      <c r="G577" s="5"/>
      <c r="H577" s="5"/>
      <c r="I577" s="5"/>
      <c r="J577" s="5"/>
      <c r="K577" s="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  <c r="AB577" s="25"/>
      <c r="AC577" s="25"/>
      <c r="AD577" s="25"/>
      <c r="AE577" s="25"/>
      <c r="AF577" s="25"/>
      <c r="AG577" s="25"/>
      <c r="AH577" s="25"/>
      <c r="AI577" s="25"/>
      <c r="AJ577" s="25"/>
      <c r="AK577" s="25"/>
      <c r="AL577" s="25"/>
      <c r="AM577" s="25"/>
      <c r="AN577" s="25"/>
      <c r="AO577" s="25"/>
      <c r="AP577" s="25"/>
      <c r="AQ577" s="25"/>
      <c r="AR577" s="25"/>
      <c r="AS577" s="25"/>
      <c r="AT577" s="25"/>
      <c r="AU577" s="25"/>
    </row>
    <row r="578">
      <c r="A578" s="25"/>
      <c r="B578" s="25"/>
      <c r="C578" s="25"/>
      <c r="D578" s="25"/>
      <c r="E578" s="25"/>
      <c r="F578" s="25"/>
      <c r="G578" s="5"/>
      <c r="H578" s="5"/>
      <c r="I578" s="5"/>
      <c r="J578" s="5"/>
      <c r="K578" s="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  <c r="AC578" s="25"/>
      <c r="AD578" s="25"/>
      <c r="AE578" s="25"/>
      <c r="AF578" s="25"/>
      <c r="AG578" s="25"/>
      <c r="AH578" s="25"/>
      <c r="AI578" s="25"/>
      <c r="AJ578" s="25"/>
      <c r="AK578" s="25"/>
      <c r="AL578" s="25"/>
      <c r="AM578" s="25"/>
      <c r="AN578" s="25"/>
      <c r="AO578" s="25"/>
      <c r="AP578" s="25"/>
      <c r="AQ578" s="25"/>
      <c r="AR578" s="25"/>
      <c r="AS578" s="25"/>
      <c r="AT578" s="25"/>
      <c r="AU578" s="25"/>
    </row>
    <row r="579">
      <c r="A579" s="25"/>
      <c r="B579" s="25"/>
      <c r="C579" s="25"/>
      <c r="D579" s="25"/>
      <c r="E579" s="25"/>
      <c r="F579" s="25"/>
      <c r="G579" s="5"/>
      <c r="H579" s="5"/>
      <c r="I579" s="5"/>
      <c r="J579" s="5"/>
      <c r="K579" s="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  <c r="AC579" s="25"/>
      <c r="AD579" s="25"/>
      <c r="AE579" s="25"/>
      <c r="AF579" s="25"/>
      <c r="AG579" s="25"/>
      <c r="AH579" s="25"/>
      <c r="AI579" s="25"/>
      <c r="AJ579" s="25"/>
      <c r="AK579" s="25"/>
      <c r="AL579" s="25"/>
      <c r="AM579" s="25"/>
      <c r="AN579" s="25"/>
      <c r="AO579" s="25"/>
      <c r="AP579" s="25"/>
      <c r="AQ579" s="25"/>
      <c r="AR579" s="25"/>
      <c r="AS579" s="25"/>
      <c r="AT579" s="25"/>
      <c r="AU579" s="25"/>
    </row>
    <row r="580">
      <c r="A580" s="25"/>
      <c r="B580" s="25"/>
      <c r="C580" s="25"/>
      <c r="D580" s="25"/>
      <c r="E580" s="25"/>
      <c r="F580" s="25"/>
      <c r="G580" s="5"/>
      <c r="H580" s="5"/>
      <c r="I580" s="5"/>
      <c r="J580" s="5"/>
      <c r="K580" s="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  <c r="AB580" s="25"/>
      <c r="AC580" s="25"/>
      <c r="AD580" s="25"/>
      <c r="AE580" s="25"/>
      <c r="AF580" s="25"/>
      <c r="AG580" s="25"/>
      <c r="AH580" s="25"/>
      <c r="AI580" s="25"/>
      <c r="AJ580" s="25"/>
      <c r="AK580" s="25"/>
      <c r="AL580" s="25"/>
      <c r="AM580" s="25"/>
      <c r="AN580" s="25"/>
      <c r="AO580" s="25"/>
      <c r="AP580" s="25"/>
      <c r="AQ580" s="25"/>
      <c r="AR580" s="25"/>
      <c r="AS580" s="25"/>
      <c r="AT580" s="25"/>
      <c r="AU580" s="25"/>
    </row>
    <row r="581">
      <c r="A581" s="25"/>
      <c r="B581" s="25"/>
      <c r="C581" s="25"/>
      <c r="D581" s="25"/>
      <c r="E581" s="25"/>
      <c r="F581" s="25"/>
      <c r="G581" s="5"/>
      <c r="H581" s="5"/>
      <c r="I581" s="5"/>
      <c r="J581" s="5"/>
      <c r="K581" s="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  <c r="AB581" s="25"/>
      <c r="AC581" s="25"/>
      <c r="AD581" s="25"/>
      <c r="AE581" s="25"/>
      <c r="AF581" s="25"/>
      <c r="AG581" s="25"/>
      <c r="AH581" s="25"/>
      <c r="AI581" s="25"/>
      <c r="AJ581" s="25"/>
      <c r="AK581" s="25"/>
      <c r="AL581" s="25"/>
      <c r="AM581" s="25"/>
      <c r="AN581" s="25"/>
      <c r="AO581" s="25"/>
      <c r="AP581" s="25"/>
      <c r="AQ581" s="25"/>
      <c r="AR581" s="25"/>
      <c r="AS581" s="25"/>
      <c r="AT581" s="25"/>
      <c r="AU581" s="25"/>
    </row>
    <row r="582">
      <c r="A582" s="25"/>
      <c r="B582" s="25"/>
      <c r="C582" s="25"/>
      <c r="D582" s="25"/>
      <c r="E582" s="25"/>
      <c r="F582" s="25"/>
      <c r="G582" s="5"/>
      <c r="H582" s="5"/>
      <c r="I582" s="5"/>
      <c r="J582" s="5"/>
      <c r="K582" s="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  <c r="AC582" s="25"/>
      <c r="AD582" s="25"/>
      <c r="AE582" s="25"/>
      <c r="AF582" s="25"/>
      <c r="AG582" s="25"/>
      <c r="AH582" s="25"/>
      <c r="AI582" s="25"/>
      <c r="AJ582" s="25"/>
      <c r="AK582" s="25"/>
      <c r="AL582" s="25"/>
      <c r="AM582" s="25"/>
      <c r="AN582" s="25"/>
      <c r="AO582" s="25"/>
      <c r="AP582" s="25"/>
      <c r="AQ582" s="25"/>
      <c r="AR582" s="25"/>
      <c r="AS582" s="25"/>
      <c r="AT582" s="25"/>
      <c r="AU582" s="25"/>
    </row>
    <row r="583">
      <c r="A583" s="25"/>
      <c r="B583" s="25"/>
      <c r="C583" s="25"/>
      <c r="D583" s="25"/>
      <c r="E583" s="25"/>
      <c r="F583" s="25"/>
      <c r="G583" s="5"/>
      <c r="H583" s="5"/>
      <c r="I583" s="5"/>
      <c r="J583" s="5"/>
      <c r="K583" s="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  <c r="AC583" s="25"/>
      <c r="AD583" s="25"/>
      <c r="AE583" s="25"/>
      <c r="AF583" s="25"/>
      <c r="AG583" s="25"/>
      <c r="AH583" s="25"/>
      <c r="AI583" s="25"/>
      <c r="AJ583" s="25"/>
      <c r="AK583" s="25"/>
      <c r="AL583" s="25"/>
      <c r="AM583" s="25"/>
      <c r="AN583" s="25"/>
      <c r="AO583" s="25"/>
      <c r="AP583" s="25"/>
      <c r="AQ583" s="25"/>
      <c r="AR583" s="25"/>
      <c r="AS583" s="25"/>
      <c r="AT583" s="25"/>
      <c r="AU583" s="25"/>
    </row>
    <row r="584">
      <c r="A584" s="25"/>
      <c r="B584" s="25"/>
      <c r="C584" s="25"/>
      <c r="D584" s="25"/>
      <c r="E584" s="25"/>
      <c r="F584" s="25"/>
      <c r="G584" s="5"/>
      <c r="H584" s="5"/>
      <c r="I584" s="5"/>
      <c r="J584" s="5"/>
      <c r="K584" s="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  <c r="AC584" s="25"/>
      <c r="AD584" s="25"/>
      <c r="AE584" s="25"/>
      <c r="AF584" s="25"/>
      <c r="AG584" s="25"/>
      <c r="AH584" s="25"/>
      <c r="AI584" s="25"/>
      <c r="AJ584" s="25"/>
      <c r="AK584" s="25"/>
      <c r="AL584" s="25"/>
      <c r="AM584" s="25"/>
      <c r="AN584" s="25"/>
      <c r="AO584" s="25"/>
      <c r="AP584" s="25"/>
      <c r="AQ584" s="25"/>
      <c r="AR584" s="25"/>
      <c r="AS584" s="25"/>
      <c r="AT584" s="25"/>
      <c r="AU584" s="25"/>
    </row>
    <row r="585">
      <c r="A585" s="25"/>
      <c r="B585" s="25"/>
      <c r="C585" s="25"/>
      <c r="D585" s="25"/>
      <c r="E585" s="25"/>
      <c r="F585" s="25"/>
      <c r="G585" s="5"/>
      <c r="H585" s="5"/>
      <c r="I585" s="5"/>
      <c r="J585" s="5"/>
      <c r="K585" s="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  <c r="AB585" s="25"/>
      <c r="AC585" s="25"/>
      <c r="AD585" s="25"/>
      <c r="AE585" s="25"/>
      <c r="AF585" s="25"/>
      <c r="AG585" s="25"/>
      <c r="AH585" s="25"/>
      <c r="AI585" s="25"/>
      <c r="AJ585" s="25"/>
      <c r="AK585" s="25"/>
      <c r="AL585" s="25"/>
      <c r="AM585" s="25"/>
      <c r="AN585" s="25"/>
      <c r="AO585" s="25"/>
      <c r="AP585" s="25"/>
      <c r="AQ585" s="25"/>
      <c r="AR585" s="25"/>
      <c r="AS585" s="25"/>
      <c r="AT585" s="25"/>
      <c r="AU585" s="25"/>
    </row>
    <row r="586">
      <c r="A586" s="25"/>
      <c r="B586" s="25"/>
      <c r="C586" s="25"/>
      <c r="D586" s="25"/>
      <c r="E586" s="25"/>
      <c r="F586" s="25"/>
      <c r="G586" s="5"/>
      <c r="H586" s="5"/>
      <c r="I586" s="5"/>
      <c r="J586" s="5"/>
      <c r="K586" s="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  <c r="AC586" s="25"/>
      <c r="AD586" s="25"/>
      <c r="AE586" s="25"/>
      <c r="AF586" s="25"/>
      <c r="AG586" s="25"/>
      <c r="AH586" s="25"/>
      <c r="AI586" s="25"/>
      <c r="AJ586" s="25"/>
      <c r="AK586" s="25"/>
      <c r="AL586" s="25"/>
      <c r="AM586" s="25"/>
      <c r="AN586" s="25"/>
      <c r="AO586" s="25"/>
      <c r="AP586" s="25"/>
      <c r="AQ586" s="25"/>
      <c r="AR586" s="25"/>
      <c r="AS586" s="25"/>
      <c r="AT586" s="25"/>
      <c r="AU586" s="25"/>
    </row>
    <row r="587">
      <c r="A587" s="25"/>
      <c r="B587" s="25"/>
      <c r="C587" s="25"/>
      <c r="D587" s="25"/>
      <c r="E587" s="25"/>
      <c r="F587" s="25"/>
      <c r="G587" s="5"/>
      <c r="H587" s="5"/>
      <c r="I587" s="5"/>
      <c r="J587" s="5"/>
      <c r="K587" s="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  <c r="AC587" s="25"/>
      <c r="AD587" s="25"/>
      <c r="AE587" s="25"/>
      <c r="AF587" s="25"/>
      <c r="AG587" s="25"/>
      <c r="AH587" s="25"/>
      <c r="AI587" s="25"/>
      <c r="AJ587" s="25"/>
      <c r="AK587" s="25"/>
      <c r="AL587" s="25"/>
      <c r="AM587" s="25"/>
      <c r="AN587" s="25"/>
      <c r="AO587" s="25"/>
      <c r="AP587" s="25"/>
      <c r="AQ587" s="25"/>
      <c r="AR587" s="25"/>
      <c r="AS587" s="25"/>
      <c r="AT587" s="25"/>
      <c r="AU587" s="25"/>
    </row>
    <row r="588">
      <c r="A588" s="25"/>
      <c r="B588" s="25"/>
      <c r="C588" s="25"/>
      <c r="D588" s="25"/>
      <c r="E588" s="25"/>
      <c r="F588" s="25"/>
      <c r="G588" s="5"/>
      <c r="H588" s="5"/>
      <c r="I588" s="5"/>
      <c r="J588" s="5"/>
      <c r="K588" s="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  <c r="AC588" s="25"/>
      <c r="AD588" s="25"/>
      <c r="AE588" s="25"/>
      <c r="AF588" s="25"/>
      <c r="AG588" s="25"/>
      <c r="AH588" s="25"/>
      <c r="AI588" s="25"/>
      <c r="AJ588" s="25"/>
      <c r="AK588" s="25"/>
      <c r="AL588" s="25"/>
      <c r="AM588" s="25"/>
      <c r="AN588" s="25"/>
      <c r="AO588" s="25"/>
      <c r="AP588" s="25"/>
      <c r="AQ588" s="25"/>
      <c r="AR588" s="25"/>
      <c r="AS588" s="25"/>
      <c r="AT588" s="25"/>
      <c r="AU588" s="25"/>
    </row>
    <row r="589">
      <c r="A589" s="25"/>
      <c r="B589" s="25"/>
      <c r="C589" s="25"/>
      <c r="D589" s="25"/>
      <c r="E589" s="25"/>
      <c r="F589" s="25"/>
      <c r="G589" s="5"/>
      <c r="H589" s="5"/>
      <c r="I589" s="5"/>
      <c r="J589" s="5"/>
      <c r="K589" s="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  <c r="AC589" s="25"/>
      <c r="AD589" s="25"/>
      <c r="AE589" s="25"/>
      <c r="AF589" s="25"/>
      <c r="AG589" s="25"/>
      <c r="AH589" s="25"/>
      <c r="AI589" s="25"/>
      <c r="AJ589" s="25"/>
      <c r="AK589" s="25"/>
      <c r="AL589" s="25"/>
      <c r="AM589" s="25"/>
      <c r="AN589" s="25"/>
      <c r="AO589" s="25"/>
      <c r="AP589" s="25"/>
      <c r="AQ589" s="25"/>
      <c r="AR589" s="25"/>
      <c r="AS589" s="25"/>
      <c r="AT589" s="25"/>
      <c r="AU589" s="25"/>
    </row>
    <row r="590">
      <c r="A590" s="25"/>
      <c r="B590" s="25"/>
      <c r="C590" s="25"/>
      <c r="D590" s="25"/>
      <c r="E590" s="25"/>
      <c r="F590" s="25"/>
      <c r="G590" s="5"/>
      <c r="H590" s="5"/>
      <c r="I590" s="5"/>
      <c r="J590" s="5"/>
      <c r="K590" s="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  <c r="AC590" s="25"/>
      <c r="AD590" s="25"/>
      <c r="AE590" s="25"/>
      <c r="AF590" s="25"/>
      <c r="AG590" s="25"/>
      <c r="AH590" s="25"/>
      <c r="AI590" s="25"/>
      <c r="AJ590" s="25"/>
      <c r="AK590" s="25"/>
      <c r="AL590" s="25"/>
      <c r="AM590" s="25"/>
      <c r="AN590" s="25"/>
      <c r="AO590" s="25"/>
      <c r="AP590" s="25"/>
      <c r="AQ590" s="25"/>
      <c r="AR590" s="25"/>
      <c r="AS590" s="25"/>
      <c r="AT590" s="25"/>
      <c r="AU590" s="25"/>
    </row>
    <row r="591">
      <c r="A591" s="25"/>
      <c r="B591" s="25"/>
      <c r="C591" s="25"/>
      <c r="D591" s="25"/>
      <c r="E591" s="25"/>
      <c r="F591" s="25"/>
      <c r="G591" s="5"/>
      <c r="H591" s="5"/>
      <c r="I591" s="5"/>
      <c r="J591" s="5"/>
      <c r="K591" s="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  <c r="AC591" s="25"/>
      <c r="AD591" s="25"/>
      <c r="AE591" s="25"/>
      <c r="AF591" s="25"/>
      <c r="AG591" s="25"/>
      <c r="AH591" s="25"/>
      <c r="AI591" s="25"/>
      <c r="AJ591" s="25"/>
      <c r="AK591" s="25"/>
      <c r="AL591" s="25"/>
      <c r="AM591" s="25"/>
      <c r="AN591" s="25"/>
      <c r="AO591" s="25"/>
      <c r="AP591" s="25"/>
      <c r="AQ591" s="25"/>
      <c r="AR591" s="25"/>
      <c r="AS591" s="25"/>
      <c r="AT591" s="25"/>
      <c r="AU591" s="25"/>
    </row>
    <row r="592">
      <c r="A592" s="25"/>
      <c r="B592" s="25"/>
      <c r="C592" s="25"/>
      <c r="D592" s="25"/>
      <c r="E592" s="25"/>
      <c r="F592" s="25"/>
      <c r="G592" s="5"/>
      <c r="H592" s="5"/>
      <c r="I592" s="5"/>
      <c r="J592" s="5"/>
      <c r="K592" s="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  <c r="AC592" s="25"/>
      <c r="AD592" s="25"/>
      <c r="AE592" s="25"/>
      <c r="AF592" s="25"/>
      <c r="AG592" s="25"/>
      <c r="AH592" s="25"/>
      <c r="AI592" s="25"/>
      <c r="AJ592" s="25"/>
      <c r="AK592" s="25"/>
      <c r="AL592" s="25"/>
      <c r="AM592" s="25"/>
      <c r="AN592" s="25"/>
      <c r="AO592" s="25"/>
      <c r="AP592" s="25"/>
      <c r="AQ592" s="25"/>
      <c r="AR592" s="25"/>
      <c r="AS592" s="25"/>
      <c r="AT592" s="25"/>
      <c r="AU592" s="25"/>
    </row>
    <row r="593">
      <c r="A593" s="25"/>
      <c r="B593" s="25"/>
      <c r="C593" s="25"/>
      <c r="D593" s="25"/>
      <c r="E593" s="25"/>
      <c r="F593" s="25"/>
      <c r="G593" s="5"/>
      <c r="H593" s="5"/>
      <c r="I593" s="5"/>
      <c r="J593" s="5"/>
      <c r="K593" s="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  <c r="AC593" s="25"/>
      <c r="AD593" s="25"/>
      <c r="AE593" s="25"/>
      <c r="AF593" s="25"/>
      <c r="AG593" s="25"/>
      <c r="AH593" s="25"/>
      <c r="AI593" s="25"/>
      <c r="AJ593" s="25"/>
      <c r="AK593" s="25"/>
      <c r="AL593" s="25"/>
      <c r="AM593" s="25"/>
      <c r="AN593" s="25"/>
      <c r="AO593" s="25"/>
      <c r="AP593" s="25"/>
      <c r="AQ593" s="25"/>
      <c r="AR593" s="25"/>
      <c r="AS593" s="25"/>
      <c r="AT593" s="25"/>
      <c r="AU593" s="25"/>
    </row>
    <row r="594">
      <c r="A594" s="25"/>
      <c r="B594" s="25"/>
      <c r="C594" s="25"/>
      <c r="D594" s="25"/>
      <c r="E594" s="25"/>
      <c r="F594" s="25"/>
      <c r="G594" s="5"/>
      <c r="H594" s="5"/>
      <c r="I594" s="5"/>
      <c r="J594" s="5"/>
      <c r="K594" s="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  <c r="AC594" s="25"/>
      <c r="AD594" s="25"/>
      <c r="AE594" s="25"/>
      <c r="AF594" s="25"/>
      <c r="AG594" s="25"/>
      <c r="AH594" s="25"/>
      <c r="AI594" s="25"/>
      <c r="AJ594" s="25"/>
      <c r="AK594" s="25"/>
      <c r="AL594" s="25"/>
      <c r="AM594" s="25"/>
      <c r="AN594" s="25"/>
      <c r="AO594" s="25"/>
      <c r="AP594" s="25"/>
      <c r="AQ594" s="25"/>
      <c r="AR594" s="25"/>
      <c r="AS594" s="25"/>
      <c r="AT594" s="25"/>
      <c r="AU594" s="25"/>
    </row>
    <row r="595">
      <c r="A595" s="25"/>
      <c r="B595" s="25"/>
      <c r="C595" s="25"/>
      <c r="D595" s="25"/>
      <c r="E595" s="25"/>
      <c r="F595" s="25"/>
      <c r="G595" s="5"/>
      <c r="H595" s="5"/>
      <c r="I595" s="5"/>
      <c r="J595" s="5"/>
      <c r="K595" s="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  <c r="AB595" s="25"/>
      <c r="AC595" s="25"/>
      <c r="AD595" s="25"/>
      <c r="AE595" s="25"/>
      <c r="AF595" s="25"/>
      <c r="AG595" s="25"/>
      <c r="AH595" s="25"/>
      <c r="AI595" s="25"/>
      <c r="AJ595" s="25"/>
      <c r="AK595" s="25"/>
      <c r="AL595" s="25"/>
      <c r="AM595" s="25"/>
      <c r="AN595" s="25"/>
      <c r="AO595" s="25"/>
      <c r="AP595" s="25"/>
      <c r="AQ595" s="25"/>
      <c r="AR595" s="25"/>
      <c r="AS595" s="25"/>
      <c r="AT595" s="25"/>
      <c r="AU595" s="25"/>
    </row>
    <row r="596">
      <c r="A596" s="25"/>
      <c r="B596" s="25"/>
      <c r="C596" s="25"/>
      <c r="D596" s="25"/>
      <c r="E596" s="25"/>
      <c r="F596" s="25"/>
      <c r="G596" s="5"/>
      <c r="H596" s="5"/>
      <c r="I596" s="5"/>
      <c r="J596" s="5"/>
      <c r="K596" s="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  <c r="AC596" s="25"/>
      <c r="AD596" s="25"/>
      <c r="AE596" s="25"/>
      <c r="AF596" s="25"/>
      <c r="AG596" s="25"/>
      <c r="AH596" s="25"/>
      <c r="AI596" s="25"/>
      <c r="AJ596" s="25"/>
      <c r="AK596" s="25"/>
      <c r="AL596" s="25"/>
      <c r="AM596" s="25"/>
      <c r="AN596" s="25"/>
      <c r="AO596" s="25"/>
      <c r="AP596" s="25"/>
      <c r="AQ596" s="25"/>
      <c r="AR596" s="25"/>
      <c r="AS596" s="25"/>
      <c r="AT596" s="25"/>
      <c r="AU596" s="25"/>
    </row>
    <row r="597">
      <c r="A597" s="25"/>
      <c r="B597" s="25"/>
      <c r="C597" s="25"/>
      <c r="D597" s="25"/>
      <c r="E597" s="25"/>
      <c r="F597" s="25"/>
      <c r="G597" s="5"/>
      <c r="H597" s="5"/>
      <c r="I597" s="5"/>
      <c r="J597" s="5"/>
      <c r="K597" s="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  <c r="AC597" s="25"/>
      <c r="AD597" s="25"/>
      <c r="AE597" s="25"/>
      <c r="AF597" s="25"/>
      <c r="AG597" s="25"/>
      <c r="AH597" s="25"/>
      <c r="AI597" s="25"/>
      <c r="AJ597" s="25"/>
      <c r="AK597" s="25"/>
      <c r="AL597" s="25"/>
      <c r="AM597" s="25"/>
      <c r="AN597" s="25"/>
      <c r="AO597" s="25"/>
      <c r="AP597" s="25"/>
      <c r="AQ597" s="25"/>
      <c r="AR597" s="25"/>
      <c r="AS597" s="25"/>
      <c r="AT597" s="25"/>
      <c r="AU597" s="25"/>
    </row>
    <row r="598">
      <c r="A598" s="25"/>
      <c r="B598" s="25"/>
      <c r="C598" s="25"/>
      <c r="D598" s="25"/>
      <c r="E598" s="25"/>
      <c r="F598" s="25"/>
      <c r="G598" s="5"/>
      <c r="H598" s="5"/>
      <c r="I598" s="5"/>
      <c r="J598" s="5"/>
      <c r="K598" s="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  <c r="AC598" s="25"/>
      <c r="AD598" s="25"/>
      <c r="AE598" s="25"/>
      <c r="AF598" s="25"/>
      <c r="AG598" s="25"/>
      <c r="AH598" s="25"/>
      <c r="AI598" s="25"/>
      <c r="AJ598" s="25"/>
      <c r="AK598" s="25"/>
      <c r="AL598" s="25"/>
      <c r="AM598" s="25"/>
      <c r="AN598" s="25"/>
      <c r="AO598" s="25"/>
      <c r="AP598" s="25"/>
      <c r="AQ598" s="25"/>
      <c r="AR598" s="25"/>
      <c r="AS598" s="25"/>
      <c r="AT598" s="25"/>
      <c r="AU598" s="25"/>
    </row>
    <row r="599">
      <c r="A599" s="25"/>
      <c r="B599" s="25"/>
      <c r="C599" s="25"/>
      <c r="D599" s="25"/>
      <c r="E599" s="25"/>
      <c r="F599" s="25"/>
      <c r="G599" s="5"/>
      <c r="H599" s="5"/>
      <c r="I599" s="5"/>
      <c r="J599" s="5"/>
      <c r="K599" s="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  <c r="AC599" s="25"/>
      <c r="AD599" s="25"/>
      <c r="AE599" s="25"/>
      <c r="AF599" s="25"/>
      <c r="AG599" s="25"/>
      <c r="AH599" s="25"/>
      <c r="AI599" s="25"/>
      <c r="AJ599" s="25"/>
      <c r="AK599" s="25"/>
      <c r="AL599" s="25"/>
      <c r="AM599" s="25"/>
      <c r="AN599" s="25"/>
      <c r="AO599" s="25"/>
      <c r="AP599" s="25"/>
      <c r="AQ599" s="25"/>
      <c r="AR599" s="25"/>
      <c r="AS599" s="25"/>
      <c r="AT599" s="25"/>
      <c r="AU599" s="25"/>
    </row>
    <row r="600">
      <c r="A600" s="25"/>
      <c r="B600" s="25"/>
      <c r="C600" s="25"/>
      <c r="D600" s="25"/>
      <c r="E600" s="25"/>
      <c r="F600" s="25"/>
      <c r="G600" s="5"/>
      <c r="H600" s="5"/>
      <c r="I600" s="5"/>
      <c r="J600" s="5"/>
      <c r="K600" s="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  <c r="AC600" s="25"/>
      <c r="AD600" s="25"/>
      <c r="AE600" s="25"/>
      <c r="AF600" s="25"/>
      <c r="AG600" s="25"/>
      <c r="AH600" s="25"/>
      <c r="AI600" s="25"/>
      <c r="AJ600" s="25"/>
      <c r="AK600" s="25"/>
      <c r="AL600" s="25"/>
      <c r="AM600" s="25"/>
      <c r="AN600" s="25"/>
      <c r="AO600" s="25"/>
      <c r="AP600" s="25"/>
      <c r="AQ600" s="25"/>
      <c r="AR600" s="25"/>
      <c r="AS600" s="25"/>
      <c r="AT600" s="25"/>
      <c r="AU600" s="25"/>
    </row>
    <row r="601">
      <c r="A601" s="25"/>
      <c r="B601" s="25"/>
      <c r="C601" s="25"/>
      <c r="D601" s="25"/>
      <c r="E601" s="25"/>
      <c r="F601" s="25"/>
      <c r="G601" s="5"/>
      <c r="H601" s="5"/>
      <c r="I601" s="5"/>
      <c r="J601" s="5"/>
      <c r="K601" s="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  <c r="AB601" s="25"/>
      <c r="AC601" s="25"/>
      <c r="AD601" s="25"/>
      <c r="AE601" s="25"/>
      <c r="AF601" s="25"/>
      <c r="AG601" s="25"/>
      <c r="AH601" s="25"/>
      <c r="AI601" s="25"/>
      <c r="AJ601" s="25"/>
      <c r="AK601" s="25"/>
      <c r="AL601" s="25"/>
      <c r="AM601" s="25"/>
      <c r="AN601" s="25"/>
      <c r="AO601" s="25"/>
      <c r="AP601" s="25"/>
      <c r="AQ601" s="25"/>
      <c r="AR601" s="25"/>
      <c r="AS601" s="25"/>
      <c r="AT601" s="25"/>
      <c r="AU601" s="25"/>
    </row>
    <row r="602">
      <c r="A602" s="25"/>
      <c r="B602" s="25"/>
      <c r="C602" s="25"/>
      <c r="D602" s="25"/>
      <c r="E602" s="25"/>
      <c r="F602" s="25"/>
      <c r="G602" s="5"/>
      <c r="H602" s="5"/>
      <c r="I602" s="5"/>
      <c r="J602" s="5"/>
      <c r="K602" s="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  <c r="AB602" s="25"/>
      <c r="AC602" s="25"/>
      <c r="AD602" s="25"/>
      <c r="AE602" s="25"/>
      <c r="AF602" s="25"/>
      <c r="AG602" s="25"/>
      <c r="AH602" s="25"/>
      <c r="AI602" s="25"/>
      <c r="AJ602" s="25"/>
      <c r="AK602" s="25"/>
      <c r="AL602" s="25"/>
      <c r="AM602" s="25"/>
      <c r="AN602" s="25"/>
      <c r="AO602" s="25"/>
      <c r="AP602" s="25"/>
      <c r="AQ602" s="25"/>
      <c r="AR602" s="25"/>
      <c r="AS602" s="25"/>
      <c r="AT602" s="25"/>
      <c r="AU602" s="25"/>
    </row>
    <row r="603">
      <c r="A603" s="25"/>
      <c r="B603" s="25"/>
      <c r="C603" s="25"/>
      <c r="D603" s="25"/>
      <c r="E603" s="25"/>
      <c r="F603" s="25"/>
      <c r="G603" s="5"/>
      <c r="H603" s="5"/>
      <c r="I603" s="5"/>
      <c r="J603" s="5"/>
      <c r="K603" s="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  <c r="AB603" s="25"/>
      <c r="AC603" s="25"/>
      <c r="AD603" s="25"/>
      <c r="AE603" s="25"/>
      <c r="AF603" s="25"/>
      <c r="AG603" s="25"/>
      <c r="AH603" s="25"/>
      <c r="AI603" s="25"/>
      <c r="AJ603" s="25"/>
      <c r="AK603" s="25"/>
      <c r="AL603" s="25"/>
      <c r="AM603" s="25"/>
      <c r="AN603" s="25"/>
      <c r="AO603" s="25"/>
      <c r="AP603" s="25"/>
      <c r="AQ603" s="25"/>
      <c r="AR603" s="25"/>
      <c r="AS603" s="25"/>
      <c r="AT603" s="25"/>
      <c r="AU603" s="25"/>
    </row>
    <row r="604">
      <c r="A604" s="25"/>
      <c r="B604" s="25"/>
      <c r="C604" s="25"/>
      <c r="D604" s="25"/>
      <c r="E604" s="25"/>
      <c r="F604" s="25"/>
      <c r="G604" s="5"/>
      <c r="H604" s="5"/>
      <c r="I604" s="5"/>
      <c r="J604" s="5"/>
      <c r="K604" s="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  <c r="AB604" s="25"/>
      <c r="AC604" s="25"/>
      <c r="AD604" s="25"/>
      <c r="AE604" s="25"/>
      <c r="AF604" s="25"/>
      <c r="AG604" s="25"/>
      <c r="AH604" s="25"/>
      <c r="AI604" s="25"/>
      <c r="AJ604" s="25"/>
      <c r="AK604" s="25"/>
      <c r="AL604" s="25"/>
      <c r="AM604" s="25"/>
      <c r="AN604" s="25"/>
      <c r="AO604" s="25"/>
      <c r="AP604" s="25"/>
      <c r="AQ604" s="25"/>
      <c r="AR604" s="25"/>
      <c r="AS604" s="25"/>
      <c r="AT604" s="25"/>
      <c r="AU604" s="25"/>
    </row>
    <row r="605">
      <c r="A605" s="25"/>
      <c r="B605" s="25"/>
      <c r="C605" s="25"/>
      <c r="D605" s="25"/>
      <c r="E605" s="25"/>
      <c r="F605" s="25"/>
      <c r="G605" s="5"/>
      <c r="H605" s="5"/>
      <c r="I605" s="5"/>
      <c r="J605" s="5"/>
      <c r="K605" s="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  <c r="AB605" s="25"/>
      <c r="AC605" s="25"/>
      <c r="AD605" s="25"/>
      <c r="AE605" s="25"/>
      <c r="AF605" s="25"/>
      <c r="AG605" s="25"/>
      <c r="AH605" s="25"/>
      <c r="AI605" s="25"/>
      <c r="AJ605" s="25"/>
      <c r="AK605" s="25"/>
      <c r="AL605" s="25"/>
      <c r="AM605" s="25"/>
      <c r="AN605" s="25"/>
      <c r="AO605" s="25"/>
      <c r="AP605" s="25"/>
      <c r="AQ605" s="25"/>
      <c r="AR605" s="25"/>
      <c r="AS605" s="25"/>
      <c r="AT605" s="25"/>
      <c r="AU605" s="25"/>
    </row>
    <row r="606">
      <c r="A606" s="25"/>
      <c r="B606" s="25"/>
      <c r="C606" s="25"/>
      <c r="D606" s="25"/>
      <c r="E606" s="25"/>
      <c r="F606" s="25"/>
      <c r="G606" s="5"/>
      <c r="H606" s="5"/>
      <c r="I606" s="5"/>
      <c r="J606" s="5"/>
      <c r="K606" s="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  <c r="AB606" s="25"/>
      <c r="AC606" s="25"/>
      <c r="AD606" s="25"/>
      <c r="AE606" s="25"/>
      <c r="AF606" s="25"/>
      <c r="AG606" s="25"/>
      <c r="AH606" s="25"/>
      <c r="AI606" s="25"/>
      <c r="AJ606" s="25"/>
      <c r="AK606" s="25"/>
      <c r="AL606" s="25"/>
      <c r="AM606" s="25"/>
      <c r="AN606" s="25"/>
      <c r="AO606" s="25"/>
      <c r="AP606" s="25"/>
      <c r="AQ606" s="25"/>
      <c r="AR606" s="25"/>
      <c r="AS606" s="25"/>
      <c r="AT606" s="25"/>
      <c r="AU606" s="25"/>
    </row>
    <row r="607">
      <c r="A607" s="25"/>
      <c r="B607" s="25"/>
      <c r="C607" s="25"/>
      <c r="D607" s="25"/>
      <c r="E607" s="25"/>
      <c r="F607" s="25"/>
      <c r="G607" s="5"/>
      <c r="H607" s="5"/>
      <c r="I607" s="5"/>
      <c r="J607" s="5"/>
      <c r="K607" s="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  <c r="AB607" s="25"/>
      <c r="AC607" s="25"/>
      <c r="AD607" s="25"/>
      <c r="AE607" s="25"/>
      <c r="AF607" s="25"/>
      <c r="AG607" s="25"/>
      <c r="AH607" s="25"/>
      <c r="AI607" s="25"/>
      <c r="AJ607" s="25"/>
      <c r="AK607" s="25"/>
      <c r="AL607" s="25"/>
      <c r="AM607" s="25"/>
      <c r="AN607" s="25"/>
      <c r="AO607" s="25"/>
      <c r="AP607" s="25"/>
      <c r="AQ607" s="25"/>
      <c r="AR607" s="25"/>
      <c r="AS607" s="25"/>
      <c r="AT607" s="25"/>
      <c r="AU607" s="25"/>
    </row>
    <row r="608">
      <c r="A608" s="25"/>
      <c r="B608" s="25"/>
      <c r="C608" s="25"/>
      <c r="D608" s="25"/>
      <c r="E608" s="25"/>
      <c r="F608" s="25"/>
      <c r="G608" s="5"/>
      <c r="H608" s="5"/>
      <c r="I608" s="5"/>
      <c r="J608" s="5"/>
      <c r="K608" s="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  <c r="AC608" s="25"/>
      <c r="AD608" s="25"/>
      <c r="AE608" s="25"/>
      <c r="AF608" s="25"/>
      <c r="AG608" s="25"/>
      <c r="AH608" s="25"/>
      <c r="AI608" s="25"/>
      <c r="AJ608" s="25"/>
      <c r="AK608" s="25"/>
      <c r="AL608" s="25"/>
      <c r="AM608" s="25"/>
      <c r="AN608" s="25"/>
      <c r="AO608" s="25"/>
      <c r="AP608" s="25"/>
      <c r="AQ608" s="25"/>
      <c r="AR608" s="25"/>
      <c r="AS608" s="25"/>
      <c r="AT608" s="25"/>
      <c r="AU608" s="25"/>
    </row>
    <row r="609">
      <c r="A609" s="25"/>
      <c r="B609" s="25"/>
      <c r="C609" s="25"/>
      <c r="D609" s="25"/>
      <c r="E609" s="25"/>
      <c r="F609" s="25"/>
      <c r="G609" s="5"/>
      <c r="H609" s="5"/>
      <c r="I609" s="5"/>
      <c r="J609" s="5"/>
      <c r="K609" s="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  <c r="AC609" s="25"/>
      <c r="AD609" s="25"/>
      <c r="AE609" s="25"/>
      <c r="AF609" s="25"/>
      <c r="AG609" s="25"/>
      <c r="AH609" s="25"/>
      <c r="AI609" s="25"/>
      <c r="AJ609" s="25"/>
      <c r="AK609" s="25"/>
      <c r="AL609" s="25"/>
      <c r="AM609" s="25"/>
      <c r="AN609" s="25"/>
      <c r="AO609" s="25"/>
      <c r="AP609" s="25"/>
      <c r="AQ609" s="25"/>
      <c r="AR609" s="25"/>
      <c r="AS609" s="25"/>
      <c r="AT609" s="25"/>
      <c r="AU609" s="25"/>
    </row>
    <row r="610">
      <c r="A610" s="25"/>
      <c r="B610" s="25"/>
      <c r="C610" s="25"/>
      <c r="D610" s="25"/>
      <c r="E610" s="25"/>
      <c r="F610" s="25"/>
      <c r="G610" s="5"/>
      <c r="H610" s="5"/>
      <c r="I610" s="5"/>
      <c r="J610" s="5"/>
      <c r="K610" s="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  <c r="AC610" s="25"/>
      <c r="AD610" s="25"/>
      <c r="AE610" s="25"/>
      <c r="AF610" s="25"/>
      <c r="AG610" s="25"/>
      <c r="AH610" s="25"/>
      <c r="AI610" s="25"/>
      <c r="AJ610" s="25"/>
      <c r="AK610" s="25"/>
      <c r="AL610" s="25"/>
      <c r="AM610" s="25"/>
      <c r="AN610" s="25"/>
      <c r="AO610" s="25"/>
      <c r="AP610" s="25"/>
      <c r="AQ610" s="25"/>
      <c r="AR610" s="25"/>
      <c r="AS610" s="25"/>
      <c r="AT610" s="25"/>
      <c r="AU610" s="25"/>
    </row>
    <row r="611">
      <c r="A611" s="25"/>
      <c r="B611" s="25"/>
      <c r="C611" s="25"/>
      <c r="D611" s="25"/>
      <c r="E611" s="25"/>
      <c r="F611" s="25"/>
      <c r="G611" s="5"/>
      <c r="H611" s="5"/>
      <c r="I611" s="5"/>
      <c r="J611" s="5"/>
      <c r="K611" s="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  <c r="AC611" s="25"/>
      <c r="AD611" s="25"/>
      <c r="AE611" s="25"/>
      <c r="AF611" s="25"/>
      <c r="AG611" s="25"/>
      <c r="AH611" s="25"/>
      <c r="AI611" s="25"/>
      <c r="AJ611" s="25"/>
      <c r="AK611" s="25"/>
      <c r="AL611" s="25"/>
      <c r="AM611" s="25"/>
      <c r="AN611" s="25"/>
      <c r="AO611" s="25"/>
      <c r="AP611" s="25"/>
      <c r="AQ611" s="25"/>
      <c r="AR611" s="25"/>
      <c r="AS611" s="25"/>
      <c r="AT611" s="25"/>
      <c r="AU611" s="25"/>
    </row>
    <row r="612">
      <c r="A612" s="25"/>
      <c r="B612" s="25"/>
      <c r="C612" s="25"/>
      <c r="D612" s="25"/>
      <c r="E612" s="25"/>
      <c r="F612" s="25"/>
      <c r="G612" s="5"/>
      <c r="H612" s="5"/>
      <c r="I612" s="5"/>
      <c r="J612" s="5"/>
      <c r="K612" s="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  <c r="AC612" s="25"/>
      <c r="AD612" s="25"/>
      <c r="AE612" s="25"/>
      <c r="AF612" s="25"/>
      <c r="AG612" s="25"/>
      <c r="AH612" s="25"/>
      <c r="AI612" s="25"/>
      <c r="AJ612" s="25"/>
      <c r="AK612" s="25"/>
      <c r="AL612" s="25"/>
      <c r="AM612" s="25"/>
      <c r="AN612" s="25"/>
      <c r="AO612" s="25"/>
      <c r="AP612" s="25"/>
      <c r="AQ612" s="25"/>
      <c r="AR612" s="25"/>
      <c r="AS612" s="25"/>
      <c r="AT612" s="25"/>
      <c r="AU612" s="25"/>
    </row>
    <row r="613">
      <c r="A613" s="25"/>
      <c r="B613" s="25"/>
      <c r="C613" s="25"/>
      <c r="D613" s="25"/>
      <c r="E613" s="25"/>
      <c r="F613" s="25"/>
      <c r="G613" s="5"/>
      <c r="H613" s="5"/>
      <c r="I613" s="5"/>
      <c r="J613" s="5"/>
      <c r="K613" s="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  <c r="AC613" s="25"/>
      <c r="AD613" s="25"/>
      <c r="AE613" s="25"/>
      <c r="AF613" s="25"/>
      <c r="AG613" s="25"/>
      <c r="AH613" s="25"/>
      <c r="AI613" s="25"/>
      <c r="AJ613" s="25"/>
      <c r="AK613" s="25"/>
      <c r="AL613" s="25"/>
      <c r="AM613" s="25"/>
      <c r="AN613" s="25"/>
      <c r="AO613" s="25"/>
      <c r="AP613" s="25"/>
      <c r="AQ613" s="25"/>
      <c r="AR613" s="25"/>
      <c r="AS613" s="25"/>
      <c r="AT613" s="25"/>
      <c r="AU613" s="25"/>
    </row>
    <row r="614">
      <c r="A614" s="25"/>
      <c r="B614" s="25"/>
      <c r="C614" s="25"/>
      <c r="D614" s="25"/>
      <c r="E614" s="25"/>
      <c r="F614" s="25"/>
      <c r="G614" s="5"/>
      <c r="H614" s="5"/>
      <c r="I614" s="5"/>
      <c r="J614" s="5"/>
      <c r="K614" s="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  <c r="AC614" s="25"/>
      <c r="AD614" s="25"/>
      <c r="AE614" s="25"/>
      <c r="AF614" s="25"/>
      <c r="AG614" s="25"/>
      <c r="AH614" s="25"/>
      <c r="AI614" s="25"/>
      <c r="AJ614" s="25"/>
      <c r="AK614" s="25"/>
      <c r="AL614" s="25"/>
      <c r="AM614" s="25"/>
      <c r="AN614" s="25"/>
      <c r="AO614" s="25"/>
      <c r="AP614" s="25"/>
      <c r="AQ614" s="25"/>
      <c r="AR614" s="25"/>
      <c r="AS614" s="25"/>
      <c r="AT614" s="25"/>
      <c r="AU614" s="25"/>
    </row>
    <row r="615">
      <c r="A615" s="25"/>
      <c r="B615" s="25"/>
      <c r="C615" s="25"/>
      <c r="D615" s="25"/>
      <c r="E615" s="25"/>
      <c r="F615" s="25"/>
      <c r="G615" s="5"/>
      <c r="H615" s="5"/>
      <c r="I615" s="5"/>
      <c r="J615" s="5"/>
      <c r="K615" s="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  <c r="AC615" s="25"/>
      <c r="AD615" s="25"/>
      <c r="AE615" s="25"/>
      <c r="AF615" s="25"/>
      <c r="AG615" s="25"/>
      <c r="AH615" s="25"/>
      <c r="AI615" s="25"/>
      <c r="AJ615" s="25"/>
      <c r="AK615" s="25"/>
      <c r="AL615" s="25"/>
      <c r="AM615" s="25"/>
      <c r="AN615" s="25"/>
      <c r="AO615" s="25"/>
      <c r="AP615" s="25"/>
      <c r="AQ615" s="25"/>
      <c r="AR615" s="25"/>
      <c r="AS615" s="25"/>
      <c r="AT615" s="25"/>
      <c r="AU615" s="25"/>
    </row>
    <row r="616">
      <c r="A616" s="25"/>
      <c r="B616" s="25"/>
      <c r="C616" s="25"/>
      <c r="D616" s="25"/>
      <c r="E616" s="25"/>
      <c r="F616" s="25"/>
      <c r="G616" s="5"/>
      <c r="H616" s="5"/>
      <c r="I616" s="5"/>
      <c r="J616" s="5"/>
      <c r="K616" s="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  <c r="AC616" s="25"/>
      <c r="AD616" s="25"/>
      <c r="AE616" s="25"/>
      <c r="AF616" s="25"/>
      <c r="AG616" s="25"/>
      <c r="AH616" s="25"/>
      <c r="AI616" s="25"/>
      <c r="AJ616" s="25"/>
      <c r="AK616" s="25"/>
      <c r="AL616" s="25"/>
      <c r="AM616" s="25"/>
      <c r="AN616" s="25"/>
      <c r="AO616" s="25"/>
      <c r="AP616" s="25"/>
      <c r="AQ616" s="25"/>
      <c r="AR616" s="25"/>
      <c r="AS616" s="25"/>
      <c r="AT616" s="25"/>
      <c r="AU616" s="25"/>
    </row>
    <row r="617">
      <c r="A617" s="25"/>
      <c r="B617" s="25"/>
      <c r="C617" s="25"/>
      <c r="D617" s="25"/>
      <c r="E617" s="25"/>
      <c r="F617" s="25"/>
      <c r="G617" s="5"/>
      <c r="H617" s="5"/>
      <c r="I617" s="5"/>
      <c r="J617" s="5"/>
      <c r="K617" s="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  <c r="AC617" s="25"/>
      <c r="AD617" s="25"/>
      <c r="AE617" s="25"/>
      <c r="AF617" s="25"/>
      <c r="AG617" s="25"/>
      <c r="AH617" s="25"/>
      <c r="AI617" s="25"/>
      <c r="AJ617" s="25"/>
      <c r="AK617" s="25"/>
      <c r="AL617" s="25"/>
      <c r="AM617" s="25"/>
      <c r="AN617" s="25"/>
      <c r="AO617" s="25"/>
      <c r="AP617" s="25"/>
      <c r="AQ617" s="25"/>
      <c r="AR617" s="25"/>
      <c r="AS617" s="25"/>
      <c r="AT617" s="25"/>
      <c r="AU617" s="25"/>
    </row>
    <row r="618">
      <c r="A618" s="25"/>
      <c r="B618" s="25"/>
      <c r="C618" s="25"/>
      <c r="D618" s="25"/>
      <c r="E618" s="25"/>
      <c r="F618" s="25"/>
      <c r="G618" s="5"/>
      <c r="H618" s="5"/>
      <c r="I618" s="5"/>
      <c r="J618" s="5"/>
      <c r="K618" s="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  <c r="AC618" s="25"/>
      <c r="AD618" s="25"/>
      <c r="AE618" s="25"/>
      <c r="AF618" s="25"/>
      <c r="AG618" s="25"/>
      <c r="AH618" s="25"/>
      <c r="AI618" s="25"/>
      <c r="AJ618" s="25"/>
      <c r="AK618" s="25"/>
      <c r="AL618" s="25"/>
      <c r="AM618" s="25"/>
      <c r="AN618" s="25"/>
      <c r="AO618" s="25"/>
      <c r="AP618" s="25"/>
      <c r="AQ618" s="25"/>
      <c r="AR618" s="25"/>
      <c r="AS618" s="25"/>
      <c r="AT618" s="25"/>
      <c r="AU618" s="25"/>
    </row>
    <row r="619">
      <c r="A619" s="25"/>
      <c r="B619" s="25"/>
      <c r="C619" s="25"/>
      <c r="D619" s="25"/>
      <c r="E619" s="25"/>
      <c r="F619" s="25"/>
      <c r="G619" s="5"/>
      <c r="H619" s="5"/>
      <c r="I619" s="5"/>
      <c r="J619" s="5"/>
      <c r="K619" s="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  <c r="AC619" s="25"/>
      <c r="AD619" s="25"/>
      <c r="AE619" s="25"/>
      <c r="AF619" s="25"/>
      <c r="AG619" s="25"/>
      <c r="AH619" s="25"/>
      <c r="AI619" s="25"/>
      <c r="AJ619" s="25"/>
      <c r="AK619" s="25"/>
      <c r="AL619" s="25"/>
      <c r="AM619" s="25"/>
      <c r="AN619" s="25"/>
      <c r="AO619" s="25"/>
      <c r="AP619" s="25"/>
      <c r="AQ619" s="25"/>
      <c r="AR619" s="25"/>
      <c r="AS619" s="25"/>
      <c r="AT619" s="25"/>
      <c r="AU619" s="25"/>
    </row>
    <row r="620">
      <c r="A620" s="25"/>
      <c r="B620" s="25"/>
      <c r="C620" s="25"/>
      <c r="D620" s="25"/>
      <c r="E620" s="25"/>
      <c r="F620" s="25"/>
      <c r="G620" s="5"/>
      <c r="H620" s="5"/>
      <c r="I620" s="5"/>
      <c r="J620" s="5"/>
      <c r="K620" s="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  <c r="AC620" s="25"/>
      <c r="AD620" s="25"/>
      <c r="AE620" s="25"/>
      <c r="AF620" s="25"/>
      <c r="AG620" s="25"/>
      <c r="AH620" s="25"/>
      <c r="AI620" s="25"/>
      <c r="AJ620" s="25"/>
      <c r="AK620" s="25"/>
      <c r="AL620" s="25"/>
      <c r="AM620" s="25"/>
      <c r="AN620" s="25"/>
      <c r="AO620" s="25"/>
      <c r="AP620" s="25"/>
      <c r="AQ620" s="25"/>
      <c r="AR620" s="25"/>
      <c r="AS620" s="25"/>
      <c r="AT620" s="25"/>
      <c r="AU620" s="25"/>
    </row>
    <row r="621">
      <c r="A621" s="25"/>
      <c r="B621" s="25"/>
      <c r="C621" s="25"/>
      <c r="D621" s="25"/>
      <c r="E621" s="25"/>
      <c r="F621" s="25"/>
      <c r="G621" s="5"/>
      <c r="H621" s="5"/>
      <c r="I621" s="5"/>
      <c r="J621" s="5"/>
      <c r="K621" s="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  <c r="AC621" s="25"/>
      <c r="AD621" s="25"/>
      <c r="AE621" s="25"/>
      <c r="AF621" s="25"/>
      <c r="AG621" s="25"/>
      <c r="AH621" s="25"/>
      <c r="AI621" s="25"/>
      <c r="AJ621" s="25"/>
      <c r="AK621" s="25"/>
      <c r="AL621" s="25"/>
      <c r="AM621" s="25"/>
      <c r="AN621" s="25"/>
      <c r="AO621" s="25"/>
      <c r="AP621" s="25"/>
      <c r="AQ621" s="25"/>
      <c r="AR621" s="25"/>
      <c r="AS621" s="25"/>
      <c r="AT621" s="25"/>
      <c r="AU621" s="25"/>
    </row>
    <row r="622">
      <c r="A622" s="25"/>
      <c r="B622" s="25"/>
      <c r="C622" s="25"/>
      <c r="D622" s="25"/>
      <c r="E622" s="25"/>
      <c r="F622" s="25"/>
      <c r="G622" s="5"/>
      <c r="H622" s="5"/>
      <c r="I622" s="5"/>
      <c r="J622" s="5"/>
      <c r="K622" s="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  <c r="AC622" s="25"/>
      <c r="AD622" s="25"/>
      <c r="AE622" s="25"/>
      <c r="AF622" s="25"/>
      <c r="AG622" s="25"/>
      <c r="AH622" s="25"/>
      <c r="AI622" s="25"/>
      <c r="AJ622" s="25"/>
      <c r="AK622" s="25"/>
      <c r="AL622" s="25"/>
      <c r="AM622" s="25"/>
      <c r="AN622" s="25"/>
      <c r="AO622" s="25"/>
      <c r="AP622" s="25"/>
      <c r="AQ622" s="25"/>
      <c r="AR622" s="25"/>
      <c r="AS622" s="25"/>
      <c r="AT622" s="25"/>
      <c r="AU622" s="25"/>
    </row>
    <row r="623">
      <c r="A623" s="25"/>
      <c r="B623" s="25"/>
      <c r="C623" s="25"/>
      <c r="D623" s="25"/>
      <c r="E623" s="25"/>
      <c r="F623" s="25"/>
      <c r="G623" s="5"/>
      <c r="H623" s="5"/>
      <c r="I623" s="5"/>
      <c r="J623" s="5"/>
      <c r="K623" s="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  <c r="AB623" s="25"/>
      <c r="AC623" s="25"/>
      <c r="AD623" s="25"/>
      <c r="AE623" s="25"/>
      <c r="AF623" s="25"/>
      <c r="AG623" s="25"/>
      <c r="AH623" s="25"/>
      <c r="AI623" s="25"/>
      <c r="AJ623" s="25"/>
      <c r="AK623" s="25"/>
      <c r="AL623" s="25"/>
      <c r="AM623" s="25"/>
      <c r="AN623" s="25"/>
      <c r="AO623" s="25"/>
      <c r="AP623" s="25"/>
      <c r="AQ623" s="25"/>
      <c r="AR623" s="25"/>
      <c r="AS623" s="25"/>
      <c r="AT623" s="25"/>
      <c r="AU623" s="25"/>
    </row>
    <row r="624">
      <c r="A624" s="25"/>
      <c r="B624" s="25"/>
      <c r="C624" s="25"/>
      <c r="D624" s="25"/>
      <c r="E624" s="25"/>
      <c r="F624" s="25"/>
      <c r="G624" s="5"/>
      <c r="H624" s="5"/>
      <c r="I624" s="5"/>
      <c r="J624" s="5"/>
      <c r="K624" s="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  <c r="AB624" s="25"/>
      <c r="AC624" s="25"/>
      <c r="AD624" s="25"/>
      <c r="AE624" s="25"/>
      <c r="AF624" s="25"/>
      <c r="AG624" s="25"/>
      <c r="AH624" s="25"/>
      <c r="AI624" s="25"/>
      <c r="AJ624" s="25"/>
      <c r="AK624" s="25"/>
      <c r="AL624" s="25"/>
      <c r="AM624" s="25"/>
      <c r="AN624" s="25"/>
      <c r="AO624" s="25"/>
      <c r="AP624" s="25"/>
      <c r="AQ624" s="25"/>
      <c r="AR624" s="25"/>
      <c r="AS624" s="25"/>
      <c r="AT624" s="25"/>
      <c r="AU624" s="25"/>
    </row>
    <row r="625">
      <c r="A625" s="25"/>
      <c r="B625" s="25"/>
      <c r="C625" s="25"/>
      <c r="D625" s="25"/>
      <c r="E625" s="25"/>
      <c r="F625" s="25"/>
      <c r="G625" s="5"/>
      <c r="H625" s="5"/>
      <c r="I625" s="5"/>
      <c r="J625" s="5"/>
      <c r="K625" s="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  <c r="AC625" s="25"/>
      <c r="AD625" s="25"/>
      <c r="AE625" s="25"/>
      <c r="AF625" s="25"/>
      <c r="AG625" s="25"/>
      <c r="AH625" s="25"/>
      <c r="AI625" s="25"/>
      <c r="AJ625" s="25"/>
      <c r="AK625" s="25"/>
      <c r="AL625" s="25"/>
      <c r="AM625" s="25"/>
      <c r="AN625" s="25"/>
      <c r="AO625" s="25"/>
      <c r="AP625" s="25"/>
      <c r="AQ625" s="25"/>
      <c r="AR625" s="25"/>
      <c r="AS625" s="25"/>
      <c r="AT625" s="25"/>
      <c r="AU625" s="25"/>
    </row>
    <row r="626">
      <c r="A626" s="25"/>
      <c r="B626" s="25"/>
      <c r="C626" s="25"/>
      <c r="D626" s="25"/>
      <c r="E626" s="25"/>
      <c r="F626" s="25"/>
      <c r="G626" s="5"/>
      <c r="H626" s="5"/>
      <c r="I626" s="5"/>
      <c r="J626" s="5"/>
      <c r="K626" s="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  <c r="AC626" s="25"/>
      <c r="AD626" s="25"/>
      <c r="AE626" s="25"/>
      <c r="AF626" s="25"/>
      <c r="AG626" s="25"/>
      <c r="AH626" s="25"/>
      <c r="AI626" s="25"/>
      <c r="AJ626" s="25"/>
      <c r="AK626" s="25"/>
      <c r="AL626" s="25"/>
      <c r="AM626" s="25"/>
      <c r="AN626" s="25"/>
      <c r="AO626" s="25"/>
      <c r="AP626" s="25"/>
      <c r="AQ626" s="25"/>
      <c r="AR626" s="25"/>
      <c r="AS626" s="25"/>
      <c r="AT626" s="25"/>
      <c r="AU626" s="25"/>
    </row>
    <row r="627">
      <c r="A627" s="25"/>
      <c r="B627" s="25"/>
      <c r="C627" s="25"/>
      <c r="D627" s="25"/>
      <c r="E627" s="25"/>
      <c r="F627" s="25"/>
      <c r="G627" s="5"/>
      <c r="H627" s="5"/>
      <c r="I627" s="5"/>
      <c r="J627" s="5"/>
      <c r="K627" s="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  <c r="AC627" s="25"/>
      <c r="AD627" s="25"/>
      <c r="AE627" s="25"/>
      <c r="AF627" s="25"/>
      <c r="AG627" s="25"/>
      <c r="AH627" s="25"/>
      <c r="AI627" s="25"/>
      <c r="AJ627" s="25"/>
      <c r="AK627" s="25"/>
      <c r="AL627" s="25"/>
      <c r="AM627" s="25"/>
      <c r="AN627" s="25"/>
      <c r="AO627" s="25"/>
      <c r="AP627" s="25"/>
      <c r="AQ627" s="25"/>
      <c r="AR627" s="25"/>
      <c r="AS627" s="25"/>
      <c r="AT627" s="25"/>
      <c r="AU627" s="25"/>
    </row>
    <row r="628">
      <c r="A628" s="25"/>
      <c r="B628" s="25"/>
      <c r="C628" s="25"/>
      <c r="D628" s="25"/>
      <c r="E628" s="25"/>
      <c r="F628" s="25"/>
      <c r="G628" s="5"/>
      <c r="H628" s="5"/>
      <c r="I628" s="5"/>
      <c r="J628" s="5"/>
      <c r="K628" s="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  <c r="AC628" s="25"/>
      <c r="AD628" s="25"/>
      <c r="AE628" s="25"/>
      <c r="AF628" s="25"/>
      <c r="AG628" s="25"/>
      <c r="AH628" s="25"/>
      <c r="AI628" s="25"/>
      <c r="AJ628" s="25"/>
      <c r="AK628" s="25"/>
      <c r="AL628" s="25"/>
      <c r="AM628" s="25"/>
      <c r="AN628" s="25"/>
      <c r="AO628" s="25"/>
      <c r="AP628" s="25"/>
      <c r="AQ628" s="25"/>
      <c r="AR628" s="25"/>
      <c r="AS628" s="25"/>
      <c r="AT628" s="25"/>
      <c r="AU628" s="25"/>
    </row>
    <row r="629">
      <c r="A629" s="25"/>
      <c r="B629" s="25"/>
      <c r="C629" s="25"/>
      <c r="D629" s="25"/>
      <c r="E629" s="25"/>
      <c r="F629" s="25"/>
      <c r="G629" s="5"/>
      <c r="H629" s="5"/>
      <c r="I629" s="5"/>
      <c r="J629" s="5"/>
      <c r="K629" s="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  <c r="AC629" s="25"/>
      <c r="AD629" s="25"/>
      <c r="AE629" s="25"/>
      <c r="AF629" s="25"/>
      <c r="AG629" s="25"/>
      <c r="AH629" s="25"/>
      <c r="AI629" s="25"/>
      <c r="AJ629" s="25"/>
      <c r="AK629" s="25"/>
      <c r="AL629" s="25"/>
      <c r="AM629" s="25"/>
      <c r="AN629" s="25"/>
      <c r="AO629" s="25"/>
      <c r="AP629" s="25"/>
      <c r="AQ629" s="25"/>
      <c r="AR629" s="25"/>
      <c r="AS629" s="25"/>
      <c r="AT629" s="25"/>
      <c r="AU629" s="25"/>
    </row>
    <row r="630">
      <c r="A630" s="25"/>
      <c r="B630" s="25"/>
      <c r="C630" s="25"/>
      <c r="D630" s="25"/>
      <c r="E630" s="25"/>
      <c r="F630" s="25"/>
      <c r="G630" s="5"/>
      <c r="H630" s="5"/>
      <c r="I630" s="5"/>
      <c r="J630" s="5"/>
      <c r="K630" s="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  <c r="AB630" s="25"/>
      <c r="AC630" s="25"/>
      <c r="AD630" s="25"/>
      <c r="AE630" s="25"/>
      <c r="AF630" s="25"/>
      <c r="AG630" s="25"/>
      <c r="AH630" s="25"/>
      <c r="AI630" s="25"/>
      <c r="AJ630" s="25"/>
      <c r="AK630" s="25"/>
      <c r="AL630" s="25"/>
      <c r="AM630" s="25"/>
      <c r="AN630" s="25"/>
      <c r="AO630" s="25"/>
      <c r="AP630" s="25"/>
      <c r="AQ630" s="25"/>
      <c r="AR630" s="25"/>
      <c r="AS630" s="25"/>
      <c r="AT630" s="25"/>
      <c r="AU630" s="25"/>
    </row>
    <row r="631">
      <c r="A631" s="25"/>
      <c r="B631" s="25"/>
      <c r="C631" s="25"/>
      <c r="D631" s="25"/>
      <c r="E631" s="25"/>
      <c r="F631" s="25"/>
      <c r="G631" s="5"/>
      <c r="H631" s="5"/>
      <c r="I631" s="5"/>
      <c r="J631" s="5"/>
      <c r="K631" s="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  <c r="AB631" s="25"/>
      <c r="AC631" s="25"/>
      <c r="AD631" s="25"/>
      <c r="AE631" s="25"/>
      <c r="AF631" s="25"/>
      <c r="AG631" s="25"/>
      <c r="AH631" s="25"/>
      <c r="AI631" s="25"/>
      <c r="AJ631" s="25"/>
      <c r="AK631" s="25"/>
      <c r="AL631" s="25"/>
      <c r="AM631" s="25"/>
      <c r="AN631" s="25"/>
      <c r="AO631" s="25"/>
      <c r="AP631" s="25"/>
      <c r="AQ631" s="25"/>
      <c r="AR631" s="25"/>
      <c r="AS631" s="25"/>
      <c r="AT631" s="25"/>
      <c r="AU631" s="25"/>
    </row>
    <row r="632">
      <c r="A632" s="25"/>
      <c r="B632" s="25"/>
      <c r="C632" s="25"/>
      <c r="D632" s="25"/>
      <c r="E632" s="25"/>
      <c r="F632" s="25"/>
      <c r="G632" s="5"/>
      <c r="H632" s="5"/>
      <c r="I632" s="5"/>
      <c r="J632" s="5"/>
      <c r="K632" s="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  <c r="AB632" s="25"/>
      <c r="AC632" s="25"/>
      <c r="AD632" s="25"/>
      <c r="AE632" s="25"/>
      <c r="AF632" s="25"/>
      <c r="AG632" s="25"/>
      <c r="AH632" s="25"/>
      <c r="AI632" s="25"/>
      <c r="AJ632" s="25"/>
      <c r="AK632" s="25"/>
      <c r="AL632" s="25"/>
      <c r="AM632" s="25"/>
      <c r="AN632" s="25"/>
      <c r="AO632" s="25"/>
      <c r="AP632" s="25"/>
      <c r="AQ632" s="25"/>
      <c r="AR632" s="25"/>
      <c r="AS632" s="25"/>
      <c r="AT632" s="25"/>
      <c r="AU632" s="25"/>
    </row>
    <row r="633">
      <c r="A633" s="25"/>
      <c r="B633" s="25"/>
      <c r="C633" s="25"/>
      <c r="D633" s="25"/>
      <c r="E633" s="25"/>
      <c r="F633" s="25"/>
      <c r="G633" s="5"/>
      <c r="H633" s="5"/>
      <c r="I633" s="5"/>
      <c r="J633" s="5"/>
      <c r="K633" s="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  <c r="AB633" s="25"/>
      <c r="AC633" s="25"/>
      <c r="AD633" s="25"/>
      <c r="AE633" s="25"/>
      <c r="AF633" s="25"/>
      <c r="AG633" s="25"/>
      <c r="AH633" s="25"/>
      <c r="AI633" s="25"/>
      <c r="AJ633" s="25"/>
      <c r="AK633" s="25"/>
      <c r="AL633" s="25"/>
      <c r="AM633" s="25"/>
      <c r="AN633" s="25"/>
      <c r="AO633" s="25"/>
      <c r="AP633" s="25"/>
      <c r="AQ633" s="25"/>
      <c r="AR633" s="25"/>
      <c r="AS633" s="25"/>
      <c r="AT633" s="25"/>
      <c r="AU633" s="25"/>
    </row>
    <row r="634">
      <c r="A634" s="25"/>
      <c r="B634" s="25"/>
      <c r="C634" s="25"/>
      <c r="D634" s="25"/>
      <c r="E634" s="25"/>
      <c r="F634" s="25"/>
      <c r="G634" s="5"/>
      <c r="H634" s="5"/>
      <c r="I634" s="5"/>
      <c r="J634" s="5"/>
      <c r="K634" s="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  <c r="AB634" s="25"/>
      <c r="AC634" s="25"/>
      <c r="AD634" s="25"/>
      <c r="AE634" s="25"/>
      <c r="AF634" s="25"/>
      <c r="AG634" s="25"/>
      <c r="AH634" s="25"/>
      <c r="AI634" s="25"/>
      <c r="AJ634" s="25"/>
      <c r="AK634" s="25"/>
      <c r="AL634" s="25"/>
      <c r="AM634" s="25"/>
      <c r="AN634" s="25"/>
      <c r="AO634" s="25"/>
      <c r="AP634" s="25"/>
      <c r="AQ634" s="25"/>
      <c r="AR634" s="25"/>
      <c r="AS634" s="25"/>
      <c r="AT634" s="25"/>
      <c r="AU634" s="25"/>
    </row>
    <row r="635">
      <c r="A635" s="25"/>
      <c r="B635" s="25"/>
      <c r="C635" s="25"/>
      <c r="D635" s="25"/>
      <c r="E635" s="25"/>
      <c r="F635" s="25"/>
      <c r="G635" s="5"/>
      <c r="H635" s="5"/>
      <c r="I635" s="5"/>
      <c r="J635" s="5"/>
      <c r="K635" s="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  <c r="AB635" s="25"/>
      <c r="AC635" s="25"/>
      <c r="AD635" s="25"/>
      <c r="AE635" s="25"/>
      <c r="AF635" s="25"/>
      <c r="AG635" s="25"/>
      <c r="AH635" s="25"/>
      <c r="AI635" s="25"/>
      <c r="AJ635" s="25"/>
      <c r="AK635" s="25"/>
      <c r="AL635" s="25"/>
      <c r="AM635" s="25"/>
      <c r="AN635" s="25"/>
      <c r="AO635" s="25"/>
      <c r="AP635" s="25"/>
      <c r="AQ635" s="25"/>
      <c r="AR635" s="25"/>
      <c r="AS635" s="25"/>
      <c r="AT635" s="25"/>
      <c r="AU635" s="25"/>
    </row>
    <row r="636">
      <c r="A636" s="25"/>
      <c r="B636" s="25"/>
      <c r="C636" s="25"/>
      <c r="D636" s="25"/>
      <c r="E636" s="25"/>
      <c r="F636" s="25"/>
      <c r="G636" s="5"/>
      <c r="H636" s="5"/>
      <c r="I636" s="5"/>
      <c r="J636" s="5"/>
      <c r="K636" s="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  <c r="AB636" s="25"/>
      <c r="AC636" s="25"/>
      <c r="AD636" s="25"/>
      <c r="AE636" s="25"/>
      <c r="AF636" s="25"/>
      <c r="AG636" s="25"/>
      <c r="AH636" s="25"/>
      <c r="AI636" s="25"/>
      <c r="AJ636" s="25"/>
      <c r="AK636" s="25"/>
      <c r="AL636" s="25"/>
      <c r="AM636" s="25"/>
      <c r="AN636" s="25"/>
      <c r="AO636" s="25"/>
      <c r="AP636" s="25"/>
      <c r="AQ636" s="25"/>
      <c r="AR636" s="25"/>
      <c r="AS636" s="25"/>
      <c r="AT636" s="25"/>
      <c r="AU636" s="25"/>
    </row>
    <row r="637">
      <c r="A637" s="25"/>
      <c r="B637" s="25"/>
      <c r="C637" s="25"/>
      <c r="D637" s="25"/>
      <c r="E637" s="25"/>
      <c r="F637" s="25"/>
      <c r="G637" s="5"/>
      <c r="H637" s="5"/>
      <c r="I637" s="5"/>
      <c r="J637" s="5"/>
      <c r="K637" s="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  <c r="AB637" s="25"/>
      <c r="AC637" s="25"/>
      <c r="AD637" s="25"/>
      <c r="AE637" s="25"/>
      <c r="AF637" s="25"/>
      <c r="AG637" s="25"/>
      <c r="AH637" s="25"/>
      <c r="AI637" s="25"/>
      <c r="AJ637" s="25"/>
      <c r="AK637" s="25"/>
      <c r="AL637" s="25"/>
      <c r="AM637" s="25"/>
      <c r="AN637" s="25"/>
      <c r="AO637" s="25"/>
      <c r="AP637" s="25"/>
      <c r="AQ637" s="25"/>
      <c r="AR637" s="25"/>
      <c r="AS637" s="25"/>
      <c r="AT637" s="25"/>
      <c r="AU637" s="25"/>
    </row>
    <row r="638">
      <c r="A638" s="25"/>
      <c r="B638" s="25"/>
      <c r="C638" s="25"/>
      <c r="D638" s="25"/>
      <c r="E638" s="25"/>
      <c r="F638" s="25"/>
      <c r="G638" s="5"/>
      <c r="H638" s="5"/>
      <c r="I638" s="5"/>
      <c r="J638" s="5"/>
      <c r="K638" s="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  <c r="AB638" s="25"/>
      <c r="AC638" s="25"/>
      <c r="AD638" s="25"/>
      <c r="AE638" s="25"/>
      <c r="AF638" s="25"/>
      <c r="AG638" s="25"/>
      <c r="AH638" s="25"/>
      <c r="AI638" s="25"/>
      <c r="AJ638" s="25"/>
      <c r="AK638" s="25"/>
      <c r="AL638" s="25"/>
      <c r="AM638" s="25"/>
      <c r="AN638" s="25"/>
      <c r="AO638" s="25"/>
      <c r="AP638" s="25"/>
      <c r="AQ638" s="25"/>
      <c r="AR638" s="25"/>
      <c r="AS638" s="25"/>
      <c r="AT638" s="25"/>
      <c r="AU638" s="25"/>
    </row>
    <row r="639">
      <c r="A639" s="25"/>
      <c r="B639" s="25"/>
      <c r="C639" s="25"/>
      <c r="D639" s="25"/>
      <c r="E639" s="25"/>
      <c r="F639" s="25"/>
      <c r="G639" s="5"/>
      <c r="H639" s="5"/>
      <c r="I639" s="5"/>
      <c r="J639" s="5"/>
      <c r="K639" s="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  <c r="AB639" s="25"/>
      <c r="AC639" s="25"/>
      <c r="AD639" s="25"/>
      <c r="AE639" s="25"/>
      <c r="AF639" s="25"/>
      <c r="AG639" s="25"/>
      <c r="AH639" s="25"/>
      <c r="AI639" s="25"/>
      <c r="AJ639" s="25"/>
      <c r="AK639" s="25"/>
      <c r="AL639" s="25"/>
      <c r="AM639" s="25"/>
      <c r="AN639" s="25"/>
      <c r="AO639" s="25"/>
      <c r="AP639" s="25"/>
      <c r="AQ639" s="25"/>
      <c r="AR639" s="25"/>
      <c r="AS639" s="25"/>
      <c r="AT639" s="25"/>
      <c r="AU639" s="25"/>
    </row>
    <row r="640">
      <c r="A640" s="25"/>
      <c r="B640" s="25"/>
      <c r="C640" s="25"/>
      <c r="D640" s="25"/>
      <c r="E640" s="25"/>
      <c r="F640" s="25"/>
      <c r="G640" s="5"/>
      <c r="H640" s="5"/>
      <c r="I640" s="5"/>
      <c r="J640" s="5"/>
      <c r="K640" s="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  <c r="AB640" s="25"/>
      <c r="AC640" s="25"/>
      <c r="AD640" s="25"/>
      <c r="AE640" s="25"/>
      <c r="AF640" s="25"/>
      <c r="AG640" s="25"/>
      <c r="AH640" s="25"/>
      <c r="AI640" s="25"/>
      <c r="AJ640" s="25"/>
      <c r="AK640" s="25"/>
      <c r="AL640" s="25"/>
      <c r="AM640" s="25"/>
      <c r="AN640" s="25"/>
      <c r="AO640" s="25"/>
      <c r="AP640" s="25"/>
      <c r="AQ640" s="25"/>
      <c r="AR640" s="25"/>
      <c r="AS640" s="25"/>
      <c r="AT640" s="25"/>
      <c r="AU640" s="25"/>
    </row>
    <row r="641">
      <c r="A641" s="25"/>
      <c r="B641" s="25"/>
      <c r="C641" s="25"/>
      <c r="D641" s="25"/>
      <c r="E641" s="25"/>
      <c r="F641" s="25"/>
      <c r="G641" s="5"/>
      <c r="H641" s="5"/>
      <c r="I641" s="5"/>
      <c r="J641" s="5"/>
      <c r="K641" s="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  <c r="AB641" s="25"/>
      <c r="AC641" s="25"/>
      <c r="AD641" s="25"/>
      <c r="AE641" s="25"/>
      <c r="AF641" s="25"/>
      <c r="AG641" s="25"/>
      <c r="AH641" s="25"/>
      <c r="AI641" s="25"/>
      <c r="AJ641" s="25"/>
      <c r="AK641" s="25"/>
      <c r="AL641" s="25"/>
      <c r="AM641" s="25"/>
      <c r="AN641" s="25"/>
      <c r="AO641" s="25"/>
      <c r="AP641" s="25"/>
      <c r="AQ641" s="25"/>
      <c r="AR641" s="25"/>
      <c r="AS641" s="25"/>
      <c r="AT641" s="25"/>
      <c r="AU641" s="25"/>
    </row>
    <row r="642">
      <c r="A642" s="25"/>
      <c r="B642" s="25"/>
      <c r="C642" s="25"/>
      <c r="D642" s="25"/>
      <c r="E642" s="25"/>
      <c r="F642" s="25"/>
      <c r="G642" s="5"/>
      <c r="H642" s="5"/>
      <c r="I642" s="5"/>
      <c r="J642" s="5"/>
      <c r="K642" s="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  <c r="AB642" s="25"/>
      <c r="AC642" s="25"/>
      <c r="AD642" s="25"/>
      <c r="AE642" s="25"/>
      <c r="AF642" s="25"/>
      <c r="AG642" s="25"/>
      <c r="AH642" s="25"/>
      <c r="AI642" s="25"/>
      <c r="AJ642" s="25"/>
      <c r="AK642" s="25"/>
      <c r="AL642" s="25"/>
      <c r="AM642" s="25"/>
      <c r="AN642" s="25"/>
      <c r="AO642" s="25"/>
      <c r="AP642" s="25"/>
      <c r="AQ642" s="25"/>
      <c r="AR642" s="25"/>
      <c r="AS642" s="25"/>
      <c r="AT642" s="25"/>
      <c r="AU642" s="25"/>
    </row>
    <row r="643">
      <c r="A643" s="25"/>
      <c r="B643" s="25"/>
      <c r="C643" s="25"/>
      <c r="D643" s="25"/>
      <c r="E643" s="25"/>
      <c r="F643" s="25"/>
      <c r="G643" s="5"/>
      <c r="H643" s="5"/>
      <c r="I643" s="5"/>
      <c r="J643" s="5"/>
      <c r="K643" s="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  <c r="AB643" s="25"/>
      <c r="AC643" s="25"/>
      <c r="AD643" s="25"/>
      <c r="AE643" s="25"/>
      <c r="AF643" s="25"/>
      <c r="AG643" s="25"/>
      <c r="AH643" s="25"/>
      <c r="AI643" s="25"/>
      <c r="AJ643" s="25"/>
      <c r="AK643" s="25"/>
      <c r="AL643" s="25"/>
      <c r="AM643" s="25"/>
      <c r="AN643" s="25"/>
      <c r="AO643" s="25"/>
      <c r="AP643" s="25"/>
      <c r="AQ643" s="25"/>
      <c r="AR643" s="25"/>
      <c r="AS643" s="25"/>
      <c r="AT643" s="25"/>
      <c r="AU643" s="25"/>
    </row>
    <row r="644">
      <c r="A644" s="25"/>
      <c r="B644" s="25"/>
      <c r="C644" s="25"/>
      <c r="D644" s="25"/>
      <c r="E644" s="25"/>
      <c r="F644" s="25"/>
      <c r="G644" s="5"/>
      <c r="H644" s="5"/>
      <c r="I644" s="5"/>
      <c r="J644" s="5"/>
      <c r="K644" s="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  <c r="AB644" s="25"/>
      <c r="AC644" s="25"/>
      <c r="AD644" s="25"/>
      <c r="AE644" s="25"/>
      <c r="AF644" s="25"/>
      <c r="AG644" s="25"/>
      <c r="AH644" s="25"/>
      <c r="AI644" s="25"/>
      <c r="AJ644" s="25"/>
      <c r="AK644" s="25"/>
      <c r="AL644" s="25"/>
      <c r="AM644" s="25"/>
      <c r="AN644" s="25"/>
      <c r="AO644" s="25"/>
      <c r="AP644" s="25"/>
      <c r="AQ644" s="25"/>
      <c r="AR644" s="25"/>
      <c r="AS644" s="25"/>
      <c r="AT644" s="25"/>
      <c r="AU644" s="25"/>
    </row>
    <row r="645">
      <c r="A645" s="25"/>
      <c r="B645" s="25"/>
      <c r="C645" s="25"/>
      <c r="D645" s="25"/>
      <c r="E645" s="25"/>
      <c r="F645" s="25"/>
      <c r="G645" s="5"/>
      <c r="H645" s="5"/>
      <c r="I645" s="5"/>
      <c r="J645" s="5"/>
      <c r="K645" s="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  <c r="AB645" s="25"/>
      <c r="AC645" s="25"/>
      <c r="AD645" s="25"/>
      <c r="AE645" s="25"/>
      <c r="AF645" s="25"/>
      <c r="AG645" s="25"/>
      <c r="AH645" s="25"/>
      <c r="AI645" s="25"/>
      <c r="AJ645" s="25"/>
      <c r="AK645" s="25"/>
      <c r="AL645" s="25"/>
      <c r="AM645" s="25"/>
      <c r="AN645" s="25"/>
      <c r="AO645" s="25"/>
      <c r="AP645" s="25"/>
      <c r="AQ645" s="25"/>
      <c r="AR645" s="25"/>
      <c r="AS645" s="25"/>
      <c r="AT645" s="25"/>
      <c r="AU645" s="25"/>
    </row>
    <row r="646">
      <c r="A646" s="25"/>
      <c r="B646" s="25"/>
      <c r="C646" s="25"/>
      <c r="D646" s="25"/>
      <c r="E646" s="25"/>
      <c r="F646" s="25"/>
      <c r="G646" s="5"/>
      <c r="H646" s="5"/>
      <c r="I646" s="5"/>
      <c r="J646" s="5"/>
      <c r="K646" s="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  <c r="AB646" s="25"/>
      <c r="AC646" s="25"/>
      <c r="AD646" s="25"/>
      <c r="AE646" s="25"/>
      <c r="AF646" s="25"/>
      <c r="AG646" s="25"/>
      <c r="AH646" s="25"/>
      <c r="AI646" s="25"/>
      <c r="AJ646" s="25"/>
      <c r="AK646" s="25"/>
      <c r="AL646" s="25"/>
      <c r="AM646" s="25"/>
      <c r="AN646" s="25"/>
      <c r="AO646" s="25"/>
      <c r="AP646" s="25"/>
      <c r="AQ646" s="25"/>
      <c r="AR646" s="25"/>
      <c r="AS646" s="25"/>
      <c r="AT646" s="25"/>
      <c r="AU646" s="25"/>
    </row>
    <row r="647">
      <c r="A647" s="25"/>
      <c r="B647" s="25"/>
      <c r="C647" s="25"/>
      <c r="D647" s="25"/>
      <c r="E647" s="25"/>
      <c r="F647" s="25"/>
      <c r="G647" s="5"/>
      <c r="H647" s="5"/>
      <c r="I647" s="5"/>
      <c r="J647" s="5"/>
      <c r="K647" s="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  <c r="AB647" s="25"/>
      <c r="AC647" s="25"/>
      <c r="AD647" s="25"/>
      <c r="AE647" s="25"/>
      <c r="AF647" s="25"/>
      <c r="AG647" s="25"/>
      <c r="AH647" s="25"/>
      <c r="AI647" s="25"/>
      <c r="AJ647" s="25"/>
      <c r="AK647" s="25"/>
      <c r="AL647" s="25"/>
      <c r="AM647" s="25"/>
      <c r="AN647" s="25"/>
      <c r="AO647" s="25"/>
      <c r="AP647" s="25"/>
      <c r="AQ647" s="25"/>
      <c r="AR647" s="25"/>
      <c r="AS647" s="25"/>
      <c r="AT647" s="25"/>
      <c r="AU647" s="25"/>
    </row>
    <row r="648">
      <c r="A648" s="25"/>
      <c r="B648" s="25"/>
      <c r="C648" s="25"/>
      <c r="D648" s="25"/>
      <c r="E648" s="25"/>
      <c r="F648" s="25"/>
      <c r="G648" s="5"/>
      <c r="H648" s="5"/>
      <c r="I648" s="5"/>
      <c r="J648" s="5"/>
      <c r="K648" s="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  <c r="AB648" s="25"/>
      <c r="AC648" s="25"/>
      <c r="AD648" s="25"/>
      <c r="AE648" s="25"/>
      <c r="AF648" s="25"/>
      <c r="AG648" s="25"/>
      <c r="AH648" s="25"/>
      <c r="AI648" s="25"/>
      <c r="AJ648" s="25"/>
      <c r="AK648" s="25"/>
      <c r="AL648" s="25"/>
      <c r="AM648" s="25"/>
      <c r="AN648" s="25"/>
      <c r="AO648" s="25"/>
      <c r="AP648" s="25"/>
      <c r="AQ648" s="25"/>
      <c r="AR648" s="25"/>
      <c r="AS648" s="25"/>
      <c r="AT648" s="25"/>
      <c r="AU648" s="25"/>
    </row>
    <row r="649">
      <c r="A649" s="25"/>
      <c r="B649" s="25"/>
      <c r="C649" s="25"/>
      <c r="D649" s="25"/>
      <c r="E649" s="25"/>
      <c r="F649" s="25"/>
      <c r="G649" s="5"/>
      <c r="H649" s="5"/>
      <c r="I649" s="5"/>
      <c r="J649" s="5"/>
      <c r="K649" s="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  <c r="AB649" s="25"/>
      <c r="AC649" s="25"/>
      <c r="AD649" s="25"/>
      <c r="AE649" s="25"/>
      <c r="AF649" s="25"/>
      <c r="AG649" s="25"/>
      <c r="AH649" s="25"/>
      <c r="AI649" s="25"/>
      <c r="AJ649" s="25"/>
      <c r="AK649" s="25"/>
      <c r="AL649" s="25"/>
      <c r="AM649" s="25"/>
      <c r="AN649" s="25"/>
      <c r="AO649" s="25"/>
      <c r="AP649" s="25"/>
      <c r="AQ649" s="25"/>
      <c r="AR649" s="25"/>
      <c r="AS649" s="25"/>
      <c r="AT649" s="25"/>
      <c r="AU649" s="25"/>
    </row>
    <row r="650">
      <c r="A650" s="25"/>
      <c r="B650" s="25"/>
      <c r="C650" s="25"/>
      <c r="D650" s="25"/>
      <c r="E650" s="25"/>
      <c r="F650" s="25"/>
      <c r="G650" s="5"/>
      <c r="H650" s="5"/>
      <c r="I650" s="5"/>
      <c r="J650" s="5"/>
      <c r="K650" s="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  <c r="AB650" s="25"/>
      <c r="AC650" s="25"/>
      <c r="AD650" s="25"/>
      <c r="AE650" s="25"/>
      <c r="AF650" s="25"/>
      <c r="AG650" s="25"/>
      <c r="AH650" s="25"/>
      <c r="AI650" s="25"/>
      <c r="AJ650" s="25"/>
      <c r="AK650" s="25"/>
      <c r="AL650" s="25"/>
      <c r="AM650" s="25"/>
      <c r="AN650" s="25"/>
      <c r="AO650" s="25"/>
      <c r="AP650" s="25"/>
      <c r="AQ650" s="25"/>
      <c r="AR650" s="25"/>
      <c r="AS650" s="25"/>
      <c r="AT650" s="25"/>
      <c r="AU650" s="25"/>
    </row>
    <row r="651">
      <c r="A651" s="25"/>
      <c r="B651" s="25"/>
      <c r="C651" s="25"/>
      <c r="D651" s="25"/>
      <c r="E651" s="25"/>
      <c r="F651" s="25"/>
      <c r="G651" s="5"/>
      <c r="H651" s="5"/>
      <c r="I651" s="5"/>
      <c r="J651" s="5"/>
      <c r="K651" s="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  <c r="AB651" s="25"/>
      <c r="AC651" s="25"/>
      <c r="AD651" s="25"/>
      <c r="AE651" s="25"/>
      <c r="AF651" s="25"/>
      <c r="AG651" s="25"/>
      <c r="AH651" s="25"/>
      <c r="AI651" s="25"/>
      <c r="AJ651" s="25"/>
      <c r="AK651" s="25"/>
      <c r="AL651" s="25"/>
      <c r="AM651" s="25"/>
      <c r="AN651" s="25"/>
      <c r="AO651" s="25"/>
      <c r="AP651" s="25"/>
      <c r="AQ651" s="25"/>
      <c r="AR651" s="25"/>
      <c r="AS651" s="25"/>
      <c r="AT651" s="25"/>
      <c r="AU651" s="25"/>
    </row>
    <row r="652">
      <c r="A652" s="25"/>
      <c r="B652" s="25"/>
      <c r="C652" s="25"/>
      <c r="D652" s="25"/>
      <c r="E652" s="25"/>
      <c r="F652" s="25"/>
      <c r="G652" s="5"/>
      <c r="H652" s="5"/>
      <c r="I652" s="5"/>
      <c r="J652" s="5"/>
      <c r="K652" s="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  <c r="AB652" s="25"/>
      <c r="AC652" s="25"/>
      <c r="AD652" s="25"/>
      <c r="AE652" s="25"/>
      <c r="AF652" s="25"/>
      <c r="AG652" s="25"/>
      <c r="AH652" s="25"/>
      <c r="AI652" s="25"/>
      <c r="AJ652" s="25"/>
      <c r="AK652" s="25"/>
      <c r="AL652" s="25"/>
      <c r="AM652" s="25"/>
      <c r="AN652" s="25"/>
      <c r="AO652" s="25"/>
      <c r="AP652" s="25"/>
      <c r="AQ652" s="25"/>
      <c r="AR652" s="25"/>
      <c r="AS652" s="25"/>
      <c r="AT652" s="25"/>
      <c r="AU652" s="25"/>
    </row>
    <row r="653">
      <c r="A653" s="25"/>
      <c r="B653" s="25"/>
      <c r="C653" s="25"/>
      <c r="D653" s="25"/>
      <c r="E653" s="25"/>
      <c r="F653" s="25"/>
      <c r="G653" s="5"/>
      <c r="H653" s="5"/>
      <c r="I653" s="5"/>
      <c r="J653" s="5"/>
      <c r="K653" s="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  <c r="AB653" s="25"/>
      <c r="AC653" s="25"/>
      <c r="AD653" s="25"/>
      <c r="AE653" s="25"/>
      <c r="AF653" s="25"/>
      <c r="AG653" s="25"/>
      <c r="AH653" s="25"/>
      <c r="AI653" s="25"/>
      <c r="AJ653" s="25"/>
      <c r="AK653" s="25"/>
      <c r="AL653" s="25"/>
      <c r="AM653" s="25"/>
      <c r="AN653" s="25"/>
      <c r="AO653" s="25"/>
      <c r="AP653" s="25"/>
      <c r="AQ653" s="25"/>
      <c r="AR653" s="25"/>
      <c r="AS653" s="25"/>
      <c r="AT653" s="25"/>
      <c r="AU653" s="25"/>
    </row>
    <row r="654">
      <c r="A654" s="25"/>
      <c r="B654" s="25"/>
      <c r="C654" s="25"/>
      <c r="D654" s="25"/>
      <c r="E654" s="25"/>
      <c r="F654" s="25"/>
      <c r="G654" s="5"/>
      <c r="H654" s="5"/>
      <c r="I654" s="5"/>
      <c r="J654" s="5"/>
      <c r="K654" s="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  <c r="AB654" s="25"/>
      <c r="AC654" s="25"/>
      <c r="AD654" s="25"/>
      <c r="AE654" s="25"/>
      <c r="AF654" s="25"/>
      <c r="AG654" s="25"/>
      <c r="AH654" s="25"/>
      <c r="AI654" s="25"/>
      <c r="AJ654" s="25"/>
      <c r="AK654" s="25"/>
      <c r="AL654" s="25"/>
      <c r="AM654" s="25"/>
      <c r="AN654" s="25"/>
      <c r="AO654" s="25"/>
      <c r="AP654" s="25"/>
      <c r="AQ654" s="25"/>
      <c r="AR654" s="25"/>
      <c r="AS654" s="25"/>
      <c r="AT654" s="25"/>
      <c r="AU654" s="25"/>
    </row>
    <row r="655">
      <c r="A655" s="25"/>
      <c r="B655" s="25"/>
      <c r="C655" s="25"/>
      <c r="D655" s="25"/>
      <c r="E655" s="25"/>
      <c r="F655" s="25"/>
      <c r="G655" s="5"/>
      <c r="H655" s="5"/>
      <c r="I655" s="5"/>
      <c r="J655" s="5"/>
      <c r="K655" s="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  <c r="AB655" s="25"/>
      <c r="AC655" s="25"/>
      <c r="AD655" s="25"/>
      <c r="AE655" s="25"/>
      <c r="AF655" s="25"/>
      <c r="AG655" s="25"/>
      <c r="AH655" s="25"/>
      <c r="AI655" s="25"/>
      <c r="AJ655" s="25"/>
      <c r="AK655" s="25"/>
      <c r="AL655" s="25"/>
      <c r="AM655" s="25"/>
      <c r="AN655" s="25"/>
      <c r="AO655" s="25"/>
      <c r="AP655" s="25"/>
      <c r="AQ655" s="25"/>
      <c r="AR655" s="25"/>
      <c r="AS655" s="25"/>
      <c r="AT655" s="25"/>
      <c r="AU655" s="25"/>
    </row>
    <row r="656">
      <c r="A656" s="25"/>
      <c r="B656" s="25"/>
      <c r="C656" s="25"/>
      <c r="D656" s="25"/>
      <c r="E656" s="25"/>
      <c r="F656" s="25"/>
      <c r="G656" s="5"/>
      <c r="H656" s="5"/>
      <c r="I656" s="5"/>
      <c r="J656" s="5"/>
      <c r="K656" s="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  <c r="AB656" s="25"/>
      <c r="AC656" s="25"/>
      <c r="AD656" s="25"/>
      <c r="AE656" s="25"/>
      <c r="AF656" s="25"/>
      <c r="AG656" s="25"/>
      <c r="AH656" s="25"/>
      <c r="AI656" s="25"/>
      <c r="AJ656" s="25"/>
      <c r="AK656" s="25"/>
      <c r="AL656" s="25"/>
      <c r="AM656" s="25"/>
      <c r="AN656" s="25"/>
      <c r="AO656" s="25"/>
      <c r="AP656" s="25"/>
      <c r="AQ656" s="25"/>
      <c r="AR656" s="25"/>
      <c r="AS656" s="25"/>
      <c r="AT656" s="25"/>
      <c r="AU656" s="25"/>
    </row>
    <row r="657">
      <c r="A657" s="25"/>
      <c r="B657" s="25"/>
      <c r="C657" s="25"/>
      <c r="D657" s="25"/>
      <c r="E657" s="25"/>
      <c r="F657" s="25"/>
      <c r="G657" s="5"/>
      <c r="H657" s="5"/>
      <c r="I657" s="5"/>
      <c r="J657" s="5"/>
      <c r="K657" s="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  <c r="AB657" s="25"/>
      <c r="AC657" s="25"/>
      <c r="AD657" s="25"/>
      <c r="AE657" s="25"/>
      <c r="AF657" s="25"/>
      <c r="AG657" s="25"/>
      <c r="AH657" s="25"/>
      <c r="AI657" s="25"/>
      <c r="AJ657" s="25"/>
      <c r="AK657" s="25"/>
      <c r="AL657" s="25"/>
      <c r="AM657" s="25"/>
      <c r="AN657" s="25"/>
      <c r="AO657" s="25"/>
      <c r="AP657" s="25"/>
      <c r="AQ657" s="25"/>
      <c r="AR657" s="25"/>
      <c r="AS657" s="25"/>
      <c r="AT657" s="25"/>
      <c r="AU657" s="25"/>
    </row>
    <row r="658">
      <c r="A658" s="25"/>
      <c r="B658" s="25"/>
      <c r="C658" s="25"/>
      <c r="D658" s="25"/>
      <c r="E658" s="25"/>
      <c r="F658" s="25"/>
      <c r="G658" s="5"/>
      <c r="H658" s="5"/>
      <c r="I658" s="5"/>
      <c r="J658" s="5"/>
      <c r="K658" s="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  <c r="AB658" s="25"/>
      <c r="AC658" s="25"/>
      <c r="AD658" s="25"/>
      <c r="AE658" s="25"/>
      <c r="AF658" s="25"/>
      <c r="AG658" s="25"/>
      <c r="AH658" s="25"/>
      <c r="AI658" s="25"/>
      <c r="AJ658" s="25"/>
      <c r="AK658" s="25"/>
      <c r="AL658" s="25"/>
      <c r="AM658" s="25"/>
      <c r="AN658" s="25"/>
      <c r="AO658" s="25"/>
      <c r="AP658" s="25"/>
      <c r="AQ658" s="25"/>
      <c r="AR658" s="25"/>
      <c r="AS658" s="25"/>
      <c r="AT658" s="25"/>
      <c r="AU658" s="25"/>
    </row>
    <row r="659">
      <c r="A659" s="25"/>
      <c r="B659" s="25"/>
      <c r="C659" s="25"/>
      <c r="D659" s="25"/>
      <c r="E659" s="25"/>
      <c r="F659" s="25"/>
      <c r="G659" s="5"/>
      <c r="H659" s="5"/>
      <c r="I659" s="5"/>
      <c r="J659" s="5"/>
      <c r="K659" s="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  <c r="AB659" s="25"/>
      <c r="AC659" s="25"/>
      <c r="AD659" s="25"/>
      <c r="AE659" s="25"/>
      <c r="AF659" s="25"/>
      <c r="AG659" s="25"/>
      <c r="AH659" s="25"/>
      <c r="AI659" s="25"/>
      <c r="AJ659" s="25"/>
      <c r="AK659" s="25"/>
      <c r="AL659" s="25"/>
      <c r="AM659" s="25"/>
      <c r="AN659" s="25"/>
      <c r="AO659" s="25"/>
      <c r="AP659" s="25"/>
      <c r="AQ659" s="25"/>
      <c r="AR659" s="25"/>
      <c r="AS659" s="25"/>
      <c r="AT659" s="25"/>
      <c r="AU659" s="25"/>
    </row>
    <row r="660">
      <c r="A660" s="25"/>
      <c r="B660" s="25"/>
      <c r="C660" s="25"/>
      <c r="D660" s="25"/>
      <c r="E660" s="25"/>
      <c r="F660" s="25"/>
      <c r="G660" s="5"/>
      <c r="H660" s="5"/>
      <c r="I660" s="5"/>
      <c r="J660" s="5"/>
      <c r="K660" s="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  <c r="AB660" s="25"/>
      <c r="AC660" s="25"/>
      <c r="AD660" s="25"/>
      <c r="AE660" s="25"/>
      <c r="AF660" s="25"/>
      <c r="AG660" s="25"/>
      <c r="AH660" s="25"/>
      <c r="AI660" s="25"/>
      <c r="AJ660" s="25"/>
      <c r="AK660" s="25"/>
      <c r="AL660" s="25"/>
      <c r="AM660" s="25"/>
      <c r="AN660" s="25"/>
      <c r="AO660" s="25"/>
      <c r="AP660" s="25"/>
      <c r="AQ660" s="25"/>
      <c r="AR660" s="25"/>
      <c r="AS660" s="25"/>
      <c r="AT660" s="25"/>
      <c r="AU660" s="25"/>
    </row>
    <row r="661">
      <c r="A661" s="25"/>
      <c r="B661" s="25"/>
      <c r="C661" s="25"/>
      <c r="D661" s="25"/>
      <c r="E661" s="25"/>
      <c r="F661" s="25"/>
      <c r="G661" s="5"/>
      <c r="H661" s="5"/>
      <c r="I661" s="5"/>
      <c r="J661" s="5"/>
      <c r="K661" s="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  <c r="AB661" s="25"/>
      <c r="AC661" s="25"/>
      <c r="AD661" s="25"/>
      <c r="AE661" s="25"/>
      <c r="AF661" s="25"/>
      <c r="AG661" s="25"/>
      <c r="AH661" s="25"/>
      <c r="AI661" s="25"/>
      <c r="AJ661" s="25"/>
      <c r="AK661" s="25"/>
      <c r="AL661" s="25"/>
      <c r="AM661" s="25"/>
      <c r="AN661" s="25"/>
      <c r="AO661" s="25"/>
      <c r="AP661" s="25"/>
      <c r="AQ661" s="25"/>
      <c r="AR661" s="25"/>
      <c r="AS661" s="25"/>
      <c r="AT661" s="25"/>
      <c r="AU661" s="25"/>
    </row>
    <row r="662">
      <c r="A662" s="25"/>
      <c r="B662" s="25"/>
      <c r="C662" s="25"/>
      <c r="D662" s="25"/>
      <c r="E662" s="25"/>
      <c r="F662" s="25"/>
      <c r="G662" s="5"/>
      <c r="H662" s="5"/>
      <c r="I662" s="5"/>
      <c r="J662" s="5"/>
      <c r="K662" s="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  <c r="AB662" s="25"/>
      <c r="AC662" s="25"/>
      <c r="AD662" s="25"/>
      <c r="AE662" s="25"/>
      <c r="AF662" s="25"/>
      <c r="AG662" s="25"/>
      <c r="AH662" s="25"/>
      <c r="AI662" s="25"/>
      <c r="AJ662" s="25"/>
      <c r="AK662" s="25"/>
      <c r="AL662" s="25"/>
      <c r="AM662" s="25"/>
      <c r="AN662" s="25"/>
      <c r="AO662" s="25"/>
      <c r="AP662" s="25"/>
      <c r="AQ662" s="25"/>
      <c r="AR662" s="25"/>
      <c r="AS662" s="25"/>
      <c r="AT662" s="25"/>
      <c r="AU662" s="25"/>
    </row>
    <row r="663">
      <c r="A663" s="25"/>
      <c r="B663" s="25"/>
      <c r="C663" s="25"/>
      <c r="D663" s="25"/>
      <c r="E663" s="25"/>
      <c r="F663" s="25"/>
      <c r="G663" s="5"/>
      <c r="H663" s="5"/>
      <c r="I663" s="5"/>
      <c r="J663" s="5"/>
      <c r="K663" s="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  <c r="AB663" s="25"/>
      <c r="AC663" s="25"/>
      <c r="AD663" s="25"/>
      <c r="AE663" s="25"/>
      <c r="AF663" s="25"/>
      <c r="AG663" s="25"/>
      <c r="AH663" s="25"/>
      <c r="AI663" s="25"/>
      <c r="AJ663" s="25"/>
      <c r="AK663" s="25"/>
      <c r="AL663" s="25"/>
      <c r="AM663" s="25"/>
      <c r="AN663" s="25"/>
      <c r="AO663" s="25"/>
      <c r="AP663" s="25"/>
      <c r="AQ663" s="25"/>
      <c r="AR663" s="25"/>
      <c r="AS663" s="25"/>
      <c r="AT663" s="25"/>
      <c r="AU663" s="25"/>
    </row>
    <row r="664">
      <c r="A664" s="25"/>
      <c r="B664" s="25"/>
      <c r="C664" s="25"/>
      <c r="D664" s="25"/>
      <c r="E664" s="25"/>
      <c r="F664" s="25"/>
      <c r="G664" s="5"/>
      <c r="H664" s="5"/>
      <c r="I664" s="5"/>
      <c r="J664" s="5"/>
      <c r="K664" s="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  <c r="AB664" s="25"/>
      <c r="AC664" s="25"/>
      <c r="AD664" s="25"/>
      <c r="AE664" s="25"/>
      <c r="AF664" s="25"/>
      <c r="AG664" s="25"/>
      <c r="AH664" s="25"/>
      <c r="AI664" s="25"/>
      <c r="AJ664" s="25"/>
      <c r="AK664" s="25"/>
      <c r="AL664" s="25"/>
      <c r="AM664" s="25"/>
      <c r="AN664" s="25"/>
      <c r="AO664" s="25"/>
      <c r="AP664" s="25"/>
      <c r="AQ664" s="25"/>
      <c r="AR664" s="25"/>
      <c r="AS664" s="25"/>
      <c r="AT664" s="25"/>
      <c r="AU664" s="25"/>
    </row>
    <row r="665">
      <c r="A665" s="25"/>
      <c r="B665" s="25"/>
      <c r="C665" s="25"/>
      <c r="D665" s="25"/>
      <c r="E665" s="25"/>
      <c r="F665" s="25"/>
      <c r="G665" s="5"/>
      <c r="H665" s="5"/>
      <c r="I665" s="5"/>
      <c r="J665" s="5"/>
      <c r="K665" s="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  <c r="AB665" s="25"/>
      <c r="AC665" s="25"/>
      <c r="AD665" s="25"/>
      <c r="AE665" s="25"/>
      <c r="AF665" s="25"/>
      <c r="AG665" s="25"/>
      <c r="AH665" s="25"/>
      <c r="AI665" s="25"/>
      <c r="AJ665" s="25"/>
      <c r="AK665" s="25"/>
      <c r="AL665" s="25"/>
      <c r="AM665" s="25"/>
      <c r="AN665" s="25"/>
      <c r="AO665" s="25"/>
      <c r="AP665" s="25"/>
      <c r="AQ665" s="25"/>
      <c r="AR665" s="25"/>
      <c r="AS665" s="25"/>
      <c r="AT665" s="25"/>
      <c r="AU665" s="25"/>
    </row>
    <row r="666">
      <c r="A666" s="25"/>
      <c r="B666" s="25"/>
      <c r="C666" s="25"/>
      <c r="D666" s="25"/>
      <c r="E666" s="25"/>
      <c r="F666" s="25"/>
      <c r="G666" s="5"/>
      <c r="H666" s="5"/>
      <c r="I666" s="5"/>
      <c r="J666" s="5"/>
      <c r="K666" s="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  <c r="AB666" s="25"/>
      <c r="AC666" s="25"/>
      <c r="AD666" s="25"/>
      <c r="AE666" s="25"/>
      <c r="AF666" s="25"/>
      <c r="AG666" s="25"/>
      <c r="AH666" s="25"/>
      <c r="AI666" s="25"/>
      <c r="AJ666" s="25"/>
      <c r="AK666" s="25"/>
      <c r="AL666" s="25"/>
      <c r="AM666" s="25"/>
      <c r="AN666" s="25"/>
      <c r="AO666" s="25"/>
      <c r="AP666" s="25"/>
      <c r="AQ666" s="25"/>
      <c r="AR666" s="25"/>
      <c r="AS666" s="25"/>
      <c r="AT666" s="25"/>
      <c r="AU666" s="25"/>
    </row>
    <row r="667">
      <c r="A667" s="25"/>
      <c r="B667" s="25"/>
      <c r="C667" s="25"/>
      <c r="D667" s="25"/>
      <c r="E667" s="25"/>
      <c r="F667" s="25"/>
      <c r="G667" s="5"/>
      <c r="H667" s="5"/>
      <c r="I667" s="5"/>
      <c r="J667" s="5"/>
      <c r="K667" s="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  <c r="AB667" s="25"/>
      <c r="AC667" s="25"/>
      <c r="AD667" s="25"/>
      <c r="AE667" s="25"/>
      <c r="AF667" s="25"/>
      <c r="AG667" s="25"/>
      <c r="AH667" s="25"/>
      <c r="AI667" s="25"/>
      <c r="AJ667" s="25"/>
      <c r="AK667" s="25"/>
      <c r="AL667" s="25"/>
      <c r="AM667" s="25"/>
      <c r="AN667" s="25"/>
      <c r="AO667" s="25"/>
      <c r="AP667" s="25"/>
      <c r="AQ667" s="25"/>
      <c r="AR667" s="25"/>
      <c r="AS667" s="25"/>
      <c r="AT667" s="25"/>
      <c r="AU667" s="25"/>
    </row>
    <row r="668">
      <c r="A668" s="25"/>
      <c r="B668" s="25"/>
      <c r="C668" s="25"/>
      <c r="D668" s="25"/>
      <c r="E668" s="25"/>
      <c r="F668" s="25"/>
      <c r="G668" s="5"/>
      <c r="H668" s="5"/>
      <c r="I668" s="5"/>
      <c r="J668" s="5"/>
      <c r="K668" s="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  <c r="AB668" s="25"/>
      <c r="AC668" s="25"/>
      <c r="AD668" s="25"/>
      <c r="AE668" s="25"/>
      <c r="AF668" s="25"/>
      <c r="AG668" s="25"/>
      <c r="AH668" s="25"/>
      <c r="AI668" s="25"/>
      <c r="AJ668" s="25"/>
      <c r="AK668" s="25"/>
      <c r="AL668" s="25"/>
      <c r="AM668" s="25"/>
      <c r="AN668" s="25"/>
      <c r="AO668" s="25"/>
      <c r="AP668" s="25"/>
      <c r="AQ668" s="25"/>
      <c r="AR668" s="25"/>
      <c r="AS668" s="25"/>
      <c r="AT668" s="25"/>
      <c r="AU668" s="25"/>
    </row>
    <row r="669">
      <c r="A669" s="25"/>
      <c r="B669" s="25"/>
      <c r="C669" s="25"/>
      <c r="D669" s="25"/>
      <c r="E669" s="25"/>
      <c r="F669" s="25"/>
      <c r="G669" s="5"/>
      <c r="H669" s="5"/>
      <c r="I669" s="5"/>
      <c r="J669" s="5"/>
      <c r="K669" s="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  <c r="AB669" s="25"/>
      <c r="AC669" s="25"/>
      <c r="AD669" s="25"/>
      <c r="AE669" s="25"/>
      <c r="AF669" s="25"/>
      <c r="AG669" s="25"/>
      <c r="AH669" s="25"/>
      <c r="AI669" s="25"/>
      <c r="AJ669" s="25"/>
      <c r="AK669" s="25"/>
      <c r="AL669" s="25"/>
      <c r="AM669" s="25"/>
      <c r="AN669" s="25"/>
      <c r="AO669" s="25"/>
      <c r="AP669" s="25"/>
      <c r="AQ669" s="25"/>
      <c r="AR669" s="25"/>
      <c r="AS669" s="25"/>
      <c r="AT669" s="25"/>
      <c r="AU669" s="25"/>
    </row>
    <row r="670">
      <c r="A670" s="25"/>
      <c r="B670" s="25"/>
      <c r="C670" s="25"/>
      <c r="D670" s="25"/>
      <c r="E670" s="25"/>
      <c r="F670" s="25"/>
      <c r="G670" s="5"/>
      <c r="H670" s="5"/>
      <c r="I670" s="5"/>
      <c r="J670" s="5"/>
      <c r="K670" s="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  <c r="AB670" s="25"/>
      <c r="AC670" s="25"/>
      <c r="AD670" s="25"/>
      <c r="AE670" s="25"/>
      <c r="AF670" s="25"/>
      <c r="AG670" s="25"/>
      <c r="AH670" s="25"/>
      <c r="AI670" s="25"/>
      <c r="AJ670" s="25"/>
      <c r="AK670" s="25"/>
      <c r="AL670" s="25"/>
      <c r="AM670" s="25"/>
      <c r="AN670" s="25"/>
      <c r="AO670" s="25"/>
      <c r="AP670" s="25"/>
      <c r="AQ670" s="25"/>
      <c r="AR670" s="25"/>
      <c r="AS670" s="25"/>
      <c r="AT670" s="25"/>
      <c r="AU670" s="25"/>
    </row>
    <row r="671">
      <c r="A671" s="25"/>
      <c r="B671" s="25"/>
      <c r="C671" s="25"/>
      <c r="D671" s="25"/>
      <c r="E671" s="25"/>
      <c r="F671" s="25"/>
      <c r="G671" s="5"/>
      <c r="H671" s="5"/>
      <c r="I671" s="5"/>
      <c r="J671" s="5"/>
      <c r="K671" s="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  <c r="AB671" s="25"/>
      <c r="AC671" s="25"/>
      <c r="AD671" s="25"/>
      <c r="AE671" s="25"/>
      <c r="AF671" s="25"/>
      <c r="AG671" s="25"/>
      <c r="AH671" s="25"/>
      <c r="AI671" s="25"/>
      <c r="AJ671" s="25"/>
      <c r="AK671" s="25"/>
      <c r="AL671" s="25"/>
      <c r="AM671" s="25"/>
      <c r="AN671" s="25"/>
      <c r="AO671" s="25"/>
      <c r="AP671" s="25"/>
      <c r="AQ671" s="25"/>
      <c r="AR671" s="25"/>
      <c r="AS671" s="25"/>
      <c r="AT671" s="25"/>
      <c r="AU671" s="25"/>
    </row>
    <row r="672">
      <c r="A672" s="25"/>
      <c r="B672" s="25"/>
      <c r="C672" s="25"/>
      <c r="D672" s="25"/>
      <c r="E672" s="25"/>
      <c r="F672" s="25"/>
      <c r="G672" s="5"/>
      <c r="H672" s="5"/>
      <c r="I672" s="5"/>
      <c r="J672" s="5"/>
      <c r="K672" s="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  <c r="AB672" s="25"/>
      <c r="AC672" s="25"/>
      <c r="AD672" s="25"/>
      <c r="AE672" s="25"/>
      <c r="AF672" s="25"/>
      <c r="AG672" s="25"/>
      <c r="AH672" s="25"/>
      <c r="AI672" s="25"/>
      <c r="AJ672" s="25"/>
      <c r="AK672" s="25"/>
      <c r="AL672" s="25"/>
      <c r="AM672" s="25"/>
      <c r="AN672" s="25"/>
      <c r="AO672" s="25"/>
      <c r="AP672" s="25"/>
      <c r="AQ672" s="25"/>
      <c r="AR672" s="25"/>
      <c r="AS672" s="25"/>
      <c r="AT672" s="25"/>
      <c r="AU672" s="25"/>
    </row>
    <row r="673">
      <c r="A673" s="25"/>
      <c r="B673" s="25"/>
      <c r="C673" s="25"/>
      <c r="D673" s="25"/>
      <c r="E673" s="25"/>
      <c r="F673" s="25"/>
      <c r="G673" s="5"/>
      <c r="H673" s="5"/>
      <c r="I673" s="5"/>
      <c r="J673" s="5"/>
      <c r="K673" s="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  <c r="AB673" s="25"/>
      <c r="AC673" s="25"/>
      <c r="AD673" s="25"/>
      <c r="AE673" s="25"/>
      <c r="AF673" s="25"/>
      <c r="AG673" s="25"/>
      <c r="AH673" s="25"/>
      <c r="AI673" s="25"/>
      <c r="AJ673" s="25"/>
      <c r="AK673" s="25"/>
      <c r="AL673" s="25"/>
      <c r="AM673" s="25"/>
      <c r="AN673" s="25"/>
      <c r="AO673" s="25"/>
      <c r="AP673" s="25"/>
      <c r="AQ673" s="25"/>
      <c r="AR673" s="25"/>
      <c r="AS673" s="25"/>
      <c r="AT673" s="25"/>
      <c r="AU673" s="25"/>
    </row>
    <row r="674">
      <c r="A674" s="25"/>
      <c r="B674" s="25"/>
      <c r="C674" s="25"/>
      <c r="D674" s="25"/>
      <c r="E674" s="25"/>
      <c r="F674" s="25"/>
      <c r="G674" s="5"/>
      <c r="H674" s="5"/>
      <c r="I674" s="5"/>
      <c r="J674" s="5"/>
      <c r="K674" s="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  <c r="AB674" s="25"/>
      <c r="AC674" s="25"/>
      <c r="AD674" s="25"/>
      <c r="AE674" s="25"/>
      <c r="AF674" s="25"/>
      <c r="AG674" s="25"/>
      <c r="AH674" s="25"/>
      <c r="AI674" s="25"/>
      <c r="AJ674" s="25"/>
      <c r="AK674" s="25"/>
      <c r="AL674" s="25"/>
      <c r="AM674" s="25"/>
      <c r="AN674" s="25"/>
      <c r="AO674" s="25"/>
      <c r="AP674" s="25"/>
      <c r="AQ674" s="25"/>
      <c r="AR674" s="25"/>
      <c r="AS674" s="25"/>
      <c r="AT674" s="25"/>
      <c r="AU674" s="25"/>
    </row>
    <row r="675">
      <c r="A675" s="25"/>
      <c r="B675" s="25"/>
      <c r="C675" s="25"/>
      <c r="D675" s="25"/>
      <c r="E675" s="25"/>
      <c r="F675" s="25"/>
      <c r="G675" s="5"/>
      <c r="H675" s="5"/>
      <c r="I675" s="5"/>
      <c r="J675" s="5"/>
      <c r="K675" s="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  <c r="AB675" s="25"/>
      <c r="AC675" s="25"/>
      <c r="AD675" s="25"/>
      <c r="AE675" s="25"/>
      <c r="AF675" s="25"/>
      <c r="AG675" s="25"/>
      <c r="AH675" s="25"/>
      <c r="AI675" s="25"/>
      <c r="AJ675" s="25"/>
      <c r="AK675" s="25"/>
      <c r="AL675" s="25"/>
      <c r="AM675" s="25"/>
      <c r="AN675" s="25"/>
      <c r="AO675" s="25"/>
      <c r="AP675" s="25"/>
      <c r="AQ675" s="25"/>
      <c r="AR675" s="25"/>
      <c r="AS675" s="25"/>
      <c r="AT675" s="25"/>
      <c r="AU675" s="25"/>
    </row>
    <row r="676">
      <c r="A676" s="25"/>
      <c r="B676" s="25"/>
      <c r="C676" s="25"/>
      <c r="D676" s="25"/>
      <c r="E676" s="25"/>
      <c r="F676" s="25"/>
      <c r="G676" s="5"/>
      <c r="H676" s="5"/>
      <c r="I676" s="5"/>
      <c r="J676" s="5"/>
      <c r="K676" s="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  <c r="AB676" s="25"/>
      <c r="AC676" s="25"/>
      <c r="AD676" s="25"/>
      <c r="AE676" s="25"/>
      <c r="AF676" s="25"/>
      <c r="AG676" s="25"/>
      <c r="AH676" s="25"/>
      <c r="AI676" s="25"/>
      <c r="AJ676" s="25"/>
      <c r="AK676" s="25"/>
      <c r="AL676" s="25"/>
      <c r="AM676" s="25"/>
      <c r="AN676" s="25"/>
      <c r="AO676" s="25"/>
      <c r="AP676" s="25"/>
      <c r="AQ676" s="25"/>
      <c r="AR676" s="25"/>
      <c r="AS676" s="25"/>
      <c r="AT676" s="25"/>
      <c r="AU676" s="25"/>
    </row>
    <row r="677">
      <c r="A677" s="25"/>
      <c r="B677" s="25"/>
      <c r="C677" s="25"/>
      <c r="D677" s="25"/>
      <c r="E677" s="25"/>
      <c r="F677" s="25"/>
      <c r="G677" s="5"/>
      <c r="H677" s="5"/>
      <c r="I677" s="5"/>
      <c r="J677" s="5"/>
      <c r="K677" s="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  <c r="AB677" s="25"/>
      <c r="AC677" s="25"/>
      <c r="AD677" s="25"/>
      <c r="AE677" s="25"/>
      <c r="AF677" s="25"/>
      <c r="AG677" s="25"/>
      <c r="AH677" s="25"/>
      <c r="AI677" s="25"/>
      <c r="AJ677" s="25"/>
      <c r="AK677" s="25"/>
      <c r="AL677" s="25"/>
      <c r="AM677" s="25"/>
      <c r="AN677" s="25"/>
      <c r="AO677" s="25"/>
      <c r="AP677" s="25"/>
      <c r="AQ677" s="25"/>
      <c r="AR677" s="25"/>
      <c r="AS677" s="25"/>
      <c r="AT677" s="25"/>
      <c r="AU677" s="25"/>
    </row>
    <row r="678">
      <c r="A678" s="25"/>
      <c r="B678" s="25"/>
      <c r="C678" s="25"/>
      <c r="D678" s="25"/>
      <c r="E678" s="25"/>
      <c r="F678" s="25"/>
      <c r="G678" s="5"/>
      <c r="H678" s="5"/>
      <c r="I678" s="5"/>
      <c r="J678" s="5"/>
      <c r="K678" s="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  <c r="AB678" s="25"/>
      <c r="AC678" s="25"/>
      <c r="AD678" s="25"/>
      <c r="AE678" s="25"/>
      <c r="AF678" s="25"/>
      <c r="AG678" s="25"/>
      <c r="AH678" s="25"/>
      <c r="AI678" s="25"/>
      <c r="AJ678" s="25"/>
      <c r="AK678" s="25"/>
      <c r="AL678" s="25"/>
      <c r="AM678" s="25"/>
      <c r="AN678" s="25"/>
      <c r="AO678" s="25"/>
      <c r="AP678" s="25"/>
      <c r="AQ678" s="25"/>
      <c r="AR678" s="25"/>
      <c r="AS678" s="25"/>
      <c r="AT678" s="25"/>
      <c r="AU678" s="25"/>
    </row>
    <row r="679">
      <c r="A679" s="25"/>
      <c r="B679" s="25"/>
      <c r="C679" s="25"/>
      <c r="D679" s="25"/>
      <c r="E679" s="25"/>
      <c r="F679" s="25"/>
      <c r="G679" s="5"/>
      <c r="H679" s="5"/>
      <c r="I679" s="5"/>
      <c r="J679" s="5"/>
      <c r="K679" s="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  <c r="AB679" s="25"/>
      <c r="AC679" s="25"/>
      <c r="AD679" s="25"/>
      <c r="AE679" s="25"/>
      <c r="AF679" s="25"/>
      <c r="AG679" s="25"/>
      <c r="AH679" s="25"/>
      <c r="AI679" s="25"/>
      <c r="AJ679" s="25"/>
      <c r="AK679" s="25"/>
      <c r="AL679" s="25"/>
      <c r="AM679" s="25"/>
      <c r="AN679" s="25"/>
      <c r="AO679" s="25"/>
      <c r="AP679" s="25"/>
      <c r="AQ679" s="25"/>
      <c r="AR679" s="25"/>
      <c r="AS679" s="25"/>
      <c r="AT679" s="25"/>
      <c r="AU679" s="25"/>
    </row>
    <row r="680">
      <c r="A680" s="25"/>
      <c r="B680" s="25"/>
      <c r="C680" s="25"/>
      <c r="D680" s="25"/>
      <c r="E680" s="25"/>
      <c r="F680" s="25"/>
      <c r="G680" s="5"/>
      <c r="H680" s="5"/>
      <c r="I680" s="5"/>
      <c r="J680" s="5"/>
      <c r="K680" s="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  <c r="AB680" s="25"/>
      <c r="AC680" s="25"/>
      <c r="AD680" s="25"/>
      <c r="AE680" s="25"/>
      <c r="AF680" s="25"/>
      <c r="AG680" s="25"/>
      <c r="AH680" s="25"/>
      <c r="AI680" s="25"/>
      <c r="AJ680" s="25"/>
      <c r="AK680" s="25"/>
      <c r="AL680" s="25"/>
      <c r="AM680" s="25"/>
      <c r="AN680" s="25"/>
      <c r="AO680" s="25"/>
      <c r="AP680" s="25"/>
      <c r="AQ680" s="25"/>
      <c r="AR680" s="25"/>
      <c r="AS680" s="25"/>
      <c r="AT680" s="25"/>
      <c r="AU680" s="25"/>
    </row>
    <row r="681">
      <c r="A681" s="25"/>
      <c r="B681" s="25"/>
      <c r="C681" s="25"/>
      <c r="D681" s="25"/>
      <c r="E681" s="25"/>
      <c r="F681" s="25"/>
      <c r="G681" s="5"/>
      <c r="H681" s="5"/>
      <c r="I681" s="5"/>
      <c r="J681" s="5"/>
      <c r="K681" s="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  <c r="AB681" s="25"/>
      <c r="AC681" s="25"/>
      <c r="AD681" s="25"/>
      <c r="AE681" s="25"/>
      <c r="AF681" s="25"/>
      <c r="AG681" s="25"/>
      <c r="AH681" s="25"/>
      <c r="AI681" s="25"/>
      <c r="AJ681" s="25"/>
      <c r="AK681" s="25"/>
      <c r="AL681" s="25"/>
      <c r="AM681" s="25"/>
      <c r="AN681" s="25"/>
      <c r="AO681" s="25"/>
      <c r="AP681" s="25"/>
      <c r="AQ681" s="25"/>
      <c r="AR681" s="25"/>
      <c r="AS681" s="25"/>
      <c r="AT681" s="25"/>
      <c r="AU681" s="25"/>
    </row>
    <row r="682">
      <c r="A682" s="25"/>
      <c r="B682" s="25"/>
      <c r="C682" s="25"/>
      <c r="D682" s="25"/>
      <c r="E682" s="25"/>
      <c r="F682" s="25"/>
      <c r="G682" s="5"/>
      <c r="H682" s="5"/>
      <c r="I682" s="5"/>
      <c r="J682" s="5"/>
      <c r="K682" s="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  <c r="AB682" s="25"/>
      <c r="AC682" s="25"/>
      <c r="AD682" s="25"/>
      <c r="AE682" s="25"/>
      <c r="AF682" s="25"/>
      <c r="AG682" s="25"/>
      <c r="AH682" s="25"/>
      <c r="AI682" s="25"/>
      <c r="AJ682" s="25"/>
      <c r="AK682" s="25"/>
      <c r="AL682" s="25"/>
      <c r="AM682" s="25"/>
      <c r="AN682" s="25"/>
      <c r="AO682" s="25"/>
      <c r="AP682" s="25"/>
      <c r="AQ682" s="25"/>
      <c r="AR682" s="25"/>
      <c r="AS682" s="25"/>
      <c r="AT682" s="25"/>
      <c r="AU682" s="25"/>
    </row>
    <row r="683">
      <c r="A683" s="25"/>
      <c r="B683" s="25"/>
      <c r="C683" s="25"/>
      <c r="D683" s="25"/>
      <c r="E683" s="25"/>
      <c r="F683" s="25"/>
      <c r="G683" s="5"/>
      <c r="H683" s="5"/>
      <c r="I683" s="5"/>
      <c r="J683" s="5"/>
      <c r="K683" s="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  <c r="AB683" s="25"/>
      <c r="AC683" s="25"/>
      <c r="AD683" s="25"/>
      <c r="AE683" s="25"/>
      <c r="AF683" s="25"/>
      <c r="AG683" s="25"/>
      <c r="AH683" s="25"/>
      <c r="AI683" s="25"/>
      <c r="AJ683" s="25"/>
      <c r="AK683" s="25"/>
      <c r="AL683" s="25"/>
      <c r="AM683" s="25"/>
      <c r="AN683" s="25"/>
      <c r="AO683" s="25"/>
      <c r="AP683" s="25"/>
      <c r="AQ683" s="25"/>
      <c r="AR683" s="25"/>
      <c r="AS683" s="25"/>
      <c r="AT683" s="25"/>
      <c r="AU683" s="25"/>
    </row>
    <row r="684">
      <c r="A684" s="25"/>
      <c r="B684" s="25"/>
      <c r="C684" s="25"/>
      <c r="D684" s="25"/>
      <c r="E684" s="25"/>
      <c r="F684" s="25"/>
      <c r="G684" s="5"/>
      <c r="H684" s="5"/>
      <c r="I684" s="5"/>
      <c r="J684" s="5"/>
      <c r="K684" s="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  <c r="AB684" s="25"/>
      <c r="AC684" s="25"/>
      <c r="AD684" s="25"/>
      <c r="AE684" s="25"/>
      <c r="AF684" s="25"/>
      <c r="AG684" s="25"/>
      <c r="AH684" s="25"/>
      <c r="AI684" s="25"/>
      <c r="AJ684" s="25"/>
      <c r="AK684" s="25"/>
      <c r="AL684" s="25"/>
      <c r="AM684" s="25"/>
      <c r="AN684" s="25"/>
      <c r="AO684" s="25"/>
      <c r="AP684" s="25"/>
      <c r="AQ684" s="25"/>
      <c r="AR684" s="25"/>
      <c r="AS684" s="25"/>
      <c r="AT684" s="25"/>
      <c r="AU684" s="25"/>
    </row>
    <row r="685">
      <c r="A685" s="25"/>
      <c r="B685" s="25"/>
      <c r="C685" s="25"/>
      <c r="D685" s="25"/>
      <c r="E685" s="25"/>
      <c r="F685" s="25"/>
      <c r="G685" s="5"/>
      <c r="H685" s="5"/>
      <c r="I685" s="5"/>
      <c r="J685" s="5"/>
      <c r="K685" s="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  <c r="AB685" s="25"/>
      <c r="AC685" s="25"/>
      <c r="AD685" s="25"/>
      <c r="AE685" s="25"/>
      <c r="AF685" s="25"/>
      <c r="AG685" s="25"/>
      <c r="AH685" s="25"/>
      <c r="AI685" s="25"/>
      <c r="AJ685" s="25"/>
      <c r="AK685" s="25"/>
      <c r="AL685" s="25"/>
      <c r="AM685" s="25"/>
      <c r="AN685" s="25"/>
      <c r="AO685" s="25"/>
      <c r="AP685" s="25"/>
      <c r="AQ685" s="25"/>
      <c r="AR685" s="25"/>
      <c r="AS685" s="25"/>
      <c r="AT685" s="25"/>
      <c r="AU685" s="25"/>
    </row>
    <row r="686">
      <c r="A686" s="25"/>
      <c r="B686" s="25"/>
      <c r="C686" s="25"/>
      <c r="D686" s="25"/>
      <c r="E686" s="25"/>
      <c r="F686" s="25"/>
      <c r="G686" s="5"/>
      <c r="H686" s="5"/>
      <c r="I686" s="5"/>
      <c r="J686" s="5"/>
      <c r="K686" s="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  <c r="AB686" s="25"/>
      <c r="AC686" s="25"/>
      <c r="AD686" s="25"/>
      <c r="AE686" s="25"/>
      <c r="AF686" s="25"/>
      <c r="AG686" s="25"/>
      <c r="AH686" s="25"/>
      <c r="AI686" s="25"/>
      <c r="AJ686" s="25"/>
      <c r="AK686" s="25"/>
      <c r="AL686" s="25"/>
      <c r="AM686" s="25"/>
      <c r="AN686" s="25"/>
      <c r="AO686" s="25"/>
      <c r="AP686" s="25"/>
      <c r="AQ686" s="25"/>
      <c r="AR686" s="25"/>
      <c r="AS686" s="25"/>
      <c r="AT686" s="25"/>
      <c r="AU686" s="25"/>
    </row>
    <row r="687">
      <c r="A687" s="25"/>
      <c r="B687" s="25"/>
      <c r="C687" s="25"/>
      <c r="D687" s="25"/>
      <c r="E687" s="25"/>
      <c r="F687" s="25"/>
      <c r="G687" s="5"/>
      <c r="H687" s="5"/>
      <c r="I687" s="5"/>
      <c r="J687" s="5"/>
      <c r="K687" s="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  <c r="AB687" s="25"/>
      <c r="AC687" s="25"/>
      <c r="AD687" s="25"/>
      <c r="AE687" s="25"/>
      <c r="AF687" s="25"/>
      <c r="AG687" s="25"/>
      <c r="AH687" s="25"/>
      <c r="AI687" s="25"/>
      <c r="AJ687" s="25"/>
      <c r="AK687" s="25"/>
      <c r="AL687" s="25"/>
      <c r="AM687" s="25"/>
      <c r="AN687" s="25"/>
      <c r="AO687" s="25"/>
      <c r="AP687" s="25"/>
      <c r="AQ687" s="25"/>
      <c r="AR687" s="25"/>
      <c r="AS687" s="25"/>
      <c r="AT687" s="25"/>
      <c r="AU687" s="25"/>
    </row>
    <row r="688">
      <c r="A688" s="25"/>
      <c r="B688" s="25"/>
      <c r="C688" s="25"/>
      <c r="D688" s="25"/>
      <c r="E688" s="25"/>
      <c r="F688" s="25"/>
      <c r="G688" s="5"/>
      <c r="H688" s="5"/>
      <c r="I688" s="5"/>
      <c r="J688" s="5"/>
      <c r="K688" s="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  <c r="AB688" s="25"/>
      <c r="AC688" s="25"/>
      <c r="AD688" s="25"/>
      <c r="AE688" s="25"/>
      <c r="AF688" s="25"/>
      <c r="AG688" s="25"/>
      <c r="AH688" s="25"/>
      <c r="AI688" s="25"/>
      <c r="AJ688" s="25"/>
      <c r="AK688" s="25"/>
      <c r="AL688" s="25"/>
      <c r="AM688" s="25"/>
      <c r="AN688" s="25"/>
      <c r="AO688" s="25"/>
      <c r="AP688" s="25"/>
      <c r="AQ688" s="25"/>
      <c r="AR688" s="25"/>
      <c r="AS688" s="25"/>
      <c r="AT688" s="25"/>
      <c r="AU688" s="25"/>
    </row>
    <row r="689">
      <c r="A689" s="25"/>
      <c r="B689" s="25"/>
      <c r="C689" s="25"/>
      <c r="D689" s="25"/>
      <c r="E689" s="25"/>
      <c r="F689" s="25"/>
      <c r="G689" s="5"/>
      <c r="H689" s="5"/>
      <c r="I689" s="5"/>
      <c r="J689" s="5"/>
      <c r="K689" s="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  <c r="AB689" s="25"/>
      <c r="AC689" s="25"/>
      <c r="AD689" s="25"/>
      <c r="AE689" s="25"/>
      <c r="AF689" s="25"/>
      <c r="AG689" s="25"/>
      <c r="AH689" s="25"/>
      <c r="AI689" s="25"/>
      <c r="AJ689" s="25"/>
      <c r="AK689" s="25"/>
      <c r="AL689" s="25"/>
      <c r="AM689" s="25"/>
      <c r="AN689" s="25"/>
      <c r="AO689" s="25"/>
      <c r="AP689" s="25"/>
      <c r="AQ689" s="25"/>
      <c r="AR689" s="25"/>
      <c r="AS689" s="25"/>
      <c r="AT689" s="25"/>
      <c r="AU689" s="25"/>
    </row>
    <row r="690">
      <c r="A690" s="25"/>
      <c r="B690" s="25"/>
      <c r="C690" s="25"/>
      <c r="D690" s="25"/>
      <c r="E690" s="25"/>
      <c r="F690" s="25"/>
      <c r="G690" s="5"/>
      <c r="H690" s="5"/>
      <c r="I690" s="5"/>
      <c r="J690" s="5"/>
      <c r="K690" s="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  <c r="AB690" s="25"/>
      <c r="AC690" s="25"/>
      <c r="AD690" s="25"/>
      <c r="AE690" s="25"/>
      <c r="AF690" s="25"/>
      <c r="AG690" s="25"/>
      <c r="AH690" s="25"/>
      <c r="AI690" s="25"/>
      <c r="AJ690" s="25"/>
      <c r="AK690" s="25"/>
      <c r="AL690" s="25"/>
      <c r="AM690" s="25"/>
      <c r="AN690" s="25"/>
      <c r="AO690" s="25"/>
      <c r="AP690" s="25"/>
      <c r="AQ690" s="25"/>
      <c r="AR690" s="25"/>
      <c r="AS690" s="25"/>
      <c r="AT690" s="25"/>
      <c r="AU690" s="25"/>
    </row>
    <row r="691">
      <c r="A691" s="25"/>
      <c r="B691" s="25"/>
      <c r="C691" s="25"/>
      <c r="D691" s="25"/>
      <c r="E691" s="25"/>
      <c r="F691" s="25"/>
      <c r="G691" s="5"/>
      <c r="H691" s="5"/>
      <c r="I691" s="5"/>
      <c r="J691" s="5"/>
      <c r="K691" s="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  <c r="AB691" s="25"/>
      <c r="AC691" s="25"/>
      <c r="AD691" s="25"/>
      <c r="AE691" s="25"/>
      <c r="AF691" s="25"/>
      <c r="AG691" s="25"/>
      <c r="AH691" s="25"/>
      <c r="AI691" s="25"/>
      <c r="AJ691" s="25"/>
      <c r="AK691" s="25"/>
      <c r="AL691" s="25"/>
      <c r="AM691" s="25"/>
      <c r="AN691" s="25"/>
      <c r="AO691" s="25"/>
      <c r="AP691" s="25"/>
      <c r="AQ691" s="25"/>
      <c r="AR691" s="25"/>
      <c r="AS691" s="25"/>
      <c r="AT691" s="25"/>
      <c r="AU691" s="25"/>
    </row>
    <row r="692">
      <c r="A692" s="25"/>
      <c r="B692" s="25"/>
      <c r="C692" s="25"/>
      <c r="D692" s="25"/>
      <c r="E692" s="25"/>
      <c r="F692" s="25"/>
      <c r="G692" s="5"/>
      <c r="H692" s="5"/>
      <c r="I692" s="5"/>
      <c r="J692" s="5"/>
      <c r="K692" s="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  <c r="AB692" s="25"/>
      <c r="AC692" s="25"/>
      <c r="AD692" s="25"/>
      <c r="AE692" s="25"/>
      <c r="AF692" s="25"/>
      <c r="AG692" s="25"/>
      <c r="AH692" s="25"/>
      <c r="AI692" s="25"/>
      <c r="AJ692" s="25"/>
      <c r="AK692" s="25"/>
      <c r="AL692" s="25"/>
      <c r="AM692" s="25"/>
      <c r="AN692" s="25"/>
      <c r="AO692" s="25"/>
      <c r="AP692" s="25"/>
      <c r="AQ692" s="25"/>
      <c r="AR692" s="25"/>
      <c r="AS692" s="25"/>
      <c r="AT692" s="25"/>
      <c r="AU692" s="25"/>
    </row>
    <row r="693">
      <c r="A693" s="25"/>
      <c r="B693" s="25"/>
      <c r="C693" s="25"/>
      <c r="D693" s="25"/>
      <c r="E693" s="25"/>
      <c r="F693" s="25"/>
      <c r="G693" s="5"/>
      <c r="H693" s="5"/>
      <c r="I693" s="5"/>
      <c r="J693" s="5"/>
      <c r="K693" s="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  <c r="AB693" s="25"/>
      <c r="AC693" s="25"/>
      <c r="AD693" s="25"/>
      <c r="AE693" s="25"/>
      <c r="AF693" s="25"/>
      <c r="AG693" s="25"/>
      <c r="AH693" s="25"/>
      <c r="AI693" s="25"/>
      <c r="AJ693" s="25"/>
      <c r="AK693" s="25"/>
      <c r="AL693" s="25"/>
      <c r="AM693" s="25"/>
      <c r="AN693" s="25"/>
      <c r="AO693" s="25"/>
      <c r="AP693" s="25"/>
      <c r="AQ693" s="25"/>
      <c r="AR693" s="25"/>
      <c r="AS693" s="25"/>
      <c r="AT693" s="25"/>
      <c r="AU693" s="25"/>
    </row>
    <row r="694">
      <c r="A694" s="25"/>
      <c r="B694" s="25"/>
      <c r="C694" s="25"/>
      <c r="D694" s="25"/>
      <c r="E694" s="25"/>
      <c r="F694" s="25"/>
      <c r="G694" s="5"/>
      <c r="H694" s="5"/>
      <c r="I694" s="5"/>
      <c r="J694" s="5"/>
      <c r="K694" s="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  <c r="AB694" s="25"/>
      <c r="AC694" s="25"/>
      <c r="AD694" s="25"/>
      <c r="AE694" s="25"/>
      <c r="AF694" s="25"/>
      <c r="AG694" s="25"/>
      <c r="AH694" s="25"/>
      <c r="AI694" s="25"/>
      <c r="AJ694" s="25"/>
      <c r="AK694" s="25"/>
      <c r="AL694" s="25"/>
      <c r="AM694" s="25"/>
      <c r="AN694" s="25"/>
      <c r="AO694" s="25"/>
      <c r="AP694" s="25"/>
      <c r="AQ694" s="25"/>
      <c r="AR694" s="25"/>
      <c r="AS694" s="25"/>
      <c r="AT694" s="25"/>
      <c r="AU694" s="25"/>
    </row>
    <row r="695">
      <c r="A695" s="25"/>
      <c r="B695" s="25"/>
      <c r="C695" s="25"/>
      <c r="D695" s="25"/>
      <c r="E695" s="25"/>
      <c r="F695" s="25"/>
      <c r="G695" s="5"/>
      <c r="H695" s="5"/>
      <c r="I695" s="5"/>
      <c r="J695" s="5"/>
      <c r="K695" s="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  <c r="AB695" s="25"/>
      <c r="AC695" s="25"/>
      <c r="AD695" s="25"/>
      <c r="AE695" s="25"/>
      <c r="AF695" s="25"/>
      <c r="AG695" s="25"/>
      <c r="AH695" s="25"/>
      <c r="AI695" s="25"/>
      <c r="AJ695" s="25"/>
      <c r="AK695" s="25"/>
      <c r="AL695" s="25"/>
      <c r="AM695" s="25"/>
      <c r="AN695" s="25"/>
      <c r="AO695" s="25"/>
      <c r="AP695" s="25"/>
      <c r="AQ695" s="25"/>
      <c r="AR695" s="25"/>
      <c r="AS695" s="25"/>
      <c r="AT695" s="25"/>
      <c r="AU695" s="25"/>
    </row>
    <row r="696">
      <c r="A696" s="25"/>
      <c r="B696" s="25"/>
      <c r="C696" s="25"/>
      <c r="D696" s="25"/>
      <c r="E696" s="25"/>
      <c r="F696" s="25"/>
      <c r="G696" s="5"/>
      <c r="H696" s="5"/>
      <c r="I696" s="5"/>
      <c r="J696" s="5"/>
      <c r="K696" s="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  <c r="AB696" s="25"/>
      <c r="AC696" s="25"/>
      <c r="AD696" s="25"/>
      <c r="AE696" s="25"/>
      <c r="AF696" s="25"/>
      <c r="AG696" s="25"/>
      <c r="AH696" s="25"/>
      <c r="AI696" s="25"/>
      <c r="AJ696" s="25"/>
      <c r="AK696" s="25"/>
      <c r="AL696" s="25"/>
      <c r="AM696" s="25"/>
      <c r="AN696" s="25"/>
      <c r="AO696" s="25"/>
      <c r="AP696" s="25"/>
      <c r="AQ696" s="25"/>
      <c r="AR696" s="25"/>
      <c r="AS696" s="25"/>
      <c r="AT696" s="25"/>
      <c r="AU696" s="25"/>
    </row>
    <row r="697">
      <c r="A697" s="25"/>
      <c r="B697" s="25"/>
      <c r="C697" s="25"/>
      <c r="D697" s="25"/>
      <c r="E697" s="25"/>
      <c r="F697" s="25"/>
      <c r="G697" s="5"/>
      <c r="H697" s="5"/>
      <c r="I697" s="5"/>
      <c r="J697" s="5"/>
      <c r="K697" s="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  <c r="AB697" s="25"/>
      <c r="AC697" s="25"/>
      <c r="AD697" s="25"/>
      <c r="AE697" s="25"/>
      <c r="AF697" s="25"/>
      <c r="AG697" s="25"/>
      <c r="AH697" s="25"/>
      <c r="AI697" s="25"/>
      <c r="AJ697" s="25"/>
      <c r="AK697" s="25"/>
      <c r="AL697" s="25"/>
      <c r="AM697" s="25"/>
      <c r="AN697" s="25"/>
      <c r="AO697" s="25"/>
      <c r="AP697" s="25"/>
      <c r="AQ697" s="25"/>
      <c r="AR697" s="25"/>
      <c r="AS697" s="25"/>
      <c r="AT697" s="25"/>
      <c r="AU697" s="25"/>
    </row>
    <row r="698">
      <c r="A698" s="25"/>
      <c r="B698" s="25"/>
      <c r="C698" s="25"/>
      <c r="D698" s="25"/>
      <c r="E698" s="25"/>
      <c r="F698" s="25"/>
      <c r="G698" s="5"/>
      <c r="H698" s="5"/>
      <c r="I698" s="5"/>
      <c r="J698" s="5"/>
      <c r="K698" s="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  <c r="AB698" s="25"/>
      <c r="AC698" s="25"/>
      <c r="AD698" s="25"/>
      <c r="AE698" s="25"/>
      <c r="AF698" s="25"/>
      <c r="AG698" s="25"/>
      <c r="AH698" s="25"/>
      <c r="AI698" s="25"/>
      <c r="AJ698" s="25"/>
      <c r="AK698" s="25"/>
      <c r="AL698" s="25"/>
      <c r="AM698" s="25"/>
      <c r="AN698" s="25"/>
      <c r="AO698" s="25"/>
      <c r="AP698" s="25"/>
      <c r="AQ698" s="25"/>
      <c r="AR698" s="25"/>
      <c r="AS698" s="25"/>
      <c r="AT698" s="25"/>
      <c r="AU698" s="25"/>
    </row>
    <row r="699">
      <c r="A699" s="25"/>
      <c r="B699" s="25"/>
      <c r="C699" s="25"/>
      <c r="D699" s="25"/>
      <c r="E699" s="25"/>
      <c r="F699" s="25"/>
      <c r="G699" s="5"/>
      <c r="H699" s="5"/>
      <c r="I699" s="5"/>
      <c r="J699" s="5"/>
      <c r="K699" s="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  <c r="AB699" s="25"/>
      <c r="AC699" s="25"/>
      <c r="AD699" s="25"/>
      <c r="AE699" s="25"/>
      <c r="AF699" s="25"/>
      <c r="AG699" s="25"/>
      <c r="AH699" s="25"/>
      <c r="AI699" s="25"/>
      <c r="AJ699" s="25"/>
      <c r="AK699" s="25"/>
      <c r="AL699" s="25"/>
      <c r="AM699" s="25"/>
      <c r="AN699" s="25"/>
      <c r="AO699" s="25"/>
      <c r="AP699" s="25"/>
      <c r="AQ699" s="25"/>
      <c r="AR699" s="25"/>
      <c r="AS699" s="25"/>
      <c r="AT699" s="25"/>
      <c r="AU699" s="25"/>
    </row>
    <row r="700">
      <c r="A700" s="25"/>
      <c r="B700" s="25"/>
      <c r="C700" s="25"/>
      <c r="D700" s="25"/>
      <c r="E700" s="25"/>
      <c r="F700" s="25"/>
      <c r="G700" s="5"/>
      <c r="H700" s="5"/>
      <c r="I700" s="5"/>
      <c r="J700" s="5"/>
      <c r="K700" s="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  <c r="AB700" s="25"/>
      <c r="AC700" s="25"/>
      <c r="AD700" s="25"/>
      <c r="AE700" s="25"/>
      <c r="AF700" s="25"/>
      <c r="AG700" s="25"/>
      <c r="AH700" s="25"/>
      <c r="AI700" s="25"/>
      <c r="AJ700" s="25"/>
      <c r="AK700" s="25"/>
      <c r="AL700" s="25"/>
      <c r="AM700" s="25"/>
      <c r="AN700" s="25"/>
      <c r="AO700" s="25"/>
      <c r="AP700" s="25"/>
      <c r="AQ700" s="25"/>
      <c r="AR700" s="25"/>
      <c r="AS700" s="25"/>
      <c r="AT700" s="25"/>
      <c r="AU700" s="25"/>
    </row>
    <row r="701">
      <c r="A701" s="25"/>
      <c r="B701" s="25"/>
      <c r="C701" s="25"/>
      <c r="D701" s="25"/>
      <c r="E701" s="25"/>
      <c r="F701" s="25"/>
      <c r="G701" s="5"/>
      <c r="H701" s="5"/>
      <c r="I701" s="5"/>
      <c r="J701" s="5"/>
      <c r="K701" s="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  <c r="AC701" s="25"/>
      <c r="AD701" s="25"/>
      <c r="AE701" s="25"/>
      <c r="AF701" s="25"/>
      <c r="AG701" s="25"/>
      <c r="AH701" s="25"/>
      <c r="AI701" s="25"/>
      <c r="AJ701" s="25"/>
      <c r="AK701" s="25"/>
      <c r="AL701" s="25"/>
      <c r="AM701" s="25"/>
      <c r="AN701" s="25"/>
      <c r="AO701" s="25"/>
      <c r="AP701" s="25"/>
      <c r="AQ701" s="25"/>
      <c r="AR701" s="25"/>
      <c r="AS701" s="25"/>
      <c r="AT701" s="25"/>
      <c r="AU701" s="25"/>
    </row>
    <row r="702">
      <c r="A702" s="25"/>
      <c r="B702" s="25"/>
      <c r="C702" s="25"/>
      <c r="D702" s="25"/>
      <c r="E702" s="25"/>
      <c r="F702" s="25"/>
      <c r="G702" s="5"/>
      <c r="H702" s="5"/>
      <c r="I702" s="5"/>
      <c r="J702" s="5"/>
      <c r="K702" s="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  <c r="AC702" s="25"/>
      <c r="AD702" s="25"/>
      <c r="AE702" s="25"/>
      <c r="AF702" s="25"/>
      <c r="AG702" s="25"/>
      <c r="AH702" s="25"/>
      <c r="AI702" s="25"/>
      <c r="AJ702" s="25"/>
      <c r="AK702" s="25"/>
      <c r="AL702" s="25"/>
      <c r="AM702" s="25"/>
      <c r="AN702" s="25"/>
      <c r="AO702" s="25"/>
      <c r="AP702" s="25"/>
      <c r="AQ702" s="25"/>
      <c r="AR702" s="25"/>
      <c r="AS702" s="25"/>
      <c r="AT702" s="25"/>
      <c r="AU702" s="25"/>
    </row>
    <row r="703">
      <c r="A703" s="25"/>
      <c r="B703" s="25"/>
      <c r="C703" s="25"/>
      <c r="D703" s="25"/>
      <c r="E703" s="25"/>
      <c r="F703" s="25"/>
      <c r="G703" s="5"/>
      <c r="H703" s="5"/>
      <c r="I703" s="5"/>
      <c r="J703" s="5"/>
      <c r="K703" s="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  <c r="AB703" s="25"/>
      <c r="AC703" s="25"/>
      <c r="AD703" s="25"/>
      <c r="AE703" s="25"/>
      <c r="AF703" s="25"/>
      <c r="AG703" s="25"/>
      <c r="AH703" s="25"/>
      <c r="AI703" s="25"/>
      <c r="AJ703" s="25"/>
      <c r="AK703" s="25"/>
      <c r="AL703" s="25"/>
      <c r="AM703" s="25"/>
      <c r="AN703" s="25"/>
      <c r="AO703" s="25"/>
      <c r="AP703" s="25"/>
      <c r="AQ703" s="25"/>
      <c r="AR703" s="25"/>
      <c r="AS703" s="25"/>
      <c r="AT703" s="25"/>
      <c r="AU703" s="25"/>
    </row>
    <row r="704">
      <c r="A704" s="25"/>
      <c r="B704" s="25"/>
      <c r="C704" s="25"/>
      <c r="D704" s="25"/>
      <c r="E704" s="25"/>
      <c r="F704" s="25"/>
      <c r="G704" s="5"/>
      <c r="H704" s="5"/>
      <c r="I704" s="5"/>
      <c r="J704" s="5"/>
      <c r="K704" s="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  <c r="AB704" s="25"/>
      <c r="AC704" s="25"/>
      <c r="AD704" s="25"/>
      <c r="AE704" s="25"/>
      <c r="AF704" s="25"/>
      <c r="AG704" s="25"/>
      <c r="AH704" s="25"/>
      <c r="AI704" s="25"/>
      <c r="AJ704" s="25"/>
      <c r="AK704" s="25"/>
      <c r="AL704" s="25"/>
      <c r="AM704" s="25"/>
      <c r="AN704" s="25"/>
      <c r="AO704" s="25"/>
      <c r="AP704" s="25"/>
      <c r="AQ704" s="25"/>
      <c r="AR704" s="25"/>
      <c r="AS704" s="25"/>
      <c r="AT704" s="25"/>
      <c r="AU704" s="25"/>
    </row>
    <row r="705">
      <c r="A705" s="25"/>
      <c r="B705" s="25"/>
      <c r="C705" s="25"/>
      <c r="D705" s="25"/>
      <c r="E705" s="25"/>
      <c r="F705" s="25"/>
      <c r="G705" s="5"/>
      <c r="H705" s="5"/>
      <c r="I705" s="5"/>
      <c r="J705" s="5"/>
      <c r="K705" s="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  <c r="AB705" s="25"/>
      <c r="AC705" s="25"/>
      <c r="AD705" s="25"/>
      <c r="AE705" s="25"/>
      <c r="AF705" s="25"/>
      <c r="AG705" s="25"/>
      <c r="AH705" s="25"/>
      <c r="AI705" s="25"/>
      <c r="AJ705" s="25"/>
      <c r="AK705" s="25"/>
      <c r="AL705" s="25"/>
      <c r="AM705" s="25"/>
      <c r="AN705" s="25"/>
      <c r="AO705" s="25"/>
      <c r="AP705" s="25"/>
      <c r="AQ705" s="25"/>
      <c r="AR705" s="25"/>
      <c r="AS705" s="25"/>
      <c r="AT705" s="25"/>
      <c r="AU705" s="25"/>
    </row>
    <row r="706">
      <c r="A706" s="25"/>
      <c r="B706" s="25"/>
      <c r="C706" s="25"/>
      <c r="D706" s="25"/>
      <c r="E706" s="25"/>
      <c r="F706" s="25"/>
      <c r="G706" s="5"/>
      <c r="H706" s="5"/>
      <c r="I706" s="5"/>
      <c r="J706" s="5"/>
      <c r="K706" s="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  <c r="AB706" s="25"/>
      <c r="AC706" s="25"/>
      <c r="AD706" s="25"/>
      <c r="AE706" s="25"/>
      <c r="AF706" s="25"/>
      <c r="AG706" s="25"/>
      <c r="AH706" s="25"/>
      <c r="AI706" s="25"/>
      <c r="AJ706" s="25"/>
      <c r="AK706" s="25"/>
      <c r="AL706" s="25"/>
      <c r="AM706" s="25"/>
      <c r="AN706" s="25"/>
      <c r="AO706" s="25"/>
      <c r="AP706" s="25"/>
      <c r="AQ706" s="25"/>
      <c r="AR706" s="25"/>
      <c r="AS706" s="25"/>
      <c r="AT706" s="25"/>
      <c r="AU706" s="25"/>
    </row>
    <row r="707">
      <c r="A707" s="25"/>
      <c r="B707" s="25"/>
      <c r="C707" s="25"/>
      <c r="D707" s="25"/>
      <c r="E707" s="25"/>
      <c r="F707" s="25"/>
      <c r="G707" s="5"/>
      <c r="H707" s="5"/>
      <c r="I707" s="5"/>
      <c r="J707" s="5"/>
      <c r="K707" s="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  <c r="AB707" s="25"/>
      <c r="AC707" s="25"/>
      <c r="AD707" s="25"/>
      <c r="AE707" s="25"/>
      <c r="AF707" s="25"/>
      <c r="AG707" s="25"/>
      <c r="AH707" s="25"/>
      <c r="AI707" s="25"/>
      <c r="AJ707" s="25"/>
      <c r="AK707" s="25"/>
      <c r="AL707" s="25"/>
      <c r="AM707" s="25"/>
      <c r="AN707" s="25"/>
      <c r="AO707" s="25"/>
      <c r="AP707" s="25"/>
      <c r="AQ707" s="25"/>
      <c r="AR707" s="25"/>
      <c r="AS707" s="25"/>
      <c r="AT707" s="25"/>
      <c r="AU707" s="25"/>
    </row>
    <row r="708">
      <c r="A708" s="25"/>
      <c r="B708" s="25"/>
      <c r="C708" s="25"/>
      <c r="D708" s="25"/>
      <c r="E708" s="25"/>
      <c r="F708" s="25"/>
      <c r="G708" s="5"/>
      <c r="H708" s="5"/>
      <c r="I708" s="5"/>
      <c r="J708" s="5"/>
      <c r="K708" s="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  <c r="AB708" s="25"/>
      <c r="AC708" s="25"/>
      <c r="AD708" s="25"/>
      <c r="AE708" s="25"/>
      <c r="AF708" s="25"/>
      <c r="AG708" s="25"/>
      <c r="AH708" s="25"/>
      <c r="AI708" s="25"/>
      <c r="AJ708" s="25"/>
      <c r="AK708" s="25"/>
      <c r="AL708" s="25"/>
      <c r="AM708" s="25"/>
      <c r="AN708" s="25"/>
      <c r="AO708" s="25"/>
      <c r="AP708" s="25"/>
      <c r="AQ708" s="25"/>
      <c r="AR708" s="25"/>
      <c r="AS708" s="25"/>
      <c r="AT708" s="25"/>
      <c r="AU708" s="25"/>
    </row>
    <row r="709">
      <c r="A709" s="25"/>
      <c r="B709" s="25"/>
      <c r="C709" s="25"/>
      <c r="D709" s="25"/>
      <c r="E709" s="25"/>
      <c r="F709" s="25"/>
      <c r="G709" s="5"/>
      <c r="H709" s="5"/>
      <c r="I709" s="5"/>
      <c r="J709" s="5"/>
      <c r="K709" s="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  <c r="AB709" s="25"/>
      <c r="AC709" s="25"/>
      <c r="AD709" s="25"/>
      <c r="AE709" s="25"/>
      <c r="AF709" s="25"/>
      <c r="AG709" s="25"/>
      <c r="AH709" s="25"/>
      <c r="AI709" s="25"/>
      <c r="AJ709" s="25"/>
      <c r="AK709" s="25"/>
      <c r="AL709" s="25"/>
      <c r="AM709" s="25"/>
      <c r="AN709" s="25"/>
      <c r="AO709" s="25"/>
      <c r="AP709" s="25"/>
      <c r="AQ709" s="25"/>
      <c r="AR709" s="25"/>
      <c r="AS709" s="25"/>
      <c r="AT709" s="25"/>
      <c r="AU709" s="25"/>
    </row>
    <row r="710">
      <c r="A710" s="25"/>
      <c r="B710" s="25"/>
      <c r="C710" s="25"/>
      <c r="D710" s="25"/>
      <c r="E710" s="25"/>
      <c r="F710" s="25"/>
      <c r="G710" s="5"/>
      <c r="H710" s="5"/>
      <c r="I710" s="5"/>
      <c r="J710" s="5"/>
      <c r="K710" s="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  <c r="AB710" s="25"/>
      <c r="AC710" s="25"/>
      <c r="AD710" s="25"/>
      <c r="AE710" s="25"/>
      <c r="AF710" s="25"/>
      <c r="AG710" s="25"/>
      <c r="AH710" s="25"/>
      <c r="AI710" s="25"/>
      <c r="AJ710" s="25"/>
      <c r="AK710" s="25"/>
      <c r="AL710" s="25"/>
      <c r="AM710" s="25"/>
      <c r="AN710" s="25"/>
      <c r="AO710" s="25"/>
      <c r="AP710" s="25"/>
      <c r="AQ710" s="25"/>
      <c r="AR710" s="25"/>
      <c r="AS710" s="25"/>
      <c r="AT710" s="25"/>
      <c r="AU710" s="25"/>
    </row>
    <row r="711">
      <c r="A711" s="25"/>
      <c r="B711" s="25"/>
      <c r="C711" s="25"/>
      <c r="D711" s="25"/>
      <c r="E711" s="25"/>
      <c r="F711" s="25"/>
      <c r="G711" s="5"/>
      <c r="H711" s="5"/>
      <c r="I711" s="5"/>
      <c r="J711" s="5"/>
      <c r="K711" s="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  <c r="AB711" s="25"/>
      <c r="AC711" s="25"/>
      <c r="AD711" s="25"/>
      <c r="AE711" s="25"/>
      <c r="AF711" s="25"/>
      <c r="AG711" s="25"/>
      <c r="AH711" s="25"/>
      <c r="AI711" s="25"/>
      <c r="AJ711" s="25"/>
      <c r="AK711" s="25"/>
      <c r="AL711" s="25"/>
      <c r="AM711" s="25"/>
      <c r="AN711" s="25"/>
      <c r="AO711" s="25"/>
      <c r="AP711" s="25"/>
      <c r="AQ711" s="25"/>
      <c r="AR711" s="25"/>
      <c r="AS711" s="25"/>
      <c r="AT711" s="25"/>
      <c r="AU711" s="25"/>
    </row>
    <row r="712">
      <c r="A712" s="25"/>
      <c r="B712" s="25"/>
      <c r="C712" s="25"/>
      <c r="D712" s="25"/>
      <c r="E712" s="25"/>
      <c r="F712" s="25"/>
      <c r="G712" s="5"/>
      <c r="H712" s="5"/>
      <c r="I712" s="5"/>
      <c r="J712" s="5"/>
      <c r="K712" s="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  <c r="AB712" s="25"/>
      <c r="AC712" s="25"/>
      <c r="AD712" s="25"/>
      <c r="AE712" s="25"/>
      <c r="AF712" s="25"/>
      <c r="AG712" s="25"/>
      <c r="AH712" s="25"/>
      <c r="AI712" s="25"/>
      <c r="AJ712" s="25"/>
      <c r="AK712" s="25"/>
      <c r="AL712" s="25"/>
      <c r="AM712" s="25"/>
      <c r="AN712" s="25"/>
      <c r="AO712" s="25"/>
      <c r="AP712" s="25"/>
      <c r="AQ712" s="25"/>
      <c r="AR712" s="25"/>
      <c r="AS712" s="25"/>
      <c r="AT712" s="25"/>
      <c r="AU712" s="25"/>
    </row>
    <row r="713">
      <c r="A713" s="25"/>
      <c r="B713" s="25"/>
      <c r="C713" s="25"/>
      <c r="D713" s="25"/>
      <c r="E713" s="25"/>
      <c r="F713" s="25"/>
      <c r="G713" s="5"/>
      <c r="H713" s="5"/>
      <c r="I713" s="5"/>
      <c r="J713" s="5"/>
      <c r="K713" s="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  <c r="AB713" s="25"/>
      <c r="AC713" s="25"/>
      <c r="AD713" s="25"/>
      <c r="AE713" s="25"/>
      <c r="AF713" s="25"/>
      <c r="AG713" s="25"/>
      <c r="AH713" s="25"/>
      <c r="AI713" s="25"/>
      <c r="AJ713" s="25"/>
      <c r="AK713" s="25"/>
      <c r="AL713" s="25"/>
      <c r="AM713" s="25"/>
      <c r="AN713" s="25"/>
      <c r="AO713" s="25"/>
      <c r="AP713" s="25"/>
      <c r="AQ713" s="25"/>
      <c r="AR713" s="25"/>
      <c r="AS713" s="25"/>
      <c r="AT713" s="25"/>
      <c r="AU713" s="25"/>
    </row>
    <row r="714">
      <c r="A714" s="25"/>
      <c r="B714" s="25"/>
      <c r="C714" s="25"/>
      <c r="D714" s="25"/>
      <c r="E714" s="25"/>
      <c r="F714" s="25"/>
      <c r="G714" s="5"/>
      <c r="H714" s="5"/>
      <c r="I714" s="5"/>
      <c r="J714" s="5"/>
      <c r="K714" s="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  <c r="AB714" s="25"/>
      <c r="AC714" s="25"/>
      <c r="AD714" s="25"/>
      <c r="AE714" s="25"/>
      <c r="AF714" s="25"/>
      <c r="AG714" s="25"/>
      <c r="AH714" s="25"/>
      <c r="AI714" s="25"/>
      <c r="AJ714" s="25"/>
      <c r="AK714" s="25"/>
      <c r="AL714" s="25"/>
      <c r="AM714" s="25"/>
      <c r="AN714" s="25"/>
      <c r="AO714" s="25"/>
      <c r="AP714" s="25"/>
      <c r="AQ714" s="25"/>
      <c r="AR714" s="25"/>
      <c r="AS714" s="25"/>
      <c r="AT714" s="25"/>
      <c r="AU714" s="25"/>
    </row>
    <row r="715">
      <c r="A715" s="25"/>
      <c r="B715" s="25"/>
      <c r="C715" s="25"/>
      <c r="D715" s="25"/>
      <c r="E715" s="25"/>
      <c r="F715" s="25"/>
      <c r="G715" s="5"/>
      <c r="H715" s="5"/>
      <c r="I715" s="5"/>
      <c r="J715" s="5"/>
      <c r="K715" s="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  <c r="AB715" s="25"/>
      <c r="AC715" s="25"/>
      <c r="AD715" s="25"/>
      <c r="AE715" s="25"/>
      <c r="AF715" s="25"/>
      <c r="AG715" s="25"/>
      <c r="AH715" s="25"/>
      <c r="AI715" s="25"/>
      <c r="AJ715" s="25"/>
      <c r="AK715" s="25"/>
      <c r="AL715" s="25"/>
      <c r="AM715" s="25"/>
      <c r="AN715" s="25"/>
      <c r="AO715" s="25"/>
      <c r="AP715" s="25"/>
      <c r="AQ715" s="25"/>
      <c r="AR715" s="25"/>
      <c r="AS715" s="25"/>
      <c r="AT715" s="25"/>
      <c r="AU715" s="25"/>
    </row>
    <row r="716">
      <c r="A716" s="25"/>
      <c r="B716" s="25"/>
      <c r="C716" s="25"/>
      <c r="D716" s="25"/>
      <c r="E716" s="25"/>
      <c r="F716" s="25"/>
      <c r="G716" s="5"/>
      <c r="H716" s="5"/>
      <c r="I716" s="5"/>
      <c r="J716" s="5"/>
      <c r="K716" s="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  <c r="AB716" s="25"/>
      <c r="AC716" s="25"/>
      <c r="AD716" s="25"/>
      <c r="AE716" s="25"/>
      <c r="AF716" s="25"/>
      <c r="AG716" s="25"/>
      <c r="AH716" s="25"/>
      <c r="AI716" s="25"/>
      <c r="AJ716" s="25"/>
      <c r="AK716" s="25"/>
      <c r="AL716" s="25"/>
      <c r="AM716" s="25"/>
      <c r="AN716" s="25"/>
      <c r="AO716" s="25"/>
      <c r="AP716" s="25"/>
      <c r="AQ716" s="25"/>
      <c r="AR716" s="25"/>
      <c r="AS716" s="25"/>
      <c r="AT716" s="25"/>
      <c r="AU716" s="25"/>
    </row>
    <row r="717">
      <c r="A717" s="25"/>
      <c r="B717" s="25"/>
      <c r="C717" s="25"/>
      <c r="D717" s="25"/>
      <c r="E717" s="25"/>
      <c r="F717" s="25"/>
      <c r="G717" s="5"/>
      <c r="H717" s="5"/>
      <c r="I717" s="5"/>
      <c r="J717" s="5"/>
      <c r="K717" s="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  <c r="AB717" s="25"/>
      <c r="AC717" s="25"/>
      <c r="AD717" s="25"/>
      <c r="AE717" s="25"/>
      <c r="AF717" s="25"/>
      <c r="AG717" s="25"/>
      <c r="AH717" s="25"/>
      <c r="AI717" s="25"/>
      <c r="AJ717" s="25"/>
      <c r="AK717" s="25"/>
      <c r="AL717" s="25"/>
      <c r="AM717" s="25"/>
      <c r="AN717" s="25"/>
      <c r="AO717" s="25"/>
      <c r="AP717" s="25"/>
      <c r="AQ717" s="25"/>
      <c r="AR717" s="25"/>
      <c r="AS717" s="25"/>
      <c r="AT717" s="25"/>
      <c r="AU717" s="25"/>
    </row>
    <row r="718">
      <c r="A718" s="25"/>
      <c r="B718" s="25"/>
      <c r="C718" s="25"/>
      <c r="D718" s="25"/>
      <c r="E718" s="25"/>
      <c r="F718" s="25"/>
      <c r="G718" s="5"/>
      <c r="H718" s="5"/>
      <c r="I718" s="5"/>
      <c r="J718" s="5"/>
      <c r="K718" s="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  <c r="AB718" s="25"/>
      <c r="AC718" s="25"/>
      <c r="AD718" s="25"/>
      <c r="AE718" s="25"/>
      <c r="AF718" s="25"/>
      <c r="AG718" s="25"/>
      <c r="AH718" s="25"/>
      <c r="AI718" s="25"/>
      <c r="AJ718" s="25"/>
      <c r="AK718" s="25"/>
      <c r="AL718" s="25"/>
      <c r="AM718" s="25"/>
      <c r="AN718" s="25"/>
      <c r="AO718" s="25"/>
      <c r="AP718" s="25"/>
      <c r="AQ718" s="25"/>
      <c r="AR718" s="25"/>
      <c r="AS718" s="25"/>
      <c r="AT718" s="25"/>
      <c r="AU718" s="25"/>
    </row>
    <row r="719">
      <c r="A719" s="25"/>
      <c r="B719" s="25"/>
      <c r="C719" s="25"/>
      <c r="D719" s="25"/>
      <c r="E719" s="25"/>
      <c r="F719" s="25"/>
      <c r="G719" s="5"/>
      <c r="H719" s="5"/>
      <c r="I719" s="5"/>
      <c r="J719" s="5"/>
      <c r="K719" s="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  <c r="AB719" s="25"/>
      <c r="AC719" s="25"/>
      <c r="AD719" s="25"/>
      <c r="AE719" s="25"/>
      <c r="AF719" s="25"/>
      <c r="AG719" s="25"/>
      <c r="AH719" s="25"/>
      <c r="AI719" s="25"/>
      <c r="AJ719" s="25"/>
      <c r="AK719" s="25"/>
      <c r="AL719" s="25"/>
      <c r="AM719" s="25"/>
      <c r="AN719" s="25"/>
      <c r="AO719" s="25"/>
      <c r="AP719" s="25"/>
      <c r="AQ719" s="25"/>
      <c r="AR719" s="25"/>
      <c r="AS719" s="25"/>
      <c r="AT719" s="25"/>
      <c r="AU719" s="25"/>
    </row>
    <row r="720">
      <c r="A720" s="25"/>
      <c r="B720" s="25"/>
      <c r="C720" s="25"/>
      <c r="D720" s="25"/>
      <c r="E720" s="25"/>
      <c r="F720" s="25"/>
      <c r="G720" s="5"/>
      <c r="H720" s="5"/>
      <c r="I720" s="5"/>
      <c r="J720" s="5"/>
      <c r="K720" s="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  <c r="AB720" s="25"/>
      <c r="AC720" s="25"/>
      <c r="AD720" s="25"/>
      <c r="AE720" s="25"/>
      <c r="AF720" s="25"/>
      <c r="AG720" s="25"/>
      <c r="AH720" s="25"/>
      <c r="AI720" s="25"/>
      <c r="AJ720" s="25"/>
      <c r="AK720" s="25"/>
      <c r="AL720" s="25"/>
      <c r="AM720" s="25"/>
      <c r="AN720" s="25"/>
      <c r="AO720" s="25"/>
      <c r="AP720" s="25"/>
      <c r="AQ720" s="25"/>
      <c r="AR720" s="25"/>
      <c r="AS720" s="25"/>
      <c r="AT720" s="25"/>
      <c r="AU720" s="25"/>
    </row>
    <row r="721">
      <c r="A721" s="25"/>
      <c r="B721" s="25"/>
      <c r="C721" s="25"/>
      <c r="D721" s="25"/>
      <c r="E721" s="25"/>
      <c r="F721" s="25"/>
      <c r="G721" s="5"/>
      <c r="H721" s="5"/>
      <c r="I721" s="5"/>
      <c r="J721" s="5"/>
      <c r="K721" s="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  <c r="AB721" s="25"/>
      <c r="AC721" s="25"/>
      <c r="AD721" s="25"/>
      <c r="AE721" s="25"/>
      <c r="AF721" s="25"/>
      <c r="AG721" s="25"/>
      <c r="AH721" s="25"/>
      <c r="AI721" s="25"/>
      <c r="AJ721" s="25"/>
      <c r="AK721" s="25"/>
      <c r="AL721" s="25"/>
      <c r="AM721" s="25"/>
      <c r="AN721" s="25"/>
      <c r="AO721" s="25"/>
      <c r="AP721" s="25"/>
      <c r="AQ721" s="25"/>
      <c r="AR721" s="25"/>
      <c r="AS721" s="25"/>
      <c r="AT721" s="25"/>
      <c r="AU721" s="25"/>
    </row>
    <row r="722">
      <c r="A722" s="25"/>
      <c r="B722" s="25"/>
      <c r="C722" s="25"/>
      <c r="D722" s="25"/>
      <c r="E722" s="25"/>
      <c r="F722" s="25"/>
      <c r="G722" s="5"/>
      <c r="H722" s="5"/>
      <c r="I722" s="5"/>
      <c r="J722" s="5"/>
      <c r="K722" s="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  <c r="AB722" s="25"/>
      <c r="AC722" s="25"/>
      <c r="AD722" s="25"/>
      <c r="AE722" s="25"/>
      <c r="AF722" s="25"/>
      <c r="AG722" s="25"/>
      <c r="AH722" s="25"/>
      <c r="AI722" s="25"/>
      <c r="AJ722" s="25"/>
      <c r="AK722" s="25"/>
      <c r="AL722" s="25"/>
      <c r="AM722" s="25"/>
      <c r="AN722" s="25"/>
      <c r="AO722" s="25"/>
      <c r="AP722" s="25"/>
      <c r="AQ722" s="25"/>
      <c r="AR722" s="25"/>
      <c r="AS722" s="25"/>
      <c r="AT722" s="25"/>
      <c r="AU722" s="25"/>
    </row>
    <row r="723">
      <c r="A723" s="25"/>
      <c r="B723" s="25"/>
      <c r="C723" s="25"/>
      <c r="D723" s="25"/>
      <c r="E723" s="25"/>
      <c r="F723" s="25"/>
      <c r="G723" s="5"/>
      <c r="H723" s="5"/>
      <c r="I723" s="5"/>
      <c r="J723" s="5"/>
      <c r="K723" s="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  <c r="AB723" s="25"/>
      <c r="AC723" s="25"/>
      <c r="AD723" s="25"/>
      <c r="AE723" s="25"/>
      <c r="AF723" s="25"/>
      <c r="AG723" s="25"/>
      <c r="AH723" s="25"/>
      <c r="AI723" s="25"/>
      <c r="AJ723" s="25"/>
      <c r="AK723" s="25"/>
      <c r="AL723" s="25"/>
      <c r="AM723" s="25"/>
      <c r="AN723" s="25"/>
      <c r="AO723" s="25"/>
      <c r="AP723" s="25"/>
      <c r="AQ723" s="25"/>
      <c r="AR723" s="25"/>
      <c r="AS723" s="25"/>
      <c r="AT723" s="25"/>
      <c r="AU723" s="25"/>
    </row>
    <row r="724">
      <c r="A724" s="25"/>
      <c r="B724" s="25"/>
      <c r="C724" s="25"/>
      <c r="D724" s="25"/>
      <c r="E724" s="25"/>
      <c r="F724" s="25"/>
      <c r="G724" s="5"/>
      <c r="H724" s="5"/>
      <c r="I724" s="5"/>
      <c r="J724" s="5"/>
      <c r="K724" s="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  <c r="AB724" s="25"/>
      <c r="AC724" s="25"/>
      <c r="AD724" s="25"/>
      <c r="AE724" s="25"/>
      <c r="AF724" s="25"/>
      <c r="AG724" s="25"/>
      <c r="AH724" s="25"/>
      <c r="AI724" s="25"/>
      <c r="AJ724" s="25"/>
      <c r="AK724" s="25"/>
      <c r="AL724" s="25"/>
      <c r="AM724" s="25"/>
      <c r="AN724" s="25"/>
      <c r="AO724" s="25"/>
      <c r="AP724" s="25"/>
      <c r="AQ724" s="25"/>
      <c r="AR724" s="25"/>
      <c r="AS724" s="25"/>
      <c r="AT724" s="25"/>
      <c r="AU724" s="25"/>
    </row>
    <row r="725">
      <c r="A725" s="25"/>
      <c r="B725" s="25"/>
      <c r="C725" s="25"/>
      <c r="D725" s="25"/>
      <c r="E725" s="25"/>
      <c r="F725" s="25"/>
      <c r="G725" s="5"/>
      <c r="H725" s="5"/>
      <c r="I725" s="5"/>
      <c r="J725" s="5"/>
      <c r="K725" s="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  <c r="AB725" s="25"/>
      <c r="AC725" s="25"/>
      <c r="AD725" s="25"/>
      <c r="AE725" s="25"/>
      <c r="AF725" s="25"/>
      <c r="AG725" s="25"/>
      <c r="AH725" s="25"/>
      <c r="AI725" s="25"/>
      <c r="AJ725" s="25"/>
      <c r="AK725" s="25"/>
      <c r="AL725" s="25"/>
      <c r="AM725" s="25"/>
      <c r="AN725" s="25"/>
      <c r="AO725" s="25"/>
      <c r="AP725" s="25"/>
      <c r="AQ725" s="25"/>
      <c r="AR725" s="25"/>
      <c r="AS725" s="25"/>
      <c r="AT725" s="25"/>
      <c r="AU725" s="25"/>
    </row>
    <row r="726">
      <c r="A726" s="25"/>
      <c r="B726" s="25"/>
      <c r="C726" s="25"/>
      <c r="D726" s="25"/>
      <c r="E726" s="25"/>
      <c r="F726" s="25"/>
      <c r="G726" s="5"/>
      <c r="H726" s="5"/>
      <c r="I726" s="5"/>
      <c r="J726" s="5"/>
      <c r="K726" s="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  <c r="AB726" s="25"/>
      <c r="AC726" s="25"/>
      <c r="AD726" s="25"/>
      <c r="AE726" s="25"/>
      <c r="AF726" s="25"/>
      <c r="AG726" s="25"/>
      <c r="AH726" s="25"/>
      <c r="AI726" s="25"/>
      <c r="AJ726" s="25"/>
      <c r="AK726" s="25"/>
      <c r="AL726" s="25"/>
      <c r="AM726" s="25"/>
      <c r="AN726" s="25"/>
      <c r="AO726" s="25"/>
      <c r="AP726" s="25"/>
      <c r="AQ726" s="25"/>
      <c r="AR726" s="25"/>
      <c r="AS726" s="25"/>
      <c r="AT726" s="25"/>
      <c r="AU726" s="25"/>
    </row>
    <row r="727">
      <c r="A727" s="25"/>
      <c r="B727" s="25"/>
      <c r="C727" s="25"/>
      <c r="D727" s="25"/>
      <c r="E727" s="25"/>
      <c r="F727" s="25"/>
      <c r="G727" s="5"/>
      <c r="H727" s="5"/>
      <c r="I727" s="5"/>
      <c r="J727" s="5"/>
      <c r="K727" s="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  <c r="AB727" s="25"/>
      <c r="AC727" s="25"/>
      <c r="AD727" s="25"/>
      <c r="AE727" s="25"/>
      <c r="AF727" s="25"/>
      <c r="AG727" s="25"/>
      <c r="AH727" s="25"/>
      <c r="AI727" s="25"/>
      <c r="AJ727" s="25"/>
      <c r="AK727" s="25"/>
      <c r="AL727" s="25"/>
      <c r="AM727" s="25"/>
      <c r="AN727" s="25"/>
      <c r="AO727" s="25"/>
      <c r="AP727" s="25"/>
      <c r="AQ727" s="25"/>
      <c r="AR727" s="25"/>
      <c r="AS727" s="25"/>
      <c r="AT727" s="25"/>
      <c r="AU727" s="25"/>
    </row>
    <row r="728">
      <c r="A728" s="25"/>
      <c r="B728" s="25"/>
      <c r="C728" s="25"/>
      <c r="D728" s="25"/>
      <c r="E728" s="25"/>
      <c r="F728" s="25"/>
      <c r="G728" s="5"/>
      <c r="H728" s="5"/>
      <c r="I728" s="5"/>
      <c r="J728" s="5"/>
      <c r="K728" s="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  <c r="AB728" s="25"/>
      <c r="AC728" s="25"/>
      <c r="AD728" s="25"/>
      <c r="AE728" s="25"/>
      <c r="AF728" s="25"/>
      <c r="AG728" s="25"/>
      <c r="AH728" s="25"/>
      <c r="AI728" s="25"/>
      <c r="AJ728" s="25"/>
      <c r="AK728" s="25"/>
      <c r="AL728" s="25"/>
      <c r="AM728" s="25"/>
      <c r="AN728" s="25"/>
      <c r="AO728" s="25"/>
      <c r="AP728" s="25"/>
      <c r="AQ728" s="25"/>
      <c r="AR728" s="25"/>
      <c r="AS728" s="25"/>
      <c r="AT728" s="25"/>
      <c r="AU728" s="25"/>
    </row>
    <row r="729">
      <c r="A729" s="25"/>
      <c r="B729" s="25"/>
      <c r="C729" s="25"/>
      <c r="D729" s="25"/>
      <c r="E729" s="25"/>
      <c r="F729" s="25"/>
      <c r="G729" s="5"/>
      <c r="H729" s="5"/>
      <c r="I729" s="5"/>
      <c r="J729" s="5"/>
      <c r="K729" s="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  <c r="AB729" s="25"/>
      <c r="AC729" s="25"/>
      <c r="AD729" s="25"/>
      <c r="AE729" s="25"/>
      <c r="AF729" s="25"/>
      <c r="AG729" s="25"/>
      <c r="AH729" s="25"/>
      <c r="AI729" s="25"/>
      <c r="AJ729" s="25"/>
      <c r="AK729" s="25"/>
      <c r="AL729" s="25"/>
      <c r="AM729" s="25"/>
      <c r="AN729" s="25"/>
      <c r="AO729" s="25"/>
      <c r="AP729" s="25"/>
      <c r="AQ729" s="25"/>
      <c r="AR729" s="25"/>
      <c r="AS729" s="25"/>
      <c r="AT729" s="25"/>
      <c r="AU729" s="25"/>
    </row>
    <row r="730">
      <c r="A730" s="25"/>
      <c r="B730" s="25"/>
      <c r="C730" s="25"/>
      <c r="D730" s="25"/>
      <c r="E730" s="25"/>
      <c r="F730" s="25"/>
      <c r="G730" s="5"/>
      <c r="H730" s="5"/>
      <c r="I730" s="5"/>
      <c r="J730" s="5"/>
      <c r="K730" s="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  <c r="AB730" s="25"/>
      <c r="AC730" s="25"/>
      <c r="AD730" s="25"/>
      <c r="AE730" s="25"/>
      <c r="AF730" s="25"/>
      <c r="AG730" s="25"/>
      <c r="AH730" s="25"/>
      <c r="AI730" s="25"/>
      <c r="AJ730" s="25"/>
      <c r="AK730" s="25"/>
      <c r="AL730" s="25"/>
      <c r="AM730" s="25"/>
      <c r="AN730" s="25"/>
      <c r="AO730" s="25"/>
      <c r="AP730" s="25"/>
      <c r="AQ730" s="25"/>
      <c r="AR730" s="25"/>
      <c r="AS730" s="25"/>
      <c r="AT730" s="25"/>
      <c r="AU730" s="25"/>
    </row>
    <row r="731">
      <c r="A731" s="25"/>
      <c r="B731" s="25"/>
      <c r="C731" s="25"/>
      <c r="D731" s="25"/>
      <c r="E731" s="25"/>
      <c r="F731" s="25"/>
      <c r="G731" s="5"/>
      <c r="H731" s="5"/>
      <c r="I731" s="5"/>
      <c r="J731" s="5"/>
      <c r="K731" s="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  <c r="AB731" s="25"/>
      <c r="AC731" s="25"/>
      <c r="AD731" s="25"/>
      <c r="AE731" s="25"/>
      <c r="AF731" s="25"/>
      <c r="AG731" s="25"/>
      <c r="AH731" s="25"/>
      <c r="AI731" s="25"/>
      <c r="AJ731" s="25"/>
      <c r="AK731" s="25"/>
      <c r="AL731" s="25"/>
      <c r="AM731" s="25"/>
      <c r="AN731" s="25"/>
      <c r="AO731" s="25"/>
      <c r="AP731" s="25"/>
      <c r="AQ731" s="25"/>
      <c r="AR731" s="25"/>
      <c r="AS731" s="25"/>
      <c r="AT731" s="25"/>
      <c r="AU731" s="25"/>
    </row>
    <row r="732">
      <c r="A732" s="25"/>
      <c r="B732" s="25"/>
      <c r="C732" s="25"/>
      <c r="D732" s="25"/>
      <c r="E732" s="25"/>
      <c r="F732" s="25"/>
      <c r="G732" s="5"/>
      <c r="H732" s="5"/>
      <c r="I732" s="5"/>
      <c r="J732" s="5"/>
      <c r="K732" s="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  <c r="AB732" s="25"/>
      <c r="AC732" s="25"/>
      <c r="AD732" s="25"/>
      <c r="AE732" s="25"/>
      <c r="AF732" s="25"/>
      <c r="AG732" s="25"/>
      <c r="AH732" s="25"/>
      <c r="AI732" s="25"/>
      <c r="AJ732" s="25"/>
      <c r="AK732" s="25"/>
      <c r="AL732" s="25"/>
      <c r="AM732" s="25"/>
      <c r="AN732" s="25"/>
      <c r="AO732" s="25"/>
      <c r="AP732" s="25"/>
      <c r="AQ732" s="25"/>
      <c r="AR732" s="25"/>
      <c r="AS732" s="25"/>
      <c r="AT732" s="25"/>
      <c r="AU732" s="25"/>
    </row>
    <row r="733">
      <c r="A733" s="25"/>
      <c r="B733" s="25"/>
      <c r="C733" s="25"/>
      <c r="D733" s="25"/>
      <c r="E733" s="25"/>
      <c r="F733" s="25"/>
      <c r="G733" s="5"/>
      <c r="H733" s="5"/>
      <c r="I733" s="5"/>
      <c r="J733" s="5"/>
      <c r="K733" s="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  <c r="AB733" s="25"/>
      <c r="AC733" s="25"/>
      <c r="AD733" s="25"/>
      <c r="AE733" s="25"/>
      <c r="AF733" s="25"/>
      <c r="AG733" s="25"/>
      <c r="AH733" s="25"/>
      <c r="AI733" s="25"/>
      <c r="AJ733" s="25"/>
      <c r="AK733" s="25"/>
      <c r="AL733" s="25"/>
      <c r="AM733" s="25"/>
      <c r="AN733" s="25"/>
      <c r="AO733" s="25"/>
      <c r="AP733" s="25"/>
      <c r="AQ733" s="25"/>
      <c r="AR733" s="25"/>
      <c r="AS733" s="25"/>
      <c r="AT733" s="25"/>
      <c r="AU733" s="25"/>
    </row>
    <row r="734">
      <c r="A734" s="25"/>
      <c r="B734" s="25"/>
      <c r="C734" s="25"/>
      <c r="D734" s="25"/>
      <c r="E734" s="25"/>
      <c r="F734" s="25"/>
      <c r="G734" s="5"/>
      <c r="H734" s="5"/>
      <c r="I734" s="5"/>
      <c r="J734" s="5"/>
      <c r="K734" s="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  <c r="AB734" s="25"/>
      <c r="AC734" s="25"/>
      <c r="AD734" s="25"/>
      <c r="AE734" s="25"/>
      <c r="AF734" s="25"/>
      <c r="AG734" s="25"/>
      <c r="AH734" s="25"/>
      <c r="AI734" s="25"/>
      <c r="AJ734" s="25"/>
      <c r="AK734" s="25"/>
      <c r="AL734" s="25"/>
      <c r="AM734" s="25"/>
      <c r="AN734" s="25"/>
      <c r="AO734" s="25"/>
      <c r="AP734" s="25"/>
      <c r="AQ734" s="25"/>
      <c r="AR734" s="25"/>
      <c r="AS734" s="25"/>
      <c r="AT734" s="25"/>
      <c r="AU734" s="25"/>
    </row>
    <row r="735">
      <c r="A735" s="25"/>
      <c r="B735" s="25"/>
      <c r="C735" s="25"/>
      <c r="D735" s="25"/>
      <c r="E735" s="25"/>
      <c r="F735" s="25"/>
      <c r="G735" s="5"/>
      <c r="H735" s="5"/>
      <c r="I735" s="5"/>
      <c r="J735" s="5"/>
      <c r="K735" s="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  <c r="AB735" s="25"/>
      <c r="AC735" s="25"/>
      <c r="AD735" s="25"/>
      <c r="AE735" s="25"/>
      <c r="AF735" s="25"/>
      <c r="AG735" s="25"/>
      <c r="AH735" s="25"/>
      <c r="AI735" s="25"/>
      <c r="AJ735" s="25"/>
      <c r="AK735" s="25"/>
      <c r="AL735" s="25"/>
      <c r="AM735" s="25"/>
      <c r="AN735" s="25"/>
      <c r="AO735" s="25"/>
      <c r="AP735" s="25"/>
      <c r="AQ735" s="25"/>
      <c r="AR735" s="25"/>
      <c r="AS735" s="25"/>
      <c r="AT735" s="25"/>
      <c r="AU735" s="25"/>
    </row>
    <row r="736">
      <c r="A736" s="25"/>
      <c r="B736" s="25"/>
      <c r="C736" s="25"/>
      <c r="D736" s="25"/>
      <c r="E736" s="25"/>
      <c r="F736" s="25"/>
      <c r="G736" s="5"/>
      <c r="H736" s="5"/>
      <c r="I736" s="5"/>
      <c r="J736" s="5"/>
      <c r="K736" s="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  <c r="AB736" s="25"/>
      <c r="AC736" s="25"/>
      <c r="AD736" s="25"/>
      <c r="AE736" s="25"/>
      <c r="AF736" s="25"/>
      <c r="AG736" s="25"/>
      <c r="AH736" s="25"/>
      <c r="AI736" s="25"/>
      <c r="AJ736" s="25"/>
      <c r="AK736" s="25"/>
      <c r="AL736" s="25"/>
      <c r="AM736" s="25"/>
      <c r="AN736" s="25"/>
      <c r="AO736" s="25"/>
      <c r="AP736" s="25"/>
      <c r="AQ736" s="25"/>
      <c r="AR736" s="25"/>
      <c r="AS736" s="25"/>
      <c r="AT736" s="25"/>
      <c r="AU736" s="25"/>
    </row>
    <row r="737">
      <c r="A737" s="25"/>
      <c r="B737" s="25"/>
      <c r="C737" s="25"/>
      <c r="D737" s="25"/>
      <c r="E737" s="25"/>
      <c r="F737" s="25"/>
      <c r="G737" s="5"/>
      <c r="H737" s="5"/>
      <c r="I737" s="5"/>
      <c r="J737" s="5"/>
      <c r="K737" s="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  <c r="AB737" s="25"/>
      <c r="AC737" s="25"/>
      <c r="AD737" s="25"/>
      <c r="AE737" s="25"/>
      <c r="AF737" s="25"/>
      <c r="AG737" s="25"/>
      <c r="AH737" s="25"/>
      <c r="AI737" s="25"/>
      <c r="AJ737" s="25"/>
      <c r="AK737" s="25"/>
      <c r="AL737" s="25"/>
      <c r="AM737" s="25"/>
      <c r="AN737" s="25"/>
      <c r="AO737" s="25"/>
      <c r="AP737" s="25"/>
      <c r="AQ737" s="25"/>
      <c r="AR737" s="25"/>
      <c r="AS737" s="25"/>
      <c r="AT737" s="25"/>
      <c r="AU737" s="25"/>
    </row>
    <row r="738">
      <c r="A738" s="25"/>
      <c r="B738" s="25"/>
      <c r="C738" s="25"/>
      <c r="D738" s="25"/>
      <c r="E738" s="25"/>
      <c r="F738" s="25"/>
      <c r="G738" s="5"/>
      <c r="H738" s="5"/>
      <c r="I738" s="5"/>
      <c r="J738" s="5"/>
      <c r="K738" s="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  <c r="AB738" s="25"/>
      <c r="AC738" s="25"/>
      <c r="AD738" s="25"/>
      <c r="AE738" s="25"/>
      <c r="AF738" s="25"/>
      <c r="AG738" s="25"/>
      <c r="AH738" s="25"/>
      <c r="AI738" s="25"/>
      <c r="AJ738" s="25"/>
      <c r="AK738" s="25"/>
      <c r="AL738" s="25"/>
      <c r="AM738" s="25"/>
      <c r="AN738" s="25"/>
      <c r="AO738" s="25"/>
      <c r="AP738" s="25"/>
      <c r="AQ738" s="25"/>
      <c r="AR738" s="25"/>
      <c r="AS738" s="25"/>
      <c r="AT738" s="25"/>
      <c r="AU738" s="25"/>
    </row>
    <row r="739">
      <c r="A739" s="25"/>
      <c r="B739" s="25"/>
      <c r="C739" s="25"/>
      <c r="D739" s="25"/>
      <c r="E739" s="25"/>
      <c r="F739" s="25"/>
      <c r="G739" s="5"/>
      <c r="H739" s="5"/>
      <c r="I739" s="5"/>
      <c r="J739" s="5"/>
      <c r="K739" s="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  <c r="AB739" s="25"/>
      <c r="AC739" s="25"/>
      <c r="AD739" s="25"/>
      <c r="AE739" s="25"/>
      <c r="AF739" s="25"/>
      <c r="AG739" s="25"/>
      <c r="AH739" s="25"/>
      <c r="AI739" s="25"/>
      <c r="AJ739" s="25"/>
      <c r="AK739" s="25"/>
      <c r="AL739" s="25"/>
      <c r="AM739" s="25"/>
      <c r="AN739" s="25"/>
      <c r="AO739" s="25"/>
      <c r="AP739" s="25"/>
      <c r="AQ739" s="25"/>
      <c r="AR739" s="25"/>
      <c r="AS739" s="25"/>
      <c r="AT739" s="25"/>
      <c r="AU739" s="25"/>
    </row>
    <row r="740">
      <c r="A740" s="25"/>
      <c r="B740" s="25"/>
      <c r="C740" s="25"/>
      <c r="D740" s="25"/>
      <c r="E740" s="25"/>
      <c r="F740" s="25"/>
      <c r="G740" s="5"/>
      <c r="H740" s="5"/>
      <c r="I740" s="5"/>
      <c r="J740" s="5"/>
      <c r="K740" s="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  <c r="AB740" s="25"/>
      <c r="AC740" s="25"/>
      <c r="AD740" s="25"/>
      <c r="AE740" s="25"/>
      <c r="AF740" s="25"/>
      <c r="AG740" s="25"/>
      <c r="AH740" s="25"/>
      <c r="AI740" s="25"/>
      <c r="AJ740" s="25"/>
      <c r="AK740" s="25"/>
      <c r="AL740" s="25"/>
      <c r="AM740" s="25"/>
      <c r="AN740" s="25"/>
      <c r="AO740" s="25"/>
      <c r="AP740" s="25"/>
      <c r="AQ740" s="25"/>
      <c r="AR740" s="25"/>
      <c r="AS740" s="25"/>
      <c r="AT740" s="25"/>
      <c r="AU740" s="25"/>
    </row>
    <row r="741">
      <c r="A741" s="25"/>
      <c r="B741" s="25"/>
      <c r="C741" s="25"/>
      <c r="D741" s="25"/>
      <c r="E741" s="25"/>
      <c r="F741" s="25"/>
      <c r="G741" s="5"/>
      <c r="H741" s="5"/>
      <c r="I741" s="5"/>
      <c r="J741" s="5"/>
      <c r="K741" s="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  <c r="AB741" s="25"/>
      <c r="AC741" s="25"/>
      <c r="AD741" s="25"/>
      <c r="AE741" s="25"/>
      <c r="AF741" s="25"/>
      <c r="AG741" s="25"/>
      <c r="AH741" s="25"/>
      <c r="AI741" s="25"/>
      <c r="AJ741" s="25"/>
      <c r="AK741" s="25"/>
      <c r="AL741" s="25"/>
      <c r="AM741" s="25"/>
      <c r="AN741" s="25"/>
      <c r="AO741" s="25"/>
      <c r="AP741" s="25"/>
      <c r="AQ741" s="25"/>
      <c r="AR741" s="25"/>
      <c r="AS741" s="25"/>
      <c r="AT741" s="25"/>
      <c r="AU741" s="25"/>
    </row>
    <row r="742">
      <c r="A742" s="25"/>
      <c r="B742" s="25"/>
      <c r="C742" s="25"/>
      <c r="D742" s="25"/>
      <c r="E742" s="25"/>
      <c r="F742" s="25"/>
      <c r="G742" s="5"/>
      <c r="H742" s="5"/>
      <c r="I742" s="5"/>
      <c r="J742" s="5"/>
      <c r="K742" s="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  <c r="AB742" s="25"/>
      <c r="AC742" s="25"/>
      <c r="AD742" s="25"/>
      <c r="AE742" s="25"/>
      <c r="AF742" s="25"/>
      <c r="AG742" s="25"/>
      <c r="AH742" s="25"/>
      <c r="AI742" s="25"/>
      <c r="AJ742" s="25"/>
      <c r="AK742" s="25"/>
      <c r="AL742" s="25"/>
      <c r="AM742" s="25"/>
      <c r="AN742" s="25"/>
      <c r="AO742" s="25"/>
      <c r="AP742" s="25"/>
      <c r="AQ742" s="25"/>
      <c r="AR742" s="25"/>
      <c r="AS742" s="25"/>
      <c r="AT742" s="25"/>
      <c r="AU742" s="25"/>
    </row>
    <row r="743">
      <c r="A743" s="25"/>
      <c r="B743" s="25"/>
      <c r="C743" s="25"/>
      <c r="D743" s="25"/>
      <c r="E743" s="25"/>
      <c r="F743" s="25"/>
      <c r="G743" s="5"/>
      <c r="H743" s="5"/>
      <c r="I743" s="5"/>
      <c r="J743" s="5"/>
      <c r="K743" s="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  <c r="AB743" s="25"/>
      <c r="AC743" s="25"/>
      <c r="AD743" s="25"/>
      <c r="AE743" s="25"/>
      <c r="AF743" s="25"/>
      <c r="AG743" s="25"/>
      <c r="AH743" s="25"/>
      <c r="AI743" s="25"/>
      <c r="AJ743" s="25"/>
      <c r="AK743" s="25"/>
      <c r="AL743" s="25"/>
      <c r="AM743" s="25"/>
      <c r="AN743" s="25"/>
      <c r="AO743" s="25"/>
      <c r="AP743" s="25"/>
      <c r="AQ743" s="25"/>
      <c r="AR743" s="25"/>
      <c r="AS743" s="25"/>
      <c r="AT743" s="25"/>
      <c r="AU743" s="25"/>
    </row>
    <row r="744">
      <c r="A744" s="25"/>
      <c r="B744" s="25"/>
      <c r="C744" s="25"/>
      <c r="D744" s="25"/>
      <c r="E744" s="25"/>
      <c r="F744" s="25"/>
      <c r="G744" s="5"/>
      <c r="H744" s="5"/>
      <c r="I744" s="5"/>
      <c r="J744" s="5"/>
      <c r="K744" s="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  <c r="AB744" s="25"/>
      <c r="AC744" s="25"/>
      <c r="AD744" s="25"/>
      <c r="AE744" s="25"/>
      <c r="AF744" s="25"/>
      <c r="AG744" s="25"/>
      <c r="AH744" s="25"/>
      <c r="AI744" s="25"/>
      <c r="AJ744" s="25"/>
      <c r="AK744" s="25"/>
      <c r="AL744" s="25"/>
      <c r="AM744" s="25"/>
      <c r="AN744" s="25"/>
      <c r="AO744" s="25"/>
      <c r="AP744" s="25"/>
      <c r="AQ744" s="25"/>
      <c r="AR744" s="25"/>
      <c r="AS744" s="25"/>
      <c r="AT744" s="25"/>
      <c r="AU744" s="25"/>
    </row>
    <row r="745">
      <c r="A745" s="25"/>
      <c r="B745" s="25"/>
      <c r="C745" s="25"/>
      <c r="D745" s="25"/>
      <c r="E745" s="25"/>
      <c r="F745" s="25"/>
      <c r="G745" s="5"/>
      <c r="H745" s="5"/>
      <c r="I745" s="5"/>
      <c r="J745" s="5"/>
      <c r="K745" s="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  <c r="AB745" s="25"/>
      <c r="AC745" s="25"/>
      <c r="AD745" s="25"/>
      <c r="AE745" s="25"/>
      <c r="AF745" s="25"/>
      <c r="AG745" s="25"/>
      <c r="AH745" s="25"/>
      <c r="AI745" s="25"/>
      <c r="AJ745" s="25"/>
      <c r="AK745" s="25"/>
      <c r="AL745" s="25"/>
      <c r="AM745" s="25"/>
      <c r="AN745" s="25"/>
      <c r="AO745" s="25"/>
      <c r="AP745" s="25"/>
      <c r="AQ745" s="25"/>
      <c r="AR745" s="25"/>
      <c r="AS745" s="25"/>
      <c r="AT745" s="25"/>
      <c r="AU745" s="25"/>
    </row>
    <row r="746">
      <c r="A746" s="25"/>
      <c r="B746" s="25"/>
      <c r="C746" s="25"/>
      <c r="D746" s="25"/>
      <c r="E746" s="25"/>
      <c r="F746" s="25"/>
      <c r="G746" s="5"/>
      <c r="H746" s="5"/>
      <c r="I746" s="5"/>
      <c r="J746" s="5"/>
      <c r="K746" s="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  <c r="AB746" s="25"/>
      <c r="AC746" s="25"/>
      <c r="AD746" s="25"/>
      <c r="AE746" s="25"/>
      <c r="AF746" s="25"/>
      <c r="AG746" s="25"/>
      <c r="AH746" s="25"/>
      <c r="AI746" s="25"/>
      <c r="AJ746" s="25"/>
      <c r="AK746" s="25"/>
      <c r="AL746" s="25"/>
      <c r="AM746" s="25"/>
      <c r="AN746" s="25"/>
      <c r="AO746" s="25"/>
      <c r="AP746" s="25"/>
      <c r="AQ746" s="25"/>
      <c r="AR746" s="25"/>
      <c r="AS746" s="25"/>
      <c r="AT746" s="25"/>
      <c r="AU746" s="25"/>
    </row>
    <row r="747">
      <c r="A747" s="25"/>
      <c r="B747" s="25"/>
      <c r="C747" s="25"/>
      <c r="D747" s="25"/>
      <c r="E747" s="25"/>
      <c r="F747" s="25"/>
      <c r="G747" s="5"/>
      <c r="H747" s="5"/>
      <c r="I747" s="5"/>
      <c r="J747" s="5"/>
      <c r="K747" s="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  <c r="AB747" s="25"/>
      <c r="AC747" s="25"/>
      <c r="AD747" s="25"/>
      <c r="AE747" s="25"/>
      <c r="AF747" s="25"/>
      <c r="AG747" s="25"/>
      <c r="AH747" s="25"/>
      <c r="AI747" s="25"/>
      <c r="AJ747" s="25"/>
      <c r="AK747" s="25"/>
      <c r="AL747" s="25"/>
      <c r="AM747" s="25"/>
      <c r="AN747" s="25"/>
      <c r="AO747" s="25"/>
      <c r="AP747" s="25"/>
      <c r="AQ747" s="25"/>
      <c r="AR747" s="25"/>
      <c r="AS747" s="25"/>
      <c r="AT747" s="25"/>
      <c r="AU747" s="25"/>
    </row>
    <row r="748">
      <c r="A748" s="25"/>
      <c r="B748" s="25"/>
      <c r="C748" s="25"/>
      <c r="D748" s="25"/>
      <c r="E748" s="25"/>
      <c r="F748" s="25"/>
      <c r="G748" s="5"/>
      <c r="H748" s="5"/>
      <c r="I748" s="5"/>
      <c r="J748" s="5"/>
      <c r="K748" s="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  <c r="AB748" s="25"/>
      <c r="AC748" s="25"/>
      <c r="AD748" s="25"/>
      <c r="AE748" s="25"/>
      <c r="AF748" s="25"/>
      <c r="AG748" s="25"/>
      <c r="AH748" s="25"/>
      <c r="AI748" s="25"/>
      <c r="AJ748" s="25"/>
      <c r="AK748" s="25"/>
      <c r="AL748" s="25"/>
      <c r="AM748" s="25"/>
      <c r="AN748" s="25"/>
      <c r="AO748" s="25"/>
      <c r="AP748" s="25"/>
      <c r="AQ748" s="25"/>
      <c r="AR748" s="25"/>
      <c r="AS748" s="25"/>
      <c r="AT748" s="25"/>
      <c r="AU748" s="25"/>
    </row>
    <row r="749">
      <c r="A749" s="25"/>
      <c r="B749" s="25"/>
      <c r="C749" s="25"/>
      <c r="D749" s="25"/>
      <c r="E749" s="25"/>
      <c r="F749" s="25"/>
      <c r="G749" s="5"/>
      <c r="H749" s="5"/>
      <c r="I749" s="5"/>
      <c r="J749" s="5"/>
      <c r="K749" s="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  <c r="AB749" s="25"/>
      <c r="AC749" s="25"/>
      <c r="AD749" s="25"/>
      <c r="AE749" s="25"/>
      <c r="AF749" s="25"/>
      <c r="AG749" s="25"/>
      <c r="AH749" s="25"/>
      <c r="AI749" s="25"/>
      <c r="AJ749" s="25"/>
      <c r="AK749" s="25"/>
      <c r="AL749" s="25"/>
      <c r="AM749" s="25"/>
      <c r="AN749" s="25"/>
      <c r="AO749" s="25"/>
      <c r="AP749" s="25"/>
      <c r="AQ749" s="25"/>
      <c r="AR749" s="25"/>
      <c r="AS749" s="25"/>
      <c r="AT749" s="25"/>
      <c r="AU749" s="25"/>
    </row>
    <row r="750">
      <c r="A750" s="25"/>
      <c r="B750" s="25"/>
      <c r="C750" s="25"/>
      <c r="D750" s="25"/>
      <c r="E750" s="25"/>
      <c r="F750" s="25"/>
      <c r="G750" s="5"/>
      <c r="H750" s="5"/>
      <c r="I750" s="5"/>
      <c r="J750" s="5"/>
      <c r="K750" s="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  <c r="AB750" s="25"/>
      <c r="AC750" s="25"/>
      <c r="AD750" s="25"/>
      <c r="AE750" s="25"/>
      <c r="AF750" s="25"/>
      <c r="AG750" s="25"/>
      <c r="AH750" s="25"/>
      <c r="AI750" s="25"/>
      <c r="AJ750" s="25"/>
      <c r="AK750" s="25"/>
      <c r="AL750" s="25"/>
      <c r="AM750" s="25"/>
      <c r="AN750" s="25"/>
      <c r="AO750" s="25"/>
      <c r="AP750" s="25"/>
      <c r="AQ750" s="25"/>
      <c r="AR750" s="25"/>
      <c r="AS750" s="25"/>
      <c r="AT750" s="25"/>
      <c r="AU750" s="25"/>
    </row>
    <row r="751">
      <c r="A751" s="25"/>
      <c r="B751" s="25"/>
      <c r="C751" s="25"/>
      <c r="D751" s="25"/>
      <c r="E751" s="25"/>
      <c r="F751" s="25"/>
      <c r="G751" s="5"/>
      <c r="H751" s="5"/>
      <c r="I751" s="5"/>
      <c r="J751" s="5"/>
      <c r="K751" s="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  <c r="AB751" s="25"/>
      <c r="AC751" s="25"/>
      <c r="AD751" s="25"/>
      <c r="AE751" s="25"/>
      <c r="AF751" s="25"/>
      <c r="AG751" s="25"/>
      <c r="AH751" s="25"/>
      <c r="AI751" s="25"/>
      <c r="AJ751" s="25"/>
      <c r="AK751" s="25"/>
      <c r="AL751" s="25"/>
      <c r="AM751" s="25"/>
      <c r="AN751" s="25"/>
      <c r="AO751" s="25"/>
      <c r="AP751" s="25"/>
      <c r="AQ751" s="25"/>
      <c r="AR751" s="25"/>
      <c r="AS751" s="25"/>
      <c r="AT751" s="25"/>
      <c r="AU751" s="25"/>
    </row>
    <row r="752">
      <c r="A752" s="25"/>
      <c r="B752" s="25"/>
      <c r="C752" s="25"/>
      <c r="D752" s="25"/>
      <c r="E752" s="25"/>
      <c r="F752" s="25"/>
      <c r="G752" s="5"/>
      <c r="H752" s="5"/>
      <c r="I752" s="5"/>
      <c r="J752" s="5"/>
      <c r="K752" s="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  <c r="AB752" s="25"/>
      <c r="AC752" s="25"/>
      <c r="AD752" s="25"/>
      <c r="AE752" s="25"/>
      <c r="AF752" s="25"/>
      <c r="AG752" s="25"/>
      <c r="AH752" s="25"/>
      <c r="AI752" s="25"/>
      <c r="AJ752" s="25"/>
      <c r="AK752" s="25"/>
      <c r="AL752" s="25"/>
      <c r="AM752" s="25"/>
      <c r="AN752" s="25"/>
      <c r="AO752" s="25"/>
      <c r="AP752" s="25"/>
      <c r="AQ752" s="25"/>
      <c r="AR752" s="25"/>
      <c r="AS752" s="25"/>
      <c r="AT752" s="25"/>
      <c r="AU752" s="25"/>
    </row>
    <row r="753">
      <c r="A753" s="25"/>
      <c r="B753" s="25"/>
      <c r="C753" s="25"/>
      <c r="D753" s="25"/>
      <c r="E753" s="25"/>
      <c r="F753" s="25"/>
      <c r="G753" s="5"/>
      <c r="H753" s="5"/>
      <c r="I753" s="5"/>
      <c r="J753" s="5"/>
      <c r="K753" s="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  <c r="AB753" s="25"/>
      <c r="AC753" s="25"/>
      <c r="AD753" s="25"/>
      <c r="AE753" s="25"/>
      <c r="AF753" s="25"/>
      <c r="AG753" s="25"/>
      <c r="AH753" s="25"/>
      <c r="AI753" s="25"/>
      <c r="AJ753" s="25"/>
      <c r="AK753" s="25"/>
      <c r="AL753" s="25"/>
      <c r="AM753" s="25"/>
      <c r="AN753" s="25"/>
      <c r="AO753" s="25"/>
      <c r="AP753" s="25"/>
      <c r="AQ753" s="25"/>
      <c r="AR753" s="25"/>
      <c r="AS753" s="25"/>
      <c r="AT753" s="25"/>
      <c r="AU753" s="25"/>
    </row>
    <row r="754">
      <c r="A754" s="25"/>
      <c r="B754" s="25"/>
      <c r="C754" s="25"/>
      <c r="D754" s="25"/>
      <c r="E754" s="25"/>
      <c r="F754" s="25"/>
      <c r="G754" s="5"/>
      <c r="H754" s="5"/>
      <c r="I754" s="5"/>
      <c r="J754" s="5"/>
      <c r="K754" s="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  <c r="AB754" s="25"/>
      <c r="AC754" s="25"/>
      <c r="AD754" s="25"/>
      <c r="AE754" s="25"/>
      <c r="AF754" s="25"/>
      <c r="AG754" s="25"/>
      <c r="AH754" s="25"/>
      <c r="AI754" s="25"/>
      <c r="AJ754" s="25"/>
      <c r="AK754" s="25"/>
      <c r="AL754" s="25"/>
      <c r="AM754" s="25"/>
      <c r="AN754" s="25"/>
      <c r="AO754" s="25"/>
      <c r="AP754" s="25"/>
      <c r="AQ754" s="25"/>
      <c r="AR754" s="25"/>
      <c r="AS754" s="25"/>
      <c r="AT754" s="25"/>
      <c r="AU754" s="25"/>
    </row>
    <row r="755">
      <c r="A755" s="25"/>
      <c r="B755" s="25"/>
      <c r="C755" s="25"/>
      <c r="D755" s="25"/>
      <c r="E755" s="25"/>
      <c r="F755" s="25"/>
      <c r="G755" s="5"/>
      <c r="H755" s="5"/>
      <c r="I755" s="5"/>
      <c r="J755" s="5"/>
      <c r="K755" s="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  <c r="AB755" s="25"/>
      <c r="AC755" s="25"/>
      <c r="AD755" s="25"/>
      <c r="AE755" s="25"/>
      <c r="AF755" s="25"/>
      <c r="AG755" s="25"/>
      <c r="AH755" s="25"/>
      <c r="AI755" s="25"/>
      <c r="AJ755" s="25"/>
      <c r="AK755" s="25"/>
      <c r="AL755" s="25"/>
      <c r="AM755" s="25"/>
      <c r="AN755" s="25"/>
      <c r="AO755" s="25"/>
      <c r="AP755" s="25"/>
      <c r="AQ755" s="25"/>
      <c r="AR755" s="25"/>
      <c r="AS755" s="25"/>
      <c r="AT755" s="25"/>
      <c r="AU755" s="25"/>
    </row>
    <row r="756">
      <c r="A756" s="25"/>
      <c r="B756" s="25"/>
      <c r="C756" s="25"/>
      <c r="D756" s="25"/>
      <c r="E756" s="25"/>
      <c r="F756" s="25"/>
      <c r="G756" s="5"/>
      <c r="H756" s="5"/>
      <c r="I756" s="5"/>
      <c r="J756" s="5"/>
      <c r="K756" s="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  <c r="AB756" s="25"/>
      <c r="AC756" s="25"/>
      <c r="AD756" s="25"/>
      <c r="AE756" s="25"/>
      <c r="AF756" s="25"/>
      <c r="AG756" s="25"/>
      <c r="AH756" s="25"/>
      <c r="AI756" s="25"/>
      <c r="AJ756" s="25"/>
      <c r="AK756" s="25"/>
      <c r="AL756" s="25"/>
      <c r="AM756" s="25"/>
      <c r="AN756" s="25"/>
      <c r="AO756" s="25"/>
      <c r="AP756" s="25"/>
      <c r="AQ756" s="25"/>
      <c r="AR756" s="25"/>
      <c r="AS756" s="25"/>
      <c r="AT756" s="25"/>
      <c r="AU756" s="25"/>
    </row>
    <row r="757">
      <c r="A757" s="25"/>
      <c r="B757" s="25"/>
      <c r="C757" s="25"/>
      <c r="D757" s="25"/>
      <c r="E757" s="25"/>
      <c r="F757" s="25"/>
      <c r="G757" s="5"/>
      <c r="H757" s="5"/>
      <c r="I757" s="5"/>
      <c r="J757" s="5"/>
      <c r="K757" s="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  <c r="AB757" s="25"/>
      <c r="AC757" s="25"/>
      <c r="AD757" s="25"/>
      <c r="AE757" s="25"/>
      <c r="AF757" s="25"/>
      <c r="AG757" s="25"/>
      <c r="AH757" s="25"/>
      <c r="AI757" s="25"/>
      <c r="AJ757" s="25"/>
      <c r="AK757" s="25"/>
      <c r="AL757" s="25"/>
      <c r="AM757" s="25"/>
      <c r="AN757" s="25"/>
      <c r="AO757" s="25"/>
      <c r="AP757" s="25"/>
      <c r="AQ757" s="25"/>
      <c r="AR757" s="25"/>
      <c r="AS757" s="25"/>
      <c r="AT757" s="25"/>
      <c r="AU757" s="25"/>
    </row>
    <row r="758">
      <c r="A758" s="25"/>
      <c r="B758" s="25"/>
      <c r="C758" s="25"/>
      <c r="D758" s="25"/>
      <c r="E758" s="25"/>
      <c r="F758" s="25"/>
      <c r="G758" s="5"/>
      <c r="H758" s="5"/>
      <c r="I758" s="5"/>
      <c r="J758" s="5"/>
      <c r="K758" s="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  <c r="AB758" s="25"/>
      <c r="AC758" s="25"/>
      <c r="AD758" s="25"/>
      <c r="AE758" s="25"/>
      <c r="AF758" s="25"/>
      <c r="AG758" s="25"/>
      <c r="AH758" s="25"/>
      <c r="AI758" s="25"/>
      <c r="AJ758" s="25"/>
      <c r="AK758" s="25"/>
      <c r="AL758" s="25"/>
      <c r="AM758" s="25"/>
      <c r="AN758" s="25"/>
      <c r="AO758" s="25"/>
      <c r="AP758" s="25"/>
      <c r="AQ758" s="25"/>
      <c r="AR758" s="25"/>
      <c r="AS758" s="25"/>
      <c r="AT758" s="25"/>
      <c r="AU758" s="25"/>
    </row>
    <row r="759">
      <c r="A759" s="25"/>
      <c r="B759" s="25"/>
      <c r="C759" s="25"/>
      <c r="D759" s="25"/>
      <c r="E759" s="25"/>
      <c r="F759" s="25"/>
      <c r="G759" s="5"/>
      <c r="H759" s="5"/>
      <c r="I759" s="5"/>
      <c r="J759" s="5"/>
      <c r="K759" s="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  <c r="AB759" s="25"/>
      <c r="AC759" s="25"/>
      <c r="AD759" s="25"/>
      <c r="AE759" s="25"/>
      <c r="AF759" s="25"/>
      <c r="AG759" s="25"/>
      <c r="AH759" s="25"/>
      <c r="AI759" s="25"/>
      <c r="AJ759" s="25"/>
      <c r="AK759" s="25"/>
      <c r="AL759" s="25"/>
      <c r="AM759" s="25"/>
      <c r="AN759" s="25"/>
      <c r="AO759" s="25"/>
      <c r="AP759" s="25"/>
      <c r="AQ759" s="25"/>
      <c r="AR759" s="25"/>
      <c r="AS759" s="25"/>
      <c r="AT759" s="25"/>
      <c r="AU759" s="25"/>
    </row>
    <row r="760">
      <c r="A760" s="25"/>
      <c r="B760" s="25"/>
      <c r="C760" s="25"/>
      <c r="D760" s="25"/>
      <c r="E760" s="25"/>
      <c r="F760" s="25"/>
      <c r="G760" s="5"/>
      <c r="H760" s="5"/>
      <c r="I760" s="5"/>
      <c r="J760" s="5"/>
      <c r="K760" s="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  <c r="AB760" s="25"/>
      <c r="AC760" s="25"/>
      <c r="AD760" s="25"/>
      <c r="AE760" s="25"/>
      <c r="AF760" s="25"/>
      <c r="AG760" s="25"/>
      <c r="AH760" s="25"/>
      <c r="AI760" s="25"/>
      <c r="AJ760" s="25"/>
      <c r="AK760" s="25"/>
      <c r="AL760" s="25"/>
      <c r="AM760" s="25"/>
      <c r="AN760" s="25"/>
      <c r="AO760" s="25"/>
      <c r="AP760" s="25"/>
      <c r="AQ760" s="25"/>
      <c r="AR760" s="25"/>
      <c r="AS760" s="25"/>
      <c r="AT760" s="25"/>
      <c r="AU760" s="25"/>
    </row>
    <row r="761">
      <c r="A761" s="25"/>
      <c r="B761" s="25"/>
      <c r="C761" s="25"/>
      <c r="D761" s="25"/>
      <c r="E761" s="25"/>
      <c r="F761" s="25"/>
      <c r="G761" s="5"/>
      <c r="H761" s="5"/>
      <c r="I761" s="5"/>
      <c r="J761" s="5"/>
      <c r="K761" s="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  <c r="AB761" s="25"/>
      <c r="AC761" s="25"/>
      <c r="AD761" s="25"/>
      <c r="AE761" s="25"/>
      <c r="AF761" s="25"/>
      <c r="AG761" s="25"/>
      <c r="AH761" s="25"/>
      <c r="AI761" s="25"/>
      <c r="AJ761" s="25"/>
      <c r="AK761" s="25"/>
      <c r="AL761" s="25"/>
      <c r="AM761" s="25"/>
      <c r="AN761" s="25"/>
      <c r="AO761" s="25"/>
      <c r="AP761" s="25"/>
      <c r="AQ761" s="25"/>
      <c r="AR761" s="25"/>
      <c r="AS761" s="25"/>
      <c r="AT761" s="25"/>
      <c r="AU761" s="25"/>
    </row>
    <row r="762">
      <c r="A762" s="25"/>
      <c r="B762" s="25"/>
      <c r="C762" s="25"/>
      <c r="D762" s="25"/>
      <c r="E762" s="25"/>
      <c r="F762" s="25"/>
      <c r="G762" s="5"/>
      <c r="H762" s="5"/>
      <c r="I762" s="5"/>
      <c r="J762" s="5"/>
      <c r="K762" s="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  <c r="AB762" s="25"/>
      <c r="AC762" s="25"/>
      <c r="AD762" s="25"/>
      <c r="AE762" s="25"/>
      <c r="AF762" s="25"/>
      <c r="AG762" s="25"/>
      <c r="AH762" s="25"/>
      <c r="AI762" s="25"/>
      <c r="AJ762" s="25"/>
      <c r="AK762" s="25"/>
      <c r="AL762" s="25"/>
      <c r="AM762" s="25"/>
      <c r="AN762" s="25"/>
      <c r="AO762" s="25"/>
      <c r="AP762" s="25"/>
      <c r="AQ762" s="25"/>
      <c r="AR762" s="25"/>
      <c r="AS762" s="25"/>
      <c r="AT762" s="25"/>
      <c r="AU762" s="25"/>
    </row>
    <row r="763">
      <c r="A763" s="25"/>
      <c r="B763" s="25"/>
      <c r="C763" s="25"/>
      <c r="D763" s="25"/>
      <c r="E763" s="25"/>
      <c r="F763" s="25"/>
      <c r="G763" s="5"/>
      <c r="H763" s="5"/>
      <c r="I763" s="5"/>
      <c r="J763" s="5"/>
      <c r="K763" s="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  <c r="AB763" s="25"/>
      <c r="AC763" s="25"/>
      <c r="AD763" s="25"/>
      <c r="AE763" s="25"/>
      <c r="AF763" s="25"/>
      <c r="AG763" s="25"/>
      <c r="AH763" s="25"/>
      <c r="AI763" s="25"/>
      <c r="AJ763" s="25"/>
      <c r="AK763" s="25"/>
      <c r="AL763" s="25"/>
      <c r="AM763" s="25"/>
      <c r="AN763" s="25"/>
      <c r="AO763" s="25"/>
      <c r="AP763" s="25"/>
      <c r="AQ763" s="25"/>
      <c r="AR763" s="25"/>
      <c r="AS763" s="25"/>
      <c r="AT763" s="25"/>
      <c r="AU763" s="25"/>
    </row>
    <row r="764">
      <c r="A764" s="25"/>
      <c r="B764" s="25"/>
      <c r="C764" s="25"/>
      <c r="D764" s="25"/>
      <c r="E764" s="25"/>
      <c r="F764" s="25"/>
      <c r="G764" s="5"/>
      <c r="H764" s="5"/>
      <c r="I764" s="5"/>
      <c r="J764" s="5"/>
      <c r="K764" s="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  <c r="AB764" s="25"/>
      <c r="AC764" s="25"/>
      <c r="AD764" s="25"/>
      <c r="AE764" s="25"/>
      <c r="AF764" s="25"/>
      <c r="AG764" s="25"/>
      <c r="AH764" s="25"/>
      <c r="AI764" s="25"/>
      <c r="AJ764" s="25"/>
      <c r="AK764" s="25"/>
      <c r="AL764" s="25"/>
      <c r="AM764" s="25"/>
      <c r="AN764" s="25"/>
      <c r="AO764" s="25"/>
      <c r="AP764" s="25"/>
      <c r="AQ764" s="25"/>
      <c r="AR764" s="25"/>
      <c r="AS764" s="25"/>
      <c r="AT764" s="25"/>
      <c r="AU764" s="25"/>
    </row>
    <row r="765">
      <c r="A765" s="25"/>
      <c r="B765" s="25"/>
      <c r="C765" s="25"/>
      <c r="D765" s="25"/>
      <c r="E765" s="25"/>
      <c r="F765" s="25"/>
      <c r="G765" s="5"/>
      <c r="H765" s="5"/>
      <c r="I765" s="5"/>
      <c r="J765" s="5"/>
      <c r="K765" s="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  <c r="AB765" s="25"/>
      <c r="AC765" s="25"/>
      <c r="AD765" s="25"/>
      <c r="AE765" s="25"/>
      <c r="AF765" s="25"/>
      <c r="AG765" s="25"/>
      <c r="AH765" s="25"/>
      <c r="AI765" s="25"/>
      <c r="AJ765" s="25"/>
      <c r="AK765" s="25"/>
      <c r="AL765" s="25"/>
      <c r="AM765" s="25"/>
      <c r="AN765" s="25"/>
      <c r="AO765" s="25"/>
      <c r="AP765" s="25"/>
      <c r="AQ765" s="25"/>
      <c r="AR765" s="25"/>
      <c r="AS765" s="25"/>
      <c r="AT765" s="25"/>
      <c r="AU765" s="25"/>
    </row>
    <row r="766">
      <c r="A766" s="25"/>
      <c r="B766" s="25"/>
      <c r="C766" s="25"/>
      <c r="D766" s="25"/>
      <c r="E766" s="25"/>
      <c r="F766" s="25"/>
      <c r="G766" s="5"/>
      <c r="H766" s="5"/>
      <c r="I766" s="5"/>
      <c r="J766" s="5"/>
      <c r="K766" s="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  <c r="AB766" s="25"/>
      <c r="AC766" s="25"/>
      <c r="AD766" s="25"/>
      <c r="AE766" s="25"/>
      <c r="AF766" s="25"/>
      <c r="AG766" s="25"/>
      <c r="AH766" s="25"/>
      <c r="AI766" s="25"/>
      <c r="AJ766" s="25"/>
      <c r="AK766" s="25"/>
      <c r="AL766" s="25"/>
      <c r="AM766" s="25"/>
      <c r="AN766" s="25"/>
      <c r="AO766" s="25"/>
      <c r="AP766" s="25"/>
      <c r="AQ766" s="25"/>
      <c r="AR766" s="25"/>
      <c r="AS766" s="25"/>
      <c r="AT766" s="25"/>
      <c r="AU766" s="25"/>
    </row>
    <row r="767">
      <c r="A767" s="25"/>
      <c r="B767" s="25"/>
      <c r="C767" s="25"/>
      <c r="D767" s="25"/>
      <c r="E767" s="25"/>
      <c r="F767" s="25"/>
      <c r="G767" s="5"/>
      <c r="H767" s="5"/>
      <c r="I767" s="5"/>
      <c r="J767" s="5"/>
      <c r="K767" s="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  <c r="AB767" s="25"/>
      <c r="AC767" s="25"/>
      <c r="AD767" s="25"/>
      <c r="AE767" s="25"/>
      <c r="AF767" s="25"/>
      <c r="AG767" s="25"/>
      <c r="AH767" s="25"/>
      <c r="AI767" s="25"/>
      <c r="AJ767" s="25"/>
      <c r="AK767" s="25"/>
      <c r="AL767" s="25"/>
      <c r="AM767" s="25"/>
      <c r="AN767" s="25"/>
      <c r="AO767" s="25"/>
      <c r="AP767" s="25"/>
      <c r="AQ767" s="25"/>
      <c r="AR767" s="25"/>
      <c r="AS767" s="25"/>
      <c r="AT767" s="25"/>
      <c r="AU767" s="25"/>
    </row>
    <row r="768">
      <c r="A768" s="25"/>
      <c r="B768" s="25"/>
      <c r="C768" s="25"/>
      <c r="D768" s="25"/>
      <c r="E768" s="25"/>
      <c r="F768" s="25"/>
      <c r="G768" s="5"/>
      <c r="H768" s="5"/>
      <c r="I768" s="5"/>
      <c r="J768" s="5"/>
      <c r="K768" s="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  <c r="AB768" s="25"/>
      <c r="AC768" s="25"/>
      <c r="AD768" s="25"/>
      <c r="AE768" s="25"/>
      <c r="AF768" s="25"/>
      <c r="AG768" s="25"/>
      <c r="AH768" s="25"/>
      <c r="AI768" s="25"/>
      <c r="AJ768" s="25"/>
      <c r="AK768" s="25"/>
      <c r="AL768" s="25"/>
      <c r="AM768" s="25"/>
      <c r="AN768" s="25"/>
      <c r="AO768" s="25"/>
      <c r="AP768" s="25"/>
      <c r="AQ768" s="25"/>
      <c r="AR768" s="25"/>
      <c r="AS768" s="25"/>
      <c r="AT768" s="25"/>
      <c r="AU768" s="25"/>
    </row>
    <row r="769">
      <c r="A769" s="25"/>
      <c r="B769" s="25"/>
      <c r="C769" s="25"/>
      <c r="D769" s="25"/>
      <c r="E769" s="25"/>
      <c r="F769" s="25"/>
      <c r="G769" s="5"/>
      <c r="H769" s="5"/>
      <c r="I769" s="5"/>
      <c r="J769" s="5"/>
      <c r="K769" s="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  <c r="AB769" s="25"/>
      <c r="AC769" s="25"/>
      <c r="AD769" s="25"/>
      <c r="AE769" s="25"/>
      <c r="AF769" s="25"/>
      <c r="AG769" s="25"/>
      <c r="AH769" s="25"/>
      <c r="AI769" s="25"/>
      <c r="AJ769" s="25"/>
      <c r="AK769" s="25"/>
      <c r="AL769" s="25"/>
      <c r="AM769" s="25"/>
      <c r="AN769" s="25"/>
      <c r="AO769" s="25"/>
      <c r="AP769" s="25"/>
      <c r="AQ769" s="25"/>
      <c r="AR769" s="25"/>
      <c r="AS769" s="25"/>
      <c r="AT769" s="25"/>
      <c r="AU769" s="25"/>
    </row>
    <row r="770">
      <c r="A770" s="25"/>
      <c r="B770" s="25"/>
      <c r="C770" s="25"/>
      <c r="D770" s="25"/>
      <c r="E770" s="25"/>
      <c r="F770" s="25"/>
      <c r="G770" s="5"/>
      <c r="H770" s="5"/>
      <c r="I770" s="5"/>
      <c r="J770" s="5"/>
      <c r="K770" s="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  <c r="AB770" s="25"/>
      <c r="AC770" s="25"/>
      <c r="AD770" s="25"/>
      <c r="AE770" s="25"/>
      <c r="AF770" s="25"/>
      <c r="AG770" s="25"/>
      <c r="AH770" s="25"/>
      <c r="AI770" s="25"/>
      <c r="AJ770" s="25"/>
      <c r="AK770" s="25"/>
      <c r="AL770" s="25"/>
      <c r="AM770" s="25"/>
      <c r="AN770" s="25"/>
      <c r="AO770" s="25"/>
      <c r="AP770" s="25"/>
      <c r="AQ770" s="25"/>
      <c r="AR770" s="25"/>
      <c r="AS770" s="25"/>
      <c r="AT770" s="25"/>
      <c r="AU770" s="25"/>
    </row>
    <row r="771">
      <c r="A771" s="25"/>
      <c r="B771" s="25"/>
      <c r="C771" s="25"/>
      <c r="D771" s="25"/>
      <c r="E771" s="25"/>
      <c r="F771" s="25"/>
      <c r="G771" s="5"/>
      <c r="H771" s="5"/>
      <c r="I771" s="5"/>
      <c r="J771" s="5"/>
      <c r="K771" s="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  <c r="AB771" s="25"/>
      <c r="AC771" s="25"/>
      <c r="AD771" s="25"/>
      <c r="AE771" s="25"/>
      <c r="AF771" s="25"/>
      <c r="AG771" s="25"/>
      <c r="AH771" s="25"/>
      <c r="AI771" s="25"/>
      <c r="AJ771" s="25"/>
      <c r="AK771" s="25"/>
      <c r="AL771" s="25"/>
      <c r="AM771" s="25"/>
      <c r="AN771" s="25"/>
      <c r="AO771" s="25"/>
      <c r="AP771" s="25"/>
      <c r="AQ771" s="25"/>
      <c r="AR771" s="25"/>
      <c r="AS771" s="25"/>
      <c r="AT771" s="25"/>
      <c r="AU771" s="25"/>
    </row>
    <row r="772">
      <c r="A772" s="25"/>
      <c r="B772" s="25"/>
      <c r="C772" s="25"/>
      <c r="D772" s="25"/>
      <c r="E772" s="25"/>
      <c r="F772" s="25"/>
      <c r="G772" s="5"/>
      <c r="H772" s="5"/>
      <c r="I772" s="5"/>
      <c r="J772" s="5"/>
      <c r="K772" s="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  <c r="AB772" s="25"/>
      <c r="AC772" s="25"/>
      <c r="AD772" s="25"/>
      <c r="AE772" s="25"/>
      <c r="AF772" s="25"/>
      <c r="AG772" s="25"/>
      <c r="AH772" s="25"/>
      <c r="AI772" s="25"/>
      <c r="AJ772" s="25"/>
      <c r="AK772" s="25"/>
      <c r="AL772" s="25"/>
      <c r="AM772" s="25"/>
      <c r="AN772" s="25"/>
      <c r="AO772" s="25"/>
      <c r="AP772" s="25"/>
      <c r="AQ772" s="25"/>
      <c r="AR772" s="25"/>
      <c r="AS772" s="25"/>
      <c r="AT772" s="25"/>
      <c r="AU772" s="25"/>
    </row>
    <row r="773">
      <c r="A773" s="25"/>
      <c r="B773" s="25"/>
      <c r="C773" s="25"/>
      <c r="D773" s="25"/>
      <c r="E773" s="25"/>
      <c r="F773" s="25"/>
      <c r="G773" s="5"/>
      <c r="H773" s="5"/>
      <c r="I773" s="5"/>
      <c r="J773" s="5"/>
      <c r="K773" s="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  <c r="AB773" s="25"/>
      <c r="AC773" s="25"/>
      <c r="AD773" s="25"/>
      <c r="AE773" s="25"/>
      <c r="AF773" s="25"/>
      <c r="AG773" s="25"/>
      <c r="AH773" s="25"/>
      <c r="AI773" s="25"/>
      <c r="AJ773" s="25"/>
      <c r="AK773" s="25"/>
      <c r="AL773" s="25"/>
      <c r="AM773" s="25"/>
      <c r="AN773" s="25"/>
      <c r="AO773" s="25"/>
      <c r="AP773" s="25"/>
      <c r="AQ773" s="25"/>
      <c r="AR773" s="25"/>
      <c r="AS773" s="25"/>
      <c r="AT773" s="25"/>
      <c r="AU773" s="25"/>
    </row>
    <row r="774">
      <c r="A774" s="25"/>
      <c r="B774" s="25"/>
      <c r="C774" s="25"/>
      <c r="D774" s="25"/>
      <c r="E774" s="25"/>
      <c r="F774" s="25"/>
      <c r="G774" s="5"/>
      <c r="H774" s="5"/>
      <c r="I774" s="5"/>
      <c r="J774" s="5"/>
      <c r="K774" s="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  <c r="AB774" s="25"/>
      <c r="AC774" s="25"/>
      <c r="AD774" s="25"/>
      <c r="AE774" s="25"/>
      <c r="AF774" s="25"/>
      <c r="AG774" s="25"/>
      <c r="AH774" s="25"/>
      <c r="AI774" s="25"/>
      <c r="AJ774" s="25"/>
      <c r="AK774" s="25"/>
      <c r="AL774" s="25"/>
      <c r="AM774" s="25"/>
      <c r="AN774" s="25"/>
      <c r="AO774" s="25"/>
      <c r="AP774" s="25"/>
      <c r="AQ774" s="25"/>
      <c r="AR774" s="25"/>
      <c r="AS774" s="25"/>
      <c r="AT774" s="25"/>
      <c r="AU774" s="25"/>
    </row>
    <row r="775">
      <c r="A775" s="25"/>
      <c r="B775" s="25"/>
      <c r="C775" s="25"/>
      <c r="D775" s="25"/>
      <c r="E775" s="25"/>
      <c r="F775" s="25"/>
      <c r="G775" s="5"/>
      <c r="H775" s="5"/>
      <c r="I775" s="5"/>
      <c r="J775" s="5"/>
      <c r="K775" s="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  <c r="AB775" s="25"/>
      <c r="AC775" s="25"/>
      <c r="AD775" s="25"/>
      <c r="AE775" s="25"/>
      <c r="AF775" s="25"/>
      <c r="AG775" s="25"/>
      <c r="AH775" s="25"/>
      <c r="AI775" s="25"/>
      <c r="AJ775" s="25"/>
      <c r="AK775" s="25"/>
      <c r="AL775" s="25"/>
      <c r="AM775" s="25"/>
      <c r="AN775" s="25"/>
      <c r="AO775" s="25"/>
      <c r="AP775" s="25"/>
      <c r="AQ775" s="25"/>
      <c r="AR775" s="25"/>
      <c r="AS775" s="25"/>
      <c r="AT775" s="25"/>
      <c r="AU775" s="25"/>
    </row>
    <row r="776">
      <c r="A776" s="25"/>
      <c r="B776" s="25"/>
      <c r="C776" s="25"/>
      <c r="D776" s="25"/>
      <c r="E776" s="25"/>
      <c r="F776" s="25"/>
      <c r="G776" s="5"/>
      <c r="H776" s="5"/>
      <c r="I776" s="5"/>
      <c r="J776" s="5"/>
      <c r="K776" s="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  <c r="AB776" s="25"/>
      <c r="AC776" s="25"/>
      <c r="AD776" s="25"/>
      <c r="AE776" s="25"/>
      <c r="AF776" s="25"/>
      <c r="AG776" s="25"/>
      <c r="AH776" s="25"/>
      <c r="AI776" s="25"/>
      <c r="AJ776" s="25"/>
      <c r="AK776" s="25"/>
      <c r="AL776" s="25"/>
      <c r="AM776" s="25"/>
      <c r="AN776" s="25"/>
      <c r="AO776" s="25"/>
      <c r="AP776" s="25"/>
      <c r="AQ776" s="25"/>
      <c r="AR776" s="25"/>
      <c r="AS776" s="25"/>
      <c r="AT776" s="25"/>
      <c r="AU776" s="25"/>
    </row>
    <row r="777">
      <c r="A777" s="25"/>
      <c r="B777" s="25"/>
      <c r="C777" s="25"/>
      <c r="D777" s="25"/>
      <c r="E777" s="25"/>
      <c r="F777" s="25"/>
      <c r="G777" s="5"/>
      <c r="H777" s="5"/>
      <c r="I777" s="5"/>
      <c r="J777" s="5"/>
      <c r="K777" s="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  <c r="AB777" s="25"/>
      <c r="AC777" s="25"/>
      <c r="AD777" s="25"/>
      <c r="AE777" s="25"/>
      <c r="AF777" s="25"/>
      <c r="AG777" s="25"/>
      <c r="AH777" s="25"/>
      <c r="AI777" s="25"/>
      <c r="AJ777" s="25"/>
      <c r="AK777" s="25"/>
      <c r="AL777" s="25"/>
      <c r="AM777" s="25"/>
      <c r="AN777" s="25"/>
      <c r="AO777" s="25"/>
      <c r="AP777" s="25"/>
      <c r="AQ777" s="25"/>
      <c r="AR777" s="25"/>
      <c r="AS777" s="25"/>
      <c r="AT777" s="25"/>
      <c r="AU777" s="25"/>
    </row>
    <row r="778">
      <c r="A778" s="25"/>
      <c r="B778" s="25"/>
      <c r="C778" s="25"/>
      <c r="D778" s="25"/>
      <c r="E778" s="25"/>
      <c r="F778" s="25"/>
      <c r="G778" s="5"/>
      <c r="H778" s="5"/>
      <c r="I778" s="5"/>
      <c r="J778" s="5"/>
      <c r="K778" s="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  <c r="AB778" s="25"/>
      <c r="AC778" s="25"/>
      <c r="AD778" s="25"/>
      <c r="AE778" s="25"/>
      <c r="AF778" s="25"/>
      <c r="AG778" s="25"/>
      <c r="AH778" s="25"/>
      <c r="AI778" s="25"/>
      <c r="AJ778" s="25"/>
      <c r="AK778" s="25"/>
      <c r="AL778" s="25"/>
      <c r="AM778" s="25"/>
      <c r="AN778" s="25"/>
      <c r="AO778" s="25"/>
      <c r="AP778" s="25"/>
      <c r="AQ778" s="25"/>
      <c r="AR778" s="25"/>
      <c r="AS778" s="25"/>
      <c r="AT778" s="25"/>
      <c r="AU778" s="25"/>
    </row>
    <row r="779">
      <c r="A779" s="25"/>
      <c r="B779" s="25"/>
      <c r="C779" s="25"/>
      <c r="D779" s="25"/>
      <c r="E779" s="25"/>
      <c r="F779" s="25"/>
      <c r="G779" s="5"/>
      <c r="H779" s="5"/>
      <c r="I779" s="5"/>
      <c r="J779" s="5"/>
      <c r="K779" s="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  <c r="AB779" s="25"/>
      <c r="AC779" s="25"/>
      <c r="AD779" s="25"/>
      <c r="AE779" s="25"/>
      <c r="AF779" s="25"/>
      <c r="AG779" s="25"/>
      <c r="AH779" s="25"/>
      <c r="AI779" s="25"/>
      <c r="AJ779" s="25"/>
      <c r="AK779" s="25"/>
      <c r="AL779" s="25"/>
      <c r="AM779" s="25"/>
      <c r="AN779" s="25"/>
      <c r="AO779" s="25"/>
      <c r="AP779" s="25"/>
      <c r="AQ779" s="25"/>
      <c r="AR779" s="25"/>
      <c r="AS779" s="25"/>
      <c r="AT779" s="25"/>
      <c r="AU779" s="25"/>
    </row>
    <row r="780">
      <c r="A780" s="25"/>
      <c r="B780" s="25"/>
      <c r="C780" s="25"/>
      <c r="D780" s="25"/>
      <c r="E780" s="25"/>
      <c r="F780" s="25"/>
      <c r="G780" s="5"/>
      <c r="H780" s="5"/>
      <c r="I780" s="5"/>
      <c r="J780" s="5"/>
      <c r="K780" s="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  <c r="AB780" s="25"/>
      <c r="AC780" s="25"/>
      <c r="AD780" s="25"/>
      <c r="AE780" s="25"/>
      <c r="AF780" s="25"/>
      <c r="AG780" s="25"/>
      <c r="AH780" s="25"/>
      <c r="AI780" s="25"/>
      <c r="AJ780" s="25"/>
      <c r="AK780" s="25"/>
      <c r="AL780" s="25"/>
      <c r="AM780" s="25"/>
      <c r="AN780" s="25"/>
      <c r="AO780" s="25"/>
      <c r="AP780" s="25"/>
      <c r="AQ780" s="25"/>
      <c r="AR780" s="25"/>
      <c r="AS780" s="25"/>
      <c r="AT780" s="25"/>
      <c r="AU780" s="25"/>
    </row>
    <row r="781">
      <c r="A781" s="25"/>
      <c r="B781" s="25"/>
      <c r="C781" s="25"/>
      <c r="D781" s="25"/>
      <c r="E781" s="25"/>
      <c r="F781" s="25"/>
      <c r="G781" s="5"/>
      <c r="H781" s="5"/>
      <c r="I781" s="5"/>
      <c r="J781" s="5"/>
      <c r="K781" s="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  <c r="AB781" s="25"/>
      <c r="AC781" s="25"/>
      <c r="AD781" s="25"/>
      <c r="AE781" s="25"/>
      <c r="AF781" s="25"/>
      <c r="AG781" s="25"/>
      <c r="AH781" s="25"/>
      <c r="AI781" s="25"/>
      <c r="AJ781" s="25"/>
      <c r="AK781" s="25"/>
      <c r="AL781" s="25"/>
      <c r="AM781" s="25"/>
      <c r="AN781" s="25"/>
      <c r="AO781" s="25"/>
      <c r="AP781" s="25"/>
      <c r="AQ781" s="25"/>
      <c r="AR781" s="25"/>
      <c r="AS781" s="25"/>
      <c r="AT781" s="25"/>
      <c r="AU781" s="25"/>
    </row>
    <row r="782">
      <c r="A782" s="25"/>
      <c r="B782" s="25"/>
      <c r="C782" s="25"/>
      <c r="D782" s="25"/>
      <c r="E782" s="25"/>
      <c r="F782" s="25"/>
      <c r="G782" s="5"/>
      <c r="H782" s="5"/>
      <c r="I782" s="5"/>
      <c r="J782" s="5"/>
      <c r="K782" s="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  <c r="AB782" s="25"/>
      <c r="AC782" s="25"/>
      <c r="AD782" s="25"/>
      <c r="AE782" s="25"/>
      <c r="AF782" s="25"/>
      <c r="AG782" s="25"/>
      <c r="AH782" s="25"/>
      <c r="AI782" s="25"/>
      <c r="AJ782" s="25"/>
      <c r="AK782" s="25"/>
      <c r="AL782" s="25"/>
      <c r="AM782" s="25"/>
      <c r="AN782" s="25"/>
      <c r="AO782" s="25"/>
      <c r="AP782" s="25"/>
      <c r="AQ782" s="25"/>
      <c r="AR782" s="25"/>
      <c r="AS782" s="25"/>
      <c r="AT782" s="25"/>
      <c r="AU782" s="25"/>
    </row>
    <row r="783">
      <c r="A783" s="25"/>
      <c r="B783" s="25"/>
      <c r="C783" s="25"/>
      <c r="D783" s="25"/>
      <c r="E783" s="25"/>
      <c r="F783" s="25"/>
      <c r="G783" s="5"/>
      <c r="H783" s="5"/>
      <c r="I783" s="5"/>
      <c r="J783" s="5"/>
      <c r="K783" s="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  <c r="AB783" s="25"/>
      <c r="AC783" s="25"/>
      <c r="AD783" s="25"/>
      <c r="AE783" s="25"/>
      <c r="AF783" s="25"/>
      <c r="AG783" s="25"/>
      <c r="AH783" s="25"/>
      <c r="AI783" s="25"/>
      <c r="AJ783" s="25"/>
      <c r="AK783" s="25"/>
      <c r="AL783" s="25"/>
      <c r="AM783" s="25"/>
      <c r="AN783" s="25"/>
      <c r="AO783" s="25"/>
      <c r="AP783" s="25"/>
      <c r="AQ783" s="25"/>
      <c r="AR783" s="25"/>
      <c r="AS783" s="25"/>
      <c r="AT783" s="25"/>
      <c r="AU783" s="25"/>
    </row>
    <row r="784">
      <c r="A784" s="25"/>
      <c r="B784" s="25"/>
      <c r="C784" s="25"/>
      <c r="D784" s="25"/>
      <c r="E784" s="25"/>
      <c r="F784" s="25"/>
      <c r="G784" s="5"/>
      <c r="H784" s="5"/>
      <c r="I784" s="5"/>
      <c r="J784" s="5"/>
      <c r="K784" s="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  <c r="AB784" s="25"/>
      <c r="AC784" s="25"/>
      <c r="AD784" s="25"/>
      <c r="AE784" s="25"/>
      <c r="AF784" s="25"/>
      <c r="AG784" s="25"/>
      <c r="AH784" s="25"/>
      <c r="AI784" s="25"/>
      <c r="AJ784" s="25"/>
      <c r="AK784" s="25"/>
      <c r="AL784" s="25"/>
      <c r="AM784" s="25"/>
      <c r="AN784" s="25"/>
      <c r="AO784" s="25"/>
      <c r="AP784" s="25"/>
      <c r="AQ784" s="25"/>
      <c r="AR784" s="25"/>
      <c r="AS784" s="25"/>
      <c r="AT784" s="25"/>
      <c r="AU784" s="25"/>
    </row>
    <row r="785">
      <c r="A785" s="25"/>
      <c r="B785" s="25"/>
      <c r="C785" s="25"/>
      <c r="D785" s="25"/>
      <c r="E785" s="25"/>
      <c r="F785" s="25"/>
      <c r="G785" s="5"/>
      <c r="H785" s="5"/>
      <c r="I785" s="5"/>
      <c r="J785" s="5"/>
      <c r="K785" s="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  <c r="AB785" s="25"/>
      <c r="AC785" s="25"/>
      <c r="AD785" s="25"/>
      <c r="AE785" s="25"/>
      <c r="AF785" s="25"/>
      <c r="AG785" s="25"/>
      <c r="AH785" s="25"/>
      <c r="AI785" s="25"/>
      <c r="AJ785" s="25"/>
      <c r="AK785" s="25"/>
      <c r="AL785" s="25"/>
      <c r="AM785" s="25"/>
      <c r="AN785" s="25"/>
      <c r="AO785" s="25"/>
      <c r="AP785" s="25"/>
      <c r="AQ785" s="25"/>
      <c r="AR785" s="25"/>
      <c r="AS785" s="25"/>
      <c r="AT785" s="25"/>
      <c r="AU785" s="25"/>
    </row>
    <row r="786">
      <c r="A786" s="25"/>
      <c r="B786" s="25"/>
      <c r="C786" s="25"/>
      <c r="D786" s="25"/>
      <c r="E786" s="25"/>
      <c r="F786" s="25"/>
      <c r="G786" s="5"/>
      <c r="H786" s="5"/>
      <c r="I786" s="5"/>
      <c r="J786" s="5"/>
      <c r="K786" s="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  <c r="AB786" s="25"/>
      <c r="AC786" s="25"/>
      <c r="AD786" s="25"/>
      <c r="AE786" s="25"/>
      <c r="AF786" s="25"/>
      <c r="AG786" s="25"/>
      <c r="AH786" s="25"/>
      <c r="AI786" s="25"/>
      <c r="AJ786" s="25"/>
      <c r="AK786" s="25"/>
      <c r="AL786" s="25"/>
      <c r="AM786" s="25"/>
      <c r="AN786" s="25"/>
      <c r="AO786" s="25"/>
      <c r="AP786" s="25"/>
      <c r="AQ786" s="25"/>
      <c r="AR786" s="25"/>
      <c r="AS786" s="25"/>
      <c r="AT786" s="25"/>
      <c r="AU786" s="25"/>
    </row>
    <row r="787">
      <c r="A787" s="25"/>
      <c r="B787" s="25"/>
      <c r="C787" s="25"/>
      <c r="D787" s="25"/>
      <c r="E787" s="25"/>
      <c r="F787" s="25"/>
      <c r="G787" s="5"/>
      <c r="H787" s="5"/>
      <c r="I787" s="5"/>
      <c r="J787" s="5"/>
      <c r="K787" s="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  <c r="AB787" s="25"/>
      <c r="AC787" s="25"/>
      <c r="AD787" s="25"/>
      <c r="AE787" s="25"/>
      <c r="AF787" s="25"/>
      <c r="AG787" s="25"/>
      <c r="AH787" s="25"/>
      <c r="AI787" s="25"/>
      <c r="AJ787" s="25"/>
      <c r="AK787" s="25"/>
      <c r="AL787" s="25"/>
      <c r="AM787" s="25"/>
      <c r="AN787" s="25"/>
      <c r="AO787" s="25"/>
      <c r="AP787" s="25"/>
      <c r="AQ787" s="25"/>
      <c r="AR787" s="25"/>
      <c r="AS787" s="25"/>
      <c r="AT787" s="25"/>
      <c r="AU787" s="25"/>
    </row>
    <row r="788">
      <c r="A788" s="25"/>
      <c r="B788" s="25"/>
      <c r="C788" s="25"/>
      <c r="D788" s="25"/>
      <c r="E788" s="25"/>
      <c r="F788" s="25"/>
      <c r="G788" s="5"/>
      <c r="H788" s="5"/>
      <c r="I788" s="5"/>
      <c r="J788" s="5"/>
      <c r="K788" s="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  <c r="AB788" s="25"/>
      <c r="AC788" s="25"/>
      <c r="AD788" s="25"/>
      <c r="AE788" s="25"/>
      <c r="AF788" s="25"/>
      <c r="AG788" s="25"/>
      <c r="AH788" s="25"/>
      <c r="AI788" s="25"/>
      <c r="AJ788" s="25"/>
      <c r="AK788" s="25"/>
      <c r="AL788" s="25"/>
      <c r="AM788" s="25"/>
      <c r="AN788" s="25"/>
      <c r="AO788" s="25"/>
      <c r="AP788" s="25"/>
      <c r="AQ788" s="25"/>
      <c r="AR788" s="25"/>
      <c r="AS788" s="25"/>
      <c r="AT788" s="25"/>
      <c r="AU788" s="25"/>
    </row>
    <row r="789">
      <c r="A789" s="25"/>
      <c r="B789" s="25"/>
      <c r="C789" s="25"/>
      <c r="D789" s="25"/>
      <c r="E789" s="25"/>
      <c r="F789" s="25"/>
      <c r="G789" s="5"/>
      <c r="H789" s="5"/>
      <c r="I789" s="5"/>
      <c r="J789" s="5"/>
      <c r="K789" s="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  <c r="AB789" s="25"/>
      <c r="AC789" s="25"/>
      <c r="AD789" s="25"/>
      <c r="AE789" s="25"/>
      <c r="AF789" s="25"/>
      <c r="AG789" s="25"/>
      <c r="AH789" s="25"/>
      <c r="AI789" s="25"/>
      <c r="AJ789" s="25"/>
      <c r="AK789" s="25"/>
      <c r="AL789" s="25"/>
      <c r="AM789" s="25"/>
      <c r="AN789" s="25"/>
      <c r="AO789" s="25"/>
      <c r="AP789" s="25"/>
      <c r="AQ789" s="25"/>
      <c r="AR789" s="25"/>
      <c r="AS789" s="25"/>
      <c r="AT789" s="25"/>
      <c r="AU789" s="25"/>
    </row>
    <row r="790">
      <c r="A790" s="25"/>
      <c r="B790" s="25"/>
      <c r="C790" s="25"/>
      <c r="D790" s="25"/>
      <c r="E790" s="25"/>
      <c r="F790" s="25"/>
      <c r="G790" s="5"/>
      <c r="H790" s="5"/>
      <c r="I790" s="5"/>
      <c r="J790" s="5"/>
      <c r="K790" s="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  <c r="AB790" s="25"/>
      <c r="AC790" s="25"/>
      <c r="AD790" s="25"/>
      <c r="AE790" s="25"/>
      <c r="AF790" s="25"/>
      <c r="AG790" s="25"/>
      <c r="AH790" s="25"/>
      <c r="AI790" s="25"/>
      <c r="AJ790" s="25"/>
      <c r="AK790" s="25"/>
      <c r="AL790" s="25"/>
      <c r="AM790" s="25"/>
      <c r="AN790" s="25"/>
      <c r="AO790" s="25"/>
      <c r="AP790" s="25"/>
      <c r="AQ790" s="25"/>
      <c r="AR790" s="25"/>
      <c r="AS790" s="25"/>
      <c r="AT790" s="25"/>
      <c r="AU790" s="25"/>
    </row>
    <row r="791">
      <c r="A791" s="25"/>
      <c r="B791" s="25"/>
      <c r="C791" s="25"/>
      <c r="D791" s="25"/>
      <c r="E791" s="25"/>
      <c r="F791" s="25"/>
      <c r="G791" s="5"/>
      <c r="H791" s="5"/>
      <c r="I791" s="5"/>
      <c r="J791" s="5"/>
      <c r="K791" s="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  <c r="AB791" s="25"/>
      <c r="AC791" s="25"/>
      <c r="AD791" s="25"/>
      <c r="AE791" s="25"/>
      <c r="AF791" s="25"/>
      <c r="AG791" s="25"/>
      <c r="AH791" s="25"/>
      <c r="AI791" s="25"/>
      <c r="AJ791" s="25"/>
      <c r="AK791" s="25"/>
      <c r="AL791" s="25"/>
      <c r="AM791" s="25"/>
      <c r="AN791" s="25"/>
      <c r="AO791" s="25"/>
      <c r="AP791" s="25"/>
      <c r="AQ791" s="25"/>
      <c r="AR791" s="25"/>
      <c r="AS791" s="25"/>
      <c r="AT791" s="25"/>
      <c r="AU791" s="25"/>
    </row>
    <row r="792">
      <c r="A792" s="25"/>
      <c r="B792" s="25"/>
      <c r="C792" s="25"/>
      <c r="D792" s="25"/>
      <c r="E792" s="25"/>
      <c r="F792" s="25"/>
      <c r="G792" s="5"/>
      <c r="H792" s="5"/>
      <c r="I792" s="5"/>
      <c r="J792" s="5"/>
      <c r="K792" s="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  <c r="AB792" s="25"/>
      <c r="AC792" s="25"/>
      <c r="AD792" s="25"/>
      <c r="AE792" s="25"/>
      <c r="AF792" s="25"/>
      <c r="AG792" s="25"/>
      <c r="AH792" s="25"/>
      <c r="AI792" s="25"/>
      <c r="AJ792" s="25"/>
      <c r="AK792" s="25"/>
      <c r="AL792" s="25"/>
      <c r="AM792" s="25"/>
      <c r="AN792" s="25"/>
      <c r="AO792" s="25"/>
      <c r="AP792" s="25"/>
      <c r="AQ792" s="25"/>
      <c r="AR792" s="25"/>
      <c r="AS792" s="25"/>
      <c r="AT792" s="25"/>
      <c r="AU792" s="25"/>
    </row>
    <row r="793">
      <c r="A793" s="25"/>
      <c r="B793" s="25"/>
      <c r="C793" s="25"/>
      <c r="D793" s="25"/>
      <c r="E793" s="25"/>
      <c r="F793" s="25"/>
      <c r="G793" s="5"/>
      <c r="H793" s="5"/>
      <c r="I793" s="5"/>
      <c r="J793" s="5"/>
      <c r="K793" s="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  <c r="AB793" s="25"/>
      <c r="AC793" s="25"/>
      <c r="AD793" s="25"/>
      <c r="AE793" s="25"/>
      <c r="AF793" s="25"/>
      <c r="AG793" s="25"/>
      <c r="AH793" s="25"/>
      <c r="AI793" s="25"/>
      <c r="AJ793" s="25"/>
      <c r="AK793" s="25"/>
      <c r="AL793" s="25"/>
      <c r="AM793" s="25"/>
      <c r="AN793" s="25"/>
      <c r="AO793" s="25"/>
      <c r="AP793" s="25"/>
      <c r="AQ793" s="25"/>
      <c r="AR793" s="25"/>
      <c r="AS793" s="25"/>
      <c r="AT793" s="25"/>
      <c r="AU793" s="25"/>
    </row>
    <row r="794">
      <c r="A794" s="25"/>
      <c r="B794" s="25"/>
      <c r="C794" s="25"/>
      <c r="D794" s="25"/>
      <c r="E794" s="25"/>
      <c r="F794" s="25"/>
      <c r="G794" s="5"/>
      <c r="H794" s="5"/>
      <c r="I794" s="5"/>
      <c r="J794" s="5"/>
      <c r="K794" s="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  <c r="AB794" s="25"/>
      <c r="AC794" s="25"/>
      <c r="AD794" s="25"/>
      <c r="AE794" s="25"/>
      <c r="AF794" s="25"/>
      <c r="AG794" s="25"/>
      <c r="AH794" s="25"/>
      <c r="AI794" s="25"/>
      <c r="AJ794" s="25"/>
      <c r="AK794" s="25"/>
      <c r="AL794" s="25"/>
      <c r="AM794" s="25"/>
      <c r="AN794" s="25"/>
      <c r="AO794" s="25"/>
      <c r="AP794" s="25"/>
      <c r="AQ794" s="25"/>
      <c r="AR794" s="25"/>
      <c r="AS794" s="25"/>
      <c r="AT794" s="25"/>
      <c r="AU794" s="25"/>
    </row>
    <row r="795">
      <c r="A795" s="25"/>
      <c r="B795" s="25"/>
      <c r="C795" s="25"/>
      <c r="D795" s="25"/>
      <c r="E795" s="25"/>
      <c r="F795" s="25"/>
      <c r="G795" s="5"/>
      <c r="H795" s="5"/>
      <c r="I795" s="5"/>
      <c r="J795" s="5"/>
      <c r="K795" s="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  <c r="AB795" s="25"/>
      <c r="AC795" s="25"/>
      <c r="AD795" s="25"/>
      <c r="AE795" s="25"/>
      <c r="AF795" s="25"/>
      <c r="AG795" s="25"/>
      <c r="AH795" s="25"/>
      <c r="AI795" s="25"/>
      <c r="AJ795" s="25"/>
      <c r="AK795" s="25"/>
      <c r="AL795" s="25"/>
      <c r="AM795" s="25"/>
      <c r="AN795" s="25"/>
      <c r="AO795" s="25"/>
      <c r="AP795" s="25"/>
      <c r="AQ795" s="25"/>
      <c r="AR795" s="25"/>
      <c r="AS795" s="25"/>
      <c r="AT795" s="25"/>
      <c r="AU795" s="25"/>
    </row>
    <row r="796">
      <c r="A796" s="25"/>
      <c r="B796" s="25"/>
      <c r="C796" s="25"/>
      <c r="D796" s="25"/>
      <c r="E796" s="25"/>
      <c r="F796" s="25"/>
      <c r="G796" s="5"/>
      <c r="H796" s="5"/>
      <c r="I796" s="5"/>
      <c r="J796" s="5"/>
      <c r="K796" s="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  <c r="AB796" s="25"/>
      <c r="AC796" s="25"/>
      <c r="AD796" s="25"/>
      <c r="AE796" s="25"/>
      <c r="AF796" s="25"/>
      <c r="AG796" s="25"/>
      <c r="AH796" s="25"/>
      <c r="AI796" s="25"/>
      <c r="AJ796" s="25"/>
      <c r="AK796" s="25"/>
      <c r="AL796" s="25"/>
      <c r="AM796" s="25"/>
      <c r="AN796" s="25"/>
      <c r="AO796" s="25"/>
      <c r="AP796" s="25"/>
      <c r="AQ796" s="25"/>
      <c r="AR796" s="25"/>
      <c r="AS796" s="25"/>
      <c r="AT796" s="25"/>
      <c r="AU796" s="25"/>
    </row>
    <row r="797">
      <c r="A797" s="25"/>
      <c r="B797" s="25"/>
      <c r="C797" s="25"/>
      <c r="D797" s="25"/>
      <c r="E797" s="25"/>
      <c r="F797" s="25"/>
      <c r="G797" s="5"/>
      <c r="H797" s="5"/>
      <c r="I797" s="5"/>
      <c r="J797" s="5"/>
      <c r="K797" s="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  <c r="AB797" s="25"/>
      <c r="AC797" s="25"/>
      <c r="AD797" s="25"/>
      <c r="AE797" s="25"/>
      <c r="AF797" s="25"/>
      <c r="AG797" s="25"/>
      <c r="AH797" s="25"/>
      <c r="AI797" s="25"/>
      <c r="AJ797" s="25"/>
      <c r="AK797" s="25"/>
      <c r="AL797" s="25"/>
      <c r="AM797" s="25"/>
      <c r="AN797" s="25"/>
      <c r="AO797" s="25"/>
      <c r="AP797" s="25"/>
      <c r="AQ797" s="25"/>
      <c r="AR797" s="25"/>
      <c r="AS797" s="25"/>
      <c r="AT797" s="25"/>
      <c r="AU797" s="25"/>
    </row>
    <row r="798">
      <c r="A798" s="25"/>
      <c r="B798" s="25"/>
      <c r="C798" s="25"/>
      <c r="D798" s="25"/>
      <c r="E798" s="25"/>
      <c r="F798" s="25"/>
      <c r="G798" s="5"/>
      <c r="H798" s="5"/>
      <c r="I798" s="5"/>
      <c r="J798" s="5"/>
      <c r="K798" s="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  <c r="AB798" s="25"/>
      <c r="AC798" s="25"/>
      <c r="AD798" s="25"/>
      <c r="AE798" s="25"/>
      <c r="AF798" s="25"/>
      <c r="AG798" s="25"/>
      <c r="AH798" s="25"/>
      <c r="AI798" s="25"/>
      <c r="AJ798" s="25"/>
      <c r="AK798" s="25"/>
      <c r="AL798" s="25"/>
      <c r="AM798" s="25"/>
      <c r="AN798" s="25"/>
      <c r="AO798" s="25"/>
      <c r="AP798" s="25"/>
      <c r="AQ798" s="25"/>
      <c r="AR798" s="25"/>
      <c r="AS798" s="25"/>
      <c r="AT798" s="25"/>
      <c r="AU798" s="25"/>
    </row>
    <row r="799">
      <c r="A799" s="25"/>
      <c r="B799" s="25"/>
      <c r="C799" s="25"/>
      <c r="D799" s="25"/>
      <c r="E799" s="25"/>
      <c r="F799" s="25"/>
      <c r="G799" s="5"/>
      <c r="H799" s="5"/>
      <c r="I799" s="5"/>
      <c r="J799" s="5"/>
      <c r="K799" s="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  <c r="AB799" s="25"/>
      <c r="AC799" s="25"/>
      <c r="AD799" s="25"/>
      <c r="AE799" s="25"/>
      <c r="AF799" s="25"/>
      <c r="AG799" s="25"/>
      <c r="AH799" s="25"/>
      <c r="AI799" s="25"/>
      <c r="AJ799" s="25"/>
      <c r="AK799" s="25"/>
      <c r="AL799" s="25"/>
      <c r="AM799" s="25"/>
      <c r="AN799" s="25"/>
      <c r="AO799" s="25"/>
      <c r="AP799" s="25"/>
      <c r="AQ799" s="25"/>
      <c r="AR799" s="25"/>
      <c r="AS799" s="25"/>
      <c r="AT799" s="25"/>
      <c r="AU799" s="25"/>
    </row>
    <row r="800">
      <c r="A800" s="25"/>
      <c r="B800" s="25"/>
      <c r="C800" s="25"/>
      <c r="D800" s="25"/>
      <c r="E800" s="25"/>
      <c r="F800" s="25"/>
      <c r="G800" s="5"/>
      <c r="H800" s="5"/>
      <c r="I800" s="5"/>
      <c r="J800" s="5"/>
      <c r="K800" s="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  <c r="AB800" s="25"/>
      <c r="AC800" s="25"/>
      <c r="AD800" s="25"/>
      <c r="AE800" s="25"/>
      <c r="AF800" s="25"/>
      <c r="AG800" s="25"/>
      <c r="AH800" s="25"/>
      <c r="AI800" s="25"/>
      <c r="AJ800" s="25"/>
      <c r="AK800" s="25"/>
      <c r="AL800" s="25"/>
      <c r="AM800" s="25"/>
      <c r="AN800" s="25"/>
      <c r="AO800" s="25"/>
      <c r="AP800" s="25"/>
      <c r="AQ800" s="25"/>
      <c r="AR800" s="25"/>
      <c r="AS800" s="25"/>
      <c r="AT800" s="25"/>
      <c r="AU800" s="25"/>
    </row>
    <row r="801">
      <c r="A801" s="25"/>
      <c r="B801" s="25"/>
      <c r="C801" s="25"/>
      <c r="D801" s="25"/>
      <c r="E801" s="25"/>
      <c r="F801" s="25"/>
      <c r="G801" s="5"/>
      <c r="H801" s="5"/>
      <c r="I801" s="5"/>
      <c r="J801" s="5"/>
      <c r="K801" s="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  <c r="AB801" s="25"/>
      <c r="AC801" s="25"/>
      <c r="AD801" s="25"/>
      <c r="AE801" s="25"/>
      <c r="AF801" s="25"/>
      <c r="AG801" s="25"/>
      <c r="AH801" s="25"/>
      <c r="AI801" s="25"/>
      <c r="AJ801" s="25"/>
      <c r="AK801" s="25"/>
      <c r="AL801" s="25"/>
      <c r="AM801" s="25"/>
      <c r="AN801" s="25"/>
      <c r="AO801" s="25"/>
      <c r="AP801" s="25"/>
      <c r="AQ801" s="25"/>
      <c r="AR801" s="25"/>
      <c r="AS801" s="25"/>
      <c r="AT801" s="25"/>
      <c r="AU801" s="25"/>
    </row>
    <row r="802">
      <c r="A802" s="25"/>
      <c r="B802" s="25"/>
      <c r="C802" s="25"/>
      <c r="D802" s="25"/>
      <c r="E802" s="25"/>
      <c r="F802" s="25"/>
      <c r="G802" s="5"/>
      <c r="H802" s="5"/>
      <c r="I802" s="5"/>
      <c r="J802" s="5"/>
      <c r="K802" s="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  <c r="AB802" s="25"/>
      <c r="AC802" s="25"/>
      <c r="AD802" s="25"/>
      <c r="AE802" s="25"/>
      <c r="AF802" s="25"/>
      <c r="AG802" s="25"/>
      <c r="AH802" s="25"/>
      <c r="AI802" s="25"/>
      <c r="AJ802" s="25"/>
      <c r="AK802" s="25"/>
      <c r="AL802" s="25"/>
      <c r="AM802" s="25"/>
      <c r="AN802" s="25"/>
      <c r="AO802" s="25"/>
      <c r="AP802" s="25"/>
      <c r="AQ802" s="25"/>
      <c r="AR802" s="25"/>
      <c r="AS802" s="25"/>
      <c r="AT802" s="25"/>
      <c r="AU802" s="25"/>
    </row>
    <row r="803">
      <c r="A803" s="25"/>
      <c r="B803" s="25"/>
      <c r="C803" s="25"/>
      <c r="D803" s="25"/>
      <c r="E803" s="25"/>
      <c r="F803" s="25"/>
      <c r="G803" s="5"/>
      <c r="H803" s="5"/>
      <c r="I803" s="5"/>
      <c r="J803" s="5"/>
      <c r="K803" s="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  <c r="AB803" s="25"/>
      <c r="AC803" s="25"/>
      <c r="AD803" s="25"/>
      <c r="AE803" s="25"/>
      <c r="AF803" s="25"/>
      <c r="AG803" s="25"/>
      <c r="AH803" s="25"/>
      <c r="AI803" s="25"/>
      <c r="AJ803" s="25"/>
      <c r="AK803" s="25"/>
      <c r="AL803" s="25"/>
      <c r="AM803" s="25"/>
      <c r="AN803" s="25"/>
      <c r="AO803" s="25"/>
      <c r="AP803" s="25"/>
      <c r="AQ803" s="25"/>
      <c r="AR803" s="25"/>
      <c r="AS803" s="25"/>
      <c r="AT803" s="25"/>
      <c r="AU803" s="25"/>
    </row>
    <row r="804">
      <c r="A804" s="25"/>
      <c r="B804" s="25"/>
      <c r="C804" s="25"/>
      <c r="D804" s="25"/>
      <c r="E804" s="25"/>
      <c r="F804" s="25"/>
      <c r="G804" s="5"/>
      <c r="H804" s="5"/>
      <c r="I804" s="5"/>
      <c r="J804" s="5"/>
      <c r="K804" s="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  <c r="AB804" s="25"/>
      <c r="AC804" s="25"/>
      <c r="AD804" s="25"/>
      <c r="AE804" s="25"/>
      <c r="AF804" s="25"/>
      <c r="AG804" s="25"/>
      <c r="AH804" s="25"/>
      <c r="AI804" s="25"/>
      <c r="AJ804" s="25"/>
      <c r="AK804" s="25"/>
      <c r="AL804" s="25"/>
      <c r="AM804" s="25"/>
      <c r="AN804" s="25"/>
      <c r="AO804" s="25"/>
      <c r="AP804" s="25"/>
      <c r="AQ804" s="25"/>
      <c r="AR804" s="25"/>
      <c r="AS804" s="25"/>
      <c r="AT804" s="25"/>
      <c r="AU804" s="25"/>
    </row>
    <row r="805">
      <c r="A805" s="25"/>
      <c r="B805" s="25"/>
      <c r="C805" s="25"/>
      <c r="D805" s="25"/>
      <c r="E805" s="25"/>
      <c r="F805" s="25"/>
      <c r="G805" s="5"/>
      <c r="H805" s="5"/>
      <c r="I805" s="5"/>
      <c r="J805" s="5"/>
      <c r="K805" s="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  <c r="AB805" s="25"/>
      <c r="AC805" s="25"/>
      <c r="AD805" s="25"/>
      <c r="AE805" s="25"/>
      <c r="AF805" s="25"/>
      <c r="AG805" s="25"/>
      <c r="AH805" s="25"/>
      <c r="AI805" s="25"/>
      <c r="AJ805" s="25"/>
      <c r="AK805" s="25"/>
      <c r="AL805" s="25"/>
      <c r="AM805" s="25"/>
      <c r="AN805" s="25"/>
      <c r="AO805" s="25"/>
      <c r="AP805" s="25"/>
      <c r="AQ805" s="25"/>
      <c r="AR805" s="25"/>
      <c r="AS805" s="25"/>
      <c r="AT805" s="25"/>
      <c r="AU805" s="25"/>
    </row>
    <row r="806">
      <c r="A806" s="25"/>
      <c r="B806" s="25"/>
      <c r="C806" s="25"/>
      <c r="D806" s="25"/>
      <c r="E806" s="25"/>
      <c r="F806" s="25"/>
      <c r="G806" s="5"/>
      <c r="H806" s="5"/>
      <c r="I806" s="5"/>
      <c r="J806" s="5"/>
      <c r="K806" s="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  <c r="AB806" s="25"/>
      <c r="AC806" s="25"/>
      <c r="AD806" s="25"/>
      <c r="AE806" s="25"/>
      <c r="AF806" s="25"/>
      <c r="AG806" s="25"/>
      <c r="AH806" s="25"/>
      <c r="AI806" s="25"/>
      <c r="AJ806" s="25"/>
      <c r="AK806" s="25"/>
      <c r="AL806" s="25"/>
      <c r="AM806" s="25"/>
      <c r="AN806" s="25"/>
      <c r="AO806" s="25"/>
      <c r="AP806" s="25"/>
      <c r="AQ806" s="25"/>
      <c r="AR806" s="25"/>
      <c r="AS806" s="25"/>
      <c r="AT806" s="25"/>
      <c r="AU806" s="25"/>
    </row>
    <row r="807">
      <c r="A807" s="25"/>
      <c r="B807" s="25"/>
      <c r="C807" s="25"/>
      <c r="D807" s="25"/>
      <c r="E807" s="25"/>
      <c r="F807" s="25"/>
      <c r="G807" s="5"/>
      <c r="H807" s="5"/>
      <c r="I807" s="5"/>
      <c r="J807" s="5"/>
      <c r="K807" s="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  <c r="AB807" s="25"/>
      <c r="AC807" s="25"/>
      <c r="AD807" s="25"/>
      <c r="AE807" s="25"/>
      <c r="AF807" s="25"/>
      <c r="AG807" s="25"/>
      <c r="AH807" s="25"/>
      <c r="AI807" s="25"/>
      <c r="AJ807" s="25"/>
      <c r="AK807" s="25"/>
      <c r="AL807" s="25"/>
      <c r="AM807" s="25"/>
      <c r="AN807" s="25"/>
      <c r="AO807" s="25"/>
      <c r="AP807" s="25"/>
      <c r="AQ807" s="25"/>
      <c r="AR807" s="25"/>
      <c r="AS807" s="25"/>
      <c r="AT807" s="25"/>
      <c r="AU807" s="25"/>
    </row>
    <row r="808">
      <c r="A808" s="25"/>
      <c r="B808" s="25"/>
      <c r="C808" s="25"/>
      <c r="D808" s="25"/>
      <c r="E808" s="25"/>
      <c r="F808" s="25"/>
      <c r="G808" s="5"/>
      <c r="H808" s="5"/>
      <c r="I808" s="5"/>
      <c r="J808" s="5"/>
      <c r="K808" s="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  <c r="AB808" s="25"/>
      <c r="AC808" s="25"/>
      <c r="AD808" s="25"/>
      <c r="AE808" s="25"/>
      <c r="AF808" s="25"/>
      <c r="AG808" s="25"/>
      <c r="AH808" s="25"/>
      <c r="AI808" s="25"/>
      <c r="AJ808" s="25"/>
      <c r="AK808" s="25"/>
      <c r="AL808" s="25"/>
      <c r="AM808" s="25"/>
      <c r="AN808" s="25"/>
      <c r="AO808" s="25"/>
      <c r="AP808" s="25"/>
      <c r="AQ808" s="25"/>
      <c r="AR808" s="25"/>
      <c r="AS808" s="25"/>
      <c r="AT808" s="25"/>
      <c r="AU808" s="25"/>
    </row>
    <row r="809">
      <c r="A809" s="25"/>
      <c r="B809" s="25"/>
      <c r="C809" s="25"/>
      <c r="D809" s="25"/>
      <c r="E809" s="25"/>
      <c r="F809" s="25"/>
      <c r="G809" s="5"/>
      <c r="H809" s="5"/>
      <c r="I809" s="5"/>
      <c r="J809" s="5"/>
      <c r="K809" s="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  <c r="AB809" s="25"/>
      <c r="AC809" s="25"/>
      <c r="AD809" s="25"/>
      <c r="AE809" s="25"/>
      <c r="AF809" s="25"/>
      <c r="AG809" s="25"/>
      <c r="AH809" s="25"/>
      <c r="AI809" s="25"/>
      <c r="AJ809" s="25"/>
      <c r="AK809" s="25"/>
      <c r="AL809" s="25"/>
      <c r="AM809" s="25"/>
      <c r="AN809" s="25"/>
      <c r="AO809" s="25"/>
      <c r="AP809" s="25"/>
      <c r="AQ809" s="25"/>
      <c r="AR809" s="25"/>
      <c r="AS809" s="25"/>
      <c r="AT809" s="25"/>
      <c r="AU809" s="25"/>
    </row>
    <row r="810">
      <c r="A810" s="25"/>
      <c r="B810" s="25"/>
      <c r="C810" s="25"/>
      <c r="D810" s="25"/>
      <c r="E810" s="25"/>
      <c r="F810" s="25"/>
      <c r="G810" s="5"/>
      <c r="H810" s="5"/>
      <c r="I810" s="5"/>
      <c r="J810" s="5"/>
      <c r="K810" s="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  <c r="AB810" s="25"/>
      <c r="AC810" s="25"/>
      <c r="AD810" s="25"/>
      <c r="AE810" s="25"/>
      <c r="AF810" s="25"/>
      <c r="AG810" s="25"/>
      <c r="AH810" s="25"/>
      <c r="AI810" s="25"/>
      <c r="AJ810" s="25"/>
      <c r="AK810" s="25"/>
      <c r="AL810" s="25"/>
      <c r="AM810" s="25"/>
      <c r="AN810" s="25"/>
      <c r="AO810" s="25"/>
      <c r="AP810" s="25"/>
      <c r="AQ810" s="25"/>
      <c r="AR810" s="25"/>
      <c r="AS810" s="25"/>
      <c r="AT810" s="25"/>
      <c r="AU810" s="25"/>
    </row>
    <row r="811">
      <c r="A811" s="25"/>
      <c r="B811" s="25"/>
      <c r="C811" s="25"/>
      <c r="D811" s="25"/>
      <c r="E811" s="25"/>
      <c r="F811" s="25"/>
      <c r="G811" s="5"/>
      <c r="H811" s="5"/>
      <c r="I811" s="5"/>
      <c r="J811" s="5"/>
      <c r="K811" s="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  <c r="AB811" s="25"/>
      <c r="AC811" s="25"/>
      <c r="AD811" s="25"/>
      <c r="AE811" s="25"/>
      <c r="AF811" s="25"/>
      <c r="AG811" s="25"/>
      <c r="AH811" s="25"/>
      <c r="AI811" s="25"/>
      <c r="AJ811" s="25"/>
      <c r="AK811" s="25"/>
      <c r="AL811" s="25"/>
      <c r="AM811" s="25"/>
      <c r="AN811" s="25"/>
      <c r="AO811" s="25"/>
      <c r="AP811" s="25"/>
      <c r="AQ811" s="25"/>
      <c r="AR811" s="25"/>
      <c r="AS811" s="25"/>
      <c r="AT811" s="25"/>
      <c r="AU811" s="25"/>
    </row>
    <row r="812">
      <c r="A812" s="25"/>
      <c r="B812" s="25"/>
      <c r="C812" s="25"/>
      <c r="D812" s="25"/>
      <c r="E812" s="25"/>
      <c r="F812" s="25"/>
      <c r="G812" s="5"/>
      <c r="H812" s="5"/>
      <c r="I812" s="5"/>
      <c r="J812" s="5"/>
      <c r="K812" s="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  <c r="AB812" s="25"/>
      <c r="AC812" s="25"/>
      <c r="AD812" s="25"/>
      <c r="AE812" s="25"/>
      <c r="AF812" s="25"/>
      <c r="AG812" s="25"/>
      <c r="AH812" s="25"/>
      <c r="AI812" s="25"/>
      <c r="AJ812" s="25"/>
      <c r="AK812" s="25"/>
      <c r="AL812" s="25"/>
      <c r="AM812" s="25"/>
      <c r="AN812" s="25"/>
      <c r="AO812" s="25"/>
      <c r="AP812" s="25"/>
      <c r="AQ812" s="25"/>
      <c r="AR812" s="25"/>
      <c r="AS812" s="25"/>
      <c r="AT812" s="25"/>
      <c r="AU812" s="25"/>
    </row>
    <row r="813">
      <c r="A813" s="25"/>
      <c r="B813" s="25"/>
      <c r="C813" s="25"/>
      <c r="D813" s="25"/>
      <c r="E813" s="25"/>
      <c r="F813" s="25"/>
      <c r="G813" s="5"/>
      <c r="H813" s="5"/>
      <c r="I813" s="5"/>
      <c r="J813" s="5"/>
      <c r="K813" s="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  <c r="AB813" s="25"/>
      <c r="AC813" s="25"/>
      <c r="AD813" s="25"/>
      <c r="AE813" s="25"/>
      <c r="AF813" s="25"/>
      <c r="AG813" s="25"/>
      <c r="AH813" s="25"/>
      <c r="AI813" s="25"/>
      <c r="AJ813" s="25"/>
      <c r="AK813" s="25"/>
      <c r="AL813" s="25"/>
      <c r="AM813" s="25"/>
      <c r="AN813" s="25"/>
      <c r="AO813" s="25"/>
      <c r="AP813" s="25"/>
      <c r="AQ813" s="25"/>
      <c r="AR813" s="25"/>
      <c r="AS813" s="25"/>
      <c r="AT813" s="25"/>
      <c r="AU813" s="25"/>
    </row>
    <row r="814">
      <c r="A814" s="25"/>
      <c r="B814" s="25"/>
      <c r="C814" s="25"/>
      <c r="D814" s="25"/>
      <c r="E814" s="25"/>
      <c r="F814" s="25"/>
      <c r="G814" s="5"/>
      <c r="H814" s="5"/>
      <c r="I814" s="5"/>
      <c r="J814" s="5"/>
      <c r="K814" s="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  <c r="AB814" s="25"/>
      <c r="AC814" s="25"/>
      <c r="AD814" s="25"/>
      <c r="AE814" s="25"/>
      <c r="AF814" s="25"/>
      <c r="AG814" s="25"/>
      <c r="AH814" s="25"/>
      <c r="AI814" s="25"/>
      <c r="AJ814" s="25"/>
      <c r="AK814" s="25"/>
      <c r="AL814" s="25"/>
      <c r="AM814" s="25"/>
      <c r="AN814" s="25"/>
      <c r="AO814" s="25"/>
      <c r="AP814" s="25"/>
      <c r="AQ814" s="25"/>
      <c r="AR814" s="25"/>
      <c r="AS814" s="25"/>
      <c r="AT814" s="25"/>
      <c r="AU814" s="25"/>
    </row>
    <row r="815">
      <c r="A815" s="25"/>
      <c r="B815" s="25"/>
      <c r="C815" s="25"/>
      <c r="D815" s="25"/>
      <c r="E815" s="25"/>
      <c r="F815" s="25"/>
      <c r="G815" s="5"/>
      <c r="H815" s="5"/>
      <c r="I815" s="5"/>
      <c r="J815" s="5"/>
      <c r="K815" s="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  <c r="AB815" s="25"/>
      <c r="AC815" s="25"/>
      <c r="AD815" s="25"/>
      <c r="AE815" s="25"/>
      <c r="AF815" s="25"/>
      <c r="AG815" s="25"/>
      <c r="AH815" s="25"/>
      <c r="AI815" s="25"/>
      <c r="AJ815" s="25"/>
      <c r="AK815" s="25"/>
      <c r="AL815" s="25"/>
      <c r="AM815" s="25"/>
      <c r="AN815" s="25"/>
      <c r="AO815" s="25"/>
      <c r="AP815" s="25"/>
      <c r="AQ815" s="25"/>
      <c r="AR815" s="25"/>
      <c r="AS815" s="25"/>
      <c r="AT815" s="25"/>
      <c r="AU815" s="25"/>
    </row>
    <row r="816">
      <c r="A816" s="25"/>
      <c r="B816" s="25"/>
      <c r="C816" s="25"/>
      <c r="D816" s="25"/>
      <c r="E816" s="25"/>
      <c r="F816" s="25"/>
      <c r="G816" s="5"/>
      <c r="H816" s="5"/>
      <c r="I816" s="5"/>
      <c r="J816" s="5"/>
      <c r="K816" s="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  <c r="AB816" s="25"/>
      <c r="AC816" s="25"/>
      <c r="AD816" s="25"/>
      <c r="AE816" s="25"/>
      <c r="AF816" s="25"/>
      <c r="AG816" s="25"/>
      <c r="AH816" s="25"/>
      <c r="AI816" s="25"/>
      <c r="AJ816" s="25"/>
      <c r="AK816" s="25"/>
      <c r="AL816" s="25"/>
      <c r="AM816" s="25"/>
      <c r="AN816" s="25"/>
      <c r="AO816" s="25"/>
      <c r="AP816" s="25"/>
      <c r="AQ816" s="25"/>
      <c r="AR816" s="25"/>
      <c r="AS816" s="25"/>
      <c r="AT816" s="25"/>
      <c r="AU816" s="25"/>
    </row>
    <row r="817">
      <c r="A817" s="25"/>
      <c r="B817" s="25"/>
      <c r="C817" s="25"/>
      <c r="D817" s="25"/>
      <c r="E817" s="25"/>
      <c r="F817" s="25"/>
      <c r="G817" s="5"/>
      <c r="H817" s="5"/>
      <c r="I817" s="5"/>
      <c r="J817" s="5"/>
      <c r="K817" s="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  <c r="AB817" s="25"/>
      <c r="AC817" s="25"/>
      <c r="AD817" s="25"/>
      <c r="AE817" s="25"/>
      <c r="AF817" s="25"/>
      <c r="AG817" s="25"/>
      <c r="AH817" s="25"/>
      <c r="AI817" s="25"/>
      <c r="AJ817" s="25"/>
      <c r="AK817" s="25"/>
      <c r="AL817" s="25"/>
      <c r="AM817" s="25"/>
      <c r="AN817" s="25"/>
      <c r="AO817" s="25"/>
      <c r="AP817" s="25"/>
      <c r="AQ817" s="25"/>
      <c r="AR817" s="25"/>
      <c r="AS817" s="25"/>
      <c r="AT817" s="25"/>
      <c r="AU817" s="25"/>
    </row>
    <row r="818">
      <c r="A818" s="25"/>
      <c r="B818" s="25"/>
      <c r="C818" s="25"/>
      <c r="D818" s="25"/>
      <c r="E818" s="25"/>
      <c r="F818" s="25"/>
      <c r="G818" s="5"/>
      <c r="H818" s="5"/>
      <c r="I818" s="5"/>
      <c r="J818" s="5"/>
      <c r="K818" s="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  <c r="AB818" s="25"/>
      <c r="AC818" s="25"/>
      <c r="AD818" s="25"/>
      <c r="AE818" s="25"/>
      <c r="AF818" s="25"/>
      <c r="AG818" s="25"/>
      <c r="AH818" s="25"/>
      <c r="AI818" s="25"/>
      <c r="AJ818" s="25"/>
      <c r="AK818" s="25"/>
      <c r="AL818" s="25"/>
      <c r="AM818" s="25"/>
      <c r="AN818" s="25"/>
      <c r="AO818" s="25"/>
      <c r="AP818" s="25"/>
      <c r="AQ818" s="25"/>
      <c r="AR818" s="25"/>
      <c r="AS818" s="25"/>
      <c r="AT818" s="25"/>
      <c r="AU818" s="25"/>
    </row>
    <row r="819">
      <c r="A819" s="25"/>
      <c r="B819" s="25"/>
      <c r="C819" s="25"/>
      <c r="D819" s="25"/>
      <c r="E819" s="25"/>
      <c r="F819" s="25"/>
      <c r="G819" s="5"/>
      <c r="H819" s="5"/>
      <c r="I819" s="5"/>
      <c r="J819" s="5"/>
      <c r="K819" s="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  <c r="AB819" s="25"/>
      <c r="AC819" s="25"/>
      <c r="AD819" s="25"/>
      <c r="AE819" s="25"/>
      <c r="AF819" s="25"/>
      <c r="AG819" s="25"/>
      <c r="AH819" s="25"/>
      <c r="AI819" s="25"/>
      <c r="AJ819" s="25"/>
      <c r="AK819" s="25"/>
      <c r="AL819" s="25"/>
      <c r="AM819" s="25"/>
      <c r="AN819" s="25"/>
      <c r="AO819" s="25"/>
      <c r="AP819" s="25"/>
      <c r="AQ819" s="25"/>
      <c r="AR819" s="25"/>
      <c r="AS819" s="25"/>
      <c r="AT819" s="25"/>
      <c r="AU819" s="25"/>
    </row>
    <row r="820">
      <c r="A820" s="25"/>
      <c r="B820" s="25"/>
      <c r="C820" s="25"/>
      <c r="D820" s="25"/>
      <c r="E820" s="25"/>
      <c r="F820" s="25"/>
      <c r="G820" s="5"/>
      <c r="H820" s="5"/>
      <c r="I820" s="5"/>
      <c r="J820" s="5"/>
      <c r="K820" s="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  <c r="AB820" s="25"/>
      <c r="AC820" s="25"/>
      <c r="AD820" s="25"/>
      <c r="AE820" s="25"/>
      <c r="AF820" s="25"/>
      <c r="AG820" s="25"/>
      <c r="AH820" s="25"/>
      <c r="AI820" s="25"/>
      <c r="AJ820" s="25"/>
      <c r="AK820" s="25"/>
      <c r="AL820" s="25"/>
      <c r="AM820" s="25"/>
      <c r="AN820" s="25"/>
      <c r="AO820" s="25"/>
      <c r="AP820" s="25"/>
      <c r="AQ820" s="25"/>
      <c r="AR820" s="25"/>
      <c r="AS820" s="25"/>
      <c r="AT820" s="25"/>
      <c r="AU820" s="25"/>
    </row>
    <row r="821">
      <c r="A821" s="25"/>
      <c r="B821" s="25"/>
      <c r="C821" s="25"/>
      <c r="D821" s="25"/>
      <c r="E821" s="25"/>
      <c r="F821" s="25"/>
      <c r="G821" s="5"/>
      <c r="H821" s="5"/>
      <c r="I821" s="5"/>
      <c r="J821" s="5"/>
      <c r="K821" s="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  <c r="AB821" s="25"/>
      <c r="AC821" s="25"/>
      <c r="AD821" s="25"/>
      <c r="AE821" s="25"/>
      <c r="AF821" s="25"/>
      <c r="AG821" s="25"/>
      <c r="AH821" s="25"/>
      <c r="AI821" s="25"/>
      <c r="AJ821" s="25"/>
      <c r="AK821" s="25"/>
      <c r="AL821" s="25"/>
      <c r="AM821" s="25"/>
      <c r="AN821" s="25"/>
      <c r="AO821" s="25"/>
      <c r="AP821" s="25"/>
      <c r="AQ821" s="25"/>
      <c r="AR821" s="25"/>
      <c r="AS821" s="25"/>
      <c r="AT821" s="25"/>
      <c r="AU821" s="25"/>
    </row>
    <row r="822">
      <c r="A822" s="25"/>
      <c r="B822" s="25"/>
      <c r="C822" s="25"/>
      <c r="D822" s="25"/>
      <c r="E822" s="25"/>
      <c r="F822" s="25"/>
      <c r="G822" s="5"/>
      <c r="H822" s="5"/>
      <c r="I822" s="5"/>
      <c r="J822" s="5"/>
      <c r="K822" s="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  <c r="AB822" s="25"/>
      <c r="AC822" s="25"/>
      <c r="AD822" s="25"/>
      <c r="AE822" s="25"/>
      <c r="AF822" s="25"/>
      <c r="AG822" s="25"/>
      <c r="AH822" s="25"/>
      <c r="AI822" s="25"/>
      <c r="AJ822" s="25"/>
      <c r="AK822" s="25"/>
      <c r="AL822" s="25"/>
      <c r="AM822" s="25"/>
      <c r="AN822" s="25"/>
      <c r="AO822" s="25"/>
      <c r="AP822" s="25"/>
      <c r="AQ822" s="25"/>
      <c r="AR822" s="25"/>
      <c r="AS822" s="25"/>
      <c r="AT822" s="25"/>
      <c r="AU822" s="25"/>
    </row>
    <row r="823">
      <c r="A823" s="25"/>
      <c r="B823" s="25"/>
      <c r="C823" s="25"/>
      <c r="D823" s="25"/>
      <c r="E823" s="25"/>
      <c r="F823" s="25"/>
      <c r="G823" s="5"/>
      <c r="H823" s="5"/>
      <c r="I823" s="5"/>
      <c r="J823" s="5"/>
      <c r="K823" s="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  <c r="AB823" s="25"/>
      <c r="AC823" s="25"/>
      <c r="AD823" s="25"/>
      <c r="AE823" s="25"/>
      <c r="AF823" s="25"/>
      <c r="AG823" s="25"/>
      <c r="AH823" s="25"/>
      <c r="AI823" s="25"/>
      <c r="AJ823" s="25"/>
      <c r="AK823" s="25"/>
      <c r="AL823" s="25"/>
      <c r="AM823" s="25"/>
      <c r="AN823" s="25"/>
      <c r="AO823" s="25"/>
      <c r="AP823" s="25"/>
      <c r="AQ823" s="25"/>
      <c r="AR823" s="25"/>
      <c r="AS823" s="25"/>
      <c r="AT823" s="25"/>
      <c r="AU823" s="25"/>
    </row>
    <row r="824">
      <c r="A824" s="25"/>
      <c r="B824" s="25"/>
      <c r="C824" s="25"/>
      <c r="D824" s="25"/>
      <c r="E824" s="25"/>
      <c r="F824" s="25"/>
      <c r="G824" s="5"/>
      <c r="H824" s="5"/>
      <c r="I824" s="5"/>
      <c r="J824" s="5"/>
      <c r="K824" s="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  <c r="AB824" s="25"/>
      <c r="AC824" s="25"/>
      <c r="AD824" s="25"/>
      <c r="AE824" s="25"/>
      <c r="AF824" s="25"/>
      <c r="AG824" s="25"/>
      <c r="AH824" s="25"/>
      <c r="AI824" s="25"/>
      <c r="AJ824" s="25"/>
      <c r="AK824" s="25"/>
      <c r="AL824" s="25"/>
      <c r="AM824" s="25"/>
      <c r="AN824" s="25"/>
      <c r="AO824" s="25"/>
      <c r="AP824" s="25"/>
      <c r="AQ824" s="25"/>
      <c r="AR824" s="25"/>
      <c r="AS824" s="25"/>
      <c r="AT824" s="25"/>
      <c r="AU824" s="25"/>
    </row>
    <row r="825">
      <c r="A825" s="25"/>
      <c r="B825" s="25"/>
      <c r="C825" s="25"/>
      <c r="D825" s="25"/>
      <c r="E825" s="25"/>
      <c r="F825" s="25"/>
      <c r="G825" s="5"/>
      <c r="H825" s="5"/>
      <c r="I825" s="5"/>
      <c r="J825" s="5"/>
      <c r="K825" s="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  <c r="AB825" s="25"/>
      <c r="AC825" s="25"/>
      <c r="AD825" s="25"/>
      <c r="AE825" s="25"/>
      <c r="AF825" s="25"/>
      <c r="AG825" s="25"/>
      <c r="AH825" s="25"/>
      <c r="AI825" s="25"/>
      <c r="AJ825" s="25"/>
      <c r="AK825" s="25"/>
      <c r="AL825" s="25"/>
      <c r="AM825" s="25"/>
      <c r="AN825" s="25"/>
      <c r="AO825" s="25"/>
      <c r="AP825" s="25"/>
      <c r="AQ825" s="25"/>
      <c r="AR825" s="25"/>
      <c r="AS825" s="25"/>
      <c r="AT825" s="25"/>
      <c r="AU825" s="25"/>
    </row>
    <row r="826">
      <c r="A826" s="25"/>
      <c r="B826" s="25"/>
      <c r="C826" s="25"/>
      <c r="D826" s="25"/>
      <c r="E826" s="25"/>
      <c r="F826" s="25"/>
      <c r="G826" s="5"/>
      <c r="H826" s="5"/>
      <c r="I826" s="5"/>
      <c r="J826" s="5"/>
      <c r="K826" s="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  <c r="AB826" s="25"/>
      <c r="AC826" s="25"/>
      <c r="AD826" s="25"/>
      <c r="AE826" s="25"/>
      <c r="AF826" s="25"/>
      <c r="AG826" s="25"/>
      <c r="AH826" s="25"/>
      <c r="AI826" s="25"/>
      <c r="AJ826" s="25"/>
      <c r="AK826" s="25"/>
      <c r="AL826" s="25"/>
      <c r="AM826" s="25"/>
      <c r="AN826" s="25"/>
      <c r="AO826" s="25"/>
      <c r="AP826" s="25"/>
      <c r="AQ826" s="25"/>
      <c r="AR826" s="25"/>
      <c r="AS826" s="25"/>
      <c r="AT826" s="25"/>
      <c r="AU826" s="25"/>
    </row>
    <row r="827">
      <c r="A827" s="25"/>
      <c r="B827" s="25"/>
      <c r="C827" s="25"/>
      <c r="D827" s="25"/>
      <c r="E827" s="25"/>
      <c r="F827" s="25"/>
      <c r="G827" s="5"/>
      <c r="H827" s="5"/>
      <c r="I827" s="5"/>
      <c r="J827" s="5"/>
      <c r="K827" s="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  <c r="AB827" s="25"/>
      <c r="AC827" s="25"/>
      <c r="AD827" s="25"/>
      <c r="AE827" s="25"/>
      <c r="AF827" s="25"/>
      <c r="AG827" s="25"/>
      <c r="AH827" s="25"/>
      <c r="AI827" s="25"/>
      <c r="AJ827" s="25"/>
      <c r="AK827" s="25"/>
      <c r="AL827" s="25"/>
      <c r="AM827" s="25"/>
      <c r="AN827" s="25"/>
      <c r="AO827" s="25"/>
      <c r="AP827" s="25"/>
      <c r="AQ827" s="25"/>
      <c r="AR827" s="25"/>
      <c r="AS827" s="25"/>
      <c r="AT827" s="25"/>
      <c r="AU827" s="25"/>
    </row>
    <row r="828">
      <c r="A828" s="25"/>
      <c r="B828" s="25"/>
      <c r="C828" s="25"/>
      <c r="D828" s="25"/>
      <c r="E828" s="25"/>
      <c r="F828" s="25"/>
      <c r="G828" s="5"/>
      <c r="H828" s="5"/>
      <c r="I828" s="5"/>
      <c r="J828" s="5"/>
      <c r="K828" s="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  <c r="AB828" s="25"/>
      <c r="AC828" s="25"/>
      <c r="AD828" s="25"/>
      <c r="AE828" s="25"/>
      <c r="AF828" s="25"/>
      <c r="AG828" s="25"/>
      <c r="AH828" s="25"/>
      <c r="AI828" s="25"/>
      <c r="AJ828" s="25"/>
      <c r="AK828" s="25"/>
      <c r="AL828" s="25"/>
      <c r="AM828" s="25"/>
      <c r="AN828" s="25"/>
      <c r="AO828" s="25"/>
      <c r="AP828" s="25"/>
      <c r="AQ828" s="25"/>
      <c r="AR828" s="25"/>
      <c r="AS828" s="25"/>
      <c r="AT828" s="25"/>
      <c r="AU828" s="25"/>
    </row>
    <row r="829">
      <c r="A829" s="25"/>
      <c r="B829" s="25"/>
      <c r="C829" s="25"/>
      <c r="D829" s="25"/>
      <c r="E829" s="25"/>
      <c r="F829" s="25"/>
      <c r="G829" s="5"/>
      <c r="H829" s="5"/>
      <c r="I829" s="5"/>
      <c r="J829" s="5"/>
      <c r="K829" s="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  <c r="AB829" s="25"/>
      <c r="AC829" s="25"/>
      <c r="AD829" s="25"/>
      <c r="AE829" s="25"/>
      <c r="AF829" s="25"/>
      <c r="AG829" s="25"/>
      <c r="AH829" s="25"/>
      <c r="AI829" s="25"/>
      <c r="AJ829" s="25"/>
      <c r="AK829" s="25"/>
      <c r="AL829" s="25"/>
      <c r="AM829" s="25"/>
      <c r="AN829" s="25"/>
      <c r="AO829" s="25"/>
      <c r="AP829" s="25"/>
      <c r="AQ829" s="25"/>
      <c r="AR829" s="25"/>
      <c r="AS829" s="25"/>
      <c r="AT829" s="25"/>
      <c r="AU829" s="25"/>
    </row>
    <row r="830">
      <c r="A830" s="25"/>
      <c r="B830" s="25"/>
      <c r="C830" s="25"/>
      <c r="D830" s="25"/>
      <c r="E830" s="25"/>
      <c r="F830" s="25"/>
      <c r="G830" s="5"/>
      <c r="H830" s="5"/>
      <c r="I830" s="5"/>
      <c r="J830" s="5"/>
      <c r="K830" s="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  <c r="AB830" s="25"/>
      <c r="AC830" s="25"/>
      <c r="AD830" s="25"/>
      <c r="AE830" s="25"/>
      <c r="AF830" s="25"/>
      <c r="AG830" s="25"/>
      <c r="AH830" s="25"/>
      <c r="AI830" s="25"/>
      <c r="AJ830" s="25"/>
      <c r="AK830" s="25"/>
      <c r="AL830" s="25"/>
      <c r="AM830" s="25"/>
      <c r="AN830" s="25"/>
      <c r="AO830" s="25"/>
      <c r="AP830" s="25"/>
      <c r="AQ830" s="25"/>
      <c r="AR830" s="25"/>
      <c r="AS830" s="25"/>
      <c r="AT830" s="25"/>
      <c r="AU830" s="25"/>
    </row>
    <row r="831">
      <c r="A831" s="25"/>
      <c r="B831" s="25"/>
      <c r="C831" s="25"/>
      <c r="D831" s="25"/>
      <c r="E831" s="25"/>
      <c r="F831" s="25"/>
      <c r="G831" s="5"/>
      <c r="H831" s="5"/>
      <c r="I831" s="5"/>
      <c r="J831" s="5"/>
      <c r="K831" s="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  <c r="AB831" s="25"/>
      <c r="AC831" s="25"/>
      <c r="AD831" s="25"/>
      <c r="AE831" s="25"/>
      <c r="AF831" s="25"/>
      <c r="AG831" s="25"/>
      <c r="AH831" s="25"/>
      <c r="AI831" s="25"/>
      <c r="AJ831" s="25"/>
      <c r="AK831" s="25"/>
      <c r="AL831" s="25"/>
      <c r="AM831" s="25"/>
      <c r="AN831" s="25"/>
      <c r="AO831" s="25"/>
      <c r="AP831" s="25"/>
      <c r="AQ831" s="25"/>
      <c r="AR831" s="25"/>
      <c r="AS831" s="25"/>
      <c r="AT831" s="25"/>
      <c r="AU831" s="25"/>
    </row>
    <row r="832">
      <c r="A832" s="25"/>
      <c r="B832" s="25"/>
      <c r="C832" s="25"/>
      <c r="D832" s="25"/>
      <c r="E832" s="25"/>
      <c r="F832" s="25"/>
      <c r="G832" s="5"/>
      <c r="H832" s="5"/>
      <c r="I832" s="5"/>
      <c r="J832" s="5"/>
      <c r="K832" s="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  <c r="AB832" s="25"/>
      <c r="AC832" s="25"/>
      <c r="AD832" s="25"/>
      <c r="AE832" s="25"/>
      <c r="AF832" s="25"/>
      <c r="AG832" s="25"/>
      <c r="AH832" s="25"/>
      <c r="AI832" s="25"/>
      <c r="AJ832" s="25"/>
      <c r="AK832" s="25"/>
      <c r="AL832" s="25"/>
      <c r="AM832" s="25"/>
      <c r="AN832" s="25"/>
      <c r="AO832" s="25"/>
      <c r="AP832" s="25"/>
      <c r="AQ832" s="25"/>
      <c r="AR832" s="25"/>
      <c r="AS832" s="25"/>
      <c r="AT832" s="25"/>
      <c r="AU832" s="25"/>
    </row>
    <row r="833">
      <c r="A833" s="25"/>
      <c r="B833" s="25"/>
      <c r="C833" s="25"/>
      <c r="D833" s="25"/>
      <c r="E833" s="25"/>
      <c r="F833" s="25"/>
      <c r="G833" s="5"/>
      <c r="H833" s="5"/>
      <c r="I833" s="5"/>
      <c r="J833" s="5"/>
      <c r="K833" s="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  <c r="AB833" s="25"/>
      <c r="AC833" s="25"/>
      <c r="AD833" s="25"/>
      <c r="AE833" s="25"/>
      <c r="AF833" s="25"/>
      <c r="AG833" s="25"/>
      <c r="AH833" s="25"/>
      <c r="AI833" s="25"/>
      <c r="AJ833" s="25"/>
      <c r="AK833" s="25"/>
      <c r="AL833" s="25"/>
      <c r="AM833" s="25"/>
      <c r="AN833" s="25"/>
      <c r="AO833" s="25"/>
      <c r="AP833" s="25"/>
      <c r="AQ833" s="25"/>
      <c r="AR833" s="25"/>
      <c r="AS833" s="25"/>
      <c r="AT833" s="25"/>
      <c r="AU833" s="25"/>
    </row>
    <row r="834">
      <c r="A834" s="25"/>
      <c r="B834" s="25"/>
      <c r="C834" s="25"/>
      <c r="D834" s="25"/>
      <c r="E834" s="25"/>
      <c r="F834" s="25"/>
      <c r="G834" s="5"/>
      <c r="H834" s="5"/>
      <c r="I834" s="5"/>
      <c r="J834" s="5"/>
      <c r="K834" s="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  <c r="AB834" s="25"/>
      <c r="AC834" s="25"/>
      <c r="AD834" s="25"/>
      <c r="AE834" s="25"/>
      <c r="AF834" s="25"/>
      <c r="AG834" s="25"/>
      <c r="AH834" s="25"/>
      <c r="AI834" s="25"/>
      <c r="AJ834" s="25"/>
      <c r="AK834" s="25"/>
      <c r="AL834" s="25"/>
      <c r="AM834" s="25"/>
      <c r="AN834" s="25"/>
      <c r="AO834" s="25"/>
      <c r="AP834" s="25"/>
      <c r="AQ834" s="25"/>
      <c r="AR834" s="25"/>
      <c r="AS834" s="25"/>
      <c r="AT834" s="25"/>
      <c r="AU834" s="25"/>
    </row>
    <row r="835">
      <c r="A835" s="25"/>
      <c r="B835" s="25"/>
      <c r="C835" s="25"/>
      <c r="D835" s="25"/>
      <c r="E835" s="25"/>
      <c r="F835" s="25"/>
      <c r="G835" s="5"/>
      <c r="H835" s="5"/>
      <c r="I835" s="5"/>
      <c r="J835" s="5"/>
      <c r="K835" s="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  <c r="AB835" s="25"/>
      <c r="AC835" s="25"/>
      <c r="AD835" s="25"/>
      <c r="AE835" s="25"/>
      <c r="AF835" s="25"/>
      <c r="AG835" s="25"/>
      <c r="AH835" s="25"/>
      <c r="AI835" s="25"/>
      <c r="AJ835" s="25"/>
      <c r="AK835" s="25"/>
      <c r="AL835" s="25"/>
      <c r="AM835" s="25"/>
      <c r="AN835" s="25"/>
      <c r="AO835" s="25"/>
      <c r="AP835" s="25"/>
      <c r="AQ835" s="25"/>
      <c r="AR835" s="25"/>
      <c r="AS835" s="25"/>
      <c r="AT835" s="25"/>
      <c r="AU835" s="25"/>
    </row>
    <row r="836">
      <c r="A836" s="25"/>
      <c r="B836" s="25"/>
      <c r="C836" s="25"/>
      <c r="D836" s="25"/>
      <c r="E836" s="25"/>
      <c r="F836" s="25"/>
      <c r="G836" s="5"/>
      <c r="H836" s="5"/>
      <c r="I836" s="5"/>
      <c r="J836" s="5"/>
      <c r="K836" s="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  <c r="AB836" s="25"/>
      <c r="AC836" s="25"/>
      <c r="AD836" s="25"/>
      <c r="AE836" s="25"/>
      <c r="AF836" s="25"/>
      <c r="AG836" s="25"/>
      <c r="AH836" s="25"/>
      <c r="AI836" s="25"/>
      <c r="AJ836" s="25"/>
      <c r="AK836" s="25"/>
      <c r="AL836" s="25"/>
      <c r="AM836" s="25"/>
      <c r="AN836" s="25"/>
      <c r="AO836" s="25"/>
      <c r="AP836" s="25"/>
      <c r="AQ836" s="25"/>
      <c r="AR836" s="25"/>
      <c r="AS836" s="25"/>
      <c r="AT836" s="25"/>
      <c r="AU836" s="25"/>
    </row>
    <row r="837">
      <c r="A837" s="25"/>
      <c r="B837" s="25"/>
      <c r="C837" s="25"/>
      <c r="D837" s="25"/>
      <c r="E837" s="25"/>
      <c r="F837" s="25"/>
      <c r="G837" s="5"/>
      <c r="H837" s="5"/>
      <c r="I837" s="5"/>
      <c r="J837" s="5"/>
      <c r="K837" s="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  <c r="AB837" s="25"/>
      <c r="AC837" s="25"/>
      <c r="AD837" s="25"/>
      <c r="AE837" s="25"/>
      <c r="AF837" s="25"/>
      <c r="AG837" s="25"/>
      <c r="AH837" s="25"/>
      <c r="AI837" s="25"/>
      <c r="AJ837" s="25"/>
      <c r="AK837" s="25"/>
      <c r="AL837" s="25"/>
      <c r="AM837" s="25"/>
      <c r="AN837" s="25"/>
      <c r="AO837" s="25"/>
      <c r="AP837" s="25"/>
      <c r="AQ837" s="25"/>
      <c r="AR837" s="25"/>
      <c r="AS837" s="25"/>
      <c r="AT837" s="25"/>
      <c r="AU837" s="25"/>
    </row>
    <row r="838">
      <c r="A838" s="25"/>
      <c r="B838" s="25"/>
      <c r="C838" s="25"/>
      <c r="D838" s="25"/>
      <c r="E838" s="25"/>
      <c r="F838" s="25"/>
      <c r="G838" s="5"/>
      <c r="H838" s="5"/>
      <c r="I838" s="5"/>
      <c r="J838" s="5"/>
      <c r="K838" s="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  <c r="AB838" s="25"/>
      <c r="AC838" s="25"/>
      <c r="AD838" s="25"/>
      <c r="AE838" s="25"/>
      <c r="AF838" s="25"/>
      <c r="AG838" s="25"/>
      <c r="AH838" s="25"/>
      <c r="AI838" s="25"/>
      <c r="AJ838" s="25"/>
      <c r="AK838" s="25"/>
      <c r="AL838" s="25"/>
      <c r="AM838" s="25"/>
      <c r="AN838" s="25"/>
      <c r="AO838" s="25"/>
      <c r="AP838" s="25"/>
      <c r="AQ838" s="25"/>
      <c r="AR838" s="25"/>
      <c r="AS838" s="25"/>
      <c r="AT838" s="25"/>
      <c r="AU838" s="25"/>
    </row>
    <row r="839">
      <c r="A839" s="25"/>
      <c r="B839" s="25"/>
      <c r="C839" s="25"/>
      <c r="D839" s="25"/>
      <c r="E839" s="25"/>
      <c r="F839" s="25"/>
      <c r="G839" s="5"/>
      <c r="H839" s="5"/>
      <c r="I839" s="5"/>
      <c r="J839" s="5"/>
      <c r="K839" s="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  <c r="AB839" s="25"/>
      <c r="AC839" s="25"/>
      <c r="AD839" s="25"/>
      <c r="AE839" s="25"/>
      <c r="AF839" s="25"/>
      <c r="AG839" s="25"/>
      <c r="AH839" s="25"/>
      <c r="AI839" s="25"/>
      <c r="AJ839" s="25"/>
      <c r="AK839" s="25"/>
      <c r="AL839" s="25"/>
      <c r="AM839" s="25"/>
      <c r="AN839" s="25"/>
      <c r="AO839" s="25"/>
      <c r="AP839" s="25"/>
      <c r="AQ839" s="25"/>
      <c r="AR839" s="25"/>
      <c r="AS839" s="25"/>
      <c r="AT839" s="25"/>
      <c r="AU839" s="25"/>
    </row>
    <row r="840">
      <c r="A840" s="25"/>
      <c r="B840" s="25"/>
      <c r="C840" s="25"/>
      <c r="D840" s="25"/>
      <c r="E840" s="25"/>
      <c r="F840" s="25"/>
      <c r="G840" s="5"/>
      <c r="H840" s="5"/>
      <c r="I840" s="5"/>
      <c r="J840" s="5"/>
      <c r="K840" s="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  <c r="AB840" s="25"/>
      <c r="AC840" s="25"/>
      <c r="AD840" s="25"/>
      <c r="AE840" s="25"/>
      <c r="AF840" s="25"/>
      <c r="AG840" s="25"/>
      <c r="AH840" s="25"/>
      <c r="AI840" s="25"/>
      <c r="AJ840" s="25"/>
      <c r="AK840" s="25"/>
      <c r="AL840" s="25"/>
      <c r="AM840" s="25"/>
      <c r="AN840" s="25"/>
      <c r="AO840" s="25"/>
      <c r="AP840" s="25"/>
      <c r="AQ840" s="25"/>
      <c r="AR840" s="25"/>
      <c r="AS840" s="25"/>
      <c r="AT840" s="25"/>
      <c r="AU840" s="25"/>
    </row>
    <row r="841">
      <c r="A841" s="25"/>
      <c r="B841" s="25"/>
      <c r="C841" s="25"/>
      <c r="D841" s="25"/>
      <c r="E841" s="25"/>
      <c r="F841" s="25"/>
      <c r="G841" s="5"/>
      <c r="H841" s="5"/>
      <c r="I841" s="5"/>
      <c r="J841" s="5"/>
      <c r="K841" s="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  <c r="AB841" s="25"/>
      <c r="AC841" s="25"/>
      <c r="AD841" s="25"/>
      <c r="AE841" s="25"/>
      <c r="AF841" s="25"/>
      <c r="AG841" s="25"/>
      <c r="AH841" s="25"/>
      <c r="AI841" s="25"/>
      <c r="AJ841" s="25"/>
      <c r="AK841" s="25"/>
      <c r="AL841" s="25"/>
      <c r="AM841" s="25"/>
      <c r="AN841" s="25"/>
      <c r="AO841" s="25"/>
      <c r="AP841" s="25"/>
      <c r="AQ841" s="25"/>
      <c r="AR841" s="25"/>
      <c r="AS841" s="25"/>
      <c r="AT841" s="25"/>
      <c r="AU841" s="25"/>
    </row>
    <row r="842">
      <c r="A842" s="25"/>
      <c r="B842" s="25"/>
      <c r="C842" s="25"/>
      <c r="D842" s="25"/>
      <c r="E842" s="25"/>
      <c r="F842" s="25"/>
      <c r="G842" s="5"/>
      <c r="H842" s="5"/>
      <c r="I842" s="5"/>
      <c r="J842" s="5"/>
      <c r="K842" s="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  <c r="AB842" s="25"/>
      <c r="AC842" s="25"/>
      <c r="AD842" s="25"/>
      <c r="AE842" s="25"/>
      <c r="AF842" s="25"/>
      <c r="AG842" s="25"/>
      <c r="AH842" s="25"/>
      <c r="AI842" s="25"/>
      <c r="AJ842" s="25"/>
      <c r="AK842" s="25"/>
      <c r="AL842" s="25"/>
      <c r="AM842" s="25"/>
      <c r="AN842" s="25"/>
      <c r="AO842" s="25"/>
      <c r="AP842" s="25"/>
      <c r="AQ842" s="25"/>
      <c r="AR842" s="25"/>
      <c r="AS842" s="25"/>
      <c r="AT842" s="25"/>
      <c r="AU842" s="25"/>
    </row>
    <row r="843">
      <c r="A843" s="25"/>
      <c r="B843" s="25"/>
      <c r="C843" s="25"/>
      <c r="D843" s="25"/>
      <c r="E843" s="25"/>
      <c r="F843" s="25"/>
      <c r="G843" s="5"/>
      <c r="H843" s="5"/>
      <c r="I843" s="5"/>
      <c r="J843" s="5"/>
      <c r="K843" s="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  <c r="AB843" s="25"/>
      <c r="AC843" s="25"/>
      <c r="AD843" s="25"/>
      <c r="AE843" s="25"/>
      <c r="AF843" s="25"/>
      <c r="AG843" s="25"/>
      <c r="AH843" s="25"/>
      <c r="AI843" s="25"/>
      <c r="AJ843" s="25"/>
      <c r="AK843" s="25"/>
      <c r="AL843" s="25"/>
      <c r="AM843" s="25"/>
      <c r="AN843" s="25"/>
      <c r="AO843" s="25"/>
      <c r="AP843" s="25"/>
      <c r="AQ843" s="25"/>
      <c r="AR843" s="25"/>
      <c r="AS843" s="25"/>
      <c r="AT843" s="25"/>
      <c r="AU843" s="25"/>
    </row>
    <row r="844">
      <c r="A844" s="25"/>
      <c r="B844" s="25"/>
      <c r="C844" s="25"/>
      <c r="D844" s="25"/>
      <c r="E844" s="25"/>
      <c r="F844" s="25"/>
      <c r="G844" s="5"/>
      <c r="H844" s="5"/>
      <c r="I844" s="5"/>
      <c r="J844" s="5"/>
      <c r="K844" s="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  <c r="AB844" s="25"/>
      <c r="AC844" s="25"/>
      <c r="AD844" s="25"/>
      <c r="AE844" s="25"/>
      <c r="AF844" s="25"/>
      <c r="AG844" s="25"/>
      <c r="AH844" s="25"/>
      <c r="AI844" s="25"/>
      <c r="AJ844" s="25"/>
      <c r="AK844" s="25"/>
      <c r="AL844" s="25"/>
      <c r="AM844" s="25"/>
      <c r="AN844" s="25"/>
      <c r="AO844" s="25"/>
      <c r="AP844" s="25"/>
      <c r="AQ844" s="25"/>
      <c r="AR844" s="25"/>
      <c r="AS844" s="25"/>
      <c r="AT844" s="25"/>
      <c r="AU844" s="25"/>
    </row>
    <row r="845">
      <c r="A845" s="25"/>
      <c r="B845" s="25"/>
      <c r="C845" s="25"/>
      <c r="D845" s="25"/>
      <c r="E845" s="25"/>
      <c r="F845" s="25"/>
      <c r="G845" s="5"/>
      <c r="H845" s="5"/>
      <c r="I845" s="5"/>
      <c r="J845" s="5"/>
      <c r="K845" s="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  <c r="AB845" s="25"/>
      <c r="AC845" s="25"/>
      <c r="AD845" s="25"/>
      <c r="AE845" s="25"/>
      <c r="AF845" s="25"/>
      <c r="AG845" s="25"/>
      <c r="AH845" s="25"/>
      <c r="AI845" s="25"/>
      <c r="AJ845" s="25"/>
      <c r="AK845" s="25"/>
      <c r="AL845" s="25"/>
      <c r="AM845" s="25"/>
      <c r="AN845" s="25"/>
      <c r="AO845" s="25"/>
      <c r="AP845" s="25"/>
      <c r="AQ845" s="25"/>
      <c r="AR845" s="25"/>
      <c r="AS845" s="25"/>
      <c r="AT845" s="25"/>
      <c r="AU845" s="25"/>
    </row>
    <row r="846">
      <c r="A846" s="25"/>
      <c r="B846" s="25"/>
      <c r="C846" s="25"/>
      <c r="D846" s="25"/>
      <c r="E846" s="25"/>
      <c r="F846" s="25"/>
      <c r="G846" s="5"/>
      <c r="H846" s="5"/>
      <c r="I846" s="5"/>
      <c r="J846" s="5"/>
      <c r="K846" s="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  <c r="AB846" s="25"/>
      <c r="AC846" s="25"/>
      <c r="AD846" s="25"/>
      <c r="AE846" s="25"/>
      <c r="AF846" s="25"/>
      <c r="AG846" s="25"/>
      <c r="AH846" s="25"/>
      <c r="AI846" s="25"/>
      <c r="AJ846" s="25"/>
      <c r="AK846" s="25"/>
      <c r="AL846" s="25"/>
      <c r="AM846" s="25"/>
      <c r="AN846" s="25"/>
      <c r="AO846" s="25"/>
      <c r="AP846" s="25"/>
      <c r="AQ846" s="25"/>
      <c r="AR846" s="25"/>
      <c r="AS846" s="25"/>
      <c r="AT846" s="25"/>
      <c r="AU846" s="25"/>
    </row>
    <row r="847">
      <c r="A847" s="25"/>
      <c r="B847" s="25"/>
      <c r="C847" s="25"/>
      <c r="D847" s="25"/>
      <c r="E847" s="25"/>
      <c r="F847" s="25"/>
      <c r="G847" s="5"/>
      <c r="H847" s="5"/>
      <c r="I847" s="5"/>
      <c r="J847" s="5"/>
      <c r="K847" s="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  <c r="AB847" s="25"/>
      <c r="AC847" s="25"/>
      <c r="AD847" s="25"/>
      <c r="AE847" s="25"/>
      <c r="AF847" s="25"/>
      <c r="AG847" s="25"/>
      <c r="AH847" s="25"/>
      <c r="AI847" s="25"/>
      <c r="AJ847" s="25"/>
      <c r="AK847" s="25"/>
      <c r="AL847" s="25"/>
      <c r="AM847" s="25"/>
      <c r="AN847" s="25"/>
      <c r="AO847" s="25"/>
      <c r="AP847" s="25"/>
      <c r="AQ847" s="25"/>
      <c r="AR847" s="25"/>
      <c r="AS847" s="25"/>
      <c r="AT847" s="25"/>
      <c r="AU847" s="25"/>
    </row>
    <row r="848">
      <c r="A848" s="25"/>
      <c r="B848" s="25"/>
      <c r="C848" s="25"/>
      <c r="D848" s="25"/>
      <c r="E848" s="25"/>
      <c r="F848" s="25"/>
      <c r="G848" s="5"/>
      <c r="H848" s="5"/>
      <c r="I848" s="5"/>
      <c r="J848" s="5"/>
      <c r="K848" s="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  <c r="AB848" s="25"/>
      <c r="AC848" s="25"/>
      <c r="AD848" s="25"/>
      <c r="AE848" s="25"/>
      <c r="AF848" s="25"/>
      <c r="AG848" s="25"/>
      <c r="AH848" s="25"/>
      <c r="AI848" s="25"/>
      <c r="AJ848" s="25"/>
      <c r="AK848" s="25"/>
      <c r="AL848" s="25"/>
      <c r="AM848" s="25"/>
      <c r="AN848" s="25"/>
      <c r="AO848" s="25"/>
      <c r="AP848" s="25"/>
      <c r="AQ848" s="25"/>
      <c r="AR848" s="25"/>
      <c r="AS848" s="25"/>
      <c r="AT848" s="25"/>
      <c r="AU848" s="25"/>
    </row>
    <row r="849">
      <c r="A849" s="25"/>
      <c r="B849" s="25"/>
      <c r="C849" s="25"/>
      <c r="D849" s="25"/>
      <c r="E849" s="25"/>
      <c r="F849" s="25"/>
      <c r="G849" s="5"/>
      <c r="H849" s="5"/>
      <c r="I849" s="5"/>
      <c r="J849" s="5"/>
      <c r="K849" s="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  <c r="AB849" s="25"/>
      <c r="AC849" s="25"/>
      <c r="AD849" s="25"/>
      <c r="AE849" s="25"/>
      <c r="AF849" s="25"/>
      <c r="AG849" s="25"/>
      <c r="AH849" s="25"/>
      <c r="AI849" s="25"/>
      <c r="AJ849" s="25"/>
      <c r="AK849" s="25"/>
      <c r="AL849" s="25"/>
      <c r="AM849" s="25"/>
      <c r="AN849" s="25"/>
      <c r="AO849" s="25"/>
      <c r="AP849" s="25"/>
      <c r="AQ849" s="25"/>
      <c r="AR849" s="25"/>
      <c r="AS849" s="25"/>
      <c r="AT849" s="25"/>
      <c r="AU849" s="25"/>
    </row>
    <row r="850">
      <c r="A850" s="25"/>
      <c r="B850" s="25"/>
      <c r="C850" s="25"/>
      <c r="D850" s="25"/>
      <c r="E850" s="25"/>
      <c r="F850" s="25"/>
      <c r="G850" s="5"/>
      <c r="H850" s="5"/>
      <c r="I850" s="5"/>
      <c r="J850" s="5"/>
      <c r="K850" s="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  <c r="AB850" s="25"/>
      <c r="AC850" s="25"/>
      <c r="AD850" s="25"/>
      <c r="AE850" s="25"/>
      <c r="AF850" s="25"/>
      <c r="AG850" s="25"/>
      <c r="AH850" s="25"/>
      <c r="AI850" s="25"/>
      <c r="AJ850" s="25"/>
      <c r="AK850" s="25"/>
      <c r="AL850" s="25"/>
      <c r="AM850" s="25"/>
      <c r="AN850" s="25"/>
      <c r="AO850" s="25"/>
      <c r="AP850" s="25"/>
      <c r="AQ850" s="25"/>
      <c r="AR850" s="25"/>
      <c r="AS850" s="25"/>
      <c r="AT850" s="25"/>
      <c r="AU850" s="25"/>
    </row>
    <row r="851">
      <c r="A851" s="25"/>
      <c r="B851" s="25"/>
      <c r="C851" s="25"/>
      <c r="D851" s="25"/>
      <c r="E851" s="25"/>
      <c r="F851" s="25"/>
      <c r="G851" s="5"/>
      <c r="H851" s="5"/>
      <c r="I851" s="5"/>
      <c r="J851" s="5"/>
      <c r="K851" s="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  <c r="AB851" s="25"/>
      <c r="AC851" s="25"/>
      <c r="AD851" s="25"/>
      <c r="AE851" s="25"/>
      <c r="AF851" s="25"/>
      <c r="AG851" s="25"/>
      <c r="AH851" s="25"/>
      <c r="AI851" s="25"/>
      <c r="AJ851" s="25"/>
      <c r="AK851" s="25"/>
      <c r="AL851" s="25"/>
      <c r="AM851" s="25"/>
      <c r="AN851" s="25"/>
      <c r="AO851" s="25"/>
      <c r="AP851" s="25"/>
      <c r="AQ851" s="25"/>
      <c r="AR851" s="25"/>
      <c r="AS851" s="25"/>
      <c r="AT851" s="25"/>
      <c r="AU851" s="25"/>
    </row>
    <row r="852">
      <c r="A852" s="25"/>
      <c r="B852" s="25"/>
      <c r="C852" s="25"/>
      <c r="D852" s="25"/>
      <c r="E852" s="25"/>
      <c r="F852" s="25"/>
      <c r="G852" s="5"/>
      <c r="H852" s="5"/>
      <c r="I852" s="5"/>
      <c r="J852" s="5"/>
      <c r="K852" s="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  <c r="AB852" s="25"/>
      <c r="AC852" s="25"/>
      <c r="AD852" s="25"/>
      <c r="AE852" s="25"/>
      <c r="AF852" s="25"/>
      <c r="AG852" s="25"/>
      <c r="AH852" s="25"/>
      <c r="AI852" s="25"/>
      <c r="AJ852" s="25"/>
      <c r="AK852" s="25"/>
      <c r="AL852" s="25"/>
      <c r="AM852" s="25"/>
      <c r="AN852" s="25"/>
      <c r="AO852" s="25"/>
      <c r="AP852" s="25"/>
      <c r="AQ852" s="25"/>
      <c r="AR852" s="25"/>
      <c r="AS852" s="25"/>
      <c r="AT852" s="25"/>
      <c r="AU852" s="25"/>
    </row>
    <row r="853">
      <c r="A853" s="25"/>
      <c r="B853" s="25"/>
      <c r="C853" s="25"/>
      <c r="D853" s="25"/>
      <c r="E853" s="25"/>
      <c r="F853" s="25"/>
      <c r="G853" s="5"/>
      <c r="H853" s="5"/>
      <c r="I853" s="5"/>
      <c r="J853" s="5"/>
      <c r="K853" s="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  <c r="AB853" s="25"/>
      <c r="AC853" s="25"/>
      <c r="AD853" s="25"/>
      <c r="AE853" s="25"/>
      <c r="AF853" s="25"/>
      <c r="AG853" s="25"/>
      <c r="AH853" s="25"/>
      <c r="AI853" s="25"/>
      <c r="AJ853" s="25"/>
      <c r="AK853" s="25"/>
      <c r="AL853" s="25"/>
      <c r="AM853" s="25"/>
      <c r="AN853" s="25"/>
      <c r="AO853" s="25"/>
      <c r="AP853" s="25"/>
      <c r="AQ853" s="25"/>
      <c r="AR853" s="25"/>
      <c r="AS853" s="25"/>
      <c r="AT853" s="25"/>
      <c r="AU853" s="25"/>
    </row>
    <row r="854">
      <c r="A854" s="25"/>
      <c r="B854" s="25"/>
      <c r="C854" s="25"/>
      <c r="D854" s="25"/>
      <c r="E854" s="25"/>
      <c r="F854" s="25"/>
      <c r="G854" s="5"/>
      <c r="H854" s="5"/>
      <c r="I854" s="5"/>
      <c r="J854" s="5"/>
      <c r="K854" s="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  <c r="AB854" s="25"/>
      <c r="AC854" s="25"/>
      <c r="AD854" s="25"/>
      <c r="AE854" s="25"/>
      <c r="AF854" s="25"/>
      <c r="AG854" s="25"/>
      <c r="AH854" s="25"/>
      <c r="AI854" s="25"/>
      <c r="AJ854" s="25"/>
      <c r="AK854" s="25"/>
      <c r="AL854" s="25"/>
      <c r="AM854" s="25"/>
      <c r="AN854" s="25"/>
      <c r="AO854" s="25"/>
      <c r="AP854" s="25"/>
      <c r="AQ854" s="25"/>
      <c r="AR854" s="25"/>
      <c r="AS854" s="25"/>
      <c r="AT854" s="25"/>
      <c r="AU854" s="25"/>
    </row>
    <row r="855">
      <c r="A855" s="25"/>
      <c r="B855" s="25"/>
      <c r="C855" s="25"/>
      <c r="D855" s="25"/>
      <c r="E855" s="25"/>
      <c r="F855" s="25"/>
      <c r="G855" s="5"/>
      <c r="H855" s="5"/>
      <c r="I855" s="5"/>
      <c r="J855" s="5"/>
      <c r="K855" s="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  <c r="AB855" s="25"/>
      <c r="AC855" s="25"/>
      <c r="AD855" s="25"/>
      <c r="AE855" s="25"/>
      <c r="AF855" s="25"/>
      <c r="AG855" s="25"/>
      <c r="AH855" s="25"/>
      <c r="AI855" s="25"/>
      <c r="AJ855" s="25"/>
      <c r="AK855" s="25"/>
      <c r="AL855" s="25"/>
      <c r="AM855" s="25"/>
      <c r="AN855" s="25"/>
      <c r="AO855" s="25"/>
      <c r="AP855" s="25"/>
      <c r="AQ855" s="25"/>
      <c r="AR855" s="25"/>
      <c r="AS855" s="25"/>
      <c r="AT855" s="25"/>
      <c r="AU855" s="25"/>
    </row>
    <row r="856">
      <c r="A856" s="25"/>
      <c r="B856" s="25"/>
      <c r="C856" s="25"/>
      <c r="D856" s="25"/>
      <c r="E856" s="25"/>
      <c r="F856" s="25"/>
      <c r="G856" s="5"/>
      <c r="H856" s="5"/>
      <c r="I856" s="5"/>
      <c r="J856" s="5"/>
      <c r="K856" s="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  <c r="AB856" s="25"/>
      <c r="AC856" s="25"/>
      <c r="AD856" s="25"/>
      <c r="AE856" s="25"/>
      <c r="AF856" s="25"/>
      <c r="AG856" s="25"/>
      <c r="AH856" s="25"/>
      <c r="AI856" s="25"/>
      <c r="AJ856" s="25"/>
      <c r="AK856" s="25"/>
      <c r="AL856" s="25"/>
      <c r="AM856" s="25"/>
      <c r="AN856" s="25"/>
      <c r="AO856" s="25"/>
      <c r="AP856" s="25"/>
      <c r="AQ856" s="25"/>
      <c r="AR856" s="25"/>
      <c r="AS856" s="25"/>
      <c r="AT856" s="25"/>
      <c r="AU856" s="25"/>
    </row>
    <row r="857">
      <c r="A857" s="25"/>
      <c r="B857" s="25"/>
      <c r="C857" s="25"/>
      <c r="D857" s="25"/>
      <c r="E857" s="25"/>
      <c r="F857" s="25"/>
      <c r="G857" s="5"/>
      <c r="H857" s="5"/>
      <c r="I857" s="5"/>
      <c r="J857" s="5"/>
      <c r="K857" s="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  <c r="AB857" s="25"/>
      <c r="AC857" s="25"/>
      <c r="AD857" s="25"/>
      <c r="AE857" s="25"/>
      <c r="AF857" s="25"/>
      <c r="AG857" s="25"/>
      <c r="AH857" s="25"/>
      <c r="AI857" s="25"/>
      <c r="AJ857" s="25"/>
      <c r="AK857" s="25"/>
      <c r="AL857" s="25"/>
      <c r="AM857" s="25"/>
      <c r="AN857" s="25"/>
      <c r="AO857" s="25"/>
      <c r="AP857" s="25"/>
      <c r="AQ857" s="25"/>
      <c r="AR857" s="25"/>
      <c r="AS857" s="25"/>
      <c r="AT857" s="25"/>
      <c r="AU857" s="25"/>
    </row>
    <row r="858">
      <c r="A858" s="25"/>
      <c r="B858" s="25"/>
      <c r="C858" s="25"/>
      <c r="D858" s="25"/>
      <c r="E858" s="25"/>
      <c r="F858" s="25"/>
      <c r="G858" s="5"/>
      <c r="H858" s="5"/>
      <c r="I858" s="5"/>
      <c r="J858" s="5"/>
      <c r="K858" s="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  <c r="AB858" s="25"/>
      <c r="AC858" s="25"/>
      <c r="AD858" s="25"/>
      <c r="AE858" s="25"/>
      <c r="AF858" s="25"/>
      <c r="AG858" s="25"/>
      <c r="AH858" s="25"/>
      <c r="AI858" s="25"/>
      <c r="AJ858" s="25"/>
      <c r="AK858" s="25"/>
      <c r="AL858" s="25"/>
      <c r="AM858" s="25"/>
      <c r="AN858" s="25"/>
      <c r="AO858" s="25"/>
      <c r="AP858" s="25"/>
      <c r="AQ858" s="25"/>
      <c r="AR858" s="25"/>
      <c r="AS858" s="25"/>
      <c r="AT858" s="25"/>
      <c r="AU858" s="25"/>
    </row>
    <row r="859">
      <c r="A859" s="25"/>
      <c r="B859" s="25"/>
      <c r="C859" s="25"/>
      <c r="D859" s="25"/>
      <c r="E859" s="25"/>
      <c r="F859" s="25"/>
      <c r="G859" s="5"/>
      <c r="H859" s="5"/>
      <c r="I859" s="5"/>
      <c r="J859" s="5"/>
      <c r="K859" s="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  <c r="AB859" s="25"/>
      <c r="AC859" s="25"/>
      <c r="AD859" s="25"/>
      <c r="AE859" s="25"/>
      <c r="AF859" s="25"/>
      <c r="AG859" s="25"/>
      <c r="AH859" s="25"/>
      <c r="AI859" s="25"/>
      <c r="AJ859" s="25"/>
      <c r="AK859" s="25"/>
      <c r="AL859" s="25"/>
      <c r="AM859" s="25"/>
      <c r="AN859" s="25"/>
      <c r="AO859" s="25"/>
      <c r="AP859" s="25"/>
      <c r="AQ859" s="25"/>
      <c r="AR859" s="25"/>
      <c r="AS859" s="25"/>
      <c r="AT859" s="25"/>
      <c r="AU859" s="25"/>
    </row>
    <row r="860">
      <c r="A860" s="25"/>
      <c r="B860" s="25"/>
      <c r="C860" s="25"/>
      <c r="D860" s="25"/>
      <c r="E860" s="25"/>
      <c r="F860" s="25"/>
      <c r="G860" s="5"/>
      <c r="H860" s="5"/>
      <c r="I860" s="5"/>
      <c r="J860" s="5"/>
      <c r="K860" s="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  <c r="AB860" s="25"/>
      <c r="AC860" s="25"/>
      <c r="AD860" s="25"/>
      <c r="AE860" s="25"/>
      <c r="AF860" s="25"/>
      <c r="AG860" s="25"/>
      <c r="AH860" s="25"/>
      <c r="AI860" s="25"/>
      <c r="AJ860" s="25"/>
      <c r="AK860" s="25"/>
      <c r="AL860" s="25"/>
      <c r="AM860" s="25"/>
      <c r="AN860" s="25"/>
      <c r="AO860" s="25"/>
      <c r="AP860" s="25"/>
      <c r="AQ860" s="25"/>
      <c r="AR860" s="25"/>
      <c r="AS860" s="25"/>
      <c r="AT860" s="25"/>
      <c r="AU860" s="25"/>
    </row>
    <row r="861">
      <c r="A861" s="25"/>
      <c r="B861" s="25"/>
      <c r="C861" s="25"/>
      <c r="D861" s="25"/>
      <c r="E861" s="25"/>
      <c r="F861" s="25"/>
      <c r="G861" s="5"/>
      <c r="H861" s="5"/>
      <c r="I861" s="5"/>
      <c r="J861" s="5"/>
      <c r="K861" s="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  <c r="AB861" s="25"/>
      <c r="AC861" s="25"/>
      <c r="AD861" s="25"/>
      <c r="AE861" s="25"/>
      <c r="AF861" s="25"/>
      <c r="AG861" s="25"/>
      <c r="AH861" s="25"/>
      <c r="AI861" s="25"/>
      <c r="AJ861" s="25"/>
      <c r="AK861" s="25"/>
      <c r="AL861" s="25"/>
      <c r="AM861" s="25"/>
      <c r="AN861" s="25"/>
      <c r="AO861" s="25"/>
      <c r="AP861" s="25"/>
      <c r="AQ861" s="25"/>
      <c r="AR861" s="25"/>
      <c r="AS861" s="25"/>
      <c r="AT861" s="25"/>
      <c r="AU861" s="25"/>
    </row>
    <row r="862">
      <c r="A862" s="25"/>
      <c r="B862" s="25"/>
      <c r="C862" s="25"/>
      <c r="D862" s="25"/>
      <c r="E862" s="25"/>
      <c r="F862" s="25"/>
      <c r="G862" s="5"/>
      <c r="H862" s="5"/>
      <c r="I862" s="5"/>
      <c r="J862" s="5"/>
      <c r="K862" s="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  <c r="AB862" s="25"/>
      <c r="AC862" s="25"/>
      <c r="AD862" s="25"/>
      <c r="AE862" s="25"/>
      <c r="AF862" s="25"/>
      <c r="AG862" s="25"/>
      <c r="AH862" s="25"/>
      <c r="AI862" s="25"/>
      <c r="AJ862" s="25"/>
      <c r="AK862" s="25"/>
      <c r="AL862" s="25"/>
      <c r="AM862" s="25"/>
      <c r="AN862" s="25"/>
      <c r="AO862" s="25"/>
      <c r="AP862" s="25"/>
      <c r="AQ862" s="25"/>
      <c r="AR862" s="25"/>
      <c r="AS862" s="25"/>
      <c r="AT862" s="25"/>
      <c r="AU862" s="25"/>
    </row>
    <row r="863">
      <c r="A863" s="25"/>
      <c r="B863" s="25"/>
      <c r="C863" s="25"/>
      <c r="D863" s="25"/>
      <c r="E863" s="25"/>
      <c r="F863" s="25"/>
      <c r="G863" s="5"/>
      <c r="H863" s="5"/>
      <c r="I863" s="5"/>
      <c r="J863" s="5"/>
      <c r="K863" s="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  <c r="AB863" s="25"/>
      <c r="AC863" s="25"/>
      <c r="AD863" s="25"/>
      <c r="AE863" s="25"/>
      <c r="AF863" s="25"/>
      <c r="AG863" s="25"/>
      <c r="AH863" s="25"/>
      <c r="AI863" s="25"/>
      <c r="AJ863" s="25"/>
      <c r="AK863" s="25"/>
      <c r="AL863" s="25"/>
      <c r="AM863" s="25"/>
      <c r="AN863" s="25"/>
      <c r="AO863" s="25"/>
      <c r="AP863" s="25"/>
      <c r="AQ863" s="25"/>
      <c r="AR863" s="25"/>
      <c r="AS863" s="25"/>
      <c r="AT863" s="25"/>
      <c r="AU863" s="25"/>
    </row>
    <row r="864">
      <c r="A864" s="25"/>
      <c r="B864" s="25"/>
      <c r="C864" s="25"/>
      <c r="D864" s="25"/>
      <c r="E864" s="25"/>
      <c r="F864" s="25"/>
      <c r="G864" s="5"/>
      <c r="H864" s="5"/>
      <c r="I864" s="5"/>
      <c r="J864" s="5"/>
      <c r="K864" s="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  <c r="AB864" s="25"/>
      <c r="AC864" s="25"/>
      <c r="AD864" s="25"/>
      <c r="AE864" s="25"/>
      <c r="AF864" s="25"/>
      <c r="AG864" s="25"/>
      <c r="AH864" s="25"/>
      <c r="AI864" s="25"/>
      <c r="AJ864" s="25"/>
      <c r="AK864" s="25"/>
      <c r="AL864" s="25"/>
      <c r="AM864" s="25"/>
      <c r="AN864" s="25"/>
      <c r="AO864" s="25"/>
      <c r="AP864" s="25"/>
      <c r="AQ864" s="25"/>
      <c r="AR864" s="25"/>
      <c r="AS864" s="25"/>
      <c r="AT864" s="25"/>
      <c r="AU864" s="25"/>
    </row>
    <row r="865">
      <c r="A865" s="25"/>
      <c r="B865" s="25"/>
      <c r="C865" s="25"/>
      <c r="D865" s="25"/>
      <c r="E865" s="25"/>
      <c r="F865" s="25"/>
      <c r="G865" s="5"/>
      <c r="H865" s="5"/>
      <c r="I865" s="5"/>
      <c r="J865" s="5"/>
      <c r="K865" s="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  <c r="AB865" s="25"/>
      <c r="AC865" s="25"/>
      <c r="AD865" s="25"/>
      <c r="AE865" s="25"/>
      <c r="AF865" s="25"/>
      <c r="AG865" s="25"/>
      <c r="AH865" s="25"/>
      <c r="AI865" s="25"/>
      <c r="AJ865" s="25"/>
      <c r="AK865" s="25"/>
      <c r="AL865" s="25"/>
      <c r="AM865" s="25"/>
      <c r="AN865" s="25"/>
      <c r="AO865" s="25"/>
      <c r="AP865" s="25"/>
      <c r="AQ865" s="25"/>
      <c r="AR865" s="25"/>
      <c r="AS865" s="25"/>
      <c r="AT865" s="25"/>
      <c r="AU865" s="25"/>
    </row>
    <row r="866">
      <c r="A866" s="25"/>
      <c r="B866" s="25"/>
      <c r="C866" s="25"/>
      <c r="D866" s="25"/>
      <c r="E866" s="25"/>
      <c r="F866" s="25"/>
      <c r="G866" s="5"/>
      <c r="H866" s="5"/>
      <c r="I866" s="5"/>
      <c r="J866" s="5"/>
      <c r="K866" s="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  <c r="AB866" s="25"/>
      <c r="AC866" s="25"/>
      <c r="AD866" s="25"/>
      <c r="AE866" s="25"/>
      <c r="AF866" s="25"/>
      <c r="AG866" s="25"/>
      <c r="AH866" s="25"/>
      <c r="AI866" s="25"/>
      <c r="AJ866" s="25"/>
      <c r="AK866" s="25"/>
      <c r="AL866" s="25"/>
      <c r="AM866" s="25"/>
      <c r="AN866" s="25"/>
      <c r="AO866" s="25"/>
      <c r="AP866" s="25"/>
      <c r="AQ866" s="25"/>
      <c r="AR866" s="25"/>
      <c r="AS866" s="25"/>
      <c r="AT866" s="25"/>
      <c r="AU866" s="25"/>
    </row>
    <row r="867">
      <c r="A867" s="25"/>
      <c r="B867" s="25"/>
      <c r="C867" s="25"/>
      <c r="D867" s="25"/>
      <c r="E867" s="25"/>
      <c r="F867" s="25"/>
      <c r="G867" s="5"/>
      <c r="H867" s="5"/>
      <c r="I867" s="5"/>
      <c r="J867" s="5"/>
      <c r="K867" s="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  <c r="AB867" s="25"/>
      <c r="AC867" s="25"/>
      <c r="AD867" s="25"/>
      <c r="AE867" s="25"/>
      <c r="AF867" s="25"/>
      <c r="AG867" s="25"/>
      <c r="AH867" s="25"/>
      <c r="AI867" s="25"/>
      <c r="AJ867" s="25"/>
      <c r="AK867" s="25"/>
      <c r="AL867" s="25"/>
      <c r="AM867" s="25"/>
      <c r="AN867" s="25"/>
      <c r="AO867" s="25"/>
      <c r="AP867" s="25"/>
      <c r="AQ867" s="25"/>
      <c r="AR867" s="25"/>
      <c r="AS867" s="25"/>
      <c r="AT867" s="25"/>
      <c r="AU867" s="25"/>
    </row>
    <row r="868">
      <c r="A868" s="25"/>
      <c r="B868" s="25"/>
      <c r="C868" s="25"/>
      <c r="D868" s="25"/>
      <c r="E868" s="25"/>
      <c r="F868" s="25"/>
      <c r="G868" s="5"/>
      <c r="H868" s="5"/>
      <c r="I868" s="5"/>
      <c r="J868" s="5"/>
      <c r="K868" s="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  <c r="AB868" s="25"/>
      <c r="AC868" s="25"/>
      <c r="AD868" s="25"/>
      <c r="AE868" s="25"/>
      <c r="AF868" s="25"/>
      <c r="AG868" s="25"/>
      <c r="AH868" s="25"/>
      <c r="AI868" s="25"/>
      <c r="AJ868" s="25"/>
      <c r="AK868" s="25"/>
      <c r="AL868" s="25"/>
      <c r="AM868" s="25"/>
      <c r="AN868" s="25"/>
      <c r="AO868" s="25"/>
      <c r="AP868" s="25"/>
      <c r="AQ868" s="25"/>
      <c r="AR868" s="25"/>
      <c r="AS868" s="25"/>
      <c r="AT868" s="25"/>
      <c r="AU868" s="25"/>
    </row>
    <row r="869">
      <c r="A869" s="25"/>
      <c r="B869" s="25"/>
      <c r="C869" s="25"/>
      <c r="D869" s="25"/>
      <c r="E869" s="25"/>
      <c r="F869" s="25"/>
      <c r="G869" s="5"/>
      <c r="H869" s="5"/>
      <c r="I869" s="5"/>
      <c r="J869" s="5"/>
      <c r="K869" s="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  <c r="AB869" s="25"/>
      <c r="AC869" s="25"/>
      <c r="AD869" s="25"/>
      <c r="AE869" s="25"/>
      <c r="AF869" s="25"/>
      <c r="AG869" s="25"/>
      <c r="AH869" s="25"/>
      <c r="AI869" s="25"/>
      <c r="AJ869" s="25"/>
      <c r="AK869" s="25"/>
      <c r="AL869" s="25"/>
      <c r="AM869" s="25"/>
      <c r="AN869" s="25"/>
      <c r="AO869" s="25"/>
      <c r="AP869" s="25"/>
      <c r="AQ869" s="25"/>
      <c r="AR869" s="25"/>
      <c r="AS869" s="25"/>
      <c r="AT869" s="25"/>
      <c r="AU869" s="25"/>
    </row>
    <row r="870">
      <c r="A870" s="25"/>
      <c r="B870" s="25"/>
      <c r="C870" s="25"/>
      <c r="D870" s="25"/>
      <c r="E870" s="25"/>
      <c r="F870" s="25"/>
      <c r="G870" s="5"/>
      <c r="H870" s="5"/>
      <c r="I870" s="5"/>
      <c r="J870" s="5"/>
      <c r="K870" s="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  <c r="AB870" s="25"/>
      <c r="AC870" s="25"/>
      <c r="AD870" s="25"/>
      <c r="AE870" s="25"/>
      <c r="AF870" s="25"/>
      <c r="AG870" s="25"/>
      <c r="AH870" s="25"/>
      <c r="AI870" s="25"/>
      <c r="AJ870" s="25"/>
      <c r="AK870" s="25"/>
      <c r="AL870" s="25"/>
      <c r="AM870" s="25"/>
      <c r="AN870" s="25"/>
      <c r="AO870" s="25"/>
      <c r="AP870" s="25"/>
      <c r="AQ870" s="25"/>
      <c r="AR870" s="25"/>
      <c r="AS870" s="25"/>
      <c r="AT870" s="25"/>
      <c r="AU870" s="25"/>
    </row>
    <row r="871">
      <c r="A871" s="25"/>
      <c r="B871" s="25"/>
      <c r="C871" s="25"/>
      <c r="D871" s="25"/>
      <c r="E871" s="25"/>
      <c r="F871" s="25"/>
      <c r="G871" s="5"/>
      <c r="H871" s="5"/>
      <c r="I871" s="5"/>
      <c r="J871" s="5"/>
      <c r="K871" s="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  <c r="AB871" s="25"/>
      <c r="AC871" s="25"/>
      <c r="AD871" s="25"/>
      <c r="AE871" s="25"/>
      <c r="AF871" s="25"/>
      <c r="AG871" s="25"/>
      <c r="AH871" s="25"/>
      <c r="AI871" s="25"/>
      <c r="AJ871" s="25"/>
      <c r="AK871" s="25"/>
      <c r="AL871" s="25"/>
      <c r="AM871" s="25"/>
      <c r="AN871" s="25"/>
      <c r="AO871" s="25"/>
      <c r="AP871" s="25"/>
      <c r="AQ871" s="25"/>
      <c r="AR871" s="25"/>
      <c r="AS871" s="25"/>
      <c r="AT871" s="25"/>
      <c r="AU871" s="25"/>
    </row>
    <row r="872">
      <c r="A872" s="25"/>
      <c r="B872" s="25"/>
      <c r="C872" s="25"/>
      <c r="D872" s="25"/>
      <c r="E872" s="25"/>
      <c r="F872" s="25"/>
      <c r="G872" s="5"/>
      <c r="H872" s="5"/>
      <c r="I872" s="5"/>
      <c r="J872" s="5"/>
      <c r="K872" s="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  <c r="AB872" s="25"/>
      <c r="AC872" s="25"/>
      <c r="AD872" s="25"/>
      <c r="AE872" s="25"/>
      <c r="AF872" s="25"/>
      <c r="AG872" s="25"/>
      <c r="AH872" s="25"/>
      <c r="AI872" s="25"/>
      <c r="AJ872" s="25"/>
      <c r="AK872" s="25"/>
      <c r="AL872" s="25"/>
      <c r="AM872" s="25"/>
      <c r="AN872" s="25"/>
      <c r="AO872" s="25"/>
      <c r="AP872" s="25"/>
      <c r="AQ872" s="25"/>
      <c r="AR872" s="25"/>
      <c r="AS872" s="25"/>
      <c r="AT872" s="25"/>
      <c r="AU872" s="25"/>
    </row>
    <row r="873">
      <c r="A873" s="25"/>
      <c r="B873" s="25"/>
      <c r="C873" s="25"/>
      <c r="D873" s="25"/>
      <c r="E873" s="25"/>
      <c r="F873" s="25"/>
      <c r="G873" s="5"/>
      <c r="H873" s="5"/>
      <c r="I873" s="5"/>
      <c r="J873" s="5"/>
      <c r="K873" s="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  <c r="AB873" s="25"/>
      <c r="AC873" s="25"/>
      <c r="AD873" s="25"/>
      <c r="AE873" s="25"/>
      <c r="AF873" s="25"/>
      <c r="AG873" s="25"/>
      <c r="AH873" s="25"/>
      <c r="AI873" s="25"/>
      <c r="AJ873" s="25"/>
      <c r="AK873" s="25"/>
      <c r="AL873" s="25"/>
      <c r="AM873" s="25"/>
      <c r="AN873" s="25"/>
      <c r="AO873" s="25"/>
      <c r="AP873" s="25"/>
      <c r="AQ873" s="25"/>
      <c r="AR873" s="25"/>
      <c r="AS873" s="25"/>
      <c r="AT873" s="25"/>
      <c r="AU873" s="25"/>
    </row>
    <row r="874">
      <c r="A874" s="25"/>
      <c r="B874" s="25"/>
      <c r="C874" s="25"/>
      <c r="D874" s="25"/>
      <c r="E874" s="25"/>
      <c r="F874" s="25"/>
      <c r="G874" s="5"/>
      <c r="H874" s="5"/>
      <c r="I874" s="5"/>
      <c r="J874" s="5"/>
      <c r="K874" s="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  <c r="AB874" s="25"/>
      <c r="AC874" s="25"/>
      <c r="AD874" s="25"/>
      <c r="AE874" s="25"/>
      <c r="AF874" s="25"/>
      <c r="AG874" s="25"/>
      <c r="AH874" s="25"/>
      <c r="AI874" s="25"/>
      <c r="AJ874" s="25"/>
      <c r="AK874" s="25"/>
      <c r="AL874" s="25"/>
      <c r="AM874" s="25"/>
      <c r="AN874" s="25"/>
      <c r="AO874" s="25"/>
      <c r="AP874" s="25"/>
      <c r="AQ874" s="25"/>
      <c r="AR874" s="25"/>
      <c r="AS874" s="25"/>
      <c r="AT874" s="25"/>
      <c r="AU874" s="25"/>
    </row>
    <row r="875">
      <c r="A875" s="25"/>
      <c r="B875" s="25"/>
      <c r="C875" s="25"/>
      <c r="D875" s="25"/>
      <c r="E875" s="25"/>
      <c r="F875" s="25"/>
      <c r="G875" s="5"/>
      <c r="H875" s="5"/>
      <c r="I875" s="5"/>
      <c r="J875" s="5"/>
      <c r="K875" s="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  <c r="AB875" s="25"/>
      <c r="AC875" s="25"/>
      <c r="AD875" s="25"/>
      <c r="AE875" s="25"/>
      <c r="AF875" s="25"/>
      <c r="AG875" s="25"/>
      <c r="AH875" s="25"/>
      <c r="AI875" s="25"/>
      <c r="AJ875" s="25"/>
      <c r="AK875" s="25"/>
      <c r="AL875" s="25"/>
      <c r="AM875" s="25"/>
      <c r="AN875" s="25"/>
      <c r="AO875" s="25"/>
      <c r="AP875" s="25"/>
      <c r="AQ875" s="25"/>
      <c r="AR875" s="25"/>
      <c r="AS875" s="25"/>
      <c r="AT875" s="25"/>
      <c r="AU875" s="25"/>
    </row>
    <row r="876">
      <c r="A876" s="25"/>
      <c r="B876" s="25"/>
      <c r="C876" s="25"/>
      <c r="D876" s="25"/>
      <c r="E876" s="25"/>
      <c r="F876" s="25"/>
      <c r="G876" s="5"/>
      <c r="H876" s="5"/>
      <c r="I876" s="5"/>
      <c r="J876" s="5"/>
      <c r="K876" s="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  <c r="AB876" s="25"/>
      <c r="AC876" s="25"/>
      <c r="AD876" s="25"/>
      <c r="AE876" s="25"/>
      <c r="AF876" s="25"/>
      <c r="AG876" s="25"/>
      <c r="AH876" s="25"/>
      <c r="AI876" s="25"/>
      <c r="AJ876" s="25"/>
      <c r="AK876" s="25"/>
      <c r="AL876" s="25"/>
      <c r="AM876" s="25"/>
      <c r="AN876" s="25"/>
      <c r="AO876" s="25"/>
      <c r="AP876" s="25"/>
      <c r="AQ876" s="25"/>
      <c r="AR876" s="25"/>
      <c r="AS876" s="25"/>
      <c r="AT876" s="25"/>
      <c r="AU876" s="25"/>
    </row>
    <row r="877">
      <c r="A877" s="25"/>
      <c r="B877" s="25"/>
      <c r="C877" s="25"/>
      <c r="D877" s="25"/>
      <c r="E877" s="25"/>
      <c r="F877" s="25"/>
      <c r="G877" s="5"/>
      <c r="H877" s="5"/>
      <c r="I877" s="5"/>
      <c r="J877" s="5"/>
      <c r="K877" s="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  <c r="AB877" s="25"/>
      <c r="AC877" s="25"/>
      <c r="AD877" s="25"/>
      <c r="AE877" s="25"/>
      <c r="AF877" s="25"/>
      <c r="AG877" s="25"/>
      <c r="AH877" s="25"/>
      <c r="AI877" s="25"/>
      <c r="AJ877" s="25"/>
      <c r="AK877" s="25"/>
      <c r="AL877" s="25"/>
      <c r="AM877" s="25"/>
      <c r="AN877" s="25"/>
      <c r="AO877" s="25"/>
      <c r="AP877" s="25"/>
      <c r="AQ877" s="25"/>
      <c r="AR877" s="25"/>
      <c r="AS877" s="25"/>
      <c r="AT877" s="25"/>
      <c r="AU877" s="25"/>
    </row>
    <row r="878">
      <c r="A878" s="25"/>
      <c r="B878" s="25"/>
      <c r="C878" s="25"/>
      <c r="D878" s="25"/>
      <c r="E878" s="25"/>
      <c r="F878" s="25"/>
      <c r="G878" s="5"/>
      <c r="H878" s="5"/>
      <c r="I878" s="5"/>
      <c r="J878" s="5"/>
      <c r="K878" s="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  <c r="AB878" s="25"/>
      <c r="AC878" s="25"/>
      <c r="AD878" s="25"/>
      <c r="AE878" s="25"/>
      <c r="AF878" s="25"/>
      <c r="AG878" s="25"/>
      <c r="AH878" s="25"/>
      <c r="AI878" s="25"/>
      <c r="AJ878" s="25"/>
      <c r="AK878" s="25"/>
      <c r="AL878" s="25"/>
      <c r="AM878" s="25"/>
      <c r="AN878" s="25"/>
      <c r="AO878" s="25"/>
      <c r="AP878" s="25"/>
      <c r="AQ878" s="25"/>
      <c r="AR878" s="25"/>
      <c r="AS878" s="25"/>
      <c r="AT878" s="25"/>
      <c r="AU878" s="25"/>
    </row>
    <row r="879">
      <c r="A879" s="25"/>
      <c r="B879" s="25"/>
      <c r="C879" s="25"/>
      <c r="D879" s="25"/>
      <c r="E879" s="25"/>
      <c r="F879" s="25"/>
      <c r="G879" s="5"/>
      <c r="H879" s="5"/>
      <c r="I879" s="5"/>
      <c r="J879" s="5"/>
      <c r="K879" s="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  <c r="AB879" s="25"/>
      <c r="AC879" s="25"/>
      <c r="AD879" s="25"/>
      <c r="AE879" s="25"/>
      <c r="AF879" s="25"/>
      <c r="AG879" s="25"/>
      <c r="AH879" s="25"/>
      <c r="AI879" s="25"/>
      <c r="AJ879" s="25"/>
      <c r="AK879" s="25"/>
      <c r="AL879" s="25"/>
      <c r="AM879" s="25"/>
      <c r="AN879" s="25"/>
      <c r="AO879" s="25"/>
      <c r="AP879" s="25"/>
      <c r="AQ879" s="25"/>
      <c r="AR879" s="25"/>
      <c r="AS879" s="25"/>
      <c r="AT879" s="25"/>
      <c r="AU879" s="25"/>
    </row>
    <row r="880">
      <c r="A880" s="25"/>
      <c r="B880" s="25"/>
      <c r="C880" s="25"/>
      <c r="D880" s="25"/>
      <c r="E880" s="25"/>
      <c r="F880" s="25"/>
      <c r="G880" s="5"/>
      <c r="H880" s="5"/>
      <c r="I880" s="5"/>
      <c r="J880" s="5"/>
      <c r="K880" s="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  <c r="AB880" s="25"/>
      <c r="AC880" s="25"/>
      <c r="AD880" s="25"/>
      <c r="AE880" s="25"/>
      <c r="AF880" s="25"/>
      <c r="AG880" s="25"/>
      <c r="AH880" s="25"/>
      <c r="AI880" s="25"/>
      <c r="AJ880" s="25"/>
      <c r="AK880" s="25"/>
      <c r="AL880" s="25"/>
      <c r="AM880" s="25"/>
      <c r="AN880" s="25"/>
      <c r="AO880" s="25"/>
      <c r="AP880" s="25"/>
      <c r="AQ880" s="25"/>
      <c r="AR880" s="25"/>
      <c r="AS880" s="25"/>
      <c r="AT880" s="25"/>
      <c r="AU880" s="25"/>
    </row>
    <row r="881">
      <c r="A881" s="25"/>
      <c r="B881" s="25"/>
      <c r="C881" s="25"/>
      <c r="D881" s="25"/>
      <c r="E881" s="25"/>
      <c r="F881" s="25"/>
      <c r="G881" s="5"/>
      <c r="H881" s="5"/>
      <c r="I881" s="5"/>
      <c r="J881" s="5"/>
      <c r="K881" s="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  <c r="AB881" s="25"/>
      <c r="AC881" s="25"/>
      <c r="AD881" s="25"/>
      <c r="AE881" s="25"/>
      <c r="AF881" s="25"/>
      <c r="AG881" s="25"/>
      <c r="AH881" s="25"/>
      <c r="AI881" s="25"/>
      <c r="AJ881" s="25"/>
      <c r="AK881" s="25"/>
      <c r="AL881" s="25"/>
      <c r="AM881" s="25"/>
      <c r="AN881" s="25"/>
      <c r="AO881" s="25"/>
      <c r="AP881" s="25"/>
      <c r="AQ881" s="25"/>
      <c r="AR881" s="25"/>
      <c r="AS881" s="25"/>
      <c r="AT881" s="25"/>
      <c r="AU881" s="25"/>
    </row>
    <row r="882">
      <c r="A882" s="25"/>
      <c r="B882" s="25"/>
      <c r="C882" s="25"/>
      <c r="D882" s="25"/>
      <c r="E882" s="25"/>
      <c r="F882" s="25"/>
      <c r="G882" s="5"/>
      <c r="H882" s="5"/>
      <c r="I882" s="5"/>
      <c r="J882" s="5"/>
      <c r="K882" s="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  <c r="AB882" s="25"/>
      <c r="AC882" s="25"/>
      <c r="AD882" s="25"/>
      <c r="AE882" s="25"/>
      <c r="AF882" s="25"/>
      <c r="AG882" s="25"/>
      <c r="AH882" s="25"/>
      <c r="AI882" s="25"/>
      <c r="AJ882" s="25"/>
      <c r="AK882" s="25"/>
      <c r="AL882" s="25"/>
      <c r="AM882" s="25"/>
      <c r="AN882" s="25"/>
      <c r="AO882" s="25"/>
      <c r="AP882" s="25"/>
      <c r="AQ882" s="25"/>
      <c r="AR882" s="25"/>
      <c r="AS882" s="25"/>
      <c r="AT882" s="25"/>
      <c r="AU882" s="25"/>
    </row>
    <row r="883">
      <c r="A883" s="25"/>
      <c r="B883" s="25"/>
      <c r="C883" s="25"/>
      <c r="D883" s="25"/>
      <c r="E883" s="25"/>
      <c r="F883" s="25"/>
      <c r="G883" s="5"/>
      <c r="H883" s="5"/>
      <c r="I883" s="5"/>
      <c r="J883" s="5"/>
      <c r="K883" s="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  <c r="AB883" s="25"/>
      <c r="AC883" s="25"/>
      <c r="AD883" s="25"/>
      <c r="AE883" s="25"/>
      <c r="AF883" s="25"/>
      <c r="AG883" s="25"/>
      <c r="AH883" s="25"/>
      <c r="AI883" s="25"/>
      <c r="AJ883" s="25"/>
      <c r="AK883" s="25"/>
      <c r="AL883" s="25"/>
      <c r="AM883" s="25"/>
      <c r="AN883" s="25"/>
      <c r="AO883" s="25"/>
      <c r="AP883" s="25"/>
      <c r="AQ883" s="25"/>
      <c r="AR883" s="25"/>
      <c r="AS883" s="25"/>
      <c r="AT883" s="25"/>
      <c r="AU883" s="25"/>
    </row>
    <row r="884">
      <c r="A884" s="25"/>
      <c r="B884" s="25"/>
      <c r="C884" s="25"/>
      <c r="D884" s="25"/>
      <c r="E884" s="25"/>
      <c r="F884" s="25"/>
      <c r="G884" s="5"/>
      <c r="H884" s="5"/>
      <c r="I884" s="5"/>
      <c r="J884" s="5"/>
      <c r="K884" s="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  <c r="AB884" s="25"/>
      <c r="AC884" s="25"/>
      <c r="AD884" s="25"/>
      <c r="AE884" s="25"/>
      <c r="AF884" s="25"/>
      <c r="AG884" s="25"/>
      <c r="AH884" s="25"/>
      <c r="AI884" s="25"/>
      <c r="AJ884" s="25"/>
      <c r="AK884" s="25"/>
      <c r="AL884" s="25"/>
      <c r="AM884" s="25"/>
      <c r="AN884" s="25"/>
      <c r="AO884" s="25"/>
      <c r="AP884" s="25"/>
      <c r="AQ884" s="25"/>
      <c r="AR884" s="25"/>
      <c r="AS884" s="25"/>
      <c r="AT884" s="25"/>
      <c r="AU884" s="25"/>
    </row>
    <row r="885">
      <c r="A885" s="25"/>
      <c r="B885" s="25"/>
      <c r="C885" s="25"/>
      <c r="D885" s="25"/>
      <c r="E885" s="25"/>
      <c r="F885" s="25"/>
      <c r="G885" s="5"/>
      <c r="H885" s="5"/>
      <c r="I885" s="5"/>
      <c r="J885" s="5"/>
      <c r="K885" s="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  <c r="AB885" s="25"/>
      <c r="AC885" s="25"/>
      <c r="AD885" s="25"/>
      <c r="AE885" s="25"/>
      <c r="AF885" s="25"/>
      <c r="AG885" s="25"/>
      <c r="AH885" s="25"/>
      <c r="AI885" s="25"/>
      <c r="AJ885" s="25"/>
      <c r="AK885" s="25"/>
      <c r="AL885" s="25"/>
      <c r="AM885" s="25"/>
      <c r="AN885" s="25"/>
      <c r="AO885" s="25"/>
      <c r="AP885" s="25"/>
      <c r="AQ885" s="25"/>
      <c r="AR885" s="25"/>
      <c r="AS885" s="25"/>
      <c r="AT885" s="25"/>
      <c r="AU885" s="25"/>
    </row>
    <row r="886">
      <c r="A886" s="25"/>
      <c r="B886" s="25"/>
      <c r="C886" s="25"/>
      <c r="D886" s="25"/>
      <c r="E886" s="25"/>
      <c r="F886" s="25"/>
      <c r="G886" s="5"/>
      <c r="H886" s="5"/>
      <c r="I886" s="5"/>
      <c r="J886" s="5"/>
      <c r="K886" s="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  <c r="AB886" s="25"/>
      <c r="AC886" s="25"/>
      <c r="AD886" s="25"/>
      <c r="AE886" s="25"/>
      <c r="AF886" s="25"/>
      <c r="AG886" s="25"/>
      <c r="AH886" s="25"/>
      <c r="AI886" s="25"/>
      <c r="AJ886" s="25"/>
      <c r="AK886" s="25"/>
      <c r="AL886" s="25"/>
      <c r="AM886" s="25"/>
      <c r="AN886" s="25"/>
      <c r="AO886" s="25"/>
      <c r="AP886" s="25"/>
      <c r="AQ886" s="25"/>
      <c r="AR886" s="25"/>
      <c r="AS886" s="25"/>
      <c r="AT886" s="25"/>
      <c r="AU886" s="25"/>
    </row>
    <row r="887">
      <c r="A887" s="25"/>
      <c r="B887" s="25"/>
      <c r="C887" s="25"/>
      <c r="D887" s="25"/>
      <c r="E887" s="25"/>
      <c r="F887" s="25"/>
      <c r="G887" s="5"/>
      <c r="H887" s="5"/>
      <c r="I887" s="5"/>
      <c r="J887" s="5"/>
      <c r="K887" s="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  <c r="AB887" s="25"/>
      <c r="AC887" s="25"/>
      <c r="AD887" s="25"/>
      <c r="AE887" s="25"/>
      <c r="AF887" s="25"/>
      <c r="AG887" s="25"/>
      <c r="AH887" s="25"/>
      <c r="AI887" s="25"/>
      <c r="AJ887" s="25"/>
      <c r="AK887" s="25"/>
      <c r="AL887" s="25"/>
      <c r="AM887" s="25"/>
      <c r="AN887" s="25"/>
      <c r="AO887" s="25"/>
      <c r="AP887" s="25"/>
      <c r="AQ887" s="25"/>
      <c r="AR887" s="25"/>
      <c r="AS887" s="25"/>
      <c r="AT887" s="25"/>
      <c r="AU887" s="25"/>
    </row>
    <row r="888">
      <c r="A888" s="25"/>
      <c r="B888" s="25"/>
      <c r="C888" s="25"/>
      <c r="D888" s="25"/>
      <c r="E888" s="25"/>
      <c r="F888" s="25"/>
      <c r="G888" s="5"/>
      <c r="H888" s="5"/>
      <c r="I888" s="5"/>
      <c r="J888" s="5"/>
      <c r="K888" s="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  <c r="AB888" s="25"/>
      <c r="AC888" s="25"/>
      <c r="AD888" s="25"/>
      <c r="AE888" s="25"/>
      <c r="AF888" s="25"/>
      <c r="AG888" s="25"/>
      <c r="AH888" s="25"/>
      <c r="AI888" s="25"/>
      <c r="AJ888" s="25"/>
      <c r="AK888" s="25"/>
      <c r="AL888" s="25"/>
      <c r="AM888" s="25"/>
      <c r="AN888" s="25"/>
      <c r="AO888" s="25"/>
      <c r="AP888" s="25"/>
      <c r="AQ888" s="25"/>
      <c r="AR888" s="25"/>
      <c r="AS888" s="25"/>
      <c r="AT888" s="25"/>
      <c r="AU888" s="25"/>
    </row>
    <row r="889">
      <c r="A889" s="25"/>
      <c r="B889" s="25"/>
      <c r="C889" s="25"/>
      <c r="D889" s="25"/>
      <c r="E889" s="25"/>
      <c r="F889" s="25"/>
      <c r="G889" s="5"/>
      <c r="H889" s="5"/>
      <c r="I889" s="5"/>
      <c r="J889" s="5"/>
      <c r="K889" s="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  <c r="AB889" s="25"/>
      <c r="AC889" s="25"/>
      <c r="AD889" s="25"/>
      <c r="AE889" s="25"/>
      <c r="AF889" s="25"/>
      <c r="AG889" s="25"/>
      <c r="AH889" s="25"/>
      <c r="AI889" s="25"/>
      <c r="AJ889" s="25"/>
      <c r="AK889" s="25"/>
      <c r="AL889" s="25"/>
      <c r="AM889" s="25"/>
      <c r="AN889" s="25"/>
      <c r="AO889" s="25"/>
      <c r="AP889" s="25"/>
      <c r="AQ889" s="25"/>
      <c r="AR889" s="25"/>
      <c r="AS889" s="25"/>
      <c r="AT889" s="25"/>
      <c r="AU889" s="25"/>
    </row>
    <row r="890">
      <c r="A890" s="25"/>
      <c r="B890" s="25"/>
      <c r="C890" s="25"/>
      <c r="D890" s="25"/>
      <c r="E890" s="25"/>
      <c r="F890" s="25"/>
      <c r="G890" s="5"/>
      <c r="H890" s="5"/>
      <c r="I890" s="5"/>
      <c r="J890" s="5"/>
      <c r="K890" s="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  <c r="AB890" s="25"/>
      <c r="AC890" s="25"/>
      <c r="AD890" s="25"/>
      <c r="AE890" s="25"/>
      <c r="AF890" s="25"/>
      <c r="AG890" s="25"/>
      <c r="AH890" s="25"/>
      <c r="AI890" s="25"/>
      <c r="AJ890" s="25"/>
      <c r="AK890" s="25"/>
      <c r="AL890" s="25"/>
      <c r="AM890" s="25"/>
      <c r="AN890" s="25"/>
      <c r="AO890" s="25"/>
      <c r="AP890" s="25"/>
      <c r="AQ890" s="25"/>
      <c r="AR890" s="25"/>
      <c r="AS890" s="25"/>
      <c r="AT890" s="25"/>
      <c r="AU890" s="25"/>
    </row>
    <row r="891">
      <c r="A891" s="25"/>
      <c r="B891" s="25"/>
      <c r="C891" s="25"/>
      <c r="D891" s="25"/>
      <c r="E891" s="25"/>
      <c r="F891" s="25"/>
      <c r="G891" s="5"/>
      <c r="H891" s="5"/>
      <c r="I891" s="5"/>
      <c r="J891" s="5"/>
      <c r="K891" s="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  <c r="AB891" s="25"/>
      <c r="AC891" s="25"/>
      <c r="AD891" s="25"/>
      <c r="AE891" s="25"/>
      <c r="AF891" s="25"/>
      <c r="AG891" s="25"/>
      <c r="AH891" s="25"/>
      <c r="AI891" s="25"/>
      <c r="AJ891" s="25"/>
      <c r="AK891" s="25"/>
      <c r="AL891" s="25"/>
      <c r="AM891" s="25"/>
      <c r="AN891" s="25"/>
      <c r="AO891" s="25"/>
      <c r="AP891" s="25"/>
      <c r="AQ891" s="25"/>
      <c r="AR891" s="25"/>
      <c r="AS891" s="25"/>
      <c r="AT891" s="25"/>
      <c r="AU891" s="25"/>
    </row>
    <row r="892">
      <c r="A892" s="25"/>
      <c r="B892" s="25"/>
      <c r="C892" s="25"/>
      <c r="D892" s="25"/>
      <c r="E892" s="25"/>
      <c r="F892" s="25"/>
      <c r="G892" s="5"/>
      <c r="H892" s="5"/>
      <c r="I892" s="5"/>
      <c r="J892" s="5"/>
      <c r="K892" s="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  <c r="AB892" s="25"/>
      <c r="AC892" s="25"/>
      <c r="AD892" s="25"/>
      <c r="AE892" s="25"/>
      <c r="AF892" s="25"/>
      <c r="AG892" s="25"/>
      <c r="AH892" s="25"/>
      <c r="AI892" s="25"/>
      <c r="AJ892" s="25"/>
      <c r="AK892" s="25"/>
      <c r="AL892" s="25"/>
      <c r="AM892" s="25"/>
      <c r="AN892" s="25"/>
      <c r="AO892" s="25"/>
      <c r="AP892" s="25"/>
      <c r="AQ892" s="25"/>
      <c r="AR892" s="25"/>
      <c r="AS892" s="25"/>
      <c r="AT892" s="25"/>
      <c r="AU892" s="25"/>
    </row>
    <row r="893">
      <c r="A893" s="25"/>
      <c r="B893" s="25"/>
      <c r="C893" s="25"/>
      <c r="D893" s="25"/>
      <c r="E893" s="25"/>
      <c r="F893" s="25"/>
      <c r="G893" s="5"/>
      <c r="H893" s="5"/>
      <c r="I893" s="5"/>
      <c r="J893" s="5"/>
      <c r="K893" s="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  <c r="AB893" s="25"/>
      <c r="AC893" s="25"/>
      <c r="AD893" s="25"/>
      <c r="AE893" s="25"/>
      <c r="AF893" s="25"/>
      <c r="AG893" s="25"/>
      <c r="AH893" s="25"/>
      <c r="AI893" s="25"/>
      <c r="AJ893" s="25"/>
      <c r="AK893" s="25"/>
      <c r="AL893" s="25"/>
      <c r="AM893" s="25"/>
      <c r="AN893" s="25"/>
      <c r="AO893" s="25"/>
      <c r="AP893" s="25"/>
      <c r="AQ893" s="25"/>
      <c r="AR893" s="25"/>
      <c r="AS893" s="25"/>
      <c r="AT893" s="25"/>
      <c r="AU893" s="25"/>
    </row>
    <row r="894">
      <c r="A894" s="25"/>
      <c r="B894" s="25"/>
      <c r="C894" s="25"/>
      <c r="D894" s="25"/>
      <c r="E894" s="25"/>
      <c r="F894" s="25"/>
      <c r="G894" s="5"/>
      <c r="H894" s="5"/>
      <c r="I894" s="5"/>
      <c r="J894" s="5"/>
      <c r="K894" s="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  <c r="AB894" s="25"/>
      <c r="AC894" s="25"/>
      <c r="AD894" s="25"/>
      <c r="AE894" s="25"/>
      <c r="AF894" s="25"/>
      <c r="AG894" s="25"/>
      <c r="AH894" s="25"/>
      <c r="AI894" s="25"/>
      <c r="AJ894" s="25"/>
      <c r="AK894" s="25"/>
      <c r="AL894" s="25"/>
      <c r="AM894" s="25"/>
      <c r="AN894" s="25"/>
      <c r="AO894" s="25"/>
      <c r="AP894" s="25"/>
      <c r="AQ894" s="25"/>
      <c r="AR894" s="25"/>
      <c r="AS894" s="25"/>
      <c r="AT894" s="25"/>
      <c r="AU894" s="25"/>
    </row>
    <row r="895">
      <c r="A895" s="25"/>
      <c r="B895" s="25"/>
      <c r="C895" s="25"/>
      <c r="D895" s="25"/>
      <c r="E895" s="25"/>
      <c r="F895" s="25"/>
      <c r="G895" s="5"/>
      <c r="H895" s="5"/>
      <c r="I895" s="5"/>
      <c r="J895" s="5"/>
      <c r="K895" s="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  <c r="AB895" s="25"/>
      <c r="AC895" s="25"/>
      <c r="AD895" s="25"/>
      <c r="AE895" s="25"/>
      <c r="AF895" s="25"/>
      <c r="AG895" s="25"/>
      <c r="AH895" s="25"/>
      <c r="AI895" s="25"/>
      <c r="AJ895" s="25"/>
      <c r="AK895" s="25"/>
      <c r="AL895" s="25"/>
      <c r="AM895" s="25"/>
      <c r="AN895" s="25"/>
      <c r="AO895" s="25"/>
      <c r="AP895" s="25"/>
      <c r="AQ895" s="25"/>
      <c r="AR895" s="25"/>
      <c r="AS895" s="25"/>
      <c r="AT895" s="25"/>
      <c r="AU895" s="25"/>
    </row>
    <row r="896">
      <c r="A896" s="25"/>
      <c r="B896" s="25"/>
      <c r="C896" s="25"/>
      <c r="D896" s="25"/>
      <c r="E896" s="25"/>
      <c r="F896" s="25"/>
      <c r="G896" s="5"/>
      <c r="H896" s="5"/>
      <c r="I896" s="5"/>
      <c r="J896" s="5"/>
      <c r="K896" s="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  <c r="AB896" s="25"/>
      <c r="AC896" s="25"/>
      <c r="AD896" s="25"/>
      <c r="AE896" s="25"/>
      <c r="AF896" s="25"/>
      <c r="AG896" s="25"/>
      <c r="AH896" s="25"/>
      <c r="AI896" s="25"/>
      <c r="AJ896" s="25"/>
      <c r="AK896" s="25"/>
      <c r="AL896" s="25"/>
      <c r="AM896" s="25"/>
      <c r="AN896" s="25"/>
      <c r="AO896" s="25"/>
      <c r="AP896" s="25"/>
      <c r="AQ896" s="25"/>
      <c r="AR896" s="25"/>
      <c r="AS896" s="25"/>
      <c r="AT896" s="25"/>
      <c r="AU896" s="25"/>
    </row>
    <row r="897">
      <c r="A897" s="25"/>
      <c r="B897" s="25"/>
      <c r="C897" s="25"/>
      <c r="D897" s="25"/>
      <c r="E897" s="25"/>
      <c r="F897" s="25"/>
      <c r="G897" s="5"/>
      <c r="H897" s="5"/>
      <c r="I897" s="5"/>
      <c r="J897" s="5"/>
      <c r="K897" s="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  <c r="AB897" s="25"/>
      <c r="AC897" s="25"/>
      <c r="AD897" s="25"/>
      <c r="AE897" s="25"/>
      <c r="AF897" s="25"/>
      <c r="AG897" s="25"/>
      <c r="AH897" s="25"/>
      <c r="AI897" s="25"/>
      <c r="AJ897" s="25"/>
      <c r="AK897" s="25"/>
      <c r="AL897" s="25"/>
      <c r="AM897" s="25"/>
      <c r="AN897" s="25"/>
      <c r="AO897" s="25"/>
      <c r="AP897" s="25"/>
      <c r="AQ897" s="25"/>
      <c r="AR897" s="25"/>
      <c r="AS897" s="25"/>
      <c r="AT897" s="25"/>
      <c r="AU897" s="25"/>
    </row>
    <row r="898">
      <c r="A898" s="25"/>
      <c r="B898" s="25"/>
      <c r="C898" s="25"/>
      <c r="D898" s="25"/>
      <c r="E898" s="25"/>
      <c r="F898" s="25"/>
      <c r="G898" s="5"/>
      <c r="H898" s="5"/>
      <c r="I898" s="5"/>
      <c r="J898" s="5"/>
      <c r="K898" s="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  <c r="AB898" s="25"/>
      <c r="AC898" s="25"/>
      <c r="AD898" s="25"/>
      <c r="AE898" s="25"/>
      <c r="AF898" s="25"/>
      <c r="AG898" s="25"/>
      <c r="AH898" s="25"/>
      <c r="AI898" s="25"/>
      <c r="AJ898" s="25"/>
      <c r="AK898" s="25"/>
      <c r="AL898" s="25"/>
      <c r="AM898" s="25"/>
      <c r="AN898" s="25"/>
      <c r="AO898" s="25"/>
      <c r="AP898" s="25"/>
      <c r="AQ898" s="25"/>
      <c r="AR898" s="25"/>
      <c r="AS898" s="25"/>
      <c r="AT898" s="25"/>
      <c r="AU898" s="25"/>
    </row>
    <row r="899">
      <c r="A899" s="25"/>
      <c r="B899" s="25"/>
      <c r="C899" s="25"/>
      <c r="D899" s="25"/>
      <c r="E899" s="25"/>
      <c r="F899" s="25"/>
      <c r="G899" s="5"/>
      <c r="H899" s="5"/>
      <c r="I899" s="5"/>
      <c r="J899" s="5"/>
      <c r="K899" s="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  <c r="AB899" s="25"/>
      <c r="AC899" s="25"/>
      <c r="AD899" s="25"/>
      <c r="AE899" s="25"/>
      <c r="AF899" s="25"/>
      <c r="AG899" s="25"/>
      <c r="AH899" s="25"/>
      <c r="AI899" s="25"/>
      <c r="AJ899" s="25"/>
      <c r="AK899" s="25"/>
      <c r="AL899" s="25"/>
      <c r="AM899" s="25"/>
      <c r="AN899" s="25"/>
      <c r="AO899" s="25"/>
      <c r="AP899" s="25"/>
      <c r="AQ899" s="25"/>
      <c r="AR899" s="25"/>
      <c r="AS899" s="25"/>
      <c r="AT899" s="25"/>
      <c r="AU899" s="25"/>
    </row>
    <row r="900">
      <c r="A900" s="25"/>
      <c r="B900" s="25"/>
      <c r="C900" s="25"/>
      <c r="D900" s="25"/>
      <c r="E900" s="25"/>
      <c r="F900" s="25"/>
      <c r="G900" s="5"/>
      <c r="H900" s="5"/>
      <c r="I900" s="5"/>
      <c r="J900" s="5"/>
      <c r="K900" s="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  <c r="AB900" s="25"/>
      <c r="AC900" s="25"/>
      <c r="AD900" s="25"/>
      <c r="AE900" s="25"/>
      <c r="AF900" s="25"/>
      <c r="AG900" s="25"/>
      <c r="AH900" s="25"/>
      <c r="AI900" s="25"/>
      <c r="AJ900" s="25"/>
      <c r="AK900" s="25"/>
      <c r="AL900" s="25"/>
      <c r="AM900" s="25"/>
      <c r="AN900" s="25"/>
      <c r="AO900" s="25"/>
      <c r="AP900" s="25"/>
      <c r="AQ900" s="25"/>
      <c r="AR900" s="25"/>
      <c r="AS900" s="25"/>
      <c r="AT900" s="25"/>
      <c r="AU900" s="25"/>
    </row>
    <row r="901">
      <c r="A901" s="25"/>
      <c r="B901" s="25"/>
      <c r="C901" s="25"/>
      <c r="D901" s="25"/>
      <c r="E901" s="25"/>
      <c r="F901" s="25"/>
      <c r="G901" s="5"/>
      <c r="H901" s="5"/>
      <c r="I901" s="5"/>
      <c r="J901" s="5"/>
      <c r="K901" s="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  <c r="AB901" s="25"/>
      <c r="AC901" s="25"/>
      <c r="AD901" s="25"/>
      <c r="AE901" s="25"/>
      <c r="AF901" s="25"/>
      <c r="AG901" s="25"/>
      <c r="AH901" s="25"/>
      <c r="AI901" s="25"/>
      <c r="AJ901" s="25"/>
      <c r="AK901" s="25"/>
      <c r="AL901" s="25"/>
      <c r="AM901" s="25"/>
      <c r="AN901" s="25"/>
      <c r="AO901" s="25"/>
      <c r="AP901" s="25"/>
      <c r="AQ901" s="25"/>
      <c r="AR901" s="25"/>
      <c r="AS901" s="25"/>
      <c r="AT901" s="25"/>
      <c r="AU901" s="25"/>
    </row>
    <row r="902">
      <c r="A902" s="25"/>
      <c r="B902" s="25"/>
      <c r="C902" s="25"/>
      <c r="D902" s="25"/>
      <c r="E902" s="25"/>
      <c r="F902" s="25"/>
      <c r="G902" s="5"/>
      <c r="H902" s="5"/>
      <c r="I902" s="5"/>
      <c r="J902" s="5"/>
      <c r="K902" s="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  <c r="AB902" s="25"/>
      <c r="AC902" s="25"/>
      <c r="AD902" s="25"/>
      <c r="AE902" s="25"/>
      <c r="AF902" s="25"/>
      <c r="AG902" s="25"/>
      <c r="AH902" s="25"/>
      <c r="AI902" s="25"/>
      <c r="AJ902" s="25"/>
      <c r="AK902" s="25"/>
      <c r="AL902" s="25"/>
      <c r="AM902" s="25"/>
      <c r="AN902" s="25"/>
      <c r="AO902" s="25"/>
      <c r="AP902" s="25"/>
      <c r="AQ902" s="25"/>
      <c r="AR902" s="25"/>
      <c r="AS902" s="25"/>
      <c r="AT902" s="25"/>
      <c r="AU902" s="25"/>
    </row>
    <row r="903">
      <c r="A903" s="25"/>
      <c r="B903" s="25"/>
      <c r="C903" s="25"/>
      <c r="D903" s="25"/>
      <c r="E903" s="25"/>
      <c r="F903" s="25"/>
      <c r="G903" s="5"/>
      <c r="H903" s="5"/>
      <c r="I903" s="5"/>
      <c r="J903" s="5"/>
      <c r="K903" s="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  <c r="AB903" s="25"/>
      <c r="AC903" s="25"/>
      <c r="AD903" s="25"/>
      <c r="AE903" s="25"/>
      <c r="AF903" s="25"/>
      <c r="AG903" s="25"/>
      <c r="AH903" s="25"/>
      <c r="AI903" s="25"/>
      <c r="AJ903" s="25"/>
      <c r="AK903" s="25"/>
      <c r="AL903" s="25"/>
      <c r="AM903" s="25"/>
      <c r="AN903" s="25"/>
      <c r="AO903" s="25"/>
      <c r="AP903" s="25"/>
      <c r="AQ903" s="25"/>
      <c r="AR903" s="25"/>
      <c r="AS903" s="25"/>
      <c r="AT903" s="25"/>
      <c r="AU903" s="25"/>
    </row>
    <row r="904">
      <c r="A904" s="25"/>
      <c r="B904" s="25"/>
      <c r="C904" s="25"/>
      <c r="D904" s="25"/>
      <c r="E904" s="25"/>
      <c r="F904" s="25"/>
      <c r="G904" s="5"/>
      <c r="H904" s="5"/>
      <c r="I904" s="5"/>
      <c r="J904" s="5"/>
      <c r="K904" s="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  <c r="AB904" s="25"/>
      <c r="AC904" s="25"/>
      <c r="AD904" s="25"/>
      <c r="AE904" s="25"/>
      <c r="AF904" s="25"/>
      <c r="AG904" s="25"/>
      <c r="AH904" s="25"/>
      <c r="AI904" s="25"/>
      <c r="AJ904" s="25"/>
      <c r="AK904" s="25"/>
      <c r="AL904" s="25"/>
      <c r="AM904" s="25"/>
      <c r="AN904" s="25"/>
      <c r="AO904" s="25"/>
      <c r="AP904" s="25"/>
      <c r="AQ904" s="25"/>
      <c r="AR904" s="25"/>
      <c r="AS904" s="25"/>
      <c r="AT904" s="25"/>
      <c r="AU904" s="25"/>
    </row>
    <row r="905">
      <c r="A905" s="25"/>
      <c r="B905" s="25"/>
      <c r="C905" s="25"/>
      <c r="D905" s="25"/>
      <c r="E905" s="25"/>
      <c r="F905" s="25"/>
      <c r="G905" s="5"/>
      <c r="H905" s="5"/>
      <c r="I905" s="5"/>
      <c r="J905" s="5"/>
      <c r="K905" s="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  <c r="AB905" s="25"/>
      <c r="AC905" s="25"/>
      <c r="AD905" s="25"/>
      <c r="AE905" s="25"/>
      <c r="AF905" s="25"/>
      <c r="AG905" s="25"/>
      <c r="AH905" s="25"/>
      <c r="AI905" s="25"/>
      <c r="AJ905" s="25"/>
      <c r="AK905" s="25"/>
      <c r="AL905" s="25"/>
      <c r="AM905" s="25"/>
      <c r="AN905" s="25"/>
      <c r="AO905" s="25"/>
      <c r="AP905" s="25"/>
      <c r="AQ905" s="25"/>
      <c r="AR905" s="25"/>
      <c r="AS905" s="25"/>
      <c r="AT905" s="25"/>
      <c r="AU905" s="25"/>
    </row>
    <row r="906">
      <c r="A906" s="25"/>
      <c r="B906" s="25"/>
      <c r="C906" s="25"/>
      <c r="D906" s="25"/>
      <c r="E906" s="25"/>
      <c r="F906" s="25"/>
      <c r="G906" s="5"/>
      <c r="H906" s="5"/>
      <c r="I906" s="5"/>
      <c r="J906" s="5"/>
      <c r="K906" s="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  <c r="AB906" s="25"/>
      <c r="AC906" s="25"/>
      <c r="AD906" s="25"/>
      <c r="AE906" s="25"/>
      <c r="AF906" s="25"/>
      <c r="AG906" s="25"/>
      <c r="AH906" s="25"/>
      <c r="AI906" s="25"/>
      <c r="AJ906" s="25"/>
      <c r="AK906" s="25"/>
      <c r="AL906" s="25"/>
      <c r="AM906" s="25"/>
      <c r="AN906" s="25"/>
      <c r="AO906" s="25"/>
      <c r="AP906" s="25"/>
      <c r="AQ906" s="25"/>
      <c r="AR906" s="25"/>
      <c r="AS906" s="25"/>
      <c r="AT906" s="25"/>
      <c r="AU906" s="25"/>
    </row>
    <row r="907">
      <c r="A907" s="25"/>
      <c r="B907" s="25"/>
      <c r="C907" s="25"/>
      <c r="D907" s="25"/>
      <c r="E907" s="25"/>
      <c r="F907" s="25"/>
      <c r="G907" s="5"/>
      <c r="H907" s="5"/>
      <c r="I907" s="5"/>
      <c r="J907" s="5"/>
      <c r="K907" s="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  <c r="AB907" s="25"/>
      <c r="AC907" s="25"/>
      <c r="AD907" s="25"/>
      <c r="AE907" s="25"/>
      <c r="AF907" s="25"/>
      <c r="AG907" s="25"/>
      <c r="AH907" s="25"/>
      <c r="AI907" s="25"/>
      <c r="AJ907" s="25"/>
      <c r="AK907" s="25"/>
      <c r="AL907" s="25"/>
      <c r="AM907" s="25"/>
      <c r="AN907" s="25"/>
      <c r="AO907" s="25"/>
      <c r="AP907" s="25"/>
      <c r="AQ907" s="25"/>
      <c r="AR907" s="25"/>
      <c r="AS907" s="25"/>
      <c r="AT907" s="25"/>
      <c r="AU907" s="25"/>
    </row>
    <row r="908">
      <c r="A908" s="25"/>
      <c r="B908" s="25"/>
      <c r="C908" s="25"/>
      <c r="D908" s="25"/>
      <c r="E908" s="25"/>
      <c r="F908" s="25"/>
      <c r="G908" s="5"/>
      <c r="H908" s="5"/>
      <c r="I908" s="5"/>
      <c r="J908" s="5"/>
      <c r="K908" s="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  <c r="AB908" s="25"/>
      <c r="AC908" s="25"/>
      <c r="AD908" s="25"/>
      <c r="AE908" s="25"/>
      <c r="AF908" s="25"/>
      <c r="AG908" s="25"/>
      <c r="AH908" s="25"/>
      <c r="AI908" s="25"/>
      <c r="AJ908" s="25"/>
      <c r="AK908" s="25"/>
      <c r="AL908" s="25"/>
      <c r="AM908" s="25"/>
      <c r="AN908" s="25"/>
      <c r="AO908" s="25"/>
      <c r="AP908" s="25"/>
      <c r="AQ908" s="25"/>
      <c r="AR908" s="25"/>
      <c r="AS908" s="25"/>
      <c r="AT908" s="25"/>
      <c r="AU908" s="25"/>
    </row>
    <row r="909">
      <c r="A909" s="25"/>
      <c r="B909" s="25"/>
      <c r="C909" s="25"/>
      <c r="D909" s="25"/>
      <c r="E909" s="25"/>
      <c r="F909" s="25"/>
      <c r="G909" s="5"/>
      <c r="H909" s="5"/>
      <c r="I909" s="5"/>
      <c r="J909" s="5"/>
      <c r="K909" s="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  <c r="AB909" s="25"/>
      <c r="AC909" s="25"/>
      <c r="AD909" s="25"/>
      <c r="AE909" s="25"/>
      <c r="AF909" s="25"/>
      <c r="AG909" s="25"/>
      <c r="AH909" s="25"/>
      <c r="AI909" s="25"/>
      <c r="AJ909" s="25"/>
      <c r="AK909" s="25"/>
      <c r="AL909" s="25"/>
      <c r="AM909" s="25"/>
      <c r="AN909" s="25"/>
      <c r="AO909" s="25"/>
      <c r="AP909" s="25"/>
      <c r="AQ909" s="25"/>
      <c r="AR909" s="25"/>
      <c r="AS909" s="25"/>
      <c r="AT909" s="25"/>
      <c r="AU909" s="25"/>
    </row>
    <row r="910">
      <c r="A910" s="25"/>
      <c r="B910" s="25"/>
      <c r="C910" s="25"/>
      <c r="D910" s="25"/>
      <c r="E910" s="25"/>
      <c r="F910" s="25"/>
      <c r="G910" s="5"/>
      <c r="H910" s="5"/>
      <c r="I910" s="5"/>
      <c r="J910" s="5"/>
      <c r="K910" s="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  <c r="AB910" s="25"/>
      <c r="AC910" s="25"/>
      <c r="AD910" s="25"/>
      <c r="AE910" s="25"/>
      <c r="AF910" s="25"/>
      <c r="AG910" s="25"/>
      <c r="AH910" s="25"/>
      <c r="AI910" s="25"/>
      <c r="AJ910" s="25"/>
      <c r="AK910" s="25"/>
      <c r="AL910" s="25"/>
      <c r="AM910" s="25"/>
      <c r="AN910" s="25"/>
      <c r="AO910" s="25"/>
      <c r="AP910" s="25"/>
      <c r="AQ910" s="25"/>
      <c r="AR910" s="25"/>
      <c r="AS910" s="25"/>
      <c r="AT910" s="25"/>
      <c r="AU910" s="25"/>
    </row>
    <row r="911">
      <c r="A911" s="25"/>
      <c r="B911" s="25"/>
      <c r="C911" s="25"/>
      <c r="D911" s="25"/>
      <c r="E911" s="25"/>
      <c r="F911" s="25"/>
      <c r="G911" s="5"/>
      <c r="H911" s="5"/>
      <c r="I911" s="5"/>
      <c r="J911" s="5"/>
      <c r="K911" s="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  <c r="AB911" s="25"/>
      <c r="AC911" s="25"/>
      <c r="AD911" s="25"/>
      <c r="AE911" s="25"/>
      <c r="AF911" s="25"/>
      <c r="AG911" s="25"/>
      <c r="AH911" s="25"/>
      <c r="AI911" s="25"/>
      <c r="AJ911" s="25"/>
      <c r="AK911" s="25"/>
      <c r="AL911" s="25"/>
      <c r="AM911" s="25"/>
      <c r="AN911" s="25"/>
      <c r="AO911" s="25"/>
      <c r="AP911" s="25"/>
      <c r="AQ911" s="25"/>
      <c r="AR911" s="25"/>
      <c r="AS911" s="25"/>
      <c r="AT911" s="25"/>
      <c r="AU911" s="25"/>
    </row>
    <row r="912">
      <c r="A912" s="25"/>
      <c r="B912" s="25"/>
      <c r="C912" s="25"/>
      <c r="D912" s="25"/>
      <c r="E912" s="25"/>
      <c r="F912" s="25"/>
      <c r="G912" s="5"/>
      <c r="H912" s="5"/>
      <c r="I912" s="5"/>
      <c r="J912" s="5"/>
      <c r="K912" s="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  <c r="AB912" s="25"/>
      <c r="AC912" s="25"/>
      <c r="AD912" s="25"/>
      <c r="AE912" s="25"/>
      <c r="AF912" s="25"/>
      <c r="AG912" s="25"/>
      <c r="AH912" s="25"/>
      <c r="AI912" s="25"/>
      <c r="AJ912" s="25"/>
      <c r="AK912" s="25"/>
      <c r="AL912" s="25"/>
      <c r="AM912" s="25"/>
      <c r="AN912" s="25"/>
      <c r="AO912" s="25"/>
      <c r="AP912" s="25"/>
      <c r="AQ912" s="25"/>
      <c r="AR912" s="25"/>
      <c r="AS912" s="25"/>
      <c r="AT912" s="25"/>
      <c r="AU912" s="25"/>
    </row>
    <row r="913">
      <c r="A913" s="25"/>
      <c r="B913" s="25"/>
      <c r="C913" s="25"/>
      <c r="D913" s="25"/>
      <c r="E913" s="25"/>
      <c r="F913" s="25"/>
      <c r="G913" s="5"/>
      <c r="H913" s="5"/>
      <c r="I913" s="5"/>
      <c r="J913" s="5"/>
      <c r="K913" s="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  <c r="AB913" s="25"/>
      <c r="AC913" s="25"/>
      <c r="AD913" s="25"/>
      <c r="AE913" s="25"/>
      <c r="AF913" s="25"/>
      <c r="AG913" s="25"/>
      <c r="AH913" s="25"/>
      <c r="AI913" s="25"/>
      <c r="AJ913" s="25"/>
      <c r="AK913" s="25"/>
      <c r="AL913" s="25"/>
      <c r="AM913" s="25"/>
      <c r="AN913" s="25"/>
      <c r="AO913" s="25"/>
      <c r="AP913" s="25"/>
      <c r="AQ913" s="25"/>
      <c r="AR913" s="25"/>
      <c r="AS913" s="25"/>
      <c r="AT913" s="25"/>
      <c r="AU913" s="25"/>
    </row>
    <row r="914">
      <c r="A914" s="25"/>
      <c r="B914" s="25"/>
      <c r="C914" s="25"/>
      <c r="D914" s="25"/>
      <c r="E914" s="25"/>
      <c r="F914" s="25"/>
      <c r="G914" s="5"/>
      <c r="H914" s="5"/>
      <c r="I914" s="5"/>
      <c r="J914" s="5"/>
      <c r="K914" s="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  <c r="AB914" s="25"/>
      <c r="AC914" s="25"/>
      <c r="AD914" s="25"/>
      <c r="AE914" s="25"/>
      <c r="AF914" s="25"/>
      <c r="AG914" s="25"/>
      <c r="AH914" s="25"/>
      <c r="AI914" s="25"/>
      <c r="AJ914" s="25"/>
      <c r="AK914" s="25"/>
      <c r="AL914" s="25"/>
      <c r="AM914" s="25"/>
      <c r="AN914" s="25"/>
      <c r="AO914" s="25"/>
      <c r="AP914" s="25"/>
      <c r="AQ914" s="25"/>
      <c r="AR914" s="25"/>
      <c r="AS914" s="25"/>
      <c r="AT914" s="25"/>
      <c r="AU914" s="25"/>
    </row>
    <row r="915">
      <c r="A915" s="25"/>
      <c r="B915" s="25"/>
      <c r="C915" s="25"/>
      <c r="D915" s="25"/>
      <c r="E915" s="25"/>
      <c r="F915" s="25"/>
      <c r="G915" s="5"/>
      <c r="H915" s="5"/>
      <c r="I915" s="5"/>
      <c r="J915" s="5"/>
      <c r="K915" s="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  <c r="AB915" s="25"/>
      <c r="AC915" s="25"/>
      <c r="AD915" s="25"/>
      <c r="AE915" s="25"/>
      <c r="AF915" s="25"/>
      <c r="AG915" s="25"/>
      <c r="AH915" s="25"/>
      <c r="AI915" s="25"/>
      <c r="AJ915" s="25"/>
      <c r="AK915" s="25"/>
      <c r="AL915" s="25"/>
      <c r="AM915" s="25"/>
      <c r="AN915" s="25"/>
      <c r="AO915" s="25"/>
      <c r="AP915" s="25"/>
      <c r="AQ915" s="25"/>
      <c r="AR915" s="25"/>
      <c r="AS915" s="25"/>
      <c r="AT915" s="25"/>
      <c r="AU915" s="25"/>
    </row>
    <row r="916">
      <c r="A916" s="25"/>
      <c r="B916" s="25"/>
      <c r="C916" s="25"/>
      <c r="D916" s="25"/>
      <c r="E916" s="25"/>
      <c r="F916" s="25"/>
      <c r="G916" s="5"/>
      <c r="H916" s="5"/>
      <c r="I916" s="5"/>
      <c r="J916" s="5"/>
      <c r="K916" s="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  <c r="AB916" s="25"/>
      <c r="AC916" s="25"/>
      <c r="AD916" s="25"/>
      <c r="AE916" s="25"/>
      <c r="AF916" s="25"/>
      <c r="AG916" s="25"/>
      <c r="AH916" s="25"/>
      <c r="AI916" s="25"/>
      <c r="AJ916" s="25"/>
      <c r="AK916" s="25"/>
      <c r="AL916" s="25"/>
      <c r="AM916" s="25"/>
      <c r="AN916" s="25"/>
      <c r="AO916" s="25"/>
      <c r="AP916" s="25"/>
      <c r="AQ916" s="25"/>
      <c r="AR916" s="25"/>
      <c r="AS916" s="25"/>
      <c r="AT916" s="25"/>
      <c r="AU916" s="25"/>
    </row>
    <row r="917">
      <c r="A917" s="25"/>
      <c r="B917" s="25"/>
      <c r="C917" s="25"/>
      <c r="D917" s="25"/>
      <c r="E917" s="25"/>
      <c r="F917" s="25"/>
      <c r="G917" s="5"/>
      <c r="H917" s="5"/>
      <c r="I917" s="5"/>
      <c r="J917" s="5"/>
      <c r="K917" s="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  <c r="AB917" s="25"/>
      <c r="AC917" s="25"/>
      <c r="AD917" s="25"/>
      <c r="AE917" s="25"/>
      <c r="AF917" s="25"/>
      <c r="AG917" s="25"/>
      <c r="AH917" s="25"/>
      <c r="AI917" s="25"/>
      <c r="AJ917" s="25"/>
      <c r="AK917" s="25"/>
      <c r="AL917" s="25"/>
      <c r="AM917" s="25"/>
      <c r="AN917" s="25"/>
      <c r="AO917" s="25"/>
      <c r="AP917" s="25"/>
      <c r="AQ917" s="25"/>
      <c r="AR917" s="25"/>
      <c r="AS917" s="25"/>
      <c r="AT917" s="25"/>
      <c r="AU917" s="25"/>
    </row>
    <row r="918">
      <c r="A918" s="25"/>
      <c r="B918" s="25"/>
      <c r="C918" s="25"/>
      <c r="D918" s="25"/>
      <c r="E918" s="25"/>
      <c r="F918" s="25"/>
      <c r="G918" s="5"/>
      <c r="H918" s="5"/>
      <c r="I918" s="5"/>
      <c r="J918" s="5"/>
      <c r="K918" s="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  <c r="AB918" s="25"/>
      <c r="AC918" s="25"/>
      <c r="AD918" s="25"/>
      <c r="AE918" s="25"/>
      <c r="AF918" s="25"/>
      <c r="AG918" s="25"/>
      <c r="AH918" s="25"/>
      <c r="AI918" s="25"/>
      <c r="AJ918" s="25"/>
      <c r="AK918" s="25"/>
      <c r="AL918" s="25"/>
      <c r="AM918" s="25"/>
      <c r="AN918" s="25"/>
      <c r="AO918" s="25"/>
      <c r="AP918" s="25"/>
      <c r="AQ918" s="25"/>
      <c r="AR918" s="25"/>
      <c r="AS918" s="25"/>
      <c r="AT918" s="25"/>
      <c r="AU918" s="25"/>
    </row>
    <row r="919">
      <c r="A919" s="25"/>
      <c r="B919" s="25"/>
      <c r="C919" s="25"/>
      <c r="D919" s="25"/>
      <c r="E919" s="25"/>
      <c r="F919" s="25"/>
      <c r="G919" s="5"/>
      <c r="H919" s="5"/>
      <c r="I919" s="5"/>
      <c r="J919" s="5"/>
      <c r="K919" s="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  <c r="AB919" s="25"/>
      <c r="AC919" s="25"/>
      <c r="AD919" s="25"/>
      <c r="AE919" s="25"/>
      <c r="AF919" s="25"/>
      <c r="AG919" s="25"/>
      <c r="AH919" s="25"/>
      <c r="AI919" s="25"/>
      <c r="AJ919" s="25"/>
      <c r="AK919" s="25"/>
      <c r="AL919" s="25"/>
      <c r="AM919" s="25"/>
      <c r="AN919" s="25"/>
      <c r="AO919" s="25"/>
      <c r="AP919" s="25"/>
      <c r="AQ919" s="25"/>
      <c r="AR919" s="25"/>
      <c r="AS919" s="25"/>
      <c r="AT919" s="25"/>
      <c r="AU919" s="25"/>
    </row>
    <row r="920">
      <c r="A920" s="25"/>
      <c r="B920" s="25"/>
      <c r="C920" s="25"/>
      <c r="D920" s="25"/>
      <c r="E920" s="25"/>
      <c r="F920" s="25"/>
      <c r="G920" s="5"/>
      <c r="H920" s="5"/>
      <c r="I920" s="5"/>
      <c r="J920" s="5"/>
      <c r="K920" s="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  <c r="AB920" s="25"/>
      <c r="AC920" s="25"/>
      <c r="AD920" s="25"/>
      <c r="AE920" s="25"/>
      <c r="AF920" s="25"/>
      <c r="AG920" s="25"/>
      <c r="AH920" s="25"/>
      <c r="AI920" s="25"/>
      <c r="AJ920" s="25"/>
      <c r="AK920" s="25"/>
      <c r="AL920" s="25"/>
      <c r="AM920" s="25"/>
      <c r="AN920" s="25"/>
      <c r="AO920" s="25"/>
      <c r="AP920" s="25"/>
      <c r="AQ920" s="25"/>
      <c r="AR920" s="25"/>
      <c r="AS920" s="25"/>
      <c r="AT920" s="25"/>
      <c r="AU920" s="25"/>
    </row>
    <row r="921">
      <c r="A921" s="25"/>
      <c r="B921" s="25"/>
      <c r="C921" s="25"/>
      <c r="D921" s="25"/>
      <c r="E921" s="25"/>
      <c r="F921" s="25"/>
      <c r="G921" s="5"/>
      <c r="H921" s="5"/>
      <c r="I921" s="5"/>
      <c r="J921" s="5"/>
      <c r="K921" s="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  <c r="AB921" s="25"/>
      <c r="AC921" s="25"/>
      <c r="AD921" s="25"/>
      <c r="AE921" s="25"/>
      <c r="AF921" s="25"/>
      <c r="AG921" s="25"/>
      <c r="AH921" s="25"/>
      <c r="AI921" s="25"/>
      <c r="AJ921" s="25"/>
      <c r="AK921" s="25"/>
      <c r="AL921" s="25"/>
      <c r="AM921" s="25"/>
      <c r="AN921" s="25"/>
      <c r="AO921" s="25"/>
      <c r="AP921" s="25"/>
      <c r="AQ921" s="25"/>
      <c r="AR921" s="25"/>
      <c r="AS921" s="25"/>
      <c r="AT921" s="25"/>
      <c r="AU921" s="25"/>
    </row>
    <row r="922">
      <c r="A922" s="25"/>
      <c r="B922" s="25"/>
      <c r="C922" s="25"/>
      <c r="D922" s="25"/>
      <c r="E922" s="25"/>
      <c r="F922" s="25"/>
      <c r="G922" s="5"/>
      <c r="H922" s="5"/>
      <c r="I922" s="5"/>
      <c r="J922" s="5"/>
      <c r="K922" s="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  <c r="AB922" s="25"/>
      <c r="AC922" s="25"/>
      <c r="AD922" s="25"/>
      <c r="AE922" s="25"/>
      <c r="AF922" s="25"/>
      <c r="AG922" s="25"/>
      <c r="AH922" s="25"/>
      <c r="AI922" s="25"/>
      <c r="AJ922" s="25"/>
      <c r="AK922" s="25"/>
      <c r="AL922" s="25"/>
      <c r="AM922" s="25"/>
      <c r="AN922" s="25"/>
      <c r="AO922" s="25"/>
      <c r="AP922" s="25"/>
      <c r="AQ922" s="25"/>
      <c r="AR922" s="25"/>
      <c r="AS922" s="25"/>
      <c r="AT922" s="25"/>
      <c r="AU922" s="25"/>
    </row>
    <row r="923">
      <c r="A923" s="25"/>
      <c r="B923" s="25"/>
      <c r="C923" s="25"/>
      <c r="D923" s="25"/>
      <c r="E923" s="25"/>
      <c r="F923" s="25"/>
      <c r="G923" s="5"/>
      <c r="H923" s="5"/>
      <c r="I923" s="5"/>
      <c r="J923" s="5"/>
      <c r="K923" s="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  <c r="AB923" s="25"/>
      <c r="AC923" s="25"/>
      <c r="AD923" s="25"/>
      <c r="AE923" s="25"/>
      <c r="AF923" s="25"/>
      <c r="AG923" s="25"/>
      <c r="AH923" s="25"/>
      <c r="AI923" s="25"/>
      <c r="AJ923" s="25"/>
      <c r="AK923" s="25"/>
      <c r="AL923" s="25"/>
      <c r="AM923" s="25"/>
      <c r="AN923" s="25"/>
      <c r="AO923" s="25"/>
      <c r="AP923" s="25"/>
      <c r="AQ923" s="25"/>
      <c r="AR923" s="25"/>
      <c r="AS923" s="25"/>
      <c r="AT923" s="25"/>
      <c r="AU923" s="25"/>
    </row>
    <row r="924">
      <c r="A924" s="25"/>
      <c r="B924" s="25"/>
      <c r="C924" s="25"/>
      <c r="D924" s="25"/>
      <c r="E924" s="25"/>
      <c r="F924" s="25"/>
      <c r="G924" s="5"/>
      <c r="H924" s="5"/>
      <c r="I924" s="5"/>
      <c r="J924" s="5"/>
      <c r="K924" s="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  <c r="AB924" s="25"/>
      <c r="AC924" s="25"/>
      <c r="AD924" s="25"/>
      <c r="AE924" s="25"/>
      <c r="AF924" s="25"/>
      <c r="AG924" s="25"/>
      <c r="AH924" s="25"/>
      <c r="AI924" s="25"/>
      <c r="AJ924" s="25"/>
      <c r="AK924" s="25"/>
      <c r="AL924" s="25"/>
      <c r="AM924" s="25"/>
      <c r="AN924" s="25"/>
      <c r="AO924" s="25"/>
      <c r="AP924" s="25"/>
      <c r="AQ924" s="25"/>
      <c r="AR924" s="25"/>
      <c r="AS924" s="25"/>
      <c r="AT924" s="25"/>
      <c r="AU924" s="25"/>
    </row>
    <row r="925">
      <c r="A925" s="25"/>
      <c r="B925" s="25"/>
      <c r="C925" s="25"/>
      <c r="D925" s="25"/>
      <c r="E925" s="25"/>
      <c r="F925" s="25"/>
      <c r="G925" s="5"/>
      <c r="H925" s="5"/>
      <c r="I925" s="5"/>
      <c r="J925" s="5"/>
      <c r="K925" s="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  <c r="AB925" s="25"/>
      <c r="AC925" s="25"/>
      <c r="AD925" s="25"/>
      <c r="AE925" s="25"/>
      <c r="AF925" s="25"/>
      <c r="AG925" s="25"/>
      <c r="AH925" s="25"/>
      <c r="AI925" s="25"/>
      <c r="AJ925" s="25"/>
      <c r="AK925" s="25"/>
      <c r="AL925" s="25"/>
      <c r="AM925" s="25"/>
      <c r="AN925" s="25"/>
      <c r="AO925" s="25"/>
      <c r="AP925" s="25"/>
      <c r="AQ925" s="25"/>
      <c r="AR925" s="25"/>
      <c r="AS925" s="25"/>
      <c r="AT925" s="25"/>
      <c r="AU925" s="25"/>
    </row>
    <row r="926">
      <c r="A926" s="25"/>
      <c r="B926" s="25"/>
      <c r="C926" s="25"/>
      <c r="D926" s="25"/>
      <c r="E926" s="25"/>
      <c r="F926" s="25"/>
      <c r="G926" s="5"/>
      <c r="H926" s="5"/>
      <c r="I926" s="5"/>
      <c r="J926" s="5"/>
      <c r="K926" s="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  <c r="AB926" s="25"/>
      <c r="AC926" s="25"/>
      <c r="AD926" s="25"/>
      <c r="AE926" s="25"/>
      <c r="AF926" s="25"/>
      <c r="AG926" s="25"/>
      <c r="AH926" s="25"/>
      <c r="AI926" s="25"/>
      <c r="AJ926" s="25"/>
      <c r="AK926" s="25"/>
      <c r="AL926" s="25"/>
      <c r="AM926" s="25"/>
      <c r="AN926" s="25"/>
      <c r="AO926" s="25"/>
      <c r="AP926" s="25"/>
      <c r="AQ926" s="25"/>
      <c r="AR926" s="25"/>
      <c r="AS926" s="25"/>
      <c r="AT926" s="25"/>
      <c r="AU926" s="25"/>
    </row>
    <row r="927">
      <c r="A927" s="25"/>
      <c r="B927" s="25"/>
      <c r="C927" s="25"/>
      <c r="D927" s="25"/>
      <c r="E927" s="25"/>
      <c r="F927" s="25"/>
      <c r="G927" s="5"/>
      <c r="H927" s="5"/>
      <c r="I927" s="5"/>
      <c r="J927" s="5"/>
      <c r="K927" s="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  <c r="AB927" s="25"/>
      <c r="AC927" s="25"/>
      <c r="AD927" s="25"/>
      <c r="AE927" s="25"/>
      <c r="AF927" s="25"/>
      <c r="AG927" s="25"/>
      <c r="AH927" s="25"/>
      <c r="AI927" s="25"/>
      <c r="AJ927" s="25"/>
      <c r="AK927" s="25"/>
      <c r="AL927" s="25"/>
      <c r="AM927" s="25"/>
      <c r="AN927" s="25"/>
      <c r="AO927" s="25"/>
      <c r="AP927" s="25"/>
      <c r="AQ927" s="25"/>
      <c r="AR927" s="25"/>
      <c r="AS927" s="25"/>
      <c r="AT927" s="25"/>
      <c r="AU927" s="25"/>
    </row>
    <row r="928">
      <c r="A928" s="25"/>
      <c r="B928" s="25"/>
      <c r="C928" s="25"/>
      <c r="D928" s="25"/>
      <c r="E928" s="25"/>
      <c r="F928" s="25"/>
      <c r="G928" s="5"/>
      <c r="H928" s="5"/>
      <c r="I928" s="5"/>
      <c r="J928" s="5"/>
      <c r="K928" s="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  <c r="AB928" s="25"/>
      <c r="AC928" s="25"/>
      <c r="AD928" s="25"/>
      <c r="AE928" s="25"/>
      <c r="AF928" s="25"/>
      <c r="AG928" s="25"/>
      <c r="AH928" s="25"/>
      <c r="AI928" s="25"/>
      <c r="AJ928" s="25"/>
      <c r="AK928" s="25"/>
      <c r="AL928" s="25"/>
      <c r="AM928" s="25"/>
      <c r="AN928" s="25"/>
      <c r="AO928" s="25"/>
      <c r="AP928" s="25"/>
      <c r="AQ928" s="25"/>
      <c r="AR928" s="25"/>
      <c r="AS928" s="25"/>
      <c r="AT928" s="25"/>
      <c r="AU928" s="25"/>
    </row>
    <row r="929">
      <c r="A929" s="25"/>
      <c r="B929" s="25"/>
      <c r="C929" s="25"/>
      <c r="D929" s="25"/>
      <c r="E929" s="25"/>
      <c r="F929" s="25"/>
      <c r="G929" s="5"/>
      <c r="H929" s="5"/>
      <c r="I929" s="5"/>
      <c r="J929" s="5"/>
      <c r="K929" s="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  <c r="AB929" s="25"/>
      <c r="AC929" s="25"/>
      <c r="AD929" s="25"/>
      <c r="AE929" s="25"/>
      <c r="AF929" s="25"/>
      <c r="AG929" s="25"/>
      <c r="AH929" s="25"/>
      <c r="AI929" s="25"/>
      <c r="AJ929" s="25"/>
      <c r="AK929" s="25"/>
      <c r="AL929" s="25"/>
      <c r="AM929" s="25"/>
      <c r="AN929" s="25"/>
      <c r="AO929" s="25"/>
      <c r="AP929" s="25"/>
      <c r="AQ929" s="25"/>
      <c r="AR929" s="25"/>
      <c r="AS929" s="25"/>
      <c r="AT929" s="25"/>
      <c r="AU929" s="25"/>
    </row>
    <row r="930">
      <c r="A930" s="25"/>
      <c r="B930" s="25"/>
      <c r="C930" s="25"/>
      <c r="D930" s="25"/>
      <c r="E930" s="25"/>
      <c r="F930" s="25"/>
      <c r="G930" s="5"/>
      <c r="H930" s="5"/>
      <c r="I930" s="5"/>
      <c r="J930" s="5"/>
      <c r="K930" s="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  <c r="AB930" s="25"/>
      <c r="AC930" s="25"/>
      <c r="AD930" s="25"/>
      <c r="AE930" s="25"/>
      <c r="AF930" s="25"/>
      <c r="AG930" s="25"/>
      <c r="AH930" s="25"/>
      <c r="AI930" s="25"/>
      <c r="AJ930" s="25"/>
      <c r="AK930" s="25"/>
      <c r="AL930" s="25"/>
      <c r="AM930" s="25"/>
      <c r="AN930" s="25"/>
      <c r="AO930" s="25"/>
      <c r="AP930" s="25"/>
      <c r="AQ930" s="25"/>
      <c r="AR930" s="25"/>
      <c r="AS930" s="25"/>
      <c r="AT930" s="25"/>
      <c r="AU930" s="25"/>
    </row>
    <row r="931">
      <c r="A931" s="25"/>
      <c r="B931" s="25"/>
      <c r="C931" s="25"/>
      <c r="D931" s="25"/>
      <c r="E931" s="25"/>
      <c r="F931" s="25"/>
      <c r="G931" s="5"/>
      <c r="H931" s="5"/>
      <c r="I931" s="5"/>
      <c r="J931" s="5"/>
      <c r="K931" s="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  <c r="AB931" s="25"/>
      <c r="AC931" s="25"/>
      <c r="AD931" s="25"/>
      <c r="AE931" s="25"/>
      <c r="AF931" s="25"/>
      <c r="AG931" s="25"/>
      <c r="AH931" s="25"/>
      <c r="AI931" s="25"/>
      <c r="AJ931" s="25"/>
      <c r="AK931" s="25"/>
      <c r="AL931" s="25"/>
      <c r="AM931" s="25"/>
      <c r="AN931" s="25"/>
      <c r="AO931" s="25"/>
      <c r="AP931" s="25"/>
      <c r="AQ931" s="25"/>
      <c r="AR931" s="25"/>
      <c r="AS931" s="25"/>
      <c r="AT931" s="25"/>
      <c r="AU931" s="25"/>
    </row>
    <row r="932">
      <c r="A932" s="25"/>
      <c r="B932" s="25"/>
      <c r="C932" s="25"/>
      <c r="D932" s="25"/>
      <c r="E932" s="25"/>
      <c r="F932" s="25"/>
      <c r="G932" s="5"/>
      <c r="H932" s="5"/>
      <c r="I932" s="5"/>
      <c r="J932" s="5"/>
      <c r="K932" s="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  <c r="AB932" s="25"/>
      <c r="AC932" s="25"/>
      <c r="AD932" s="25"/>
      <c r="AE932" s="25"/>
      <c r="AF932" s="25"/>
      <c r="AG932" s="25"/>
      <c r="AH932" s="25"/>
      <c r="AI932" s="25"/>
      <c r="AJ932" s="25"/>
      <c r="AK932" s="25"/>
      <c r="AL932" s="25"/>
      <c r="AM932" s="25"/>
      <c r="AN932" s="25"/>
      <c r="AO932" s="25"/>
      <c r="AP932" s="25"/>
      <c r="AQ932" s="25"/>
      <c r="AR932" s="25"/>
      <c r="AS932" s="25"/>
      <c r="AT932" s="25"/>
      <c r="AU932" s="25"/>
    </row>
    <row r="933">
      <c r="A933" s="25"/>
      <c r="B933" s="25"/>
      <c r="C933" s="25"/>
      <c r="D933" s="25"/>
      <c r="E933" s="25"/>
      <c r="F933" s="25"/>
      <c r="G933" s="5"/>
      <c r="H933" s="5"/>
      <c r="I933" s="5"/>
      <c r="J933" s="5"/>
      <c r="K933" s="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  <c r="AB933" s="25"/>
      <c r="AC933" s="25"/>
      <c r="AD933" s="25"/>
      <c r="AE933" s="25"/>
      <c r="AF933" s="25"/>
      <c r="AG933" s="25"/>
      <c r="AH933" s="25"/>
      <c r="AI933" s="25"/>
      <c r="AJ933" s="25"/>
      <c r="AK933" s="25"/>
      <c r="AL933" s="25"/>
      <c r="AM933" s="25"/>
      <c r="AN933" s="25"/>
      <c r="AO933" s="25"/>
      <c r="AP933" s="25"/>
      <c r="AQ933" s="25"/>
      <c r="AR933" s="25"/>
      <c r="AS933" s="25"/>
      <c r="AT933" s="25"/>
      <c r="AU933" s="25"/>
    </row>
    <row r="934">
      <c r="A934" s="25"/>
      <c r="B934" s="25"/>
      <c r="C934" s="25"/>
      <c r="D934" s="25"/>
      <c r="E934" s="25"/>
      <c r="F934" s="25"/>
      <c r="G934" s="5"/>
      <c r="H934" s="5"/>
      <c r="I934" s="5"/>
      <c r="J934" s="5"/>
      <c r="K934" s="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  <c r="AB934" s="25"/>
      <c r="AC934" s="25"/>
      <c r="AD934" s="25"/>
      <c r="AE934" s="25"/>
      <c r="AF934" s="25"/>
      <c r="AG934" s="25"/>
      <c r="AH934" s="25"/>
      <c r="AI934" s="25"/>
      <c r="AJ934" s="25"/>
      <c r="AK934" s="25"/>
      <c r="AL934" s="25"/>
      <c r="AM934" s="25"/>
      <c r="AN934" s="25"/>
      <c r="AO934" s="25"/>
      <c r="AP934" s="25"/>
      <c r="AQ934" s="25"/>
      <c r="AR934" s="25"/>
      <c r="AS934" s="25"/>
      <c r="AT934" s="25"/>
      <c r="AU934" s="25"/>
    </row>
    <row r="935">
      <c r="A935" s="25"/>
      <c r="B935" s="25"/>
      <c r="C935" s="25"/>
      <c r="D935" s="25"/>
      <c r="E935" s="25"/>
      <c r="F935" s="25"/>
      <c r="G935" s="5"/>
      <c r="H935" s="5"/>
      <c r="I935" s="5"/>
      <c r="J935" s="5"/>
      <c r="K935" s="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  <c r="AB935" s="25"/>
      <c r="AC935" s="25"/>
      <c r="AD935" s="25"/>
      <c r="AE935" s="25"/>
      <c r="AF935" s="25"/>
      <c r="AG935" s="25"/>
      <c r="AH935" s="25"/>
      <c r="AI935" s="25"/>
      <c r="AJ935" s="25"/>
      <c r="AK935" s="25"/>
      <c r="AL935" s="25"/>
      <c r="AM935" s="25"/>
      <c r="AN935" s="25"/>
      <c r="AO935" s="25"/>
      <c r="AP935" s="25"/>
      <c r="AQ935" s="25"/>
      <c r="AR935" s="25"/>
      <c r="AS935" s="25"/>
      <c r="AT935" s="25"/>
      <c r="AU935" s="25"/>
    </row>
    <row r="936">
      <c r="A936" s="25"/>
      <c r="B936" s="25"/>
      <c r="C936" s="25"/>
      <c r="D936" s="25"/>
      <c r="E936" s="25"/>
      <c r="F936" s="25"/>
      <c r="G936" s="5"/>
      <c r="H936" s="5"/>
      <c r="I936" s="5"/>
      <c r="J936" s="5"/>
      <c r="K936" s="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  <c r="AB936" s="25"/>
      <c r="AC936" s="25"/>
      <c r="AD936" s="25"/>
      <c r="AE936" s="25"/>
      <c r="AF936" s="25"/>
      <c r="AG936" s="25"/>
      <c r="AH936" s="25"/>
      <c r="AI936" s="25"/>
      <c r="AJ936" s="25"/>
      <c r="AK936" s="25"/>
      <c r="AL936" s="25"/>
      <c r="AM936" s="25"/>
      <c r="AN936" s="25"/>
      <c r="AO936" s="25"/>
      <c r="AP936" s="25"/>
      <c r="AQ936" s="25"/>
      <c r="AR936" s="25"/>
      <c r="AS936" s="25"/>
      <c r="AT936" s="25"/>
      <c r="AU936" s="25"/>
    </row>
    <row r="937">
      <c r="A937" s="25"/>
      <c r="B937" s="25"/>
      <c r="C937" s="25"/>
      <c r="D937" s="25"/>
      <c r="E937" s="25"/>
      <c r="F937" s="25"/>
      <c r="G937" s="5"/>
      <c r="H937" s="5"/>
      <c r="I937" s="5"/>
      <c r="J937" s="5"/>
      <c r="K937" s="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  <c r="AB937" s="25"/>
      <c r="AC937" s="25"/>
      <c r="AD937" s="25"/>
      <c r="AE937" s="25"/>
      <c r="AF937" s="25"/>
      <c r="AG937" s="25"/>
      <c r="AH937" s="25"/>
      <c r="AI937" s="25"/>
      <c r="AJ937" s="25"/>
      <c r="AK937" s="25"/>
      <c r="AL937" s="25"/>
      <c r="AM937" s="25"/>
      <c r="AN937" s="25"/>
      <c r="AO937" s="25"/>
      <c r="AP937" s="25"/>
      <c r="AQ937" s="25"/>
      <c r="AR937" s="25"/>
      <c r="AS937" s="25"/>
      <c r="AT937" s="25"/>
      <c r="AU937" s="25"/>
    </row>
    <row r="938">
      <c r="A938" s="25"/>
      <c r="B938" s="25"/>
      <c r="C938" s="25"/>
      <c r="D938" s="25"/>
      <c r="E938" s="25"/>
      <c r="F938" s="25"/>
      <c r="G938" s="5"/>
      <c r="H938" s="5"/>
      <c r="I938" s="5"/>
      <c r="J938" s="5"/>
      <c r="K938" s="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  <c r="AB938" s="25"/>
      <c r="AC938" s="25"/>
      <c r="AD938" s="25"/>
      <c r="AE938" s="25"/>
      <c r="AF938" s="25"/>
      <c r="AG938" s="25"/>
      <c r="AH938" s="25"/>
      <c r="AI938" s="25"/>
      <c r="AJ938" s="25"/>
      <c r="AK938" s="25"/>
      <c r="AL938" s="25"/>
      <c r="AM938" s="25"/>
      <c r="AN938" s="25"/>
      <c r="AO938" s="25"/>
      <c r="AP938" s="25"/>
      <c r="AQ938" s="25"/>
      <c r="AR938" s="25"/>
      <c r="AS938" s="25"/>
      <c r="AT938" s="25"/>
      <c r="AU938" s="25"/>
    </row>
    <row r="939">
      <c r="A939" s="25"/>
      <c r="B939" s="25"/>
      <c r="C939" s="25"/>
      <c r="D939" s="25"/>
      <c r="E939" s="25"/>
      <c r="F939" s="25"/>
      <c r="G939" s="5"/>
      <c r="H939" s="5"/>
      <c r="I939" s="5"/>
      <c r="J939" s="5"/>
      <c r="K939" s="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  <c r="AB939" s="25"/>
      <c r="AC939" s="25"/>
      <c r="AD939" s="25"/>
      <c r="AE939" s="25"/>
      <c r="AF939" s="25"/>
      <c r="AG939" s="25"/>
      <c r="AH939" s="25"/>
      <c r="AI939" s="25"/>
      <c r="AJ939" s="25"/>
      <c r="AK939" s="25"/>
      <c r="AL939" s="25"/>
      <c r="AM939" s="25"/>
      <c r="AN939" s="25"/>
      <c r="AO939" s="25"/>
      <c r="AP939" s="25"/>
      <c r="AQ939" s="25"/>
      <c r="AR939" s="25"/>
      <c r="AS939" s="25"/>
      <c r="AT939" s="25"/>
      <c r="AU939" s="25"/>
    </row>
    <row r="940">
      <c r="A940" s="25"/>
      <c r="B940" s="25"/>
      <c r="C940" s="25"/>
      <c r="D940" s="25"/>
      <c r="E940" s="25"/>
      <c r="F940" s="25"/>
      <c r="G940" s="5"/>
      <c r="H940" s="5"/>
      <c r="I940" s="5"/>
      <c r="J940" s="5"/>
      <c r="K940" s="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  <c r="AB940" s="25"/>
      <c r="AC940" s="25"/>
      <c r="AD940" s="25"/>
      <c r="AE940" s="25"/>
      <c r="AF940" s="25"/>
      <c r="AG940" s="25"/>
      <c r="AH940" s="25"/>
      <c r="AI940" s="25"/>
      <c r="AJ940" s="25"/>
      <c r="AK940" s="25"/>
      <c r="AL940" s="25"/>
      <c r="AM940" s="25"/>
      <c r="AN940" s="25"/>
      <c r="AO940" s="25"/>
      <c r="AP940" s="25"/>
      <c r="AQ940" s="25"/>
      <c r="AR940" s="25"/>
      <c r="AS940" s="25"/>
      <c r="AT940" s="25"/>
      <c r="AU940" s="25"/>
    </row>
    <row r="941">
      <c r="A941" s="25"/>
      <c r="B941" s="25"/>
      <c r="C941" s="25"/>
      <c r="D941" s="25"/>
      <c r="E941" s="25"/>
      <c r="F941" s="25"/>
      <c r="G941" s="5"/>
      <c r="H941" s="5"/>
      <c r="I941" s="5"/>
      <c r="J941" s="5"/>
      <c r="K941" s="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  <c r="AB941" s="25"/>
      <c r="AC941" s="25"/>
      <c r="AD941" s="25"/>
      <c r="AE941" s="25"/>
      <c r="AF941" s="25"/>
      <c r="AG941" s="25"/>
      <c r="AH941" s="25"/>
      <c r="AI941" s="25"/>
      <c r="AJ941" s="25"/>
      <c r="AK941" s="25"/>
      <c r="AL941" s="25"/>
      <c r="AM941" s="25"/>
      <c r="AN941" s="25"/>
      <c r="AO941" s="25"/>
      <c r="AP941" s="25"/>
      <c r="AQ941" s="25"/>
      <c r="AR941" s="25"/>
      <c r="AS941" s="25"/>
      <c r="AT941" s="25"/>
      <c r="AU941" s="25"/>
    </row>
    <row r="942">
      <c r="A942" s="25"/>
      <c r="B942" s="25"/>
      <c r="C942" s="25"/>
      <c r="D942" s="25"/>
      <c r="E942" s="25"/>
      <c r="F942" s="25"/>
      <c r="G942" s="5"/>
      <c r="H942" s="5"/>
      <c r="I942" s="5"/>
      <c r="J942" s="5"/>
      <c r="K942" s="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  <c r="AB942" s="25"/>
      <c r="AC942" s="25"/>
      <c r="AD942" s="25"/>
      <c r="AE942" s="25"/>
      <c r="AF942" s="25"/>
      <c r="AG942" s="25"/>
      <c r="AH942" s="25"/>
      <c r="AI942" s="25"/>
      <c r="AJ942" s="25"/>
      <c r="AK942" s="25"/>
      <c r="AL942" s="25"/>
      <c r="AM942" s="25"/>
      <c r="AN942" s="25"/>
      <c r="AO942" s="25"/>
      <c r="AP942" s="25"/>
      <c r="AQ942" s="25"/>
      <c r="AR942" s="25"/>
      <c r="AS942" s="25"/>
      <c r="AT942" s="25"/>
      <c r="AU942" s="25"/>
    </row>
    <row r="943">
      <c r="A943" s="25"/>
      <c r="B943" s="25"/>
      <c r="C943" s="25"/>
      <c r="D943" s="25"/>
      <c r="E943" s="25"/>
      <c r="F943" s="25"/>
      <c r="G943" s="5"/>
      <c r="H943" s="5"/>
      <c r="I943" s="5"/>
      <c r="J943" s="5"/>
      <c r="K943" s="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  <c r="AB943" s="25"/>
      <c r="AC943" s="25"/>
      <c r="AD943" s="25"/>
      <c r="AE943" s="25"/>
      <c r="AF943" s="25"/>
      <c r="AG943" s="25"/>
      <c r="AH943" s="25"/>
      <c r="AI943" s="25"/>
      <c r="AJ943" s="25"/>
      <c r="AK943" s="25"/>
      <c r="AL943" s="25"/>
      <c r="AM943" s="25"/>
      <c r="AN943" s="25"/>
      <c r="AO943" s="25"/>
      <c r="AP943" s="25"/>
      <c r="AQ943" s="25"/>
      <c r="AR943" s="25"/>
      <c r="AS943" s="25"/>
      <c r="AT943" s="25"/>
      <c r="AU943" s="25"/>
    </row>
    <row r="944">
      <c r="A944" s="25"/>
      <c r="B944" s="25"/>
      <c r="C944" s="25"/>
      <c r="D944" s="25"/>
      <c r="E944" s="25"/>
      <c r="F944" s="25"/>
      <c r="G944" s="5"/>
      <c r="H944" s="5"/>
      <c r="I944" s="5"/>
      <c r="J944" s="5"/>
      <c r="K944" s="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  <c r="AB944" s="25"/>
      <c r="AC944" s="25"/>
      <c r="AD944" s="25"/>
      <c r="AE944" s="25"/>
      <c r="AF944" s="25"/>
      <c r="AG944" s="25"/>
      <c r="AH944" s="25"/>
      <c r="AI944" s="25"/>
      <c r="AJ944" s="25"/>
      <c r="AK944" s="25"/>
      <c r="AL944" s="25"/>
      <c r="AM944" s="25"/>
      <c r="AN944" s="25"/>
      <c r="AO944" s="25"/>
      <c r="AP944" s="25"/>
      <c r="AQ944" s="25"/>
      <c r="AR944" s="25"/>
      <c r="AS944" s="25"/>
      <c r="AT944" s="25"/>
      <c r="AU944" s="25"/>
    </row>
    <row r="945">
      <c r="A945" s="25"/>
      <c r="B945" s="25"/>
      <c r="C945" s="25"/>
      <c r="D945" s="25"/>
      <c r="E945" s="25"/>
      <c r="F945" s="25"/>
      <c r="G945" s="5"/>
      <c r="H945" s="5"/>
      <c r="I945" s="5"/>
      <c r="J945" s="5"/>
      <c r="K945" s="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  <c r="AB945" s="25"/>
      <c r="AC945" s="25"/>
      <c r="AD945" s="25"/>
      <c r="AE945" s="25"/>
      <c r="AF945" s="25"/>
      <c r="AG945" s="25"/>
      <c r="AH945" s="25"/>
      <c r="AI945" s="25"/>
      <c r="AJ945" s="25"/>
      <c r="AK945" s="25"/>
      <c r="AL945" s="25"/>
      <c r="AM945" s="25"/>
      <c r="AN945" s="25"/>
      <c r="AO945" s="25"/>
      <c r="AP945" s="25"/>
      <c r="AQ945" s="25"/>
      <c r="AR945" s="25"/>
      <c r="AS945" s="25"/>
      <c r="AT945" s="25"/>
      <c r="AU945" s="25"/>
    </row>
    <row r="946">
      <c r="A946" s="25"/>
      <c r="B946" s="25"/>
      <c r="C946" s="25"/>
      <c r="D946" s="25"/>
      <c r="E946" s="25"/>
      <c r="F946" s="25"/>
      <c r="G946" s="5"/>
      <c r="H946" s="5"/>
      <c r="I946" s="5"/>
      <c r="J946" s="5"/>
      <c r="K946" s="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  <c r="AB946" s="25"/>
      <c r="AC946" s="25"/>
      <c r="AD946" s="25"/>
      <c r="AE946" s="25"/>
      <c r="AF946" s="25"/>
      <c r="AG946" s="25"/>
      <c r="AH946" s="25"/>
      <c r="AI946" s="25"/>
      <c r="AJ946" s="25"/>
      <c r="AK946" s="25"/>
      <c r="AL946" s="25"/>
      <c r="AM946" s="25"/>
      <c r="AN946" s="25"/>
      <c r="AO946" s="25"/>
      <c r="AP946" s="25"/>
      <c r="AQ946" s="25"/>
      <c r="AR946" s="25"/>
      <c r="AS946" s="25"/>
      <c r="AT946" s="25"/>
      <c r="AU946" s="25"/>
    </row>
    <row r="947">
      <c r="A947" s="25"/>
      <c r="B947" s="25"/>
      <c r="C947" s="25"/>
      <c r="D947" s="25"/>
      <c r="E947" s="25"/>
      <c r="F947" s="25"/>
      <c r="G947" s="5"/>
      <c r="H947" s="5"/>
      <c r="I947" s="5"/>
      <c r="J947" s="5"/>
      <c r="K947" s="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  <c r="AB947" s="25"/>
      <c r="AC947" s="25"/>
      <c r="AD947" s="25"/>
      <c r="AE947" s="25"/>
      <c r="AF947" s="25"/>
      <c r="AG947" s="25"/>
      <c r="AH947" s="25"/>
      <c r="AI947" s="25"/>
      <c r="AJ947" s="25"/>
      <c r="AK947" s="25"/>
      <c r="AL947" s="25"/>
      <c r="AM947" s="25"/>
      <c r="AN947" s="25"/>
      <c r="AO947" s="25"/>
      <c r="AP947" s="25"/>
      <c r="AQ947" s="25"/>
      <c r="AR947" s="25"/>
      <c r="AS947" s="25"/>
      <c r="AT947" s="25"/>
      <c r="AU947" s="25"/>
    </row>
    <row r="948">
      <c r="A948" s="25"/>
      <c r="B948" s="25"/>
      <c r="C948" s="25"/>
      <c r="D948" s="25"/>
      <c r="E948" s="25"/>
      <c r="F948" s="25"/>
      <c r="G948" s="5"/>
      <c r="H948" s="5"/>
      <c r="I948" s="5"/>
      <c r="J948" s="5"/>
      <c r="K948" s="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  <c r="AB948" s="25"/>
      <c r="AC948" s="25"/>
      <c r="AD948" s="25"/>
      <c r="AE948" s="25"/>
      <c r="AF948" s="25"/>
      <c r="AG948" s="25"/>
      <c r="AH948" s="25"/>
      <c r="AI948" s="25"/>
      <c r="AJ948" s="25"/>
      <c r="AK948" s="25"/>
      <c r="AL948" s="25"/>
      <c r="AM948" s="25"/>
      <c r="AN948" s="25"/>
      <c r="AO948" s="25"/>
      <c r="AP948" s="25"/>
      <c r="AQ948" s="25"/>
      <c r="AR948" s="25"/>
      <c r="AS948" s="25"/>
      <c r="AT948" s="25"/>
      <c r="AU948" s="25"/>
    </row>
    <row r="949">
      <c r="A949" s="25"/>
      <c r="B949" s="25"/>
      <c r="C949" s="25"/>
      <c r="D949" s="25"/>
      <c r="E949" s="25"/>
      <c r="F949" s="25"/>
      <c r="G949" s="5"/>
      <c r="H949" s="5"/>
      <c r="I949" s="5"/>
      <c r="J949" s="5"/>
      <c r="K949" s="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  <c r="AB949" s="25"/>
      <c r="AC949" s="25"/>
      <c r="AD949" s="25"/>
      <c r="AE949" s="25"/>
      <c r="AF949" s="25"/>
      <c r="AG949" s="25"/>
      <c r="AH949" s="25"/>
      <c r="AI949" s="25"/>
      <c r="AJ949" s="25"/>
      <c r="AK949" s="25"/>
      <c r="AL949" s="25"/>
      <c r="AM949" s="25"/>
      <c r="AN949" s="25"/>
      <c r="AO949" s="25"/>
      <c r="AP949" s="25"/>
      <c r="AQ949" s="25"/>
      <c r="AR949" s="25"/>
      <c r="AS949" s="25"/>
      <c r="AT949" s="25"/>
      <c r="AU949" s="25"/>
    </row>
    <row r="950">
      <c r="A950" s="25"/>
      <c r="B950" s="25"/>
      <c r="C950" s="25"/>
      <c r="D950" s="25"/>
      <c r="E950" s="25"/>
      <c r="F950" s="25"/>
      <c r="G950" s="5"/>
      <c r="H950" s="5"/>
      <c r="I950" s="5"/>
      <c r="J950" s="5"/>
      <c r="K950" s="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  <c r="AB950" s="25"/>
      <c r="AC950" s="25"/>
      <c r="AD950" s="25"/>
      <c r="AE950" s="25"/>
      <c r="AF950" s="25"/>
      <c r="AG950" s="25"/>
      <c r="AH950" s="25"/>
      <c r="AI950" s="25"/>
      <c r="AJ950" s="25"/>
      <c r="AK950" s="25"/>
      <c r="AL950" s="25"/>
      <c r="AM950" s="25"/>
      <c r="AN950" s="25"/>
      <c r="AO950" s="25"/>
      <c r="AP950" s="25"/>
      <c r="AQ950" s="25"/>
      <c r="AR950" s="25"/>
      <c r="AS950" s="25"/>
      <c r="AT950" s="25"/>
      <c r="AU950" s="25"/>
    </row>
    <row r="951">
      <c r="A951" s="25"/>
      <c r="B951" s="25"/>
      <c r="C951" s="25"/>
      <c r="D951" s="25"/>
      <c r="E951" s="25"/>
      <c r="F951" s="25"/>
      <c r="G951" s="5"/>
      <c r="H951" s="5"/>
      <c r="I951" s="5"/>
      <c r="J951" s="5"/>
      <c r="K951" s="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  <c r="AB951" s="25"/>
      <c r="AC951" s="25"/>
      <c r="AD951" s="25"/>
      <c r="AE951" s="25"/>
      <c r="AF951" s="25"/>
      <c r="AG951" s="25"/>
      <c r="AH951" s="25"/>
      <c r="AI951" s="25"/>
      <c r="AJ951" s="25"/>
      <c r="AK951" s="25"/>
      <c r="AL951" s="25"/>
      <c r="AM951" s="25"/>
      <c r="AN951" s="25"/>
      <c r="AO951" s="25"/>
      <c r="AP951" s="25"/>
      <c r="AQ951" s="25"/>
      <c r="AR951" s="25"/>
      <c r="AS951" s="25"/>
      <c r="AT951" s="25"/>
      <c r="AU951" s="25"/>
    </row>
    <row r="952">
      <c r="A952" s="25"/>
      <c r="B952" s="25"/>
      <c r="C952" s="25"/>
      <c r="D952" s="25"/>
      <c r="E952" s="25"/>
      <c r="F952" s="25"/>
      <c r="G952" s="5"/>
      <c r="H952" s="5"/>
      <c r="I952" s="5"/>
      <c r="J952" s="5"/>
      <c r="K952" s="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  <c r="AB952" s="25"/>
      <c r="AC952" s="25"/>
      <c r="AD952" s="25"/>
      <c r="AE952" s="25"/>
      <c r="AF952" s="25"/>
      <c r="AG952" s="25"/>
      <c r="AH952" s="25"/>
      <c r="AI952" s="25"/>
      <c r="AJ952" s="25"/>
      <c r="AK952" s="25"/>
      <c r="AL952" s="25"/>
      <c r="AM952" s="25"/>
      <c r="AN952" s="25"/>
      <c r="AO952" s="25"/>
      <c r="AP952" s="25"/>
      <c r="AQ952" s="25"/>
      <c r="AR952" s="25"/>
      <c r="AS952" s="25"/>
      <c r="AT952" s="25"/>
      <c r="AU952" s="25"/>
    </row>
    <row r="953">
      <c r="A953" s="25"/>
      <c r="B953" s="25"/>
      <c r="C953" s="25"/>
      <c r="D953" s="25"/>
      <c r="E953" s="25"/>
      <c r="F953" s="25"/>
      <c r="G953" s="5"/>
      <c r="H953" s="5"/>
      <c r="I953" s="5"/>
      <c r="J953" s="5"/>
      <c r="K953" s="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  <c r="AB953" s="25"/>
      <c r="AC953" s="25"/>
      <c r="AD953" s="25"/>
      <c r="AE953" s="25"/>
      <c r="AF953" s="25"/>
      <c r="AG953" s="25"/>
      <c r="AH953" s="25"/>
      <c r="AI953" s="25"/>
      <c r="AJ953" s="25"/>
      <c r="AK953" s="25"/>
      <c r="AL953" s="25"/>
      <c r="AM953" s="25"/>
      <c r="AN953" s="25"/>
      <c r="AO953" s="25"/>
      <c r="AP953" s="25"/>
      <c r="AQ953" s="25"/>
      <c r="AR953" s="25"/>
      <c r="AS953" s="25"/>
      <c r="AT953" s="25"/>
      <c r="AU953" s="25"/>
    </row>
    <row r="954">
      <c r="A954" s="25"/>
      <c r="B954" s="25"/>
      <c r="C954" s="25"/>
      <c r="D954" s="25"/>
      <c r="E954" s="25"/>
      <c r="F954" s="25"/>
      <c r="G954" s="5"/>
      <c r="H954" s="5"/>
      <c r="I954" s="5"/>
      <c r="J954" s="5"/>
      <c r="K954" s="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  <c r="AB954" s="25"/>
      <c r="AC954" s="25"/>
      <c r="AD954" s="25"/>
      <c r="AE954" s="25"/>
      <c r="AF954" s="25"/>
      <c r="AG954" s="25"/>
      <c r="AH954" s="25"/>
      <c r="AI954" s="25"/>
      <c r="AJ954" s="25"/>
      <c r="AK954" s="25"/>
      <c r="AL954" s="25"/>
      <c r="AM954" s="25"/>
      <c r="AN954" s="25"/>
      <c r="AO954" s="25"/>
      <c r="AP954" s="25"/>
      <c r="AQ954" s="25"/>
      <c r="AR954" s="25"/>
      <c r="AS954" s="25"/>
      <c r="AT954" s="25"/>
      <c r="AU954" s="25"/>
    </row>
    <row r="955">
      <c r="A955" s="25"/>
      <c r="B955" s="25"/>
      <c r="C955" s="25"/>
      <c r="D955" s="25"/>
      <c r="E955" s="25"/>
      <c r="F955" s="25"/>
      <c r="G955" s="5"/>
      <c r="H955" s="5"/>
      <c r="I955" s="5"/>
      <c r="J955" s="5"/>
      <c r="K955" s="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  <c r="AB955" s="25"/>
      <c r="AC955" s="25"/>
      <c r="AD955" s="25"/>
      <c r="AE955" s="25"/>
      <c r="AF955" s="25"/>
      <c r="AG955" s="25"/>
      <c r="AH955" s="25"/>
      <c r="AI955" s="25"/>
      <c r="AJ955" s="25"/>
      <c r="AK955" s="25"/>
      <c r="AL955" s="25"/>
      <c r="AM955" s="25"/>
      <c r="AN955" s="25"/>
      <c r="AO955" s="25"/>
      <c r="AP955" s="25"/>
      <c r="AQ955" s="25"/>
      <c r="AR955" s="25"/>
      <c r="AS955" s="25"/>
      <c r="AT955" s="25"/>
      <c r="AU955" s="25"/>
    </row>
    <row r="956">
      <c r="A956" s="25"/>
      <c r="B956" s="25"/>
      <c r="C956" s="25"/>
      <c r="D956" s="25"/>
      <c r="E956" s="25"/>
      <c r="F956" s="25"/>
      <c r="G956" s="5"/>
      <c r="H956" s="5"/>
      <c r="I956" s="5"/>
      <c r="J956" s="5"/>
      <c r="K956" s="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  <c r="AB956" s="25"/>
      <c r="AC956" s="25"/>
      <c r="AD956" s="25"/>
      <c r="AE956" s="25"/>
      <c r="AF956" s="25"/>
      <c r="AG956" s="25"/>
      <c r="AH956" s="25"/>
      <c r="AI956" s="25"/>
      <c r="AJ956" s="25"/>
      <c r="AK956" s="25"/>
      <c r="AL956" s="25"/>
      <c r="AM956" s="25"/>
      <c r="AN956" s="25"/>
      <c r="AO956" s="25"/>
      <c r="AP956" s="25"/>
      <c r="AQ956" s="25"/>
      <c r="AR956" s="25"/>
      <c r="AS956" s="25"/>
      <c r="AT956" s="25"/>
      <c r="AU956" s="25"/>
    </row>
    <row r="957">
      <c r="A957" s="25"/>
      <c r="B957" s="25"/>
      <c r="C957" s="25"/>
      <c r="D957" s="25"/>
      <c r="E957" s="25"/>
      <c r="F957" s="25"/>
      <c r="G957" s="5"/>
      <c r="H957" s="5"/>
      <c r="I957" s="5"/>
      <c r="J957" s="5"/>
      <c r="K957" s="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  <c r="AB957" s="25"/>
      <c r="AC957" s="25"/>
      <c r="AD957" s="25"/>
      <c r="AE957" s="25"/>
      <c r="AF957" s="25"/>
      <c r="AG957" s="25"/>
      <c r="AH957" s="25"/>
      <c r="AI957" s="25"/>
      <c r="AJ957" s="25"/>
      <c r="AK957" s="25"/>
      <c r="AL957" s="25"/>
      <c r="AM957" s="25"/>
      <c r="AN957" s="25"/>
      <c r="AO957" s="25"/>
      <c r="AP957" s="25"/>
      <c r="AQ957" s="25"/>
      <c r="AR957" s="25"/>
      <c r="AS957" s="25"/>
      <c r="AT957" s="25"/>
      <c r="AU957" s="25"/>
    </row>
    <row r="958">
      <c r="A958" s="25"/>
      <c r="B958" s="25"/>
      <c r="C958" s="25"/>
      <c r="D958" s="25"/>
      <c r="E958" s="25"/>
      <c r="F958" s="25"/>
      <c r="G958" s="5"/>
      <c r="H958" s="5"/>
      <c r="I958" s="5"/>
      <c r="J958" s="5"/>
      <c r="K958" s="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  <c r="AB958" s="25"/>
      <c r="AC958" s="25"/>
      <c r="AD958" s="25"/>
      <c r="AE958" s="25"/>
      <c r="AF958" s="25"/>
      <c r="AG958" s="25"/>
      <c r="AH958" s="25"/>
      <c r="AI958" s="25"/>
      <c r="AJ958" s="25"/>
      <c r="AK958" s="25"/>
      <c r="AL958" s="25"/>
      <c r="AM958" s="25"/>
      <c r="AN958" s="25"/>
      <c r="AO958" s="25"/>
      <c r="AP958" s="25"/>
      <c r="AQ958" s="25"/>
      <c r="AR958" s="25"/>
      <c r="AS958" s="25"/>
      <c r="AT958" s="25"/>
      <c r="AU958" s="25"/>
    </row>
    <row r="959">
      <c r="A959" s="25"/>
      <c r="B959" s="25"/>
      <c r="C959" s="25"/>
      <c r="D959" s="25"/>
      <c r="E959" s="25"/>
      <c r="F959" s="25"/>
      <c r="G959" s="5"/>
      <c r="H959" s="5"/>
      <c r="I959" s="5"/>
      <c r="J959" s="5"/>
      <c r="K959" s="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  <c r="AB959" s="25"/>
      <c r="AC959" s="25"/>
      <c r="AD959" s="25"/>
      <c r="AE959" s="25"/>
      <c r="AF959" s="25"/>
      <c r="AG959" s="25"/>
      <c r="AH959" s="25"/>
      <c r="AI959" s="25"/>
      <c r="AJ959" s="25"/>
      <c r="AK959" s="25"/>
      <c r="AL959" s="25"/>
      <c r="AM959" s="25"/>
      <c r="AN959" s="25"/>
      <c r="AO959" s="25"/>
      <c r="AP959" s="25"/>
      <c r="AQ959" s="25"/>
      <c r="AR959" s="25"/>
      <c r="AS959" s="25"/>
      <c r="AT959" s="25"/>
      <c r="AU959" s="25"/>
    </row>
    <row r="960">
      <c r="A960" s="25"/>
      <c r="B960" s="25"/>
      <c r="C960" s="25"/>
      <c r="D960" s="25"/>
      <c r="E960" s="25"/>
      <c r="F960" s="25"/>
      <c r="G960" s="5"/>
      <c r="H960" s="5"/>
      <c r="I960" s="5"/>
      <c r="J960" s="5"/>
      <c r="K960" s="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  <c r="AB960" s="25"/>
      <c r="AC960" s="25"/>
      <c r="AD960" s="25"/>
      <c r="AE960" s="25"/>
      <c r="AF960" s="25"/>
      <c r="AG960" s="25"/>
      <c r="AH960" s="25"/>
      <c r="AI960" s="25"/>
      <c r="AJ960" s="25"/>
      <c r="AK960" s="25"/>
      <c r="AL960" s="25"/>
      <c r="AM960" s="25"/>
      <c r="AN960" s="25"/>
      <c r="AO960" s="25"/>
      <c r="AP960" s="25"/>
      <c r="AQ960" s="25"/>
      <c r="AR960" s="25"/>
      <c r="AS960" s="25"/>
      <c r="AT960" s="25"/>
      <c r="AU960" s="25"/>
    </row>
    <row r="961">
      <c r="A961" s="25"/>
      <c r="B961" s="25"/>
      <c r="C961" s="25"/>
      <c r="D961" s="25"/>
      <c r="E961" s="25"/>
      <c r="F961" s="25"/>
      <c r="G961" s="5"/>
      <c r="H961" s="5"/>
      <c r="I961" s="5"/>
      <c r="J961" s="5"/>
      <c r="K961" s="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  <c r="AB961" s="25"/>
      <c r="AC961" s="25"/>
      <c r="AD961" s="25"/>
      <c r="AE961" s="25"/>
      <c r="AF961" s="25"/>
      <c r="AG961" s="25"/>
      <c r="AH961" s="25"/>
      <c r="AI961" s="25"/>
      <c r="AJ961" s="25"/>
      <c r="AK961" s="25"/>
      <c r="AL961" s="25"/>
      <c r="AM961" s="25"/>
      <c r="AN961" s="25"/>
      <c r="AO961" s="25"/>
      <c r="AP961" s="25"/>
      <c r="AQ961" s="25"/>
      <c r="AR961" s="25"/>
      <c r="AS961" s="25"/>
      <c r="AT961" s="25"/>
      <c r="AU961" s="25"/>
    </row>
    <row r="962">
      <c r="A962" s="25"/>
      <c r="B962" s="25"/>
      <c r="C962" s="25"/>
      <c r="D962" s="25"/>
      <c r="E962" s="25"/>
      <c r="F962" s="25"/>
      <c r="G962" s="5"/>
      <c r="H962" s="5"/>
      <c r="I962" s="5"/>
      <c r="J962" s="5"/>
      <c r="K962" s="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  <c r="AB962" s="25"/>
      <c r="AC962" s="25"/>
      <c r="AD962" s="25"/>
      <c r="AE962" s="25"/>
      <c r="AF962" s="25"/>
      <c r="AG962" s="25"/>
      <c r="AH962" s="25"/>
      <c r="AI962" s="25"/>
      <c r="AJ962" s="25"/>
      <c r="AK962" s="25"/>
      <c r="AL962" s="25"/>
      <c r="AM962" s="25"/>
      <c r="AN962" s="25"/>
      <c r="AO962" s="25"/>
      <c r="AP962" s="25"/>
      <c r="AQ962" s="25"/>
      <c r="AR962" s="25"/>
      <c r="AS962" s="25"/>
      <c r="AT962" s="25"/>
      <c r="AU962" s="25"/>
    </row>
    <row r="963">
      <c r="A963" s="25"/>
      <c r="B963" s="25"/>
      <c r="C963" s="25"/>
      <c r="D963" s="25"/>
      <c r="E963" s="25"/>
      <c r="F963" s="25"/>
      <c r="G963" s="5"/>
      <c r="H963" s="5"/>
      <c r="I963" s="5"/>
      <c r="J963" s="5"/>
      <c r="K963" s="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  <c r="AB963" s="25"/>
      <c r="AC963" s="25"/>
      <c r="AD963" s="25"/>
      <c r="AE963" s="25"/>
      <c r="AF963" s="25"/>
      <c r="AG963" s="25"/>
      <c r="AH963" s="25"/>
      <c r="AI963" s="25"/>
      <c r="AJ963" s="25"/>
      <c r="AK963" s="25"/>
      <c r="AL963" s="25"/>
      <c r="AM963" s="25"/>
      <c r="AN963" s="25"/>
      <c r="AO963" s="25"/>
      <c r="AP963" s="25"/>
      <c r="AQ963" s="25"/>
      <c r="AR963" s="25"/>
      <c r="AS963" s="25"/>
      <c r="AT963" s="25"/>
      <c r="AU963" s="25"/>
    </row>
    <row r="964">
      <c r="A964" s="25"/>
      <c r="B964" s="25"/>
      <c r="C964" s="25"/>
      <c r="D964" s="25"/>
      <c r="E964" s="25"/>
      <c r="F964" s="25"/>
      <c r="G964" s="5"/>
      <c r="H964" s="5"/>
      <c r="I964" s="5"/>
      <c r="J964" s="5"/>
      <c r="K964" s="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  <c r="AB964" s="25"/>
      <c r="AC964" s="25"/>
      <c r="AD964" s="25"/>
      <c r="AE964" s="25"/>
      <c r="AF964" s="25"/>
      <c r="AG964" s="25"/>
      <c r="AH964" s="25"/>
      <c r="AI964" s="25"/>
      <c r="AJ964" s="25"/>
      <c r="AK964" s="25"/>
      <c r="AL964" s="25"/>
      <c r="AM964" s="25"/>
      <c r="AN964" s="25"/>
      <c r="AO964" s="25"/>
      <c r="AP964" s="25"/>
      <c r="AQ964" s="25"/>
      <c r="AR964" s="25"/>
      <c r="AS964" s="25"/>
      <c r="AT964" s="25"/>
      <c r="AU964" s="25"/>
    </row>
    <row r="965">
      <c r="A965" s="25"/>
      <c r="B965" s="25"/>
      <c r="C965" s="25"/>
      <c r="D965" s="25"/>
      <c r="E965" s="25"/>
      <c r="F965" s="25"/>
      <c r="G965" s="5"/>
      <c r="H965" s="5"/>
      <c r="I965" s="5"/>
      <c r="J965" s="5"/>
      <c r="K965" s="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  <c r="AB965" s="25"/>
      <c r="AC965" s="25"/>
      <c r="AD965" s="25"/>
      <c r="AE965" s="25"/>
      <c r="AF965" s="25"/>
      <c r="AG965" s="25"/>
      <c r="AH965" s="25"/>
      <c r="AI965" s="25"/>
      <c r="AJ965" s="25"/>
      <c r="AK965" s="25"/>
      <c r="AL965" s="25"/>
      <c r="AM965" s="25"/>
      <c r="AN965" s="25"/>
      <c r="AO965" s="25"/>
      <c r="AP965" s="25"/>
      <c r="AQ965" s="25"/>
      <c r="AR965" s="25"/>
      <c r="AS965" s="25"/>
      <c r="AT965" s="25"/>
      <c r="AU965" s="25"/>
    </row>
    <row r="966">
      <c r="A966" s="25"/>
      <c r="B966" s="25"/>
      <c r="C966" s="25"/>
      <c r="D966" s="25"/>
      <c r="E966" s="25"/>
      <c r="F966" s="25"/>
      <c r="G966" s="5"/>
      <c r="H966" s="5"/>
      <c r="I966" s="5"/>
      <c r="J966" s="5"/>
      <c r="K966" s="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  <c r="AB966" s="25"/>
      <c r="AC966" s="25"/>
      <c r="AD966" s="25"/>
      <c r="AE966" s="25"/>
      <c r="AF966" s="25"/>
      <c r="AG966" s="25"/>
      <c r="AH966" s="25"/>
      <c r="AI966" s="25"/>
      <c r="AJ966" s="25"/>
      <c r="AK966" s="25"/>
      <c r="AL966" s="25"/>
      <c r="AM966" s="25"/>
      <c r="AN966" s="25"/>
      <c r="AO966" s="25"/>
      <c r="AP966" s="25"/>
      <c r="AQ966" s="25"/>
      <c r="AR966" s="25"/>
      <c r="AS966" s="25"/>
      <c r="AT966" s="25"/>
      <c r="AU966" s="25"/>
    </row>
    <row r="967">
      <c r="A967" s="25"/>
      <c r="B967" s="25"/>
      <c r="C967" s="25"/>
      <c r="D967" s="25"/>
      <c r="E967" s="25"/>
      <c r="F967" s="25"/>
      <c r="G967" s="5"/>
      <c r="H967" s="5"/>
      <c r="I967" s="5"/>
      <c r="J967" s="5"/>
      <c r="K967" s="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  <c r="AB967" s="25"/>
      <c r="AC967" s="25"/>
      <c r="AD967" s="25"/>
      <c r="AE967" s="25"/>
      <c r="AF967" s="25"/>
      <c r="AG967" s="25"/>
      <c r="AH967" s="25"/>
      <c r="AI967" s="25"/>
      <c r="AJ967" s="25"/>
      <c r="AK967" s="25"/>
      <c r="AL967" s="25"/>
      <c r="AM967" s="25"/>
      <c r="AN967" s="25"/>
      <c r="AO967" s="25"/>
      <c r="AP967" s="25"/>
      <c r="AQ967" s="25"/>
      <c r="AR967" s="25"/>
      <c r="AS967" s="25"/>
      <c r="AT967" s="25"/>
      <c r="AU967" s="25"/>
    </row>
    <row r="968">
      <c r="A968" s="25"/>
      <c r="B968" s="25"/>
      <c r="C968" s="25"/>
      <c r="D968" s="25"/>
      <c r="E968" s="25"/>
      <c r="F968" s="25"/>
      <c r="G968" s="5"/>
      <c r="H968" s="5"/>
      <c r="I968" s="5"/>
      <c r="J968" s="5"/>
      <c r="K968" s="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  <c r="AB968" s="25"/>
      <c r="AC968" s="25"/>
      <c r="AD968" s="25"/>
      <c r="AE968" s="25"/>
      <c r="AF968" s="25"/>
      <c r="AG968" s="25"/>
      <c r="AH968" s="25"/>
      <c r="AI968" s="25"/>
      <c r="AJ968" s="25"/>
      <c r="AK968" s="25"/>
      <c r="AL968" s="25"/>
      <c r="AM968" s="25"/>
      <c r="AN968" s="25"/>
      <c r="AO968" s="25"/>
      <c r="AP968" s="25"/>
      <c r="AQ968" s="25"/>
      <c r="AR968" s="25"/>
      <c r="AS968" s="25"/>
      <c r="AT968" s="25"/>
      <c r="AU968" s="25"/>
    </row>
    <row r="969">
      <c r="A969" s="25"/>
      <c r="B969" s="25"/>
      <c r="C969" s="25"/>
      <c r="D969" s="25"/>
      <c r="E969" s="25"/>
      <c r="F969" s="25"/>
      <c r="G969" s="5"/>
      <c r="H969" s="5"/>
      <c r="I969" s="5"/>
      <c r="J969" s="5"/>
      <c r="K969" s="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  <c r="AB969" s="25"/>
      <c r="AC969" s="25"/>
      <c r="AD969" s="25"/>
      <c r="AE969" s="25"/>
      <c r="AF969" s="25"/>
      <c r="AG969" s="25"/>
      <c r="AH969" s="25"/>
      <c r="AI969" s="25"/>
      <c r="AJ969" s="25"/>
      <c r="AK969" s="25"/>
      <c r="AL969" s="25"/>
      <c r="AM969" s="25"/>
      <c r="AN969" s="25"/>
      <c r="AO969" s="25"/>
      <c r="AP969" s="25"/>
      <c r="AQ969" s="25"/>
      <c r="AR969" s="25"/>
      <c r="AS969" s="25"/>
      <c r="AT969" s="25"/>
      <c r="AU969" s="25"/>
    </row>
    <row r="970">
      <c r="A970" s="25"/>
      <c r="B970" s="25"/>
      <c r="C970" s="25"/>
      <c r="D970" s="25"/>
      <c r="E970" s="25"/>
      <c r="F970" s="25"/>
      <c r="G970" s="5"/>
      <c r="H970" s="5"/>
      <c r="I970" s="5"/>
      <c r="J970" s="5"/>
      <c r="K970" s="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  <c r="AB970" s="25"/>
      <c r="AC970" s="25"/>
      <c r="AD970" s="25"/>
      <c r="AE970" s="25"/>
      <c r="AF970" s="25"/>
      <c r="AG970" s="25"/>
      <c r="AH970" s="25"/>
      <c r="AI970" s="25"/>
      <c r="AJ970" s="25"/>
      <c r="AK970" s="25"/>
      <c r="AL970" s="25"/>
      <c r="AM970" s="25"/>
      <c r="AN970" s="25"/>
      <c r="AO970" s="25"/>
      <c r="AP970" s="25"/>
      <c r="AQ970" s="25"/>
      <c r="AR970" s="25"/>
      <c r="AS970" s="25"/>
      <c r="AT970" s="25"/>
      <c r="AU970" s="25"/>
    </row>
    <row r="971">
      <c r="A971" s="25"/>
      <c r="B971" s="25"/>
      <c r="C971" s="25"/>
      <c r="D971" s="25"/>
      <c r="E971" s="25"/>
      <c r="F971" s="25"/>
      <c r="G971" s="5"/>
      <c r="H971" s="5"/>
      <c r="I971" s="5"/>
      <c r="J971" s="5"/>
      <c r="K971" s="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  <c r="AB971" s="25"/>
      <c r="AC971" s="25"/>
      <c r="AD971" s="25"/>
      <c r="AE971" s="25"/>
      <c r="AF971" s="25"/>
      <c r="AG971" s="25"/>
      <c r="AH971" s="25"/>
      <c r="AI971" s="25"/>
      <c r="AJ971" s="25"/>
      <c r="AK971" s="25"/>
      <c r="AL971" s="25"/>
      <c r="AM971" s="25"/>
      <c r="AN971" s="25"/>
      <c r="AO971" s="25"/>
      <c r="AP971" s="25"/>
      <c r="AQ971" s="25"/>
      <c r="AR971" s="25"/>
      <c r="AS971" s="25"/>
      <c r="AT971" s="25"/>
      <c r="AU971" s="25"/>
    </row>
    <row r="972">
      <c r="A972" s="25"/>
      <c r="B972" s="25"/>
      <c r="C972" s="25"/>
      <c r="D972" s="25"/>
      <c r="E972" s="25"/>
      <c r="F972" s="25"/>
      <c r="G972" s="5"/>
      <c r="H972" s="5"/>
      <c r="I972" s="5"/>
      <c r="J972" s="5"/>
      <c r="K972" s="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  <c r="AB972" s="25"/>
      <c r="AC972" s="25"/>
      <c r="AD972" s="25"/>
      <c r="AE972" s="25"/>
      <c r="AF972" s="25"/>
      <c r="AG972" s="25"/>
      <c r="AH972" s="25"/>
      <c r="AI972" s="25"/>
      <c r="AJ972" s="25"/>
      <c r="AK972" s="25"/>
      <c r="AL972" s="25"/>
      <c r="AM972" s="25"/>
      <c r="AN972" s="25"/>
      <c r="AO972" s="25"/>
      <c r="AP972" s="25"/>
      <c r="AQ972" s="25"/>
      <c r="AR972" s="25"/>
      <c r="AS972" s="25"/>
      <c r="AT972" s="25"/>
      <c r="AU972" s="25"/>
    </row>
    <row r="973">
      <c r="A973" s="25"/>
      <c r="B973" s="25"/>
      <c r="C973" s="25"/>
      <c r="D973" s="25"/>
      <c r="E973" s="25"/>
      <c r="F973" s="25"/>
      <c r="G973" s="5"/>
      <c r="H973" s="5"/>
      <c r="I973" s="5"/>
      <c r="J973" s="5"/>
      <c r="K973" s="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  <c r="AB973" s="25"/>
      <c r="AC973" s="25"/>
      <c r="AD973" s="25"/>
      <c r="AE973" s="25"/>
      <c r="AF973" s="25"/>
      <c r="AG973" s="25"/>
      <c r="AH973" s="25"/>
      <c r="AI973" s="25"/>
      <c r="AJ973" s="25"/>
      <c r="AK973" s="25"/>
      <c r="AL973" s="25"/>
      <c r="AM973" s="25"/>
      <c r="AN973" s="25"/>
      <c r="AO973" s="25"/>
      <c r="AP973" s="25"/>
      <c r="AQ973" s="25"/>
      <c r="AR973" s="25"/>
      <c r="AS973" s="25"/>
      <c r="AT973" s="25"/>
      <c r="AU973" s="25"/>
    </row>
    <row r="974">
      <c r="A974" s="25"/>
      <c r="B974" s="25"/>
      <c r="C974" s="25"/>
      <c r="D974" s="25"/>
      <c r="E974" s="25"/>
      <c r="F974" s="25"/>
      <c r="G974" s="5"/>
      <c r="H974" s="5"/>
      <c r="I974" s="5"/>
      <c r="J974" s="5"/>
      <c r="K974" s="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  <c r="AB974" s="25"/>
      <c r="AC974" s="25"/>
      <c r="AD974" s="25"/>
      <c r="AE974" s="25"/>
      <c r="AF974" s="25"/>
      <c r="AG974" s="25"/>
      <c r="AH974" s="25"/>
      <c r="AI974" s="25"/>
      <c r="AJ974" s="25"/>
      <c r="AK974" s="25"/>
      <c r="AL974" s="25"/>
      <c r="AM974" s="25"/>
      <c r="AN974" s="25"/>
      <c r="AO974" s="25"/>
      <c r="AP974" s="25"/>
      <c r="AQ974" s="25"/>
      <c r="AR974" s="25"/>
      <c r="AS974" s="25"/>
      <c r="AT974" s="25"/>
      <c r="AU974" s="25"/>
    </row>
    <row r="975">
      <c r="A975" s="25"/>
      <c r="B975" s="25"/>
      <c r="C975" s="25"/>
      <c r="D975" s="25"/>
      <c r="E975" s="25"/>
      <c r="F975" s="25"/>
      <c r="G975" s="5"/>
      <c r="H975" s="5"/>
      <c r="I975" s="5"/>
      <c r="J975" s="5"/>
      <c r="K975" s="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  <c r="AB975" s="25"/>
      <c r="AC975" s="25"/>
      <c r="AD975" s="25"/>
      <c r="AE975" s="25"/>
      <c r="AF975" s="25"/>
      <c r="AG975" s="25"/>
      <c r="AH975" s="25"/>
      <c r="AI975" s="25"/>
      <c r="AJ975" s="25"/>
      <c r="AK975" s="25"/>
      <c r="AL975" s="25"/>
      <c r="AM975" s="25"/>
      <c r="AN975" s="25"/>
      <c r="AO975" s="25"/>
      <c r="AP975" s="25"/>
      <c r="AQ975" s="25"/>
      <c r="AR975" s="25"/>
      <c r="AS975" s="25"/>
      <c r="AT975" s="25"/>
      <c r="AU975" s="25"/>
    </row>
    <row r="976">
      <c r="A976" s="25"/>
      <c r="B976" s="25"/>
      <c r="C976" s="25"/>
      <c r="D976" s="25"/>
      <c r="E976" s="25"/>
      <c r="F976" s="25"/>
      <c r="G976" s="5"/>
      <c r="H976" s="5"/>
      <c r="I976" s="5"/>
      <c r="J976" s="5"/>
      <c r="K976" s="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  <c r="AB976" s="25"/>
      <c r="AC976" s="25"/>
      <c r="AD976" s="25"/>
      <c r="AE976" s="25"/>
      <c r="AF976" s="25"/>
      <c r="AG976" s="25"/>
      <c r="AH976" s="25"/>
      <c r="AI976" s="25"/>
      <c r="AJ976" s="25"/>
      <c r="AK976" s="25"/>
      <c r="AL976" s="25"/>
      <c r="AM976" s="25"/>
      <c r="AN976" s="25"/>
      <c r="AO976" s="25"/>
      <c r="AP976" s="25"/>
      <c r="AQ976" s="25"/>
      <c r="AR976" s="25"/>
      <c r="AS976" s="25"/>
      <c r="AT976" s="25"/>
      <c r="AU976" s="25"/>
    </row>
    <row r="977">
      <c r="A977" s="25"/>
      <c r="B977" s="25"/>
      <c r="C977" s="25"/>
      <c r="D977" s="25"/>
      <c r="E977" s="25"/>
      <c r="F977" s="25"/>
      <c r="G977" s="5"/>
      <c r="H977" s="5"/>
      <c r="I977" s="5"/>
      <c r="J977" s="5"/>
      <c r="K977" s="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  <c r="AB977" s="25"/>
      <c r="AC977" s="25"/>
      <c r="AD977" s="25"/>
      <c r="AE977" s="25"/>
      <c r="AF977" s="25"/>
      <c r="AG977" s="25"/>
      <c r="AH977" s="25"/>
      <c r="AI977" s="25"/>
      <c r="AJ977" s="25"/>
      <c r="AK977" s="25"/>
      <c r="AL977" s="25"/>
      <c r="AM977" s="25"/>
      <c r="AN977" s="25"/>
      <c r="AO977" s="25"/>
      <c r="AP977" s="25"/>
      <c r="AQ977" s="25"/>
      <c r="AR977" s="25"/>
      <c r="AS977" s="25"/>
      <c r="AT977" s="25"/>
      <c r="AU977" s="25"/>
    </row>
    <row r="978">
      <c r="A978" s="25"/>
      <c r="B978" s="25"/>
      <c r="C978" s="25"/>
      <c r="D978" s="25"/>
      <c r="E978" s="25"/>
      <c r="F978" s="25"/>
      <c r="G978" s="5"/>
      <c r="H978" s="5"/>
      <c r="I978" s="5"/>
      <c r="J978" s="5"/>
      <c r="K978" s="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  <c r="AB978" s="25"/>
      <c r="AC978" s="25"/>
      <c r="AD978" s="25"/>
      <c r="AE978" s="25"/>
      <c r="AF978" s="25"/>
      <c r="AG978" s="25"/>
      <c r="AH978" s="25"/>
      <c r="AI978" s="25"/>
      <c r="AJ978" s="25"/>
      <c r="AK978" s="25"/>
      <c r="AL978" s="25"/>
      <c r="AM978" s="25"/>
      <c r="AN978" s="25"/>
      <c r="AO978" s="25"/>
      <c r="AP978" s="25"/>
      <c r="AQ978" s="25"/>
      <c r="AR978" s="25"/>
      <c r="AS978" s="25"/>
      <c r="AT978" s="25"/>
      <c r="AU978" s="25"/>
    </row>
    <row r="979">
      <c r="A979" s="25"/>
      <c r="B979" s="25"/>
      <c r="C979" s="25"/>
      <c r="D979" s="25"/>
      <c r="E979" s="25"/>
      <c r="F979" s="25"/>
      <c r="G979" s="5"/>
      <c r="H979" s="5"/>
      <c r="I979" s="5"/>
      <c r="J979" s="5"/>
      <c r="K979" s="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  <c r="AB979" s="25"/>
      <c r="AC979" s="25"/>
      <c r="AD979" s="25"/>
      <c r="AE979" s="25"/>
      <c r="AF979" s="25"/>
      <c r="AG979" s="25"/>
      <c r="AH979" s="25"/>
      <c r="AI979" s="25"/>
      <c r="AJ979" s="25"/>
      <c r="AK979" s="25"/>
      <c r="AL979" s="25"/>
      <c r="AM979" s="25"/>
      <c r="AN979" s="25"/>
      <c r="AO979" s="25"/>
      <c r="AP979" s="25"/>
      <c r="AQ979" s="25"/>
      <c r="AR979" s="25"/>
      <c r="AS979" s="25"/>
      <c r="AT979" s="25"/>
      <c r="AU979" s="25"/>
    </row>
    <row r="980">
      <c r="A980" s="25"/>
      <c r="B980" s="25"/>
      <c r="C980" s="25"/>
      <c r="D980" s="25"/>
      <c r="E980" s="25"/>
      <c r="F980" s="25"/>
      <c r="G980" s="5"/>
      <c r="H980" s="5"/>
      <c r="I980" s="5"/>
      <c r="J980" s="5"/>
      <c r="K980" s="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  <c r="AB980" s="25"/>
      <c r="AC980" s="25"/>
      <c r="AD980" s="25"/>
      <c r="AE980" s="25"/>
      <c r="AF980" s="25"/>
      <c r="AG980" s="25"/>
      <c r="AH980" s="25"/>
      <c r="AI980" s="25"/>
      <c r="AJ980" s="25"/>
      <c r="AK980" s="25"/>
      <c r="AL980" s="25"/>
      <c r="AM980" s="25"/>
      <c r="AN980" s="25"/>
      <c r="AO980" s="25"/>
      <c r="AP980" s="25"/>
      <c r="AQ980" s="25"/>
      <c r="AR980" s="25"/>
      <c r="AS980" s="25"/>
      <c r="AT980" s="25"/>
      <c r="AU980" s="25"/>
    </row>
    <row r="981">
      <c r="A981" s="25"/>
      <c r="B981" s="25"/>
      <c r="C981" s="25"/>
      <c r="D981" s="25"/>
      <c r="E981" s="25"/>
      <c r="F981" s="25"/>
      <c r="G981" s="5"/>
      <c r="H981" s="5"/>
      <c r="I981" s="5"/>
      <c r="J981" s="5"/>
      <c r="K981" s="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  <c r="AB981" s="25"/>
      <c r="AC981" s="25"/>
      <c r="AD981" s="25"/>
      <c r="AE981" s="25"/>
      <c r="AF981" s="25"/>
      <c r="AG981" s="25"/>
      <c r="AH981" s="25"/>
      <c r="AI981" s="25"/>
      <c r="AJ981" s="25"/>
      <c r="AK981" s="25"/>
      <c r="AL981" s="25"/>
      <c r="AM981" s="25"/>
      <c r="AN981" s="25"/>
      <c r="AO981" s="25"/>
      <c r="AP981" s="25"/>
      <c r="AQ981" s="25"/>
      <c r="AR981" s="25"/>
      <c r="AS981" s="25"/>
      <c r="AT981" s="25"/>
      <c r="AU981" s="25"/>
    </row>
    <row r="982">
      <c r="A982" s="25"/>
      <c r="B982" s="25"/>
      <c r="C982" s="25"/>
      <c r="D982" s="25"/>
      <c r="E982" s="25"/>
      <c r="F982" s="25"/>
      <c r="G982" s="5"/>
      <c r="H982" s="5"/>
      <c r="I982" s="5"/>
      <c r="J982" s="5"/>
      <c r="K982" s="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  <c r="AB982" s="25"/>
      <c r="AC982" s="25"/>
      <c r="AD982" s="25"/>
      <c r="AE982" s="25"/>
      <c r="AF982" s="25"/>
      <c r="AG982" s="25"/>
      <c r="AH982" s="25"/>
      <c r="AI982" s="25"/>
      <c r="AJ982" s="25"/>
      <c r="AK982" s="25"/>
      <c r="AL982" s="25"/>
      <c r="AM982" s="25"/>
      <c r="AN982" s="25"/>
      <c r="AO982" s="25"/>
      <c r="AP982" s="25"/>
      <c r="AQ982" s="25"/>
      <c r="AR982" s="25"/>
      <c r="AS982" s="25"/>
      <c r="AT982" s="25"/>
      <c r="AU982" s="25"/>
    </row>
    <row r="983">
      <c r="A983" s="25"/>
      <c r="B983" s="25"/>
      <c r="C983" s="25"/>
      <c r="D983" s="25"/>
      <c r="E983" s="25"/>
      <c r="F983" s="25"/>
      <c r="G983" s="5"/>
      <c r="H983" s="5"/>
      <c r="I983" s="5"/>
      <c r="J983" s="5"/>
      <c r="K983" s="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  <c r="AB983" s="25"/>
      <c r="AC983" s="25"/>
      <c r="AD983" s="25"/>
      <c r="AE983" s="25"/>
      <c r="AF983" s="25"/>
      <c r="AG983" s="25"/>
      <c r="AH983" s="25"/>
      <c r="AI983" s="25"/>
      <c r="AJ983" s="25"/>
      <c r="AK983" s="25"/>
      <c r="AL983" s="25"/>
      <c r="AM983" s="25"/>
      <c r="AN983" s="25"/>
      <c r="AO983" s="25"/>
      <c r="AP983" s="25"/>
      <c r="AQ983" s="25"/>
      <c r="AR983" s="25"/>
      <c r="AS983" s="25"/>
      <c r="AT983" s="25"/>
      <c r="AU983" s="25"/>
    </row>
    <row r="984">
      <c r="A984" s="25"/>
      <c r="B984" s="25"/>
      <c r="C984" s="25"/>
      <c r="D984" s="25"/>
      <c r="E984" s="25"/>
      <c r="F984" s="25"/>
      <c r="G984" s="5"/>
      <c r="H984" s="5"/>
      <c r="I984" s="5"/>
      <c r="J984" s="5"/>
      <c r="K984" s="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  <c r="AB984" s="25"/>
      <c r="AC984" s="25"/>
      <c r="AD984" s="25"/>
      <c r="AE984" s="25"/>
      <c r="AF984" s="25"/>
      <c r="AG984" s="25"/>
      <c r="AH984" s="25"/>
      <c r="AI984" s="25"/>
      <c r="AJ984" s="25"/>
      <c r="AK984" s="25"/>
      <c r="AL984" s="25"/>
      <c r="AM984" s="25"/>
      <c r="AN984" s="25"/>
      <c r="AO984" s="25"/>
      <c r="AP984" s="25"/>
      <c r="AQ984" s="25"/>
      <c r="AR984" s="25"/>
      <c r="AS984" s="25"/>
      <c r="AT984" s="25"/>
      <c r="AU984" s="25"/>
    </row>
    <row r="985">
      <c r="A985" s="25"/>
      <c r="B985" s="25"/>
      <c r="C985" s="25"/>
      <c r="D985" s="25"/>
      <c r="E985" s="25"/>
      <c r="F985" s="25"/>
      <c r="G985" s="5"/>
      <c r="H985" s="5"/>
      <c r="I985" s="5"/>
      <c r="J985" s="5"/>
      <c r="K985" s="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  <c r="AB985" s="25"/>
      <c r="AC985" s="25"/>
      <c r="AD985" s="25"/>
      <c r="AE985" s="25"/>
      <c r="AF985" s="25"/>
      <c r="AG985" s="25"/>
      <c r="AH985" s="25"/>
      <c r="AI985" s="25"/>
      <c r="AJ985" s="25"/>
      <c r="AK985" s="25"/>
      <c r="AL985" s="25"/>
      <c r="AM985" s="25"/>
      <c r="AN985" s="25"/>
      <c r="AO985" s="25"/>
      <c r="AP985" s="25"/>
      <c r="AQ985" s="25"/>
      <c r="AR985" s="25"/>
      <c r="AS985" s="25"/>
      <c r="AT985" s="25"/>
      <c r="AU985" s="25"/>
    </row>
    <row r="986">
      <c r="A986" s="25"/>
      <c r="B986" s="25"/>
      <c r="C986" s="25"/>
      <c r="D986" s="25"/>
      <c r="E986" s="25"/>
      <c r="F986" s="25"/>
      <c r="G986" s="5"/>
      <c r="H986" s="5"/>
      <c r="I986" s="5"/>
      <c r="J986" s="5"/>
      <c r="K986" s="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  <c r="AB986" s="25"/>
      <c r="AC986" s="25"/>
      <c r="AD986" s="25"/>
      <c r="AE986" s="25"/>
      <c r="AF986" s="25"/>
      <c r="AG986" s="25"/>
      <c r="AH986" s="25"/>
      <c r="AI986" s="25"/>
      <c r="AJ986" s="25"/>
      <c r="AK986" s="25"/>
      <c r="AL986" s="25"/>
      <c r="AM986" s="25"/>
      <c r="AN986" s="25"/>
      <c r="AO986" s="25"/>
      <c r="AP986" s="25"/>
      <c r="AQ986" s="25"/>
      <c r="AR986" s="25"/>
      <c r="AS986" s="25"/>
      <c r="AT986" s="25"/>
      <c r="AU986" s="25"/>
    </row>
    <row r="987">
      <c r="A987" s="25"/>
      <c r="B987" s="25"/>
      <c r="C987" s="25"/>
      <c r="D987" s="25"/>
      <c r="E987" s="25"/>
      <c r="F987" s="25"/>
      <c r="G987" s="5"/>
      <c r="H987" s="5"/>
      <c r="I987" s="5"/>
      <c r="J987" s="5"/>
      <c r="K987" s="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5"/>
      <c r="AB987" s="25"/>
      <c r="AC987" s="25"/>
      <c r="AD987" s="25"/>
      <c r="AE987" s="25"/>
      <c r="AF987" s="25"/>
      <c r="AG987" s="25"/>
      <c r="AH987" s="25"/>
      <c r="AI987" s="25"/>
      <c r="AJ987" s="25"/>
      <c r="AK987" s="25"/>
      <c r="AL987" s="25"/>
      <c r="AM987" s="25"/>
      <c r="AN987" s="25"/>
      <c r="AO987" s="25"/>
      <c r="AP987" s="25"/>
      <c r="AQ987" s="25"/>
      <c r="AR987" s="25"/>
      <c r="AS987" s="25"/>
      <c r="AT987" s="25"/>
      <c r="AU987" s="25"/>
    </row>
    <row r="988">
      <c r="A988" s="25"/>
      <c r="B988" s="25"/>
      <c r="C988" s="25"/>
      <c r="D988" s="25"/>
      <c r="E988" s="25"/>
      <c r="F988" s="25"/>
      <c r="G988" s="5"/>
      <c r="H988" s="5"/>
      <c r="I988" s="5"/>
      <c r="J988" s="5"/>
      <c r="K988" s="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5"/>
      <c r="AB988" s="25"/>
      <c r="AC988" s="25"/>
      <c r="AD988" s="25"/>
      <c r="AE988" s="25"/>
      <c r="AF988" s="25"/>
      <c r="AG988" s="25"/>
      <c r="AH988" s="25"/>
      <c r="AI988" s="25"/>
      <c r="AJ988" s="25"/>
      <c r="AK988" s="25"/>
      <c r="AL988" s="25"/>
      <c r="AM988" s="25"/>
      <c r="AN988" s="25"/>
      <c r="AO988" s="25"/>
      <c r="AP988" s="25"/>
      <c r="AQ988" s="25"/>
      <c r="AR988" s="25"/>
      <c r="AS988" s="25"/>
      <c r="AT988" s="25"/>
      <c r="AU988" s="25"/>
    </row>
    <row r="989">
      <c r="A989" s="25"/>
      <c r="B989" s="25"/>
      <c r="C989" s="25"/>
      <c r="D989" s="25"/>
      <c r="E989" s="25"/>
      <c r="F989" s="25"/>
      <c r="G989" s="5"/>
      <c r="H989" s="5"/>
      <c r="I989" s="5"/>
      <c r="J989" s="5"/>
      <c r="K989" s="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  <c r="AB989" s="25"/>
      <c r="AC989" s="25"/>
      <c r="AD989" s="25"/>
      <c r="AE989" s="25"/>
      <c r="AF989" s="25"/>
      <c r="AG989" s="25"/>
      <c r="AH989" s="25"/>
      <c r="AI989" s="25"/>
      <c r="AJ989" s="25"/>
      <c r="AK989" s="25"/>
      <c r="AL989" s="25"/>
      <c r="AM989" s="25"/>
      <c r="AN989" s="25"/>
      <c r="AO989" s="25"/>
      <c r="AP989" s="25"/>
      <c r="AQ989" s="25"/>
      <c r="AR989" s="25"/>
      <c r="AS989" s="25"/>
      <c r="AT989" s="25"/>
      <c r="AU989" s="25"/>
    </row>
    <row r="990">
      <c r="A990" s="25"/>
      <c r="B990" s="25"/>
      <c r="C990" s="25"/>
      <c r="D990" s="25"/>
      <c r="E990" s="25"/>
      <c r="F990" s="25"/>
      <c r="G990" s="5"/>
      <c r="H990" s="5"/>
      <c r="I990" s="5"/>
      <c r="J990" s="5"/>
      <c r="K990" s="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  <c r="AA990" s="25"/>
      <c r="AB990" s="25"/>
      <c r="AC990" s="25"/>
      <c r="AD990" s="25"/>
      <c r="AE990" s="25"/>
      <c r="AF990" s="25"/>
      <c r="AG990" s="25"/>
      <c r="AH990" s="25"/>
      <c r="AI990" s="25"/>
      <c r="AJ990" s="25"/>
      <c r="AK990" s="25"/>
      <c r="AL990" s="25"/>
      <c r="AM990" s="25"/>
      <c r="AN990" s="25"/>
      <c r="AO990" s="25"/>
      <c r="AP990" s="25"/>
      <c r="AQ990" s="25"/>
      <c r="AR990" s="25"/>
      <c r="AS990" s="25"/>
      <c r="AT990" s="25"/>
      <c r="AU990" s="25"/>
    </row>
    <row r="991">
      <c r="A991" s="25"/>
      <c r="B991" s="25"/>
      <c r="C991" s="25"/>
      <c r="D991" s="25"/>
      <c r="E991" s="25"/>
      <c r="F991" s="25"/>
      <c r="G991" s="5"/>
      <c r="H991" s="5"/>
      <c r="I991" s="5"/>
      <c r="J991" s="5"/>
      <c r="K991" s="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  <c r="AA991" s="25"/>
      <c r="AB991" s="25"/>
      <c r="AC991" s="25"/>
      <c r="AD991" s="25"/>
      <c r="AE991" s="25"/>
      <c r="AF991" s="25"/>
      <c r="AG991" s="25"/>
      <c r="AH991" s="25"/>
      <c r="AI991" s="25"/>
      <c r="AJ991" s="25"/>
      <c r="AK991" s="25"/>
      <c r="AL991" s="25"/>
      <c r="AM991" s="25"/>
      <c r="AN991" s="25"/>
      <c r="AO991" s="25"/>
      <c r="AP991" s="25"/>
      <c r="AQ991" s="25"/>
      <c r="AR991" s="25"/>
      <c r="AS991" s="25"/>
      <c r="AT991" s="25"/>
      <c r="AU991" s="25"/>
    </row>
    <row r="992">
      <c r="A992" s="25"/>
      <c r="B992" s="25"/>
      <c r="C992" s="25"/>
      <c r="D992" s="25"/>
      <c r="E992" s="25"/>
      <c r="F992" s="25"/>
      <c r="G992" s="5"/>
      <c r="H992" s="5"/>
      <c r="I992" s="5"/>
      <c r="J992" s="5"/>
      <c r="K992" s="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  <c r="AA992" s="25"/>
      <c r="AB992" s="25"/>
      <c r="AC992" s="25"/>
      <c r="AD992" s="25"/>
      <c r="AE992" s="25"/>
      <c r="AF992" s="25"/>
      <c r="AG992" s="25"/>
      <c r="AH992" s="25"/>
      <c r="AI992" s="25"/>
      <c r="AJ992" s="25"/>
      <c r="AK992" s="25"/>
      <c r="AL992" s="25"/>
      <c r="AM992" s="25"/>
      <c r="AN992" s="25"/>
      <c r="AO992" s="25"/>
      <c r="AP992" s="25"/>
      <c r="AQ992" s="25"/>
      <c r="AR992" s="25"/>
      <c r="AS992" s="25"/>
      <c r="AT992" s="25"/>
      <c r="AU992" s="25"/>
    </row>
    <row r="993">
      <c r="A993" s="25"/>
      <c r="B993" s="25"/>
      <c r="C993" s="25"/>
      <c r="D993" s="25"/>
      <c r="E993" s="25"/>
      <c r="F993" s="25"/>
      <c r="G993" s="5"/>
      <c r="H993" s="5"/>
      <c r="I993" s="5"/>
      <c r="J993" s="5"/>
      <c r="K993" s="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  <c r="AA993" s="25"/>
      <c r="AB993" s="25"/>
      <c r="AC993" s="25"/>
      <c r="AD993" s="25"/>
      <c r="AE993" s="25"/>
      <c r="AF993" s="25"/>
      <c r="AG993" s="25"/>
      <c r="AH993" s="25"/>
      <c r="AI993" s="25"/>
      <c r="AJ993" s="25"/>
      <c r="AK993" s="25"/>
      <c r="AL993" s="25"/>
      <c r="AM993" s="25"/>
      <c r="AN993" s="25"/>
      <c r="AO993" s="25"/>
      <c r="AP993" s="25"/>
      <c r="AQ993" s="25"/>
      <c r="AR993" s="25"/>
      <c r="AS993" s="25"/>
      <c r="AT993" s="25"/>
      <c r="AU993" s="25"/>
    </row>
    <row r="994">
      <c r="A994" s="25"/>
      <c r="B994" s="25"/>
      <c r="C994" s="25"/>
      <c r="D994" s="25"/>
      <c r="E994" s="25"/>
      <c r="F994" s="25"/>
      <c r="G994" s="5"/>
      <c r="H994" s="5"/>
      <c r="I994" s="5"/>
      <c r="J994" s="5"/>
      <c r="K994" s="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  <c r="AA994" s="25"/>
      <c r="AB994" s="25"/>
      <c r="AC994" s="25"/>
      <c r="AD994" s="25"/>
      <c r="AE994" s="25"/>
      <c r="AF994" s="25"/>
      <c r="AG994" s="25"/>
      <c r="AH994" s="25"/>
      <c r="AI994" s="25"/>
      <c r="AJ994" s="25"/>
      <c r="AK994" s="25"/>
      <c r="AL994" s="25"/>
      <c r="AM994" s="25"/>
      <c r="AN994" s="25"/>
      <c r="AO994" s="25"/>
      <c r="AP994" s="25"/>
      <c r="AQ994" s="25"/>
      <c r="AR994" s="25"/>
      <c r="AS994" s="25"/>
      <c r="AT994" s="25"/>
      <c r="AU994" s="25"/>
    </row>
    <row r="995">
      <c r="A995" s="25"/>
      <c r="B995" s="25"/>
      <c r="C995" s="25"/>
      <c r="D995" s="25"/>
      <c r="E995" s="25"/>
      <c r="F995" s="25"/>
      <c r="G995" s="5"/>
      <c r="H995" s="5"/>
      <c r="I995" s="5"/>
      <c r="J995" s="5"/>
      <c r="K995" s="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  <c r="AA995" s="25"/>
      <c r="AB995" s="25"/>
      <c r="AC995" s="25"/>
      <c r="AD995" s="25"/>
      <c r="AE995" s="25"/>
      <c r="AF995" s="25"/>
      <c r="AG995" s="25"/>
      <c r="AH995" s="25"/>
      <c r="AI995" s="25"/>
      <c r="AJ995" s="25"/>
      <c r="AK995" s="25"/>
      <c r="AL995" s="25"/>
      <c r="AM995" s="25"/>
      <c r="AN995" s="25"/>
      <c r="AO995" s="25"/>
      <c r="AP995" s="25"/>
      <c r="AQ995" s="25"/>
      <c r="AR995" s="25"/>
      <c r="AS995" s="25"/>
      <c r="AT995" s="25"/>
      <c r="AU995" s="25"/>
    </row>
    <row r="996">
      <c r="A996" s="25"/>
      <c r="B996" s="25"/>
      <c r="C996" s="25"/>
      <c r="D996" s="25"/>
      <c r="E996" s="25"/>
      <c r="F996" s="25"/>
      <c r="G996" s="5"/>
      <c r="H996" s="5"/>
      <c r="I996" s="5"/>
      <c r="J996" s="5"/>
      <c r="K996" s="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  <c r="AA996" s="25"/>
      <c r="AB996" s="25"/>
      <c r="AC996" s="25"/>
      <c r="AD996" s="25"/>
      <c r="AE996" s="25"/>
      <c r="AF996" s="25"/>
      <c r="AG996" s="25"/>
      <c r="AH996" s="25"/>
      <c r="AI996" s="25"/>
      <c r="AJ996" s="25"/>
      <c r="AK996" s="25"/>
      <c r="AL996" s="25"/>
      <c r="AM996" s="25"/>
      <c r="AN996" s="25"/>
      <c r="AO996" s="25"/>
      <c r="AP996" s="25"/>
      <c r="AQ996" s="25"/>
      <c r="AR996" s="25"/>
      <c r="AS996" s="25"/>
      <c r="AT996" s="25"/>
      <c r="AU996" s="25"/>
    </row>
    <row r="997">
      <c r="A997" s="25"/>
      <c r="B997" s="25"/>
      <c r="C997" s="25"/>
      <c r="D997" s="25"/>
      <c r="E997" s="25"/>
      <c r="F997" s="25"/>
      <c r="G997" s="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  <c r="AA997" s="25"/>
      <c r="AB997" s="25"/>
      <c r="AC997" s="25"/>
      <c r="AD997" s="25"/>
      <c r="AE997" s="25"/>
      <c r="AF997" s="25"/>
      <c r="AG997" s="25"/>
      <c r="AH997" s="25"/>
      <c r="AI997" s="25"/>
      <c r="AJ997" s="25"/>
      <c r="AK997" s="25"/>
      <c r="AL997" s="25"/>
      <c r="AM997" s="25"/>
      <c r="AN997" s="25"/>
      <c r="AO997" s="25"/>
      <c r="AP997" s="25"/>
      <c r="AQ997" s="25"/>
      <c r="AR997" s="25"/>
      <c r="AS997" s="25"/>
      <c r="AT997" s="25"/>
      <c r="AU997" s="25"/>
    </row>
    <row r="998">
      <c r="A998" s="25"/>
      <c r="B998" s="25"/>
      <c r="C998" s="25"/>
      <c r="D998" s="25"/>
      <c r="E998" s="25"/>
      <c r="F998" s="25"/>
      <c r="G998" s="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  <c r="AA998" s="25"/>
      <c r="AB998" s="25"/>
      <c r="AC998" s="25"/>
      <c r="AD998" s="25"/>
      <c r="AE998" s="25"/>
      <c r="AF998" s="25"/>
      <c r="AG998" s="25"/>
      <c r="AH998" s="25"/>
      <c r="AI998" s="25"/>
      <c r="AJ998" s="25"/>
      <c r="AK998" s="25"/>
      <c r="AL998" s="25"/>
      <c r="AM998" s="25"/>
      <c r="AN998" s="25"/>
      <c r="AO998" s="25"/>
      <c r="AP998" s="25"/>
      <c r="AQ998" s="25"/>
      <c r="AR998" s="25"/>
      <c r="AS998" s="25"/>
      <c r="AT998" s="25"/>
      <c r="AU998" s="25"/>
    </row>
    <row r="999">
      <c r="A999" s="25"/>
      <c r="B999" s="25"/>
      <c r="C999" s="25"/>
      <c r="D999" s="25"/>
      <c r="E999" s="25"/>
      <c r="F999" s="25"/>
      <c r="G999" s="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  <c r="AA999" s="25"/>
      <c r="AB999" s="25"/>
      <c r="AC999" s="25"/>
      <c r="AD999" s="25"/>
      <c r="AE999" s="25"/>
      <c r="AF999" s="25"/>
      <c r="AG999" s="25"/>
      <c r="AH999" s="25"/>
      <c r="AI999" s="25"/>
      <c r="AJ999" s="25"/>
      <c r="AK999" s="25"/>
      <c r="AL999" s="25"/>
      <c r="AM999" s="25"/>
      <c r="AN999" s="25"/>
      <c r="AO999" s="25"/>
      <c r="AP999" s="25"/>
      <c r="AQ999" s="25"/>
      <c r="AR999" s="25"/>
      <c r="AS999" s="25"/>
      <c r="AT999" s="25"/>
      <c r="AU999" s="25"/>
    </row>
    <row r="1000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  <c r="AA1000" s="25"/>
      <c r="AB1000" s="25"/>
      <c r="AC1000" s="25"/>
      <c r="AD1000" s="25"/>
      <c r="AE1000" s="25"/>
      <c r="AF1000" s="25"/>
      <c r="AG1000" s="25"/>
      <c r="AH1000" s="25"/>
      <c r="AI1000" s="25"/>
      <c r="AJ1000" s="25"/>
      <c r="AK1000" s="25"/>
      <c r="AL1000" s="25"/>
      <c r="AM1000" s="25"/>
      <c r="AN1000" s="25"/>
      <c r="AO1000" s="25"/>
      <c r="AP1000" s="25"/>
      <c r="AQ1000" s="25"/>
      <c r="AR1000" s="25"/>
      <c r="AS1000" s="25"/>
      <c r="AT1000" s="25"/>
      <c r="AU1000" s="25"/>
    </row>
    <row r="1001">
      <c r="A1001" s="25"/>
      <c r="B1001" s="25"/>
      <c r="C1001" s="25"/>
      <c r="D1001" s="25"/>
      <c r="E1001" s="25"/>
      <c r="F1001" s="25"/>
      <c r="G1001" s="25"/>
      <c r="H1001" s="25"/>
      <c r="I1001" s="25"/>
      <c r="J1001" s="25"/>
      <c r="K1001" s="25"/>
      <c r="L1001" s="25"/>
      <c r="M1001" s="25"/>
      <c r="N1001" s="25"/>
      <c r="O1001" s="25"/>
      <c r="P1001" s="25"/>
      <c r="Q1001" s="25"/>
      <c r="R1001" s="25"/>
      <c r="S1001" s="25"/>
      <c r="T1001" s="25"/>
      <c r="U1001" s="25"/>
      <c r="V1001" s="25"/>
      <c r="W1001" s="25"/>
      <c r="X1001" s="25"/>
      <c r="Y1001" s="25"/>
      <c r="Z1001" s="25"/>
      <c r="AA1001" s="25"/>
      <c r="AB1001" s="25"/>
      <c r="AC1001" s="25"/>
      <c r="AD1001" s="25"/>
      <c r="AE1001" s="25"/>
      <c r="AF1001" s="25"/>
      <c r="AG1001" s="25"/>
      <c r="AH1001" s="25"/>
      <c r="AI1001" s="25"/>
      <c r="AJ1001" s="25"/>
      <c r="AK1001" s="25"/>
      <c r="AL1001" s="25"/>
      <c r="AM1001" s="25"/>
      <c r="AN1001" s="25"/>
      <c r="AO1001" s="25"/>
      <c r="AP1001" s="25"/>
      <c r="AQ1001" s="25"/>
      <c r="AR1001" s="25"/>
      <c r="AS1001" s="25"/>
      <c r="AT1001" s="25"/>
      <c r="AU1001" s="25"/>
    </row>
    <row r="1002">
      <c r="A1002" s="25"/>
      <c r="B1002" s="25"/>
      <c r="C1002" s="25"/>
      <c r="D1002" s="25"/>
      <c r="E1002" s="25"/>
      <c r="F1002" s="25"/>
      <c r="G1002" s="25"/>
      <c r="H1002" s="25"/>
      <c r="I1002" s="25"/>
      <c r="J1002" s="25"/>
      <c r="K1002" s="25"/>
      <c r="L1002" s="25"/>
      <c r="M1002" s="25"/>
      <c r="N1002" s="25"/>
      <c r="O1002" s="25"/>
      <c r="P1002" s="25"/>
      <c r="Q1002" s="25"/>
      <c r="R1002" s="25"/>
      <c r="S1002" s="25"/>
      <c r="T1002" s="25"/>
      <c r="U1002" s="25"/>
      <c r="V1002" s="25"/>
      <c r="W1002" s="25"/>
      <c r="X1002" s="25"/>
      <c r="Y1002" s="25"/>
      <c r="Z1002" s="25"/>
      <c r="AA1002" s="25"/>
      <c r="AB1002" s="25"/>
      <c r="AC1002" s="25"/>
      <c r="AD1002" s="25"/>
      <c r="AE1002" s="25"/>
      <c r="AF1002" s="25"/>
      <c r="AG1002" s="25"/>
      <c r="AH1002" s="25"/>
      <c r="AI1002" s="25"/>
      <c r="AJ1002" s="25"/>
      <c r="AK1002" s="25"/>
      <c r="AL1002" s="25"/>
      <c r="AM1002" s="25"/>
      <c r="AN1002" s="25"/>
      <c r="AO1002" s="25"/>
      <c r="AP1002" s="25"/>
      <c r="AQ1002" s="25"/>
      <c r="AR1002" s="25"/>
      <c r="AS1002" s="25"/>
      <c r="AT1002" s="25"/>
      <c r="AU1002" s="25"/>
    </row>
    <row r="1003">
      <c r="A1003" s="25"/>
      <c r="B1003" s="25"/>
      <c r="C1003" s="25"/>
      <c r="D1003" s="25"/>
      <c r="E1003" s="25"/>
      <c r="F1003" s="25"/>
      <c r="G1003" s="25"/>
      <c r="H1003" s="25"/>
      <c r="I1003" s="25"/>
      <c r="J1003" s="25"/>
      <c r="K1003" s="25"/>
      <c r="L1003" s="25"/>
      <c r="M1003" s="25"/>
      <c r="N1003" s="25"/>
      <c r="O1003" s="25"/>
      <c r="P1003" s="25"/>
      <c r="Q1003" s="25"/>
      <c r="R1003" s="25"/>
      <c r="S1003" s="25"/>
      <c r="T1003" s="25"/>
      <c r="U1003" s="25"/>
      <c r="V1003" s="25"/>
      <c r="W1003" s="25"/>
      <c r="X1003" s="25"/>
      <c r="Y1003" s="25"/>
      <c r="Z1003" s="25"/>
      <c r="AA1003" s="25"/>
      <c r="AB1003" s="25"/>
      <c r="AC1003" s="25"/>
      <c r="AD1003" s="25"/>
      <c r="AE1003" s="25"/>
      <c r="AF1003" s="25"/>
      <c r="AG1003" s="25"/>
      <c r="AH1003" s="25"/>
      <c r="AI1003" s="25"/>
      <c r="AJ1003" s="25"/>
      <c r="AK1003" s="25"/>
      <c r="AL1003" s="25"/>
      <c r="AM1003" s="25"/>
      <c r="AN1003" s="25"/>
      <c r="AO1003" s="25"/>
      <c r="AP1003" s="25"/>
      <c r="AQ1003" s="25"/>
      <c r="AR1003" s="25"/>
      <c r="AS1003" s="25"/>
      <c r="AT1003" s="25"/>
      <c r="AU1003" s="25"/>
    </row>
    <row r="1004">
      <c r="A1004" s="25"/>
      <c r="B1004" s="25"/>
      <c r="C1004" s="25"/>
      <c r="D1004" s="25"/>
      <c r="E1004" s="25"/>
      <c r="F1004" s="25"/>
      <c r="G1004" s="25"/>
      <c r="H1004" s="25"/>
      <c r="I1004" s="25"/>
      <c r="J1004" s="25"/>
      <c r="K1004" s="25"/>
      <c r="L1004" s="25"/>
      <c r="M1004" s="25"/>
      <c r="N1004" s="25"/>
      <c r="O1004" s="25"/>
      <c r="P1004" s="25"/>
      <c r="Q1004" s="25"/>
      <c r="R1004" s="25"/>
      <c r="S1004" s="25"/>
      <c r="T1004" s="25"/>
      <c r="U1004" s="25"/>
      <c r="V1004" s="25"/>
      <c r="W1004" s="25"/>
      <c r="X1004" s="25"/>
      <c r="Y1004" s="25"/>
      <c r="Z1004" s="25"/>
      <c r="AA1004" s="25"/>
      <c r="AB1004" s="25"/>
      <c r="AC1004" s="25"/>
      <c r="AD1004" s="25"/>
      <c r="AE1004" s="25"/>
      <c r="AF1004" s="25"/>
      <c r="AG1004" s="25"/>
      <c r="AH1004" s="25"/>
      <c r="AI1004" s="25"/>
      <c r="AJ1004" s="25"/>
      <c r="AK1004" s="25"/>
      <c r="AL1004" s="25"/>
      <c r="AM1004" s="25"/>
      <c r="AN1004" s="25"/>
      <c r="AO1004" s="25"/>
      <c r="AP1004" s="25"/>
      <c r="AQ1004" s="25"/>
      <c r="AR1004" s="25"/>
      <c r="AS1004" s="25"/>
      <c r="AT1004" s="25"/>
      <c r="AU1004" s="25"/>
    </row>
    <row r="1005">
      <c r="A1005" s="25"/>
      <c r="B1005" s="25"/>
      <c r="C1005" s="25"/>
      <c r="D1005" s="25"/>
      <c r="E1005" s="25"/>
      <c r="F1005" s="25"/>
      <c r="G1005" s="25"/>
      <c r="H1005" s="25"/>
      <c r="I1005" s="25"/>
      <c r="J1005" s="25"/>
      <c r="K1005" s="25"/>
      <c r="L1005" s="25"/>
      <c r="M1005" s="25"/>
      <c r="N1005" s="25"/>
      <c r="O1005" s="5"/>
      <c r="P1005" s="5"/>
      <c r="Q1005" s="5"/>
      <c r="R1005" s="5"/>
      <c r="S1005" s="5"/>
      <c r="T1005" s="25"/>
      <c r="U1005" s="25"/>
      <c r="V1005" s="25"/>
      <c r="W1005" s="25"/>
      <c r="X1005" s="25"/>
      <c r="Y1005" s="25"/>
      <c r="Z1005" s="25"/>
      <c r="AA1005" s="25"/>
      <c r="AB1005" s="25"/>
      <c r="AC1005" s="25"/>
      <c r="AD1005" s="25"/>
      <c r="AE1005" s="25"/>
      <c r="AF1005" s="25"/>
      <c r="AG1005" s="25"/>
      <c r="AH1005" s="25"/>
      <c r="AI1005" s="25"/>
      <c r="AJ1005" s="25"/>
      <c r="AK1005" s="25"/>
      <c r="AL1005" s="25"/>
      <c r="AM1005" s="25"/>
      <c r="AN1005" s="25"/>
      <c r="AO1005" s="25"/>
      <c r="AP1005" s="25"/>
      <c r="AQ1005" s="25"/>
      <c r="AR1005" s="25"/>
      <c r="AS1005" s="25"/>
      <c r="AT1005" s="25"/>
      <c r="AU1005" s="25"/>
    </row>
    <row r="1006">
      <c r="A1006" s="25"/>
      <c r="B1006" s="25"/>
      <c r="C1006" s="25"/>
      <c r="D1006" s="25"/>
      <c r="E1006" s="25"/>
      <c r="F1006" s="25"/>
      <c r="G1006" s="25"/>
      <c r="H1006" s="25"/>
      <c r="I1006" s="25"/>
      <c r="J1006" s="25"/>
      <c r="K1006" s="25"/>
      <c r="L1006" s="25"/>
      <c r="M1006" s="25"/>
      <c r="N1006" s="25"/>
      <c r="O1006" s="5"/>
      <c r="P1006" s="5"/>
      <c r="Q1006" s="5"/>
      <c r="R1006" s="5"/>
      <c r="S1006" s="5"/>
      <c r="T1006" s="25"/>
      <c r="U1006" s="25"/>
      <c r="V1006" s="25"/>
      <c r="W1006" s="25"/>
      <c r="X1006" s="25"/>
      <c r="Y1006" s="25"/>
      <c r="Z1006" s="25"/>
      <c r="AA1006" s="25"/>
      <c r="AB1006" s="25"/>
      <c r="AC1006" s="25"/>
      <c r="AD1006" s="25"/>
      <c r="AE1006" s="25"/>
      <c r="AF1006" s="25"/>
      <c r="AG1006" s="25"/>
      <c r="AH1006" s="25"/>
      <c r="AI1006" s="25"/>
      <c r="AJ1006" s="25"/>
      <c r="AK1006" s="25"/>
      <c r="AL1006" s="25"/>
      <c r="AM1006" s="25"/>
      <c r="AN1006" s="25"/>
      <c r="AO1006" s="25"/>
      <c r="AP1006" s="25"/>
      <c r="AQ1006" s="25"/>
      <c r="AR1006" s="25"/>
      <c r="AS1006" s="25"/>
      <c r="AT1006" s="25"/>
      <c r="AU1006" s="25"/>
    </row>
    <row r="1007">
      <c r="A1007" s="25"/>
      <c r="B1007" s="25"/>
      <c r="C1007" s="25"/>
      <c r="D1007" s="25"/>
      <c r="E1007" s="25"/>
      <c r="F1007" s="25"/>
      <c r="G1007" s="25"/>
      <c r="H1007" s="25"/>
      <c r="I1007" s="25"/>
      <c r="J1007" s="25"/>
      <c r="K1007" s="25"/>
      <c r="L1007" s="25"/>
      <c r="M1007" s="25"/>
      <c r="N1007" s="25"/>
      <c r="O1007" s="5"/>
      <c r="P1007" s="5"/>
      <c r="Q1007" s="5"/>
      <c r="R1007" s="5"/>
      <c r="S1007" s="5"/>
      <c r="T1007" s="25"/>
      <c r="U1007" s="25"/>
      <c r="V1007" s="25"/>
      <c r="W1007" s="25"/>
      <c r="X1007" s="25"/>
      <c r="Y1007" s="25"/>
      <c r="Z1007" s="25"/>
      <c r="AA1007" s="25"/>
      <c r="AB1007" s="25"/>
      <c r="AC1007" s="25"/>
      <c r="AD1007" s="25"/>
      <c r="AE1007" s="25"/>
      <c r="AF1007" s="25"/>
      <c r="AG1007" s="25"/>
      <c r="AH1007" s="25"/>
      <c r="AI1007" s="25"/>
      <c r="AJ1007" s="25"/>
      <c r="AK1007" s="25"/>
      <c r="AL1007" s="25"/>
      <c r="AM1007" s="25"/>
      <c r="AN1007" s="25"/>
      <c r="AO1007" s="25"/>
      <c r="AP1007" s="25"/>
      <c r="AQ1007" s="25"/>
      <c r="AR1007" s="25"/>
      <c r="AS1007" s="25"/>
      <c r="AT1007" s="25"/>
      <c r="AU1007" s="25"/>
    </row>
    <row r="1008">
      <c r="A1008" s="25"/>
      <c r="B1008" s="25"/>
      <c r="C1008" s="25"/>
      <c r="D1008" s="25"/>
      <c r="E1008" s="25"/>
      <c r="F1008" s="25"/>
      <c r="G1008" s="25"/>
      <c r="H1008" s="25"/>
      <c r="I1008" s="25"/>
      <c r="J1008" s="25"/>
      <c r="K1008" s="25"/>
      <c r="L1008" s="25"/>
      <c r="M1008" s="25"/>
      <c r="N1008" s="25"/>
      <c r="O1008" s="5"/>
      <c r="P1008" s="5"/>
      <c r="Q1008" s="5"/>
      <c r="R1008" s="5"/>
      <c r="S1008" s="5"/>
      <c r="T1008" s="25"/>
      <c r="U1008" s="25"/>
      <c r="V1008" s="25"/>
      <c r="W1008" s="25"/>
      <c r="X1008" s="25"/>
      <c r="Y1008" s="25"/>
      <c r="Z1008" s="25"/>
      <c r="AA1008" s="25"/>
      <c r="AB1008" s="25"/>
      <c r="AC1008" s="25"/>
      <c r="AD1008" s="25"/>
      <c r="AE1008" s="25"/>
      <c r="AF1008" s="25"/>
      <c r="AG1008" s="25"/>
      <c r="AH1008" s="25"/>
      <c r="AI1008" s="25"/>
      <c r="AJ1008" s="25"/>
      <c r="AK1008" s="25"/>
      <c r="AL1008" s="25"/>
      <c r="AM1008" s="25"/>
      <c r="AN1008" s="25"/>
      <c r="AO1008" s="25"/>
      <c r="AP1008" s="25"/>
      <c r="AQ1008" s="25"/>
      <c r="AR1008" s="25"/>
      <c r="AS1008" s="25"/>
      <c r="AT1008" s="25"/>
      <c r="AU1008" s="25"/>
    </row>
    <row r="1009">
      <c r="A1009" s="25"/>
      <c r="B1009" s="25"/>
      <c r="C1009" s="25"/>
      <c r="D1009" s="25"/>
      <c r="E1009" s="25"/>
      <c r="F1009" s="25"/>
      <c r="G1009" s="25"/>
      <c r="H1009" s="25"/>
      <c r="I1009" s="25"/>
      <c r="J1009" s="25"/>
      <c r="K1009" s="25"/>
      <c r="L1009" s="25"/>
      <c r="M1009" s="25"/>
      <c r="N1009" s="25"/>
      <c r="O1009" s="5"/>
      <c r="P1009" s="5"/>
      <c r="Q1009" s="5"/>
      <c r="R1009" s="5"/>
      <c r="S1009" s="5"/>
      <c r="T1009" s="25"/>
      <c r="U1009" s="25"/>
      <c r="V1009" s="25"/>
      <c r="W1009" s="25"/>
      <c r="X1009" s="25"/>
      <c r="Y1009" s="25"/>
      <c r="Z1009" s="25"/>
      <c r="AA1009" s="25"/>
      <c r="AB1009" s="25"/>
      <c r="AC1009" s="25"/>
      <c r="AD1009" s="25"/>
      <c r="AE1009" s="25"/>
      <c r="AF1009" s="25"/>
      <c r="AG1009" s="25"/>
      <c r="AH1009" s="25"/>
      <c r="AI1009" s="25"/>
      <c r="AJ1009" s="25"/>
      <c r="AK1009" s="25"/>
      <c r="AL1009" s="25"/>
      <c r="AM1009" s="25"/>
      <c r="AN1009" s="25"/>
      <c r="AO1009" s="25"/>
      <c r="AP1009" s="25"/>
      <c r="AQ1009" s="25"/>
      <c r="AR1009" s="25"/>
      <c r="AS1009" s="25"/>
      <c r="AT1009" s="25"/>
      <c r="AU1009" s="25"/>
    </row>
    <row r="1010">
      <c r="A1010" s="25"/>
      <c r="B1010" s="25"/>
      <c r="C1010" s="25"/>
      <c r="D1010" s="25"/>
      <c r="E1010" s="25"/>
      <c r="F1010" s="25"/>
      <c r="G1010" s="25"/>
      <c r="H1010" s="25"/>
      <c r="I1010" s="25"/>
      <c r="J1010" s="25"/>
      <c r="K1010" s="25"/>
      <c r="L1010" s="25"/>
      <c r="M1010" s="25"/>
      <c r="N1010" s="25"/>
      <c r="O1010" s="5"/>
      <c r="P1010" s="5"/>
      <c r="Q1010" s="5"/>
      <c r="R1010" s="5"/>
      <c r="S1010" s="5"/>
      <c r="T1010" s="25"/>
      <c r="U1010" s="25"/>
      <c r="V1010" s="25"/>
      <c r="W1010" s="25"/>
      <c r="X1010" s="25"/>
      <c r="Y1010" s="25"/>
      <c r="Z1010" s="25"/>
      <c r="AA1010" s="25"/>
      <c r="AB1010" s="25"/>
      <c r="AC1010" s="25"/>
      <c r="AD1010" s="25"/>
      <c r="AE1010" s="25"/>
      <c r="AF1010" s="25"/>
      <c r="AG1010" s="25"/>
      <c r="AH1010" s="25"/>
      <c r="AI1010" s="25"/>
      <c r="AJ1010" s="25"/>
      <c r="AK1010" s="25"/>
      <c r="AL1010" s="25"/>
      <c r="AM1010" s="25"/>
      <c r="AN1010" s="25"/>
      <c r="AO1010" s="25"/>
      <c r="AP1010" s="25"/>
      <c r="AQ1010" s="25"/>
      <c r="AR1010" s="25"/>
      <c r="AS1010" s="25"/>
      <c r="AT1010" s="25"/>
      <c r="AU1010" s="25"/>
    </row>
    <row r="1011">
      <c r="A1011" s="25"/>
      <c r="B1011" s="25"/>
      <c r="C1011" s="25"/>
      <c r="D1011" s="25"/>
      <c r="E1011" s="25"/>
      <c r="F1011" s="25"/>
      <c r="G1011" s="25"/>
      <c r="H1011" s="25"/>
      <c r="I1011" s="25"/>
      <c r="J1011" s="25"/>
      <c r="K1011" s="25"/>
      <c r="L1011" s="25"/>
      <c r="M1011" s="25"/>
      <c r="N1011" s="25"/>
      <c r="O1011" s="5"/>
      <c r="P1011" s="5"/>
      <c r="Q1011" s="5"/>
      <c r="R1011" s="5"/>
      <c r="S1011" s="5"/>
      <c r="T1011" s="25"/>
      <c r="U1011" s="25"/>
      <c r="V1011" s="25"/>
      <c r="W1011" s="25"/>
      <c r="X1011" s="25"/>
      <c r="Y1011" s="25"/>
      <c r="Z1011" s="25"/>
      <c r="AA1011" s="25"/>
      <c r="AB1011" s="25"/>
      <c r="AC1011" s="25"/>
      <c r="AD1011" s="25"/>
      <c r="AE1011" s="25"/>
      <c r="AF1011" s="25"/>
      <c r="AG1011" s="25"/>
      <c r="AH1011" s="25"/>
      <c r="AI1011" s="25"/>
      <c r="AJ1011" s="25"/>
      <c r="AK1011" s="25"/>
      <c r="AL1011" s="25"/>
      <c r="AM1011" s="25"/>
      <c r="AN1011" s="25"/>
      <c r="AO1011" s="25"/>
      <c r="AP1011" s="25"/>
      <c r="AQ1011" s="25"/>
      <c r="AR1011" s="25"/>
      <c r="AS1011" s="25"/>
      <c r="AT1011" s="25"/>
      <c r="AU1011" s="25"/>
    </row>
    <row r="1012">
      <c r="A1012" s="25"/>
      <c r="B1012" s="25"/>
      <c r="C1012" s="25"/>
      <c r="D1012" s="25"/>
      <c r="E1012" s="25"/>
      <c r="F1012" s="25"/>
      <c r="G1012" s="25"/>
      <c r="H1012" s="25"/>
      <c r="I1012" s="25"/>
      <c r="J1012" s="25"/>
      <c r="K1012" s="25"/>
      <c r="L1012" s="25"/>
      <c r="M1012" s="25"/>
      <c r="N1012" s="25"/>
      <c r="O1012" s="5"/>
      <c r="P1012" s="5"/>
      <c r="Q1012" s="5"/>
      <c r="R1012" s="5"/>
      <c r="S1012" s="5"/>
      <c r="T1012" s="25"/>
      <c r="U1012" s="25"/>
      <c r="V1012" s="25"/>
      <c r="W1012" s="25"/>
      <c r="X1012" s="25"/>
      <c r="Y1012" s="25"/>
      <c r="Z1012" s="25"/>
      <c r="AA1012" s="25"/>
      <c r="AB1012" s="25"/>
      <c r="AC1012" s="25"/>
      <c r="AD1012" s="25"/>
      <c r="AE1012" s="25"/>
      <c r="AF1012" s="25"/>
      <c r="AG1012" s="25"/>
      <c r="AH1012" s="25"/>
      <c r="AI1012" s="25"/>
      <c r="AJ1012" s="25"/>
      <c r="AK1012" s="25"/>
      <c r="AL1012" s="25"/>
      <c r="AM1012" s="25"/>
      <c r="AN1012" s="25"/>
      <c r="AO1012" s="25"/>
      <c r="AP1012" s="25"/>
      <c r="AQ1012" s="25"/>
      <c r="AR1012" s="25"/>
      <c r="AS1012" s="25"/>
      <c r="AT1012" s="25"/>
      <c r="AU1012" s="25"/>
    </row>
    <row r="1013">
      <c r="A1013" s="25"/>
      <c r="B1013" s="25"/>
      <c r="C1013" s="25"/>
      <c r="D1013" s="25"/>
      <c r="E1013" s="25"/>
      <c r="F1013" s="25"/>
      <c r="G1013" s="25"/>
      <c r="H1013" s="25"/>
      <c r="I1013" s="25"/>
      <c r="J1013" s="25"/>
      <c r="K1013" s="25"/>
      <c r="L1013" s="25"/>
      <c r="M1013" s="25"/>
      <c r="N1013" s="25"/>
      <c r="O1013" s="5"/>
      <c r="P1013" s="5"/>
      <c r="Q1013" s="5"/>
      <c r="R1013" s="5"/>
      <c r="S1013" s="5"/>
      <c r="T1013" s="25"/>
      <c r="U1013" s="25"/>
      <c r="V1013" s="25"/>
      <c r="W1013" s="25"/>
      <c r="X1013" s="25"/>
      <c r="Y1013" s="25"/>
      <c r="Z1013" s="25"/>
      <c r="AA1013" s="25"/>
      <c r="AB1013" s="25"/>
      <c r="AC1013" s="25"/>
      <c r="AD1013" s="25"/>
      <c r="AE1013" s="25"/>
      <c r="AF1013" s="25"/>
      <c r="AG1013" s="25"/>
      <c r="AH1013" s="25"/>
      <c r="AI1013" s="25"/>
      <c r="AJ1013" s="25"/>
      <c r="AK1013" s="25"/>
      <c r="AL1013" s="25"/>
      <c r="AM1013" s="25"/>
      <c r="AN1013" s="25"/>
      <c r="AO1013" s="25"/>
      <c r="AP1013" s="25"/>
      <c r="AQ1013" s="25"/>
      <c r="AR1013" s="25"/>
      <c r="AS1013" s="25"/>
      <c r="AT1013" s="25"/>
      <c r="AU1013" s="25"/>
    </row>
    <row r="1014">
      <c r="A1014" s="25"/>
      <c r="B1014" s="25"/>
      <c r="C1014" s="25"/>
      <c r="D1014" s="25"/>
      <c r="E1014" s="25"/>
      <c r="F1014" s="25"/>
      <c r="G1014" s="25"/>
      <c r="H1014" s="25"/>
      <c r="I1014" s="25"/>
      <c r="J1014" s="25"/>
      <c r="K1014" s="25"/>
      <c r="L1014" s="25"/>
      <c r="M1014" s="25"/>
      <c r="N1014" s="25"/>
      <c r="O1014" s="5"/>
      <c r="P1014" s="5"/>
      <c r="Q1014" s="5"/>
      <c r="R1014" s="5"/>
      <c r="S1014" s="5"/>
      <c r="T1014" s="25"/>
      <c r="U1014" s="25"/>
      <c r="V1014" s="25"/>
      <c r="W1014" s="25"/>
      <c r="X1014" s="25"/>
      <c r="Y1014" s="25"/>
      <c r="Z1014" s="25"/>
      <c r="AA1014" s="25"/>
      <c r="AB1014" s="25"/>
      <c r="AC1014" s="25"/>
      <c r="AD1014" s="25"/>
      <c r="AE1014" s="25"/>
      <c r="AF1014" s="25"/>
      <c r="AG1014" s="25"/>
      <c r="AH1014" s="25"/>
      <c r="AI1014" s="25"/>
      <c r="AJ1014" s="25"/>
      <c r="AK1014" s="25"/>
      <c r="AL1014" s="25"/>
      <c r="AM1014" s="25"/>
      <c r="AN1014" s="25"/>
      <c r="AO1014" s="25"/>
      <c r="AP1014" s="25"/>
      <c r="AQ1014" s="25"/>
      <c r="AR1014" s="25"/>
      <c r="AS1014" s="25"/>
      <c r="AT1014" s="25"/>
      <c r="AU1014" s="25"/>
    </row>
    <row r="1015">
      <c r="A1015" s="25"/>
      <c r="B1015" s="25"/>
      <c r="C1015" s="25"/>
      <c r="D1015" s="25"/>
      <c r="E1015" s="25"/>
      <c r="F1015" s="25"/>
      <c r="G1015" s="25"/>
      <c r="H1015" s="25"/>
      <c r="I1015" s="25"/>
      <c r="J1015" s="25"/>
      <c r="K1015" s="25"/>
      <c r="L1015" s="25"/>
      <c r="M1015" s="25"/>
      <c r="N1015" s="25"/>
      <c r="O1015" s="5"/>
      <c r="P1015" s="5"/>
      <c r="Q1015" s="5"/>
      <c r="R1015" s="5"/>
      <c r="S1015" s="5"/>
      <c r="T1015" s="25"/>
      <c r="U1015" s="25"/>
      <c r="V1015" s="25"/>
      <c r="W1015" s="25"/>
      <c r="X1015" s="25"/>
      <c r="Y1015" s="25"/>
      <c r="Z1015" s="25"/>
      <c r="AA1015" s="25"/>
      <c r="AB1015" s="25"/>
      <c r="AC1015" s="25"/>
      <c r="AD1015" s="25"/>
      <c r="AE1015" s="25"/>
      <c r="AF1015" s="25"/>
      <c r="AG1015" s="25"/>
      <c r="AH1015" s="25"/>
      <c r="AI1015" s="25"/>
      <c r="AJ1015" s="25"/>
      <c r="AK1015" s="25"/>
      <c r="AL1015" s="25"/>
      <c r="AM1015" s="25"/>
      <c r="AN1015" s="25"/>
      <c r="AO1015" s="25"/>
      <c r="AP1015" s="25"/>
      <c r="AQ1015" s="25"/>
      <c r="AR1015" s="25"/>
      <c r="AS1015" s="25"/>
      <c r="AT1015" s="25"/>
      <c r="AU1015" s="25"/>
    </row>
    <row r="1016">
      <c r="A1016" s="25"/>
      <c r="B1016" s="25"/>
      <c r="C1016" s="25"/>
      <c r="D1016" s="25"/>
      <c r="E1016" s="25"/>
      <c r="F1016" s="25"/>
      <c r="G1016" s="25"/>
      <c r="H1016" s="25"/>
      <c r="I1016" s="25"/>
      <c r="J1016" s="25"/>
      <c r="K1016" s="25"/>
      <c r="L1016" s="25"/>
      <c r="M1016" s="25"/>
      <c r="N1016" s="25"/>
      <c r="O1016" s="5"/>
      <c r="P1016" s="5"/>
      <c r="Q1016" s="5"/>
      <c r="R1016" s="5"/>
      <c r="S1016" s="5"/>
      <c r="T1016" s="25"/>
      <c r="U1016" s="25"/>
      <c r="V1016" s="25"/>
      <c r="W1016" s="25"/>
      <c r="X1016" s="25"/>
      <c r="Y1016" s="25"/>
      <c r="Z1016" s="25"/>
      <c r="AA1016" s="25"/>
      <c r="AB1016" s="25"/>
      <c r="AC1016" s="25"/>
      <c r="AD1016" s="25"/>
      <c r="AE1016" s="25"/>
      <c r="AF1016" s="25"/>
      <c r="AG1016" s="25"/>
      <c r="AH1016" s="25"/>
      <c r="AI1016" s="25"/>
      <c r="AJ1016" s="25"/>
      <c r="AK1016" s="25"/>
      <c r="AL1016" s="25"/>
      <c r="AM1016" s="25"/>
      <c r="AN1016" s="25"/>
      <c r="AO1016" s="25"/>
      <c r="AP1016" s="25"/>
      <c r="AQ1016" s="25"/>
      <c r="AR1016" s="25"/>
      <c r="AS1016" s="25"/>
      <c r="AT1016" s="25"/>
      <c r="AU1016" s="25"/>
    </row>
    <row r="1017">
      <c r="A1017" s="25"/>
      <c r="B1017" s="25"/>
      <c r="C1017" s="25"/>
      <c r="D1017" s="25"/>
      <c r="E1017" s="25"/>
      <c r="F1017" s="25"/>
      <c r="G1017" s="25"/>
      <c r="H1017" s="25"/>
      <c r="I1017" s="25"/>
      <c r="J1017" s="25"/>
      <c r="K1017" s="25"/>
      <c r="L1017" s="25"/>
      <c r="M1017" s="25"/>
      <c r="N1017" s="25"/>
      <c r="O1017" s="5"/>
      <c r="P1017" s="5"/>
      <c r="Q1017" s="5"/>
      <c r="R1017" s="5"/>
      <c r="S1017" s="5"/>
      <c r="T1017" s="25"/>
      <c r="U1017" s="25"/>
      <c r="V1017" s="25"/>
      <c r="W1017" s="25"/>
      <c r="X1017" s="25"/>
      <c r="Y1017" s="25"/>
      <c r="Z1017" s="25"/>
      <c r="AA1017" s="25"/>
      <c r="AB1017" s="25"/>
      <c r="AC1017" s="25"/>
      <c r="AD1017" s="25"/>
      <c r="AE1017" s="25"/>
      <c r="AF1017" s="25"/>
      <c r="AG1017" s="25"/>
      <c r="AH1017" s="25"/>
      <c r="AI1017" s="25"/>
      <c r="AJ1017" s="25"/>
      <c r="AK1017" s="25"/>
      <c r="AL1017" s="25"/>
      <c r="AM1017" s="25"/>
      <c r="AN1017" s="25"/>
      <c r="AO1017" s="25"/>
      <c r="AP1017" s="25"/>
      <c r="AQ1017" s="25"/>
      <c r="AR1017" s="25"/>
      <c r="AS1017" s="25"/>
      <c r="AT1017" s="25"/>
      <c r="AU1017" s="25"/>
    </row>
    <row r="1018">
      <c r="A1018" s="25"/>
      <c r="B1018" s="25"/>
      <c r="C1018" s="25"/>
      <c r="D1018" s="25"/>
      <c r="E1018" s="25"/>
      <c r="F1018" s="25"/>
      <c r="G1018" s="25"/>
      <c r="H1018" s="25"/>
      <c r="I1018" s="25"/>
      <c r="J1018" s="25"/>
      <c r="K1018" s="25"/>
      <c r="L1018" s="25"/>
      <c r="M1018" s="25"/>
      <c r="N1018" s="25"/>
      <c r="O1018" s="5"/>
      <c r="P1018" s="5"/>
      <c r="Q1018" s="5"/>
      <c r="R1018" s="5"/>
      <c r="S1018" s="5"/>
      <c r="T1018" s="25"/>
      <c r="U1018" s="25"/>
      <c r="V1018" s="25"/>
      <c r="W1018" s="25"/>
      <c r="X1018" s="25"/>
      <c r="Y1018" s="25"/>
      <c r="Z1018" s="25"/>
      <c r="AA1018" s="25"/>
      <c r="AB1018" s="25"/>
      <c r="AC1018" s="25"/>
      <c r="AD1018" s="25"/>
      <c r="AE1018" s="25"/>
      <c r="AF1018" s="25"/>
      <c r="AG1018" s="25"/>
      <c r="AH1018" s="25"/>
      <c r="AI1018" s="25"/>
      <c r="AJ1018" s="25"/>
      <c r="AK1018" s="25"/>
      <c r="AL1018" s="25"/>
      <c r="AM1018" s="25"/>
      <c r="AN1018" s="25"/>
      <c r="AO1018" s="25"/>
      <c r="AP1018" s="25"/>
      <c r="AQ1018" s="25"/>
      <c r="AR1018" s="25"/>
      <c r="AS1018" s="25"/>
      <c r="AT1018" s="25"/>
      <c r="AU1018" s="25"/>
    </row>
    <row r="1019">
      <c r="A1019" s="25"/>
      <c r="B1019" s="25"/>
      <c r="C1019" s="25"/>
      <c r="D1019" s="25"/>
      <c r="E1019" s="25"/>
      <c r="F1019" s="25"/>
      <c r="G1019" s="25"/>
      <c r="H1019" s="25"/>
      <c r="I1019" s="25"/>
      <c r="J1019" s="25"/>
      <c r="K1019" s="25"/>
      <c r="L1019" s="25"/>
      <c r="M1019" s="25"/>
      <c r="N1019" s="25"/>
      <c r="O1019" s="5"/>
      <c r="P1019" s="5"/>
      <c r="Q1019" s="5"/>
      <c r="R1019" s="5"/>
      <c r="S1019" s="5"/>
      <c r="T1019" s="25"/>
      <c r="U1019" s="25"/>
      <c r="V1019" s="25"/>
      <c r="W1019" s="25"/>
      <c r="X1019" s="25"/>
      <c r="Y1019" s="25"/>
      <c r="Z1019" s="25"/>
      <c r="AA1019" s="25"/>
      <c r="AB1019" s="25"/>
      <c r="AC1019" s="25"/>
      <c r="AD1019" s="25"/>
      <c r="AE1019" s="25"/>
      <c r="AF1019" s="25"/>
      <c r="AG1019" s="25"/>
      <c r="AH1019" s="25"/>
      <c r="AI1019" s="25"/>
      <c r="AJ1019" s="25"/>
      <c r="AK1019" s="25"/>
      <c r="AL1019" s="25"/>
      <c r="AM1019" s="25"/>
      <c r="AN1019" s="25"/>
      <c r="AO1019" s="25"/>
      <c r="AP1019" s="25"/>
      <c r="AQ1019" s="25"/>
      <c r="AR1019" s="25"/>
      <c r="AS1019" s="25"/>
      <c r="AT1019" s="25"/>
      <c r="AU1019" s="25"/>
    </row>
    <row r="1020">
      <c r="A1020" s="25"/>
      <c r="B1020" s="25"/>
      <c r="C1020" s="25"/>
      <c r="D1020" s="25"/>
      <c r="E1020" s="25"/>
      <c r="F1020" s="25"/>
      <c r="G1020" s="25"/>
      <c r="H1020" s="25"/>
      <c r="I1020" s="25"/>
      <c r="J1020" s="25"/>
      <c r="K1020" s="25"/>
      <c r="L1020" s="25"/>
      <c r="M1020" s="25"/>
      <c r="N1020" s="25"/>
      <c r="O1020" s="5"/>
      <c r="P1020" s="5"/>
      <c r="Q1020" s="5"/>
      <c r="R1020" s="5"/>
      <c r="S1020" s="5"/>
      <c r="T1020" s="25"/>
      <c r="U1020" s="25"/>
      <c r="V1020" s="25"/>
      <c r="W1020" s="25"/>
      <c r="X1020" s="25"/>
      <c r="Y1020" s="25"/>
      <c r="Z1020" s="25"/>
      <c r="AA1020" s="25"/>
      <c r="AB1020" s="25"/>
      <c r="AC1020" s="25"/>
      <c r="AD1020" s="25"/>
      <c r="AE1020" s="25"/>
      <c r="AF1020" s="25"/>
      <c r="AG1020" s="25"/>
      <c r="AH1020" s="25"/>
      <c r="AI1020" s="25"/>
      <c r="AJ1020" s="25"/>
      <c r="AK1020" s="25"/>
      <c r="AL1020" s="25"/>
      <c r="AM1020" s="25"/>
      <c r="AN1020" s="25"/>
      <c r="AO1020" s="25"/>
      <c r="AP1020" s="25"/>
      <c r="AQ1020" s="25"/>
      <c r="AR1020" s="25"/>
      <c r="AS1020" s="25"/>
      <c r="AT1020" s="25"/>
      <c r="AU1020" s="25"/>
    </row>
    <row r="1021">
      <c r="A1021" s="25"/>
      <c r="B1021" s="25"/>
      <c r="C1021" s="25"/>
      <c r="D1021" s="25"/>
      <c r="E1021" s="25"/>
      <c r="F1021" s="25"/>
      <c r="G1021" s="25"/>
      <c r="H1021" s="25"/>
      <c r="I1021" s="25"/>
      <c r="J1021" s="25"/>
      <c r="K1021" s="25"/>
      <c r="L1021" s="25"/>
      <c r="M1021" s="25"/>
      <c r="N1021" s="25"/>
      <c r="O1021" s="5"/>
      <c r="P1021" s="5"/>
      <c r="Q1021" s="5"/>
      <c r="R1021" s="5"/>
      <c r="S1021" s="5"/>
      <c r="T1021" s="25"/>
      <c r="U1021" s="25"/>
      <c r="V1021" s="25"/>
      <c r="W1021" s="25"/>
      <c r="X1021" s="25"/>
      <c r="Y1021" s="25"/>
      <c r="Z1021" s="25"/>
      <c r="AA1021" s="25"/>
      <c r="AB1021" s="25"/>
      <c r="AC1021" s="25"/>
      <c r="AD1021" s="25"/>
      <c r="AE1021" s="25"/>
      <c r="AF1021" s="25"/>
      <c r="AG1021" s="25"/>
      <c r="AH1021" s="25"/>
      <c r="AI1021" s="25"/>
      <c r="AJ1021" s="25"/>
      <c r="AK1021" s="25"/>
      <c r="AL1021" s="25"/>
      <c r="AM1021" s="25"/>
      <c r="AN1021" s="25"/>
      <c r="AO1021" s="25"/>
      <c r="AP1021" s="25"/>
      <c r="AQ1021" s="25"/>
      <c r="AR1021" s="25"/>
      <c r="AS1021" s="25"/>
      <c r="AT1021" s="25"/>
      <c r="AU1021" s="25"/>
    </row>
    <row r="1022">
      <c r="A1022" s="25"/>
      <c r="B1022" s="25"/>
      <c r="C1022" s="25"/>
      <c r="D1022" s="25"/>
      <c r="E1022" s="25"/>
      <c r="F1022" s="25"/>
      <c r="G1022" s="25"/>
      <c r="H1022" s="25"/>
      <c r="I1022" s="25"/>
      <c r="J1022" s="25"/>
      <c r="K1022" s="25"/>
      <c r="L1022" s="25"/>
      <c r="M1022" s="25"/>
      <c r="N1022" s="25"/>
      <c r="O1022" s="5"/>
      <c r="P1022" s="5"/>
      <c r="Q1022" s="5"/>
      <c r="R1022" s="5"/>
      <c r="S1022" s="5"/>
      <c r="T1022" s="25"/>
      <c r="U1022" s="25"/>
      <c r="V1022" s="25"/>
      <c r="W1022" s="25"/>
      <c r="X1022" s="25"/>
      <c r="Y1022" s="25"/>
      <c r="Z1022" s="25"/>
      <c r="AA1022" s="25"/>
      <c r="AB1022" s="25"/>
      <c r="AC1022" s="25"/>
      <c r="AD1022" s="25"/>
      <c r="AE1022" s="25"/>
      <c r="AF1022" s="25"/>
      <c r="AG1022" s="25"/>
      <c r="AH1022" s="25"/>
      <c r="AI1022" s="25"/>
      <c r="AJ1022" s="25"/>
      <c r="AK1022" s="25"/>
      <c r="AL1022" s="25"/>
      <c r="AM1022" s="25"/>
      <c r="AN1022" s="25"/>
      <c r="AO1022" s="25"/>
      <c r="AP1022" s="25"/>
      <c r="AQ1022" s="25"/>
      <c r="AR1022" s="25"/>
      <c r="AS1022" s="25"/>
      <c r="AT1022" s="25"/>
      <c r="AU1022" s="25"/>
    </row>
    <row r="1023">
      <c r="A1023" s="25"/>
      <c r="B1023" s="25"/>
      <c r="C1023" s="25"/>
      <c r="D1023" s="25"/>
      <c r="E1023" s="25"/>
      <c r="F1023" s="25"/>
      <c r="G1023" s="25"/>
      <c r="H1023" s="25"/>
      <c r="I1023" s="25"/>
      <c r="J1023" s="25"/>
      <c r="K1023" s="25"/>
      <c r="L1023" s="25"/>
      <c r="M1023" s="25"/>
      <c r="N1023" s="25"/>
      <c r="O1023" s="5"/>
      <c r="P1023" s="5"/>
      <c r="Q1023" s="5"/>
      <c r="R1023" s="5"/>
      <c r="S1023" s="5"/>
      <c r="T1023" s="25"/>
      <c r="U1023" s="25"/>
      <c r="V1023" s="25"/>
      <c r="W1023" s="25"/>
      <c r="X1023" s="25"/>
      <c r="Y1023" s="25"/>
      <c r="Z1023" s="25"/>
      <c r="AA1023" s="25"/>
      <c r="AB1023" s="25"/>
      <c r="AC1023" s="25"/>
      <c r="AD1023" s="25"/>
      <c r="AE1023" s="25"/>
      <c r="AF1023" s="25"/>
      <c r="AG1023" s="25"/>
      <c r="AH1023" s="25"/>
      <c r="AI1023" s="25"/>
      <c r="AJ1023" s="25"/>
      <c r="AK1023" s="25"/>
      <c r="AL1023" s="25"/>
      <c r="AM1023" s="25"/>
      <c r="AN1023" s="25"/>
      <c r="AO1023" s="25"/>
      <c r="AP1023" s="25"/>
      <c r="AQ1023" s="25"/>
      <c r="AR1023" s="25"/>
      <c r="AS1023" s="25"/>
      <c r="AT1023" s="25"/>
      <c r="AU1023" s="25"/>
    </row>
    <row r="1024">
      <c r="A1024" s="25"/>
      <c r="B1024" s="25"/>
      <c r="C1024" s="25"/>
      <c r="D1024" s="25"/>
      <c r="E1024" s="25"/>
      <c r="F1024" s="25"/>
      <c r="G1024" s="25"/>
      <c r="H1024" s="25"/>
      <c r="I1024" s="25"/>
      <c r="J1024" s="25"/>
      <c r="K1024" s="25"/>
      <c r="L1024" s="25"/>
      <c r="M1024" s="25"/>
      <c r="N1024" s="25"/>
      <c r="O1024" s="5"/>
      <c r="P1024" s="5"/>
      <c r="Q1024" s="5"/>
      <c r="R1024" s="5"/>
      <c r="S1024" s="5"/>
      <c r="T1024" s="25"/>
      <c r="U1024" s="25"/>
      <c r="V1024" s="25"/>
      <c r="W1024" s="25"/>
      <c r="X1024" s="25"/>
      <c r="Y1024" s="25"/>
      <c r="Z1024" s="25"/>
      <c r="AA1024" s="25"/>
      <c r="AB1024" s="25"/>
      <c r="AC1024" s="25"/>
      <c r="AD1024" s="25"/>
      <c r="AE1024" s="25"/>
      <c r="AF1024" s="25"/>
      <c r="AG1024" s="25"/>
      <c r="AH1024" s="25"/>
      <c r="AI1024" s="25"/>
      <c r="AJ1024" s="25"/>
      <c r="AK1024" s="25"/>
      <c r="AL1024" s="25"/>
      <c r="AM1024" s="25"/>
      <c r="AN1024" s="25"/>
      <c r="AO1024" s="25"/>
      <c r="AP1024" s="25"/>
      <c r="AQ1024" s="25"/>
      <c r="AR1024" s="25"/>
      <c r="AS1024" s="25"/>
      <c r="AT1024" s="25"/>
      <c r="AU1024" s="25"/>
    </row>
    <row r="1025">
      <c r="A1025" s="25"/>
      <c r="B1025" s="25"/>
      <c r="C1025" s="25"/>
      <c r="D1025" s="25"/>
      <c r="E1025" s="25"/>
      <c r="F1025" s="25"/>
      <c r="G1025" s="25"/>
      <c r="H1025" s="25"/>
      <c r="I1025" s="25"/>
      <c r="J1025" s="25"/>
      <c r="K1025" s="25"/>
      <c r="L1025" s="25"/>
      <c r="M1025" s="25"/>
      <c r="N1025" s="25"/>
      <c r="O1025" s="5"/>
      <c r="P1025" s="5"/>
      <c r="Q1025" s="5"/>
      <c r="R1025" s="5"/>
      <c r="S1025" s="5"/>
      <c r="T1025" s="25"/>
      <c r="U1025" s="25"/>
      <c r="V1025" s="25"/>
      <c r="W1025" s="25"/>
      <c r="X1025" s="25"/>
      <c r="Y1025" s="25"/>
      <c r="Z1025" s="25"/>
      <c r="AA1025" s="25"/>
      <c r="AB1025" s="25"/>
      <c r="AC1025" s="25"/>
      <c r="AD1025" s="25"/>
      <c r="AE1025" s="25"/>
      <c r="AF1025" s="25"/>
      <c r="AG1025" s="25"/>
      <c r="AH1025" s="25"/>
      <c r="AI1025" s="25"/>
      <c r="AJ1025" s="25"/>
      <c r="AK1025" s="25"/>
      <c r="AL1025" s="25"/>
      <c r="AM1025" s="25"/>
      <c r="AN1025" s="25"/>
      <c r="AO1025" s="25"/>
      <c r="AP1025" s="25"/>
      <c r="AQ1025" s="25"/>
      <c r="AR1025" s="25"/>
      <c r="AS1025" s="25"/>
      <c r="AT1025" s="25"/>
      <c r="AU1025" s="25"/>
    </row>
    <row r="1026">
      <c r="A1026" s="25"/>
      <c r="B1026" s="25"/>
      <c r="C1026" s="25"/>
      <c r="D1026" s="25"/>
      <c r="E1026" s="25"/>
      <c r="F1026" s="25"/>
      <c r="G1026" s="25"/>
      <c r="H1026" s="25"/>
      <c r="I1026" s="25"/>
      <c r="J1026" s="25"/>
      <c r="K1026" s="25"/>
      <c r="L1026" s="25"/>
      <c r="M1026" s="25"/>
      <c r="N1026" s="25"/>
      <c r="O1026" s="5"/>
      <c r="P1026" s="5"/>
      <c r="Q1026" s="5"/>
      <c r="R1026" s="5"/>
      <c r="S1026" s="5"/>
      <c r="T1026" s="25"/>
      <c r="U1026" s="25"/>
      <c r="V1026" s="25"/>
      <c r="W1026" s="25"/>
      <c r="X1026" s="25"/>
      <c r="Y1026" s="25"/>
      <c r="Z1026" s="25"/>
      <c r="AA1026" s="25"/>
      <c r="AB1026" s="25"/>
      <c r="AC1026" s="25"/>
      <c r="AD1026" s="25"/>
      <c r="AE1026" s="25"/>
      <c r="AF1026" s="25"/>
      <c r="AG1026" s="25"/>
      <c r="AH1026" s="25"/>
      <c r="AI1026" s="25"/>
      <c r="AJ1026" s="25"/>
      <c r="AK1026" s="25"/>
      <c r="AL1026" s="25"/>
      <c r="AM1026" s="25"/>
      <c r="AN1026" s="25"/>
      <c r="AO1026" s="25"/>
      <c r="AP1026" s="25"/>
      <c r="AQ1026" s="25"/>
      <c r="AR1026" s="25"/>
      <c r="AS1026" s="25"/>
      <c r="AT1026" s="25"/>
      <c r="AU1026" s="25"/>
    </row>
    <row r="1027">
      <c r="A1027" s="25"/>
      <c r="B1027" s="25"/>
      <c r="C1027" s="25"/>
      <c r="D1027" s="25"/>
      <c r="E1027" s="25"/>
      <c r="F1027" s="25"/>
      <c r="G1027" s="25"/>
      <c r="H1027" s="25"/>
      <c r="I1027" s="25"/>
      <c r="J1027" s="25"/>
      <c r="K1027" s="25"/>
      <c r="L1027" s="25"/>
      <c r="M1027" s="25"/>
      <c r="N1027" s="25"/>
      <c r="O1027" s="5"/>
      <c r="P1027" s="5"/>
      <c r="Q1027" s="5"/>
      <c r="R1027" s="5"/>
      <c r="S1027" s="5"/>
      <c r="T1027" s="25"/>
      <c r="U1027" s="25"/>
      <c r="V1027" s="25"/>
      <c r="W1027" s="25"/>
      <c r="X1027" s="25"/>
      <c r="Y1027" s="25"/>
      <c r="Z1027" s="25"/>
      <c r="AA1027" s="25"/>
      <c r="AB1027" s="25"/>
      <c r="AC1027" s="25"/>
      <c r="AD1027" s="25"/>
      <c r="AE1027" s="25"/>
      <c r="AF1027" s="25"/>
      <c r="AG1027" s="25"/>
      <c r="AH1027" s="25"/>
      <c r="AI1027" s="25"/>
      <c r="AJ1027" s="25"/>
      <c r="AK1027" s="25"/>
      <c r="AL1027" s="25"/>
      <c r="AM1027" s="25"/>
      <c r="AN1027" s="25"/>
      <c r="AO1027" s="25"/>
      <c r="AP1027" s="25"/>
      <c r="AQ1027" s="25"/>
      <c r="AR1027" s="25"/>
      <c r="AS1027" s="25"/>
      <c r="AT1027" s="25"/>
      <c r="AU1027" s="25"/>
    </row>
    <row r="1028">
      <c r="A1028" s="25"/>
      <c r="B1028" s="25"/>
      <c r="C1028" s="25"/>
      <c r="D1028" s="25"/>
      <c r="E1028" s="25"/>
      <c r="F1028" s="25"/>
      <c r="G1028" s="25"/>
      <c r="H1028" s="25"/>
      <c r="I1028" s="25"/>
      <c r="J1028" s="25"/>
      <c r="K1028" s="25"/>
      <c r="L1028" s="25"/>
      <c r="M1028" s="25"/>
      <c r="N1028" s="25"/>
      <c r="O1028" s="5"/>
      <c r="P1028" s="5"/>
      <c r="Q1028" s="5"/>
      <c r="R1028" s="5"/>
      <c r="S1028" s="5"/>
      <c r="T1028" s="25"/>
      <c r="U1028" s="25"/>
      <c r="V1028" s="25"/>
      <c r="W1028" s="25"/>
      <c r="X1028" s="25"/>
      <c r="Y1028" s="25"/>
      <c r="Z1028" s="25"/>
      <c r="AA1028" s="25"/>
      <c r="AB1028" s="25"/>
      <c r="AC1028" s="25"/>
      <c r="AD1028" s="25"/>
      <c r="AE1028" s="25"/>
      <c r="AF1028" s="25"/>
      <c r="AG1028" s="25"/>
      <c r="AH1028" s="25"/>
      <c r="AI1028" s="25"/>
      <c r="AJ1028" s="25"/>
      <c r="AK1028" s="25"/>
      <c r="AL1028" s="25"/>
      <c r="AM1028" s="25"/>
      <c r="AN1028" s="25"/>
      <c r="AO1028" s="25"/>
      <c r="AP1028" s="25"/>
      <c r="AQ1028" s="25"/>
      <c r="AR1028" s="25"/>
      <c r="AS1028" s="25"/>
      <c r="AT1028" s="25"/>
      <c r="AU1028" s="25"/>
    </row>
    <row r="1029">
      <c r="A1029" s="25"/>
      <c r="B1029" s="25"/>
      <c r="C1029" s="25"/>
      <c r="D1029" s="25"/>
      <c r="E1029" s="25"/>
      <c r="F1029" s="25"/>
      <c r="G1029" s="25"/>
      <c r="H1029" s="25"/>
      <c r="I1029" s="25"/>
      <c r="J1029" s="25"/>
      <c r="K1029" s="25"/>
      <c r="L1029" s="25"/>
      <c r="M1029" s="25"/>
      <c r="N1029" s="25"/>
      <c r="O1029" s="5"/>
      <c r="P1029" s="5"/>
      <c r="Q1029" s="5"/>
      <c r="R1029" s="5"/>
      <c r="S1029" s="5"/>
      <c r="T1029" s="25"/>
      <c r="U1029" s="25"/>
      <c r="V1029" s="25"/>
      <c r="W1029" s="25"/>
      <c r="X1029" s="25"/>
      <c r="Y1029" s="25"/>
      <c r="Z1029" s="25"/>
      <c r="AA1029" s="25"/>
      <c r="AB1029" s="25"/>
      <c r="AC1029" s="25"/>
      <c r="AD1029" s="25"/>
      <c r="AE1029" s="25"/>
      <c r="AF1029" s="25"/>
      <c r="AG1029" s="25"/>
      <c r="AH1029" s="25"/>
      <c r="AI1029" s="25"/>
      <c r="AJ1029" s="25"/>
      <c r="AK1029" s="25"/>
      <c r="AL1029" s="25"/>
      <c r="AM1029" s="25"/>
      <c r="AN1029" s="25"/>
      <c r="AO1029" s="25"/>
      <c r="AP1029" s="25"/>
      <c r="AQ1029" s="25"/>
      <c r="AR1029" s="25"/>
      <c r="AS1029" s="25"/>
      <c r="AT1029" s="25"/>
      <c r="AU1029" s="25"/>
    </row>
    <row r="1030">
      <c r="A1030" s="25"/>
      <c r="B1030" s="25"/>
      <c r="C1030" s="25"/>
      <c r="D1030" s="25"/>
      <c r="E1030" s="25"/>
      <c r="F1030" s="25"/>
      <c r="G1030" s="25"/>
      <c r="H1030" s="25"/>
      <c r="I1030" s="25"/>
      <c r="J1030" s="25"/>
      <c r="K1030" s="25"/>
      <c r="L1030" s="25"/>
      <c r="M1030" s="25"/>
      <c r="N1030" s="25"/>
      <c r="O1030" s="5"/>
      <c r="P1030" s="5"/>
      <c r="Q1030" s="5"/>
      <c r="R1030" s="5"/>
      <c r="S1030" s="5"/>
      <c r="T1030" s="25"/>
      <c r="U1030" s="25"/>
      <c r="V1030" s="25"/>
      <c r="W1030" s="25"/>
      <c r="X1030" s="25"/>
      <c r="Y1030" s="25"/>
      <c r="Z1030" s="25"/>
      <c r="AA1030" s="25"/>
      <c r="AB1030" s="25"/>
      <c r="AC1030" s="25"/>
      <c r="AD1030" s="25"/>
      <c r="AE1030" s="25"/>
      <c r="AF1030" s="25"/>
      <c r="AG1030" s="25"/>
      <c r="AH1030" s="25"/>
      <c r="AI1030" s="25"/>
      <c r="AJ1030" s="25"/>
      <c r="AK1030" s="25"/>
      <c r="AL1030" s="25"/>
      <c r="AM1030" s="25"/>
      <c r="AN1030" s="25"/>
      <c r="AO1030" s="25"/>
      <c r="AP1030" s="25"/>
      <c r="AQ1030" s="25"/>
      <c r="AR1030" s="25"/>
      <c r="AS1030" s="25"/>
      <c r="AT1030" s="25"/>
      <c r="AU1030" s="25"/>
    </row>
    <row r="1031">
      <c r="A1031" s="25"/>
      <c r="B1031" s="25"/>
      <c r="C1031" s="25"/>
      <c r="D1031" s="25"/>
      <c r="E1031" s="25"/>
      <c r="F1031" s="25"/>
      <c r="G1031" s="25"/>
      <c r="H1031" s="25"/>
      <c r="I1031" s="25"/>
      <c r="J1031" s="25"/>
      <c r="K1031" s="25"/>
      <c r="L1031" s="25"/>
      <c r="M1031" s="25"/>
      <c r="N1031" s="25"/>
      <c r="O1031" s="5"/>
      <c r="P1031" s="5"/>
      <c r="Q1031" s="5"/>
      <c r="R1031" s="5"/>
      <c r="S1031" s="5"/>
      <c r="T1031" s="25"/>
      <c r="U1031" s="25"/>
      <c r="V1031" s="25"/>
      <c r="W1031" s="25"/>
      <c r="X1031" s="25"/>
      <c r="Y1031" s="25"/>
      <c r="Z1031" s="25"/>
      <c r="AA1031" s="25"/>
      <c r="AB1031" s="25"/>
      <c r="AC1031" s="25"/>
      <c r="AD1031" s="25"/>
      <c r="AE1031" s="25"/>
      <c r="AF1031" s="25"/>
      <c r="AG1031" s="25"/>
      <c r="AH1031" s="25"/>
      <c r="AI1031" s="25"/>
      <c r="AJ1031" s="25"/>
      <c r="AK1031" s="25"/>
      <c r="AL1031" s="25"/>
      <c r="AM1031" s="25"/>
      <c r="AN1031" s="25"/>
      <c r="AO1031" s="25"/>
      <c r="AP1031" s="25"/>
      <c r="AQ1031" s="25"/>
      <c r="AR1031" s="25"/>
      <c r="AS1031" s="25"/>
      <c r="AT1031" s="25"/>
      <c r="AU1031" s="25"/>
    </row>
    <row r="1032">
      <c r="A1032" s="25"/>
      <c r="B1032" s="25"/>
      <c r="C1032" s="25"/>
      <c r="D1032" s="25"/>
      <c r="E1032" s="25"/>
      <c r="F1032" s="25"/>
      <c r="G1032" s="25"/>
      <c r="H1032" s="25"/>
      <c r="I1032" s="25"/>
      <c r="J1032" s="25"/>
      <c r="K1032" s="25"/>
      <c r="L1032" s="25"/>
      <c r="M1032" s="25"/>
      <c r="N1032" s="25"/>
      <c r="O1032" s="5"/>
      <c r="P1032" s="5"/>
      <c r="Q1032" s="5"/>
      <c r="R1032" s="5"/>
      <c r="S1032" s="5"/>
      <c r="T1032" s="25"/>
      <c r="U1032" s="25"/>
      <c r="V1032" s="25"/>
      <c r="W1032" s="25"/>
      <c r="X1032" s="25"/>
      <c r="Y1032" s="25"/>
      <c r="Z1032" s="25"/>
      <c r="AA1032" s="25"/>
      <c r="AB1032" s="25"/>
      <c r="AC1032" s="25"/>
      <c r="AD1032" s="25"/>
      <c r="AE1032" s="25"/>
      <c r="AF1032" s="25"/>
      <c r="AG1032" s="25"/>
      <c r="AH1032" s="25"/>
      <c r="AI1032" s="25"/>
      <c r="AJ1032" s="25"/>
      <c r="AK1032" s="25"/>
      <c r="AL1032" s="25"/>
      <c r="AM1032" s="25"/>
      <c r="AN1032" s="25"/>
      <c r="AO1032" s="25"/>
      <c r="AP1032" s="25"/>
      <c r="AQ1032" s="25"/>
      <c r="AR1032" s="25"/>
      <c r="AS1032" s="25"/>
      <c r="AT1032" s="25"/>
      <c r="AU1032" s="25"/>
    </row>
    <row r="1033">
      <c r="A1033" s="25"/>
      <c r="B1033" s="25"/>
      <c r="C1033" s="25"/>
      <c r="D1033" s="25"/>
      <c r="E1033" s="25"/>
      <c r="F1033" s="25"/>
      <c r="G1033" s="25"/>
      <c r="H1033" s="25"/>
      <c r="I1033" s="25"/>
      <c r="J1033" s="25"/>
      <c r="K1033" s="25"/>
      <c r="L1033" s="25"/>
      <c r="M1033" s="25"/>
      <c r="N1033" s="25"/>
      <c r="O1033" s="5"/>
      <c r="P1033" s="5"/>
      <c r="Q1033" s="5"/>
      <c r="R1033" s="5"/>
      <c r="S1033" s="5"/>
      <c r="T1033" s="25"/>
      <c r="U1033" s="25"/>
      <c r="V1033" s="25"/>
      <c r="W1033" s="25"/>
      <c r="X1033" s="25"/>
      <c r="Y1033" s="25"/>
      <c r="Z1033" s="25"/>
      <c r="AA1033" s="25"/>
      <c r="AB1033" s="25"/>
      <c r="AC1033" s="25"/>
      <c r="AD1033" s="25"/>
      <c r="AE1033" s="25"/>
      <c r="AF1033" s="25"/>
      <c r="AG1033" s="25"/>
      <c r="AH1033" s="25"/>
      <c r="AI1033" s="25"/>
      <c r="AJ1033" s="25"/>
      <c r="AK1033" s="25"/>
      <c r="AL1033" s="25"/>
      <c r="AM1033" s="25"/>
      <c r="AN1033" s="25"/>
      <c r="AO1033" s="25"/>
      <c r="AP1033" s="25"/>
      <c r="AQ1033" s="25"/>
      <c r="AR1033" s="25"/>
      <c r="AS1033" s="25"/>
      <c r="AT1033" s="25"/>
      <c r="AU1033" s="25"/>
    </row>
    <row r="1034">
      <c r="A1034" s="25"/>
      <c r="B1034" s="25"/>
      <c r="C1034" s="25"/>
      <c r="D1034" s="25"/>
      <c r="E1034" s="25"/>
      <c r="F1034" s="25"/>
      <c r="G1034" s="25"/>
      <c r="H1034" s="25"/>
      <c r="I1034" s="25"/>
      <c r="J1034" s="25"/>
      <c r="K1034" s="25"/>
      <c r="L1034" s="25"/>
      <c r="M1034" s="25"/>
      <c r="N1034" s="25"/>
      <c r="O1034" s="5"/>
      <c r="P1034" s="5"/>
      <c r="Q1034" s="5"/>
      <c r="R1034" s="5"/>
      <c r="S1034" s="5"/>
      <c r="T1034" s="25"/>
      <c r="U1034" s="25"/>
      <c r="V1034" s="25"/>
      <c r="W1034" s="25"/>
      <c r="X1034" s="25"/>
      <c r="Y1034" s="25"/>
      <c r="Z1034" s="25"/>
      <c r="AA1034" s="25"/>
      <c r="AB1034" s="25"/>
      <c r="AC1034" s="25"/>
      <c r="AD1034" s="25"/>
      <c r="AE1034" s="25"/>
      <c r="AF1034" s="25"/>
      <c r="AG1034" s="25"/>
      <c r="AH1034" s="25"/>
      <c r="AI1034" s="25"/>
      <c r="AJ1034" s="25"/>
      <c r="AK1034" s="25"/>
      <c r="AL1034" s="25"/>
      <c r="AM1034" s="25"/>
      <c r="AN1034" s="25"/>
      <c r="AO1034" s="25"/>
      <c r="AP1034" s="25"/>
      <c r="AQ1034" s="25"/>
      <c r="AR1034" s="25"/>
      <c r="AS1034" s="25"/>
      <c r="AT1034" s="25"/>
      <c r="AU1034" s="25"/>
    </row>
    <row r="1035">
      <c r="A1035" s="25"/>
      <c r="B1035" s="25"/>
      <c r="C1035" s="25"/>
      <c r="D1035" s="25"/>
      <c r="E1035" s="25"/>
      <c r="F1035" s="25"/>
      <c r="G1035" s="25"/>
      <c r="H1035" s="25"/>
      <c r="I1035" s="25"/>
      <c r="J1035" s="25"/>
      <c r="K1035" s="25"/>
      <c r="L1035" s="25"/>
      <c r="M1035" s="25"/>
      <c r="N1035" s="25"/>
      <c r="O1035" s="5"/>
      <c r="P1035" s="5"/>
      <c r="Q1035" s="5"/>
      <c r="R1035" s="5"/>
      <c r="S1035" s="5"/>
      <c r="T1035" s="25"/>
      <c r="U1035" s="25"/>
      <c r="V1035" s="25"/>
      <c r="W1035" s="25"/>
      <c r="X1035" s="25"/>
      <c r="Y1035" s="25"/>
      <c r="Z1035" s="25"/>
      <c r="AA1035" s="25"/>
      <c r="AB1035" s="25"/>
      <c r="AC1035" s="25"/>
      <c r="AD1035" s="25"/>
      <c r="AE1035" s="25"/>
      <c r="AF1035" s="25"/>
      <c r="AG1035" s="25"/>
      <c r="AH1035" s="25"/>
      <c r="AI1035" s="25"/>
      <c r="AJ1035" s="25"/>
      <c r="AK1035" s="25"/>
      <c r="AL1035" s="25"/>
      <c r="AM1035" s="25"/>
      <c r="AN1035" s="25"/>
      <c r="AO1035" s="25"/>
      <c r="AP1035" s="25"/>
      <c r="AQ1035" s="25"/>
      <c r="AR1035" s="25"/>
      <c r="AS1035" s="25"/>
      <c r="AT1035" s="25"/>
      <c r="AU1035" s="25"/>
    </row>
    <row r="1036">
      <c r="A1036" s="25"/>
      <c r="B1036" s="25"/>
      <c r="C1036" s="25"/>
      <c r="D1036" s="25"/>
      <c r="E1036" s="25"/>
      <c r="F1036" s="25"/>
      <c r="G1036" s="25"/>
      <c r="H1036" s="5"/>
      <c r="I1036" s="5"/>
      <c r="J1036" s="5"/>
      <c r="K1036" s="5"/>
      <c r="L1036" s="5"/>
      <c r="M1036" s="5"/>
      <c r="N1036" s="25"/>
      <c r="O1036" s="5"/>
      <c r="P1036" s="5"/>
      <c r="Q1036" s="5"/>
      <c r="R1036" s="5"/>
      <c r="S1036" s="5"/>
      <c r="T1036" s="25"/>
      <c r="U1036" s="25"/>
      <c r="V1036" s="25"/>
      <c r="W1036" s="25"/>
      <c r="X1036" s="25"/>
      <c r="Y1036" s="25"/>
      <c r="Z1036" s="25"/>
      <c r="AA1036" s="25"/>
      <c r="AB1036" s="25"/>
      <c r="AC1036" s="25"/>
      <c r="AD1036" s="25"/>
      <c r="AE1036" s="25"/>
      <c r="AF1036" s="25"/>
      <c r="AG1036" s="25"/>
      <c r="AH1036" s="25"/>
      <c r="AI1036" s="25"/>
      <c r="AJ1036" s="25"/>
      <c r="AK1036" s="25"/>
      <c r="AL1036" s="25"/>
      <c r="AM1036" s="25"/>
      <c r="AN1036" s="25"/>
      <c r="AO1036" s="25"/>
      <c r="AP1036" s="25"/>
      <c r="AQ1036" s="25"/>
      <c r="AR1036" s="25"/>
      <c r="AS1036" s="25"/>
      <c r="AT1036" s="25"/>
      <c r="AU1036" s="25"/>
    </row>
    <row r="1037">
      <c r="A1037" s="25"/>
      <c r="B1037" s="25"/>
      <c r="C1037" s="25"/>
      <c r="D1037" s="25"/>
      <c r="E1037" s="25"/>
      <c r="F1037" s="25"/>
      <c r="G1037" s="25"/>
      <c r="H1037" s="5"/>
      <c r="I1037" s="5"/>
      <c r="J1037" s="5"/>
      <c r="K1037" s="5"/>
      <c r="L1037" s="5"/>
      <c r="M1037" s="5"/>
      <c r="N1037" s="25"/>
      <c r="O1037" s="5"/>
      <c r="P1037" s="5"/>
      <c r="Q1037" s="5"/>
      <c r="R1037" s="5"/>
      <c r="S1037" s="5"/>
      <c r="T1037" s="25"/>
      <c r="U1037" s="25"/>
      <c r="V1037" s="25"/>
      <c r="W1037" s="25"/>
      <c r="X1037" s="25"/>
      <c r="Y1037" s="25"/>
      <c r="Z1037" s="25"/>
      <c r="AA1037" s="25"/>
      <c r="AB1037" s="25"/>
      <c r="AC1037" s="25"/>
      <c r="AD1037" s="25"/>
      <c r="AE1037" s="25"/>
      <c r="AF1037" s="25"/>
      <c r="AG1037" s="25"/>
      <c r="AH1037" s="25"/>
      <c r="AI1037" s="25"/>
      <c r="AJ1037" s="25"/>
      <c r="AK1037" s="25"/>
      <c r="AL1037" s="25"/>
      <c r="AM1037" s="25"/>
      <c r="AN1037" s="25"/>
      <c r="AO1037" s="25"/>
      <c r="AP1037" s="25"/>
      <c r="AQ1037" s="25"/>
      <c r="AR1037" s="25"/>
      <c r="AS1037" s="25"/>
      <c r="AT1037" s="25"/>
      <c r="AU1037" s="25"/>
    </row>
    <row r="1038">
      <c r="A1038" s="25"/>
      <c r="B1038" s="25"/>
      <c r="C1038" s="25"/>
      <c r="D1038" s="25"/>
      <c r="E1038" s="25"/>
      <c r="F1038" s="25"/>
      <c r="G1038" s="25"/>
      <c r="H1038" s="5"/>
      <c r="I1038" s="5"/>
      <c r="J1038" s="5"/>
      <c r="K1038" s="5"/>
      <c r="L1038" s="5"/>
      <c r="M1038" s="5"/>
      <c r="N1038" s="25"/>
      <c r="O1038" s="5"/>
      <c r="P1038" s="5"/>
      <c r="Q1038" s="5"/>
      <c r="R1038" s="5"/>
      <c r="S1038" s="5"/>
      <c r="T1038" s="25"/>
      <c r="U1038" s="25"/>
      <c r="V1038" s="25"/>
      <c r="W1038" s="25"/>
      <c r="X1038" s="25"/>
      <c r="Y1038" s="25"/>
      <c r="Z1038" s="25"/>
      <c r="AA1038" s="25"/>
      <c r="AB1038" s="25"/>
      <c r="AC1038" s="25"/>
      <c r="AD1038" s="25"/>
      <c r="AE1038" s="25"/>
      <c r="AF1038" s="25"/>
      <c r="AG1038" s="25"/>
      <c r="AH1038" s="25"/>
      <c r="AI1038" s="25"/>
      <c r="AJ1038" s="25"/>
      <c r="AK1038" s="25"/>
      <c r="AL1038" s="25"/>
      <c r="AM1038" s="25"/>
      <c r="AN1038" s="25"/>
      <c r="AO1038" s="25"/>
      <c r="AP1038" s="25"/>
      <c r="AQ1038" s="25"/>
      <c r="AR1038" s="25"/>
      <c r="AS1038" s="25"/>
      <c r="AT1038" s="25"/>
      <c r="AU1038" s="25"/>
    </row>
  </sheetData>
  <mergeCells count="19">
    <mergeCell ref="E40:F40"/>
    <mergeCell ref="I40:J40"/>
    <mergeCell ref="J41:K41"/>
    <mergeCell ref="J42:K42"/>
    <mergeCell ref="J44:K44"/>
    <mergeCell ref="J46:K46"/>
    <mergeCell ref="J48:K48"/>
    <mergeCell ref="J64:K64"/>
    <mergeCell ref="J66:K66"/>
    <mergeCell ref="J68:K68"/>
    <mergeCell ref="J69:K69"/>
    <mergeCell ref="J70:K70"/>
    <mergeCell ref="J50:K50"/>
    <mergeCell ref="J52:K52"/>
    <mergeCell ref="J54:K54"/>
    <mergeCell ref="J56:K56"/>
    <mergeCell ref="J58:K58"/>
    <mergeCell ref="J60:K60"/>
    <mergeCell ref="J62:K62"/>
  </mergeCells>
  <conditionalFormatting sqref="B42:B69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Z1 P4:P29 Q42:R67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AA1 R4:R29">
    <cfRule type="colorScale" priority="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B1">
    <cfRule type="containsBlanks" dxfId="5" priority="4">
      <formula>LEN(TRIM(B1))=0</formula>
    </cfRule>
  </conditionalFormatting>
  <conditionalFormatting sqref="V1 K4:K30">
    <cfRule type="colorScale" priority="5">
      <colorScale>
        <cfvo type="min"/>
        <cfvo type="max"/>
        <color rgb="FFFFFFFF"/>
        <color rgb="FFFFD666"/>
      </colorScale>
    </cfRule>
  </conditionalFormatting>
  <conditionalFormatting sqref="W1 L4:L30">
    <cfRule type="colorScale" priority="6">
      <colorScale>
        <cfvo type="min"/>
        <cfvo type="max"/>
        <color rgb="FFFFFFFF"/>
        <color rgb="FF57BB8A"/>
      </colorScale>
    </cfRule>
  </conditionalFormatting>
  <conditionalFormatting sqref="Y1 N4:N29">
    <cfRule type="colorScale" priority="7">
      <colorScale>
        <cfvo type="min"/>
        <cfvo type="max"/>
        <color rgb="FFFFFFFF"/>
        <color rgb="FFFFD666"/>
      </colorScale>
    </cfRule>
  </conditionalFormatting>
  <conditionalFormatting sqref="C42:C69">
    <cfRule type="colorScale" priority="8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B3:B30 S42:S68">
    <cfRule type="colorScale" priority="9">
      <colorScale>
        <cfvo type="min"/>
        <cfvo type="max"/>
        <color rgb="FFFFFFFF"/>
        <color rgb="FF57BB8A"/>
      </colorScale>
    </cfRule>
  </conditionalFormatting>
  <conditionalFormatting sqref="C3:C30">
    <cfRule type="colorScale" priority="10">
      <colorScale>
        <cfvo type="min"/>
        <cfvo type="max"/>
        <color rgb="FFFFFFFF"/>
        <color rgb="FF57BB8A"/>
      </colorScale>
    </cfRule>
  </conditionalFormatting>
  <conditionalFormatting sqref="D3:D29">
    <cfRule type="colorScale" priority="11">
      <colorScale>
        <cfvo type="min"/>
        <cfvo type="max"/>
        <color rgb="FFFFFFFF"/>
        <color rgb="FF57BB8A"/>
      </colorScale>
    </cfRule>
  </conditionalFormatting>
  <conditionalFormatting sqref="G4:I31 O6:O31 O43:P68">
    <cfRule type="colorScale" priority="12">
      <colorScale>
        <cfvo type="min"/>
        <cfvo type="formula" val="0"/>
        <cfvo type="max"/>
        <color rgb="FFE67C73"/>
        <color rgb="FFFFFFFF"/>
        <color rgb="FF57BB8A"/>
      </colorScale>
    </cfRule>
  </conditionalFormatting>
  <conditionalFormatting sqref="H5:H31 O44:P68">
    <cfRule type="colorScale" priority="13">
      <colorScale>
        <cfvo type="min"/>
        <cfvo type="formula" val="0"/>
        <cfvo type="max"/>
        <color rgb="FFE67C73"/>
        <color rgb="FFFFFFFF"/>
        <color rgb="FF57BB8A"/>
      </colorScale>
    </cfRule>
  </conditionalFormatting>
  <conditionalFormatting sqref="E3:E30">
    <cfRule type="colorScale" priority="14">
      <colorScale>
        <cfvo type="min"/>
        <cfvo type="max"/>
        <color rgb="FFFFFFFF"/>
        <color rgb="FF57BB8A"/>
      </colorScale>
    </cfRule>
  </conditionalFormatting>
  <conditionalFormatting sqref="I42:I68 J42:K70 L42:L68 I70 L70">
    <cfRule type="colorScale" priority="1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D42:D69">
    <cfRule type="colorScale" priority="16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25"/>
    <col customWidth="1" min="2" max="2" width="5.5"/>
    <col customWidth="1" min="7" max="8" width="35.5"/>
    <col customWidth="1" min="9" max="9" width="57.0"/>
    <col customWidth="1" min="10" max="12" width="20.25"/>
    <col customWidth="1" min="13" max="13" width="18.25"/>
    <col customWidth="1" min="26" max="32" width="21.88"/>
    <col customWidth="1" min="57" max="57" width="14.88"/>
  </cols>
  <sheetData>
    <row r="1">
      <c r="V1" s="145"/>
      <c r="W1" s="146" t="s">
        <v>124</v>
      </c>
      <c r="X1" s="146"/>
      <c r="Y1" s="146"/>
      <c r="Z1" s="146"/>
      <c r="AA1" s="146"/>
      <c r="AB1" s="146"/>
      <c r="AC1" s="146"/>
      <c r="AD1" s="146"/>
      <c r="AE1" s="146"/>
      <c r="AF1" s="146"/>
      <c r="AG1" s="146"/>
      <c r="AH1" s="146"/>
      <c r="AI1" s="146"/>
      <c r="AJ1" s="146"/>
      <c r="AK1" s="146"/>
      <c r="AL1" s="146"/>
      <c r="AM1" s="146"/>
      <c r="AN1" s="146" t="s">
        <v>125</v>
      </c>
      <c r="AO1" s="146"/>
      <c r="AP1" s="146"/>
      <c r="AQ1" s="146"/>
      <c r="AR1" s="146"/>
      <c r="AS1" s="146"/>
      <c r="AT1" s="146"/>
      <c r="AU1" s="146"/>
      <c r="AV1" s="146"/>
      <c r="AW1" s="146"/>
      <c r="AX1" s="146"/>
      <c r="AY1" s="146"/>
      <c r="AZ1" s="146" t="s">
        <v>126</v>
      </c>
      <c r="BB1" s="145"/>
    </row>
    <row r="2">
      <c r="V2" s="147" t="s">
        <v>127</v>
      </c>
      <c r="W2" s="147">
        <v>1.0</v>
      </c>
      <c r="X2" s="147"/>
      <c r="Y2" s="147"/>
      <c r="Z2" s="147"/>
      <c r="AA2" s="147"/>
      <c r="AB2" s="147"/>
      <c r="AC2" s="147"/>
      <c r="AD2" s="147"/>
      <c r="AE2" s="147"/>
      <c r="AF2" s="147"/>
      <c r="AG2" s="147"/>
      <c r="AH2" s="147"/>
      <c r="AI2" s="147"/>
      <c r="AJ2" s="147"/>
      <c r="AK2" s="147"/>
      <c r="AL2" s="147"/>
      <c r="AM2" s="147"/>
      <c r="AN2" s="147">
        <v>1.0</v>
      </c>
      <c r="AO2" s="147"/>
      <c r="AP2" s="147"/>
      <c r="AQ2" s="147"/>
      <c r="AR2" s="147"/>
      <c r="AS2" s="147"/>
      <c r="AT2" s="147"/>
      <c r="AU2" s="147"/>
      <c r="AV2" s="147"/>
      <c r="AW2" s="147"/>
      <c r="AX2" s="147"/>
      <c r="AY2" s="147"/>
      <c r="AZ2" s="147" t="s">
        <v>127</v>
      </c>
      <c r="BA2" s="147">
        <v>2.0</v>
      </c>
      <c r="BB2" s="147" t="s">
        <v>128</v>
      </c>
      <c r="BD2" s="148"/>
      <c r="BE2" s="148"/>
      <c r="BF2" s="148"/>
      <c r="BG2" s="148"/>
      <c r="BH2" s="148"/>
      <c r="BI2" s="148"/>
      <c r="BJ2" s="148"/>
      <c r="BK2" s="148"/>
    </row>
    <row r="3">
      <c r="B3" s="149">
        <v>1591.0</v>
      </c>
      <c r="C3" s="150"/>
      <c r="D3" s="150"/>
      <c r="E3" s="150"/>
      <c r="F3" s="150"/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50" t="s">
        <v>129</v>
      </c>
      <c r="V3" s="151" t="s">
        <v>44</v>
      </c>
      <c r="W3" s="151">
        <v>10.0</v>
      </c>
      <c r="X3" s="151"/>
      <c r="Y3" s="151"/>
      <c r="Z3" s="151"/>
      <c r="AA3" s="151"/>
      <c r="AB3" s="151"/>
      <c r="AC3" s="151"/>
      <c r="AD3" s="151"/>
      <c r="AE3" s="151"/>
      <c r="AF3" s="151"/>
      <c r="AG3" s="151"/>
      <c r="AH3" s="151"/>
      <c r="AI3" s="151"/>
      <c r="AJ3" s="151"/>
      <c r="AK3" s="151"/>
      <c r="AL3" s="151"/>
      <c r="AM3" s="151"/>
      <c r="AN3" s="151">
        <v>10.0</v>
      </c>
      <c r="AO3" s="151"/>
      <c r="AP3" s="151"/>
      <c r="AQ3" s="151"/>
      <c r="AR3" s="151"/>
      <c r="AS3" s="151"/>
      <c r="AT3" s="151"/>
      <c r="AU3" s="151"/>
      <c r="AV3" s="151"/>
      <c r="AW3" s="151"/>
      <c r="AX3" s="151"/>
      <c r="AY3" s="151"/>
      <c r="AZ3" s="151" t="s">
        <v>44</v>
      </c>
      <c r="BA3" s="152">
        <f t="shared" ref="BA3:BA10" si="1">SUM(W3:AN3)</f>
        <v>20</v>
      </c>
      <c r="BB3" s="153">
        <f t="shared" ref="BB3:BB12" si="2">AN3/BA3</f>
        <v>0.5</v>
      </c>
      <c r="BD3" s="154">
        <f>AVERAGE(BA6,BA8)</f>
        <v>5</v>
      </c>
      <c r="BE3" s="155" t="s">
        <v>130</v>
      </c>
      <c r="BF3" s="155" t="s">
        <v>131</v>
      </c>
      <c r="BG3" s="155" t="s">
        <v>132</v>
      </c>
      <c r="BH3" s="148"/>
      <c r="BI3" s="148"/>
      <c r="BJ3" s="148"/>
      <c r="BK3" s="148"/>
    </row>
    <row r="4">
      <c r="B4" s="156">
        <v>1592.0</v>
      </c>
      <c r="C4" s="157"/>
      <c r="D4" s="157"/>
      <c r="E4" s="157"/>
      <c r="F4" s="157"/>
      <c r="G4" s="157"/>
      <c r="H4" s="157"/>
      <c r="I4" s="157"/>
      <c r="J4" s="157"/>
      <c r="K4" s="157"/>
      <c r="L4" s="157"/>
      <c r="M4" s="157"/>
      <c r="N4" s="157"/>
      <c r="O4" s="157"/>
      <c r="P4" s="157"/>
      <c r="Q4" s="157" t="s">
        <v>133</v>
      </c>
      <c r="V4" s="147" t="s">
        <v>45</v>
      </c>
      <c r="W4" s="147">
        <v>6.0</v>
      </c>
      <c r="X4" s="147"/>
      <c r="Y4" s="147"/>
      <c r="Z4" s="147"/>
      <c r="AA4" s="147"/>
      <c r="AB4" s="147"/>
      <c r="AC4" s="147"/>
      <c r="AD4" s="147"/>
      <c r="AE4" s="147"/>
      <c r="AF4" s="147"/>
      <c r="AG4" s="147"/>
      <c r="AH4" s="147"/>
      <c r="AI4" s="147"/>
      <c r="AJ4" s="147"/>
      <c r="AK4" s="147"/>
      <c r="AL4" s="147"/>
      <c r="AM4" s="147"/>
      <c r="AN4" s="147">
        <v>4.0</v>
      </c>
      <c r="AO4" s="147"/>
      <c r="AP4" s="147"/>
      <c r="AQ4" s="147"/>
      <c r="AR4" s="147"/>
      <c r="AS4" s="147"/>
      <c r="AT4" s="147"/>
      <c r="AU4" s="147"/>
      <c r="AV4" s="147"/>
      <c r="AW4" s="147"/>
      <c r="AX4" s="147"/>
      <c r="AY4" s="147"/>
      <c r="AZ4" s="147" t="s">
        <v>45</v>
      </c>
      <c r="BA4" s="158">
        <f t="shared" si="1"/>
        <v>10</v>
      </c>
      <c r="BB4" s="159">
        <f t="shared" si="2"/>
        <v>0.4</v>
      </c>
      <c r="BD4" s="160">
        <f>AVERAGE(BA5,BA7,W9)</f>
        <v>13</v>
      </c>
      <c r="BE4" s="155" t="s">
        <v>130</v>
      </c>
      <c r="BF4" s="155" t="s">
        <v>134</v>
      </c>
      <c r="BG4" s="155" t="s">
        <v>135</v>
      </c>
      <c r="BH4" s="148"/>
      <c r="BI4" s="148"/>
      <c r="BJ4" s="148"/>
      <c r="BK4" s="148"/>
    </row>
    <row r="5">
      <c r="B5" s="161">
        <v>1594.0</v>
      </c>
      <c r="C5" s="162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 t="s">
        <v>136</v>
      </c>
      <c r="V5" s="151" t="s">
        <v>46</v>
      </c>
      <c r="W5" s="151">
        <v>9.0</v>
      </c>
      <c r="X5" s="151"/>
      <c r="Y5" s="151"/>
      <c r="Z5" s="151"/>
      <c r="AA5" s="151"/>
      <c r="AB5" s="151"/>
      <c r="AC5" s="151"/>
      <c r="AD5" s="151"/>
      <c r="AE5" s="151"/>
      <c r="AF5" s="151"/>
      <c r="AG5" s="151"/>
      <c r="AH5" s="151"/>
      <c r="AI5" s="151"/>
      <c r="AJ5" s="151"/>
      <c r="AK5" s="151"/>
      <c r="AL5" s="151"/>
      <c r="AM5" s="151"/>
      <c r="AN5" s="151">
        <v>4.0</v>
      </c>
      <c r="AO5" s="151"/>
      <c r="AP5" s="151"/>
      <c r="AQ5" s="151"/>
      <c r="AR5" s="151"/>
      <c r="AS5" s="151"/>
      <c r="AT5" s="151"/>
      <c r="AU5" s="151"/>
      <c r="AV5" s="151"/>
      <c r="AW5" s="151"/>
      <c r="AX5" s="151"/>
      <c r="AY5" s="151"/>
      <c r="AZ5" s="151" t="s">
        <v>46</v>
      </c>
      <c r="BA5" s="152">
        <f t="shared" si="1"/>
        <v>13</v>
      </c>
      <c r="BB5" s="153">
        <f t="shared" si="2"/>
        <v>0.3076923077</v>
      </c>
      <c r="BD5" s="163">
        <f>AVERAGE(AN5/2,AN6/1.5,AN7/1,AN8/0.5)</f>
        <v>2.166666667</v>
      </c>
      <c r="BE5" s="155" t="s">
        <v>130</v>
      </c>
      <c r="BF5" s="155" t="s">
        <v>137</v>
      </c>
      <c r="BG5" s="155" t="s">
        <v>138</v>
      </c>
      <c r="BH5" s="148"/>
      <c r="BI5" s="148"/>
      <c r="BJ5" s="148"/>
      <c r="BK5" s="148"/>
    </row>
    <row r="6">
      <c r="B6" s="161">
        <v>1595.0</v>
      </c>
      <c r="C6" s="162"/>
      <c r="D6" s="157"/>
      <c r="E6" s="157"/>
      <c r="F6" s="157"/>
      <c r="G6" s="157"/>
      <c r="H6" s="157"/>
      <c r="I6" s="157"/>
      <c r="J6" s="157"/>
      <c r="K6" s="157"/>
      <c r="L6" s="157"/>
      <c r="M6" s="157"/>
      <c r="N6" s="157"/>
      <c r="O6" s="157"/>
      <c r="P6" s="157"/>
      <c r="Q6" s="157" t="s">
        <v>139</v>
      </c>
      <c r="V6" s="147" t="s">
        <v>47</v>
      </c>
      <c r="W6" s="147">
        <v>4.0</v>
      </c>
      <c r="X6" s="147"/>
      <c r="Y6" s="147"/>
      <c r="Z6" s="147"/>
      <c r="AA6" s="147"/>
      <c r="AB6" s="147"/>
      <c r="AC6" s="147"/>
      <c r="AD6" s="147"/>
      <c r="AE6" s="147"/>
      <c r="AF6" s="147"/>
      <c r="AG6" s="147"/>
      <c r="AH6" s="147"/>
      <c r="AI6" s="147"/>
      <c r="AJ6" s="147"/>
      <c r="AK6" s="147"/>
      <c r="AL6" s="147"/>
      <c r="AM6" s="147"/>
      <c r="AN6" s="147">
        <v>1.0</v>
      </c>
      <c r="AO6" s="147"/>
      <c r="AP6" s="147"/>
      <c r="AQ6" s="147"/>
      <c r="AR6" s="147"/>
      <c r="AS6" s="147"/>
      <c r="AT6" s="147"/>
      <c r="AU6" s="147"/>
      <c r="AV6" s="147"/>
      <c r="AW6" s="147"/>
      <c r="AX6" s="147"/>
      <c r="AY6" s="147"/>
      <c r="AZ6" s="147" t="s">
        <v>47</v>
      </c>
      <c r="BA6" s="158">
        <f t="shared" si="1"/>
        <v>5</v>
      </c>
      <c r="BB6" s="159">
        <f t="shared" si="2"/>
        <v>0.2</v>
      </c>
      <c r="BD6" s="155">
        <v>15.0</v>
      </c>
      <c r="BE6" s="155" t="s">
        <v>140</v>
      </c>
      <c r="BF6" s="155" t="s">
        <v>141</v>
      </c>
      <c r="BG6" s="148"/>
      <c r="BH6" s="148"/>
      <c r="BI6" s="148"/>
      <c r="BJ6" s="148"/>
      <c r="BK6" s="148"/>
    </row>
    <row r="7">
      <c r="B7" s="149">
        <v>1596.0</v>
      </c>
      <c r="C7" s="150"/>
      <c r="D7" s="150"/>
      <c r="E7" s="150"/>
      <c r="F7" s="150"/>
      <c r="G7" s="150"/>
      <c r="H7" s="150"/>
      <c r="I7" s="150"/>
      <c r="J7" s="150"/>
      <c r="K7" s="150"/>
      <c r="L7" s="150"/>
      <c r="M7" s="150"/>
      <c r="N7" s="150"/>
      <c r="O7" s="150"/>
      <c r="P7" s="150"/>
      <c r="Q7" s="150" t="s">
        <v>103</v>
      </c>
      <c r="V7" s="151" t="s">
        <v>48</v>
      </c>
      <c r="W7" s="151">
        <v>11.0</v>
      </c>
      <c r="X7" s="151"/>
      <c r="Y7" s="151"/>
      <c r="Z7" s="151"/>
      <c r="AA7" s="151"/>
      <c r="AB7" s="151"/>
      <c r="AC7" s="151"/>
      <c r="AD7" s="151"/>
      <c r="AE7" s="151"/>
      <c r="AF7" s="151"/>
      <c r="AG7" s="151"/>
      <c r="AH7" s="151"/>
      <c r="AI7" s="151"/>
      <c r="AJ7" s="151"/>
      <c r="AK7" s="151"/>
      <c r="AL7" s="151"/>
      <c r="AM7" s="151"/>
      <c r="AN7" s="151">
        <v>2.0</v>
      </c>
      <c r="AO7" s="151"/>
      <c r="AP7" s="151"/>
      <c r="AQ7" s="151"/>
      <c r="AR7" s="151"/>
      <c r="AS7" s="151"/>
      <c r="AT7" s="151"/>
      <c r="AU7" s="151"/>
      <c r="AV7" s="151"/>
      <c r="AW7" s="151"/>
      <c r="AX7" s="151"/>
      <c r="AY7" s="151"/>
      <c r="AZ7" s="151" t="s">
        <v>48</v>
      </c>
      <c r="BA7" s="152">
        <f t="shared" si="1"/>
        <v>13</v>
      </c>
      <c r="BB7" s="153">
        <f t="shared" si="2"/>
        <v>0.1538461538</v>
      </c>
      <c r="BD7" s="154">
        <f>BD4-BD5-BD6</f>
        <v>-4.166666667</v>
      </c>
      <c r="BE7" s="148"/>
      <c r="BF7" s="148"/>
      <c r="BG7" s="148"/>
      <c r="BH7" s="148"/>
      <c r="BI7" s="148"/>
      <c r="BJ7" s="148"/>
      <c r="BK7" s="148"/>
    </row>
    <row r="8">
      <c r="B8" s="156">
        <v>1597.0</v>
      </c>
      <c r="C8" s="157"/>
      <c r="D8" s="157"/>
      <c r="E8" s="157"/>
      <c r="F8" s="157"/>
      <c r="G8" s="157"/>
      <c r="H8" s="157"/>
      <c r="I8" s="157"/>
      <c r="J8" s="157"/>
      <c r="K8" s="157"/>
      <c r="L8" s="157"/>
      <c r="M8" s="157"/>
      <c r="N8" s="157"/>
      <c r="O8" s="157"/>
      <c r="P8" s="157"/>
      <c r="Q8" s="157" t="s">
        <v>142</v>
      </c>
      <c r="V8" s="147" t="s">
        <v>49</v>
      </c>
      <c r="W8" s="147">
        <v>3.0</v>
      </c>
      <c r="X8" s="147"/>
      <c r="Y8" s="147"/>
      <c r="Z8" s="147"/>
      <c r="AA8" s="147"/>
      <c r="AB8" s="147"/>
      <c r="AC8" s="147"/>
      <c r="AD8" s="147"/>
      <c r="AE8" s="147"/>
      <c r="AF8" s="147"/>
      <c r="AG8" s="147"/>
      <c r="AH8" s="147"/>
      <c r="AI8" s="147"/>
      <c r="AJ8" s="147"/>
      <c r="AK8" s="147"/>
      <c r="AL8" s="147"/>
      <c r="AM8" s="147"/>
      <c r="AN8" s="147">
        <v>2.0</v>
      </c>
      <c r="AO8" s="147"/>
      <c r="AP8" s="147"/>
      <c r="AQ8" s="147"/>
      <c r="AR8" s="147"/>
      <c r="AS8" s="147"/>
      <c r="AT8" s="147"/>
      <c r="AU8" s="147"/>
      <c r="AV8" s="147"/>
      <c r="AW8" s="147"/>
      <c r="AX8" s="147"/>
      <c r="AY8" s="147"/>
      <c r="AZ8" s="147" t="s">
        <v>49</v>
      </c>
      <c r="BA8" s="158">
        <f t="shared" si="1"/>
        <v>5</v>
      </c>
      <c r="BB8" s="159">
        <f t="shared" si="2"/>
        <v>0.4</v>
      </c>
      <c r="BD8" s="154">
        <f>W10+BD7</f>
        <v>52.83333333</v>
      </c>
      <c r="BE8" s="155" t="s">
        <v>143</v>
      </c>
      <c r="BF8" s="155" t="s">
        <v>144</v>
      </c>
      <c r="BG8" s="148"/>
      <c r="BH8" s="148"/>
      <c r="BI8" s="148"/>
      <c r="BJ8" s="148"/>
      <c r="BK8" s="148"/>
    </row>
    <row r="9">
      <c r="B9" s="149">
        <v>1598.0</v>
      </c>
      <c r="C9" s="150"/>
      <c r="D9" s="150"/>
      <c r="E9" s="150"/>
      <c r="F9" s="150"/>
      <c r="G9" s="150"/>
      <c r="H9" s="150"/>
      <c r="I9" s="150"/>
      <c r="J9" s="150"/>
      <c r="K9" s="150"/>
      <c r="L9" s="150"/>
      <c r="M9" s="150"/>
      <c r="N9" s="150"/>
      <c r="O9" s="150"/>
      <c r="P9" s="150"/>
      <c r="Q9" s="150" t="s">
        <v>145</v>
      </c>
      <c r="V9" s="151" t="s">
        <v>50</v>
      </c>
      <c r="W9" s="151">
        <v>13.0</v>
      </c>
      <c r="X9" s="151"/>
      <c r="Y9" s="151"/>
      <c r="Z9" s="151"/>
      <c r="AA9" s="151"/>
      <c r="AB9" s="151"/>
      <c r="AC9" s="151"/>
      <c r="AD9" s="151"/>
      <c r="AE9" s="151"/>
      <c r="AF9" s="151"/>
      <c r="AG9" s="151"/>
      <c r="AH9" s="151"/>
      <c r="AI9" s="151"/>
      <c r="AJ9" s="151"/>
      <c r="AK9" s="151"/>
      <c r="AL9" s="151"/>
      <c r="AM9" s="151"/>
      <c r="AN9" s="151">
        <v>7.0</v>
      </c>
      <c r="AO9" s="151"/>
      <c r="AP9" s="151"/>
      <c r="AQ9" s="151"/>
      <c r="AR9" s="151"/>
      <c r="AS9" s="151"/>
      <c r="AT9" s="151"/>
      <c r="AU9" s="151"/>
      <c r="AV9" s="151"/>
      <c r="AW9" s="151"/>
      <c r="AX9" s="151"/>
      <c r="AY9" s="151"/>
      <c r="AZ9" s="151" t="s">
        <v>50</v>
      </c>
      <c r="BA9" s="152">
        <f t="shared" si="1"/>
        <v>20</v>
      </c>
      <c r="BB9" s="153">
        <f t="shared" si="2"/>
        <v>0.35</v>
      </c>
      <c r="BD9" s="164">
        <f>BD7/W10</f>
        <v>-0.0730994152</v>
      </c>
      <c r="BE9" s="155" t="s">
        <v>146</v>
      </c>
      <c r="BF9" s="148"/>
      <c r="BG9" s="148"/>
      <c r="BH9" s="148"/>
      <c r="BI9" s="148"/>
      <c r="BJ9" s="148"/>
      <c r="BK9" s="148"/>
    </row>
    <row r="10">
      <c r="B10" s="156">
        <v>1599.0</v>
      </c>
      <c r="C10" s="157"/>
      <c r="D10" s="157"/>
      <c r="E10" s="157"/>
      <c r="F10" s="157"/>
      <c r="G10" s="157"/>
      <c r="H10" s="157"/>
      <c r="I10" s="157"/>
      <c r="J10" s="157"/>
      <c r="K10" s="157"/>
      <c r="L10" s="157"/>
      <c r="M10" s="157"/>
      <c r="N10" s="157"/>
      <c r="O10" s="157"/>
      <c r="P10" s="157"/>
      <c r="Q10" s="157" t="s">
        <v>147</v>
      </c>
      <c r="V10" s="147" t="s">
        <v>148</v>
      </c>
      <c r="W10" s="158">
        <f>SUM(W2:W9)</f>
        <v>57</v>
      </c>
      <c r="X10" s="158"/>
      <c r="Y10" s="158"/>
      <c r="Z10" s="158"/>
      <c r="AA10" s="158"/>
      <c r="AB10" s="158"/>
      <c r="AC10" s="158"/>
      <c r="AD10" s="158"/>
      <c r="AE10" s="158"/>
      <c r="AF10" s="158"/>
      <c r="AG10" s="158"/>
      <c r="AH10" s="158"/>
      <c r="AI10" s="158"/>
      <c r="AJ10" s="158"/>
      <c r="AK10" s="158"/>
      <c r="AL10" s="158"/>
      <c r="AM10" s="158"/>
      <c r="AN10" s="158">
        <f>SUM(AN3:AN9)</f>
        <v>30</v>
      </c>
      <c r="AO10" s="158"/>
      <c r="AP10" s="158"/>
      <c r="AQ10" s="158"/>
      <c r="AR10" s="158"/>
      <c r="AS10" s="158"/>
      <c r="AT10" s="158"/>
      <c r="AU10" s="158"/>
      <c r="AV10" s="158"/>
      <c r="AW10" s="158"/>
      <c r="AX10" s="158"/>
      <c r="AY10" s="158"/>
      <c r="AZ10" s="158"/>
      <c r="BA10" s="158">
        <f t="shared" si="1"/>
        <v>87</v>
      </c>
      <c r="BB10" s="159">
        <f t="shared" si="2"/>
        <v>0.3448275862</v>
      </c>
      <c r="BD10" s="165"/>
      <c r="BE10" s="155" t="s">
        <v>149</v>
      </c>
      <c r="BF10" s="148"/>
      <c r="BG10" s="148"/>
      <c r="BH10" s="148"/>
      <c r="BI10" s="148"/>
      <c r="BJ10" s="148"/>
      <c r="BK10" s="148"/>
    </row>
    <row r="11">
      <c r="A11" s="166" t="s">
        <v>150</v>
      </c>
      <c r="B11" s="149">
        <v>1601.0</v>
      </c>
      <c r="C11" s="167"/>
      <c r="D11" s="167"/>
      <c r="E11" s="167"/>
      <c r="F11" s="167"/>
      <c r="G11" s="167"/>
      <c r="H11" s="167"/>
      <c r="I11" s="167"/>
      <c r="J11" s="167"/>
      <c r="K11" s="167"/>
      <c r="L11" s="167"/>
      <c r="M11" s="167"/>
      <c r="N11" s="167"/>
      <c r="O11" s="167"/>
      <c r="P11" s="167"/>
      <c r="Q11" s="167" t="s">
        <v>151</v>
      </c>
      <c r="V11" s="151" t="s">
        <v>152</v>
      </c>
      <c r="W11" s="168">
        <f>AVERAGE(W3:W9)</f>
        <v>8</v>
      </c>
      <c r="X11" s="168"/>
      <c r="Y11" s="168"/>
      <c r="Z11" s="168"/>
      <c r="AA11" s="168"/>
      <c r="AB11" s="168"/>
      <c r="AC11" s="168"/>
      <c r="AD11" s="168"/>
      <c r="AE11" s="168"/>
      <c r="AF11" s="168"/>
      <c r="AG11" s="168"/>
      <c r="AH11" s="168"/>
      <c r="AI11" s="168"/>
      <c r="AJ11" s="168"/>
      <c r="AK11" s="168"/>
      <c r="AL11" s="168"/>
      <c r="AM11" s="168"/>
      <c r="AN11" s="168">
        <f>AVERAGE(AN3:AN9)</f>
        <v>4.285714286</v>
      </c>
      <c r="AO11" s="152"/>
      <c r="AP11" s="152"/>
      <c r="AQ11" s="152"/>
      <c r="AR11" s="152"/>
      <c r="AS11" s="152"/>
      <c r="AT11" s="152"/>
      <c r="AU11" s="152"/>
      <c r="AV11" s="152"/>
      <c r="AW11" s="152"/>
      <c r="AX11" s="152"/>
      <c r="AY11" s="152"/>
      <c r="AZ11" s="152"/>
      <c r="BA11" s="168">
        <f>AVERAGE(BA3:BA9)</f>
        <v>12.28571429</v>
      </c>
      <c r="BB11" s="153">
        <f t="shared" si="2"/>
        <v>0.3488372093</v>
      </c>
    </row>
    <row r="12">
      <c r="B12" s="156">
        <v>1602.0</v>
      </c>
      <c r="C12" s="157"/>
      <c r="D12" s="157"/>
      <c r="E12" s="157"/>
      <c r="F12" s="157"/>
      <c r="G12" s="157"/>
      <c r="H12" s="157"/>
      <c r="I12" s="157"/>
      <c r="J12" s="157"/>
      <c r="K12" s="157"/>
      <c r="L12" s="157"/>
      <c r="M12" s="157"/>
      <c r="N12" s="157"/>
      <c r="O12" s="157"/>
      <c r="P12" s="157"/>
      <c r="Q12" s="157" t="s">
        <v>102</v>
      </c>
      <c r="V12" s="147" t="s">
        <v>153</v>
      </c>
      <c r="W12" s="169">
        <f>STDEV(W3:W9)</f>
        <v>3.741657387</v>
      </c>
      <c r="X12" s="169"/>
      <c r="Y12" s="169"/>
      <c r="Z12" s="169"/>
      <c r="AA12" s="169"/>
      <c r="AB12" s="169"/>
      <c r="AC12" s="169"/>
      <c r="AD12" s="169"/>
      <c r="AE12" s="169"/>
      <c r="AF12" s="169"/>
      <c r="AG12" s="169"/>
      <c r="AH12" s="169"/>
      <c r="AI12" s="169"/>
      <c r="AJ12" s="169"/>
      <c r="AK12" s="169"/>
      <c r="AL12" s="169"/>
      <c r="AM12" s="169"/>
      <c r="AN12" s="169">
        <f>STDEV(AN3:AN9)</f>
        <v>3.199702367</v>
      </c>
      <c r="AO12" s="158"/>
      <c r="AP12" s="158"/>
      <c r="AQ12" s="158"/>
      <c r="AR12" s="158"/>
      <c r="AS12" s="158"/>
      <c r="AT12" s="158"/>
      <c r="AU12" s="158"/>
      <c r="AV12" s="158"/>
      <c r="AW12" s="158"/>
      <c r="AX12" s="158"/>
      <c r="AY12" s="158"/>
      <c r="AZ12" s="158"/>
      <c r="BA12" s="169">
        <f>STDEV(BA3:BA9)</f>
        <v>6.210590034</v>
      </c>
      <c r="BB12" s="159">
        <f t="shared" si="2"/>
        <v>0.5152010275</v>
      </c>
    </row>
    <row r="13">
      <c r="B13" s="156">
        <v>1605.0</v>
      </c>
      <c r="C13" s="157"/>
      <c r="D13" s="157"/>
      <c r="E13" s="157"/>
      <c r="F13" s="157"/>
      <c r="G13" s="157"/>
      <c r="H13" s="157"/>
      <c r="I13" s="157"/>
      <c r="J13" s="157"/>
      <c r="K13" s="157"/>
      <c r="L13" s="157"/>
      <c r="M13" s="157"/>
      <c r="N13" s="157"/>
      <c r="O13" s="157"/>
      <c r="P13" s="157"/>
      <c r="Q13" s="157" t="s">
        <v>154</v>
      </c>
      <c r="BE13" s="166">
        <v>25.0</v>
      </c>
      <c r="BF13" s="166">
        <v>4510.0</v>
      </c>
      <c r="BG13" s="170">
        <f t="shared" ref="BG13:BG15" si="3">BE13*BF13</f>
        <v>112750</v>
      </c>
      <c r="BH13" s="166">
        <v>25.0</v>
      </c>
      <c r="BI13" s="166">
        <v>4510.0</v>
      </c>
      <c r="BJ13" s="170">
        <f t="shared" ref="BJ13:BJ15" si="4">BH13*BI13</f>
        <v>112750</v>
      </c>
      <c r="BK13" s="166">
        <v>30.0</v>
      </c>
      <c r="BL13" s="166">
        <v>4510.0</v>
      </c>
      <c r="BM13" s="170">
        <f t="shared" ref="BM13:BM15" si="5">BK13*BL13</f>
        <v>135300</v>
      </c>
    </row>
    <row r="14">
      <c r="B14" s="149">
        <v>1608.0</v>
      </c>
      <c r="C14" s="150"/>
      <c r="D14" s="150"/>
      <c r="E14" s="150"/>
      <c r="F14" s="150"/>
      <c r="G14" s="150"/>
      <c r="H14" s="150"/>
      <c r="I14" s="150"/>
      <c r="J14" s="150"/>
      <c r="K14" s="150"/>
      <c r="L14" s="150"/>
      <c r="M14" s="150"/>
      <c r="N14" s="150"/>
      <c r="O14" s="150"/>
      <c r="P14" s="150"/>
      <c r="Q14" s="150" t="s">
        <v>155</v>
      </c>
      <c r="BE14" s="166">
        <v>15.0</v>
      </c>
      <c r="BF14" s="166">
        <v>1400.0</v>
      </c>
      <c r="BG14" s="170">
        <f t="shared" si="3"/>
        <v>21000</v>
      </c>
      <c r="BH14" s="166">
        <v>20.0</v>
      </c>
      <c r="BI14" s="166">
        <v>1400.0</v>
      </c>
      <c r="BJ14" s="170">
        <f t="shared" si="4"/>
        <v>28000</v>
      </c>
      <c r="BK14" s="166">
        <v>30.0</v>
      </c>
      <c r="BL14" s="166">
        <v>1400.0</v>
      </c>
      <c r="BM14" s="170">
        <f t="shared" si="5"/>
        <v>42000</v>
      </c>
    </row>
    <row r="15">
      <c r="B15" s="166" t="s">
        <v>125</v>
      </c>
      <c r="BE15" s="166">
        <v>15.0</v>
      </c>
      <c r="BF15" s="166">
        <v>550.0</v>
      </c>
      <c r="BG15" s="170">
        <f t="shared" si="3"/>
        <v>8250</v>
      </c>
      <c r="BH15" s="166">
        <v>20.0</v>
      </c>
      <c r="BI15" s="166">
        <v>550.0</v>
      </c>
      <c r="BJ15" s="170">
        <f t="shared" si="4"/>
        <v>11000</v>
      </c>
      <c r="BK15" s="166">
        <v>25.0</v>
      </c>
      <c r="BL15" s="166">
        <v>550.0</v>
      </c>
      <c r="BM15" s="170">
        <f t="shared" si="5"/>
        <v>13750</v>
      </c>
    </row>
    <row r="16">
      <c r="BG16" s="170">
        <f>SUM(BG13:BG15)</f>
        <v>142000</v>
      </c>
      <c r="BJ16" s="170">
        <f>SUM(BJ13:BJ15)</f>
        <v>151750</v>
      </c>
      <c r="BM16" s="170">
        <f>SUM(BM13:BM15)</f>
        <v>191050</v>
      </c>
    </row>
    <row r="17">
      <c r="B17" s="149">
        <v>1613.0</v>
      </c>
      <c r="C17" s="150"/>
      <c r="D17" s="150"/>
      <c r="E17" s="150"/>
      <c r="F17" s="150"/>
      <c r="G17" s="150"/>
      <c r="H17" s="150"/>
      <c r="I17" s="150"/>
      <c r="J17" s="150"/>
      <c r="K17" s="150"/>
      <c r="L17" s="150"/>
      <c r="M17" s="150"/>
      <c r="N17" s="150"/>
      <c r="O17" s="150"/>
      <c r="P17" s="150"/>
      <c r="Q17" s="150" t="s">
        <v>156</v>
      </c>
      <c r="V17" s="170">
        <f>AN10/W10</f>
        <v>0.5263157895</v>
      </c>
      <c r="BD17" s="170">
        <f>(BG16-BJ16)/BJ16</f>
        <v>-0.06425041186</v>
      </c>
    </row>
    <row r="18">
      <c r="B18" s="156">
        <v>1615.0</v>
      </c>
      <c r="C18" s="157"/>
      <c r="D18" s="157"/>
      <c r="E18" s="157"/>
      <c r="F18" s="157"/>
      <c r="G18" s="157"/>
      <c r="H18" s="157"/>
      <c r="I18" s="157"/>
      <c r="J18" s="157"/>
      <c r="K18" s="157"/>
      <c r="L18" s="157"/>
      <c r="M18" s="157"/>
      <c r="N18" s="157"/>
      <c r="O18" s="157"/>
      <c r="P18" s="157"/>
      <c r="Q18" s="157" t="s">
        <v>157</v>
      </c>
    </row>
    <row r="19">
      <c r="B19" s="149">
        <v>1616.0</v>
      </c>
      <c r="C19" s="150"/>
      <c r="D19" s="150"/>
      <c r="E19" s="150"/>
      <c r="F19" s="150"/>
      <c r="G19" s="150"/>
      <c r="H19" s="150"/>
      <c r="I19" s="150"/>
      <c r="J19" s="150"/>
      <c r="K19" s="150"/>
      <c r="L19" s="150"/>
      <c r="M19" s="150"/>
      <c r="N19" s="150"/>
      <c r="O19" s="150"/>
      <c r="P19" s="150"/>
      <c r="Q19" s="150" t="s">
        <v>158</v>
      </c>
    </row>
    <row r="20">
      <c r="B20" s="156">
        <v>1617.0</v>
      </c>
      <c r="C20" s="157"/>
      <c r="D20" s="157"/>
      <c r="E20" s="157"/>
      <c r="F20" s="157"/>
      <c r="G20" s="157"/>
      <c r="H20" s="157"/>
      <c r="I20" s="157"/>
      <c r="J20" s="157"/>
      <c r="K20" s="157"/>
      <c r="L20" s="157"/>
      <c r="M20" s="157"/>
      <c r="N20" s="157"/>
      <c r="O20" s="157"/>
      <c r="P20" s="157"/>
      <c r="Q20" s="157" t="s">
        <v>159</v>
      </c>
    </row>
    <row r="21">
      <c r="B21" s="149">
        <v>1618.0</v>
      </c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0"/>
      <c r="O21" s="150"/>
      <c r="P21" s="150"/>
      <c r="Q21" s="150" t="s">
        <v>160</v>
      </c>
    </row>
    <row r="22">
      <c r="B22" s="156">
        <v>1620.0</v>
      </c>
      <c r="C22" s="157"/>
      <c r="D22" s="157"/>
      <c r="E22" s="157"/>
      <c r="F22" s="157"/>
      <c r="G22" s="157"/>
      <c r="H22" s="157"/>
      <c r="I22" s="157"/>
      <c r="J22" s="157"/>
      <c r="K22" s="157"/>
      <c r="L22" s="157"/>
      <c r="M22" s="157"/>
      <c r="N22" s="157"/>
      <c r="O22" s="157"/>
      <c r="P22" s="157"/>
      <c r="Q22" s="157" t="s">
        <v>161</v>
      </c>
    </row>
    <row r="23">
      <c r="B23" s="166" t="s">
        <v>125</v>
      </c>
    </row>
    <row r="25">
      <c r="B25" s="149">
        <v>1621.0</v>
      </c>
      <c r="C25" s="150"/>
      <c r="D25" s="150"/>
      <c r="E25" s="150"/>
      <c r="F25" s="150"/>
      <c r="G25" s="150"/>
      <c r="H25" s="150"/>
      <c r="I25" s="150"/>
      <c r="J25" s="150"/>
      <c r="K25" s="150"/>
      <c r="L25" s="150"/>
      <c r="M25" s="150"/>
      <c r="N25" s="150"/>
      <c r="O25" s="150"/>
      <c r="P25" s="150"/>
      <c r="Q25" s="150" t="s">
        <v>162</v>
      </c>
    </row>
    <row r="26">
      <c r="B26" s="156">
        <v>1622.0</v>
      </c>
      <c r="C26" s="157"/>
      <c r="D26" s="157"/>
      <c r="E26" s="157"/>
      <c r="F26" s="157"/>
      <c r="G26" s="157"/>
      <c r="H26" s="157"/>
      <c r="I26" s="157"/>
      <c r="J26" s="157"/>
      <c r="K26" s="157"/>
      <c r="L26" s="157"/>
      <c r="M26" s="157"/>
      <c r="N26" s="157"/>
      <c r="O26" s="157"/>
      <c r="P26" s="157"/>
      <c r="Q26" s="157" t="s">
        <v>104</v>
      </c>
    </row>
    <row r="27">
      <c r="B27" s="149">
        <v>1623.0</v>
      </c>
      <c r="C27" s="150"/>
      <c r="D27" s="150"/>
      <c r="E27" s="150"/>
      <c r="F27" s="150"/>
      <c r="G27" s="150"/>
      <c r="H27" s="150"/>
      <c r="I27" s="150"/>
      <c r="J27" s="150"/>
      <c r="K27" s="150"/>
      <c r="L27" s="150"/>
      <c r="M27" s="150"/>
      <c r="N27" s="150"/>
      <c r="O27" s="150"/>
      <c r="P27" s="150"/>
      <c r="Q27" s="150" t="s">
        <v>163</v>
      </c>
    </row>
    <row r="28">
      <c r="B28" s="156">
        <v>1624.0</v>
      </c>
      <c r="C28" s="157"/>
      <c r="D28" s="157"/>
      <c r="E28" s="157"/>
      <c r="F28" s="157"/>
      <c r="G28" s="157"/>
      <c r="H28" s="157"/>
      <c r="I28" s="157"/>
      <c r="J28" s="157"/>
      <c r="K28" s="157"/>
      <c r="L28" s="157"/>
      <c r="M28" s="157"/>
      <c r="N28" s="157"/>
      <c r="O28" s="157"/>
      <c r="P28" s="157"/>
      <c r="Q28" s="157" t="s">
        <v>164</v>
      </c>
    </row>
    <row r="29">
      <c r="B29" s="149">
        <v>1625.0</v>
      </c>
      <c r="C29" s="150"/>
      <c r="D29" s="150"/>
      <c r="E29" s="150"/>
      <c r="F29" s="150"/>
      <c r="G29" s="150"/>
      <c r="H29" s="150"/>
      <c r="I29" s="150"/>
      <c r="J29" s="150"/>
      <c r="K29" s="150"/>
      <c r="L29" s="150"/>
      <c r="M29" s="150"/>
      <c r="N29" s="150"/>
      <c r="O29" s="150"/>
      <c r="P29" s="150"/>
      <c r="Q29" s="150" t="s">
        <v>105</v>
      </c>
    </row>
    <row r="30">
      <c r="B30" s="149">
        <v>1627.0</v>
      </c>
      <c r="C30" s="150"/>
      <c r="D30" s="150"/>
      <c r="E30" s="150"/>
      <c r="F30" s="150"/>
      <c r="G30" s="150"/>
      <c r="H30" s="150"/>
      <c r="I30" s="150"/>
      <c r="J30" s="150"/>
      <c r="K30" s="150"/>
      <c r="L30" s="150"/>
      <c r="M30" s="150"/>
      <c r="N30" s="150"/>
      <c r="O30" s="150"/>
      <c r="P30" s="150"/>
      <c r="Q30" s="150" t="s">
        <v>165</v>
      </c>
      <c r="BF30" s="166" t="s">
        <v>166</v>
      </c>
    </row>
    <row r="31">
      <c r="B31" s="156">
        <v>1628.0</v>
      </c>
      <c r="C31" s="157"/>
      <c r="D31" s="157"/>
      <c r="E31" s="157"/>
      <c r="F31" s="157"/>
      <c r="G31" s="157"/>
      <c r="H31" s="157"/>
      <c r="I31" s="157"/>
      <c r="J31" s="157"/>
      <c r="K31" s="157"/>
      <c r="L31" s="157"/>
      <c r="M31" s="157"/>
      <c r="N31" s="157"/>
      <c r="O31" s="157"/>
      <c r="P31" s="157"/>
      <c r="Q31" s="157" t="s">
        <v>167</v>
      </c>
    </row>
    <row r="32">
      <c r="B32" s="149">
        <v>1630.0</v>
      </c>
      <c r="C32" s="150"/>
      <c r="D32" s="150"/>
      <c r="E32" s="150"/>
      <c r="F32" s="150"/>
      <c r="G32" s="150"/>
      <c r="H32" s="150"/>
      <c r="I32" s="150"/>
      <c r="J32" s="150"/>
      <c r="K32" s="150"/>
      <c r="L32" s="150"/>
      <c r="M32" s="150"/>
      <c r="N32" s="150"/>
      <c r="O32" s="150"/>
      <c r="P32" s="150"/>
      <c r="Q32" s="150" t="s">
        <v>168</v>
      </c>
    </row>
    <row r="33">
      <c r="B33" s="156">
        <v>1631.0</v>
      </c>
      <c r="C33" s="157"/>
      <c r="D33" s="157"/>
      <c r="E33" s="157"/>
      <c r="F33" s="157"/>
      <c r="G33" s="157"/>
      <c r="H33" s="157"/>
      <c r="I33" s="157"/>
      <c r="J33" s="157"/>
      <c r="K33" s="157"/>
      <c r="L33" s="157"/>
      <c r="M33" s="157"/>
      <c r="N33" s="157"/>
      <c r="O33" s="157"/>
      <c r="P33" s="157"/>
      <c r="Q33" s="157" t="s">
        <v>169</v>
      </c>
    </row>
    <row r="34">
      <c r="B34" s="166" t="s">
        <v>125</v>
      </c>
    </row>
    <row r="36">
      <c r="B36" s="171">
        <v>1634.0</v>
      </c>
      <c r="C36" s="172"/>
      <c r="D36" s="172"/>
      <c r="E36" s="172"/>
      <c r="F36" s="172"/>
      <c r="G36" s="172"/>
      <c r="H36" s="172"/>
      <c r="I36" s="172"/>
      <c r="J36" s="172"/>
      <c r="K36" s="172"/>
      <c r="L36" s="172"/>
      <c r="M36" s="172"/>
      <c r="N36" s="172"/>
      <c r="O36" s="172"/>
      <c r="P36" s="172"/>
      <c r="Q36" s="172" t="s">
        <v>170</v>
      </c>
    </row>
    <row r="37">
      <c r="B37" s="156">
        <v>1635.0</v>
      </c>
      <c r="C37" s="157"/>
      <c r="D37" s="157"/>
      <c r="E37" s="157"/>
      <c r="F37" s="157"/>
      <c r="G37" s="157"/>
      <c r="H37" s="157"/>
      <c r="I37" s="157"/>
      <c r="J37" s="157"/>
      <c r="K37" s="157"/>
      <c r="L37" s="157"/>
      <c r="M37" s="157"/>
      <c r="N37" s="157"/>
      <c r="O37" s="157"/>
      <c r="P37" s="157"/>
      <c r="Q37" s="157" t="s">
        <v>171</v>
      </c>
    </row>
    <row r="38">
      <c r="B38" s="149">
        <v>1636.0</v>
      </c>
      <c r="C38" s="167"/>
      <c r="D38" s="167"/>
      <c r="E38" s="167"/>
      <c r="F38" s="167"/>
      <c r="G38" s="167"/>
      <c r="H38" s="167"/>
      <c r="I38" s="167"/>
      <c r="J38" s="167"/>
      <c r="K38" s="167"/>
      <c r="L38" s="167"/>
      <c r="M38" s="167"/>
      <c r="N38" s="167"/>
      <c r="O38" s="167"/>
      <c r="P38" s="167"/>
      <c r="Q38" s="167" t="s">
        <v>172</v>
      </c>
    </row>
    <row r="39">
      <c r="B39" s="156">
        <v>1637.0</v>
      </c>
      <c r="C39" s="157"/>
      <c r="D39" s="157"/>
      <c r="E39" s="157"/>
      <c r="F39" s="157"/>
      <c r="G39" s="157"/>
      <c r="H39" s="157"/>
      <c r="I39" s="157"/>
      <c r="J39" s="157"/>
      <c r="K39" s="157"/>
      <c r="L39" s="157"/>
      <c r="M39" s="157"/>
      <c r="N39" s="157"/>
      <c r="O39" s="157"/>
      <c r="P39" s="157"/>
      <c r="Q39" s="157" t="s">
        <v>173</v>
      </c>
    </row>
    <row r="40">
      <c r="B40" s="166" t="s">
        <v>125</v>
      </c>
    </row>
    <row r="41">
      <c r="B41" s="149"/>
      <c r="C41" s="150"/>
      <c r="D41" s="150"/>
      <c r="E41" s="150"/>
      <c r="F41" s="150"/>
      <c r="G41" s="150"/>
      <c r="H41" s="150"/>
      <c r="I41" s="150"/>
      <c r="J41" s="150"/>
      <c r="K41" s="150"/>
      <c r="L41" s="150"/>
      <c r="M41" s="150"/>
      <c r="N41" s="150"/>
      <c r="O41" s="150"/>
      <c r="P41" s="150"/>
      <c r="Q41" s="150"/>
      <c r="BF41" s="166" t="s">
        <v>174</v>
      </c>
    </row>
    <row r="42">
      <c r="B42" s="156">
        <v>1639.0</v>
      </c>
      <c r="C42" s="157"/>
      <c r="D42" s="157"/>
      <c r="E42" s="157"/>
      <c r="F42" s="157"/>
      <c r="G42" s="157"/>
      <c r="H42" s="157"/>
      <c r="I42" s="157"/>
      <c r="J42" s="157"/>
      <c r="K42" s="157"/>
      <c r="L42" s="157"/>
      <c r="M42" s="157"/>
      <c r="N42" s="157"/>
      <c r="O42" s="157"/>
      <c r="P42" s="157"/>
      <c r="Q42" s="157" t="s">
        <v>175</v>
      </c>
      <c r="BQ42" s="173">
        <f t="shared" ref="BQ42:BQ98" si="6">RAND()</f>
        <v>0.120545971</v>
      </c>
    </row>
    <row r="43">
      <c r="B43" s="149">
        <v>1640.0</v>
      </c>
      <c r="C43" s="150"/>
      <c r="D43" s="150"/>
      <c r="E43" s="150"/>
      <c r="F43" s="150"/>
      <c r="G43" s="150"/>
      <c r="H43" s="150"/>
      <c r="I43" s="150"/>
      <c r="J43" s="150"/>
      <c r="K43" s="150"/>
      <c r="L43" s="150"/>
      <c r="M43" s="150"/>
      <c r="N43" s="150"/>
      <c r="O43" s="150"/>
      <c r="P43" s="150"/>
      <c r="Q43" s="150" t="s">
        <v>176</v>
      </c>
      <c r="BQ43" s="173">
        <f t="shared" si="6"/>
        <v>0.1156364982</v>
      </c>
    </row>
    <row r="44">
      <c r="B44" s="156">
        <v>1641.0</v>
      </c>
      <c r="C44" s="157"/>
      <c r="D44" s="157"/>
      <c r="E44" s="157"/>
      <c r="F44" s="157"/>
      <c r="G44" s="157"/>
      <c r="H44" s="157"/>
      <c r="I44" s="157"/>
      <c r="J44" s="157"/>
      <c r="K44" s="157"/>
      <c r="L44" s="157"/>
      <c r="M44" s="157"/>
      <c r="N44" s="157"/>
      <c r="O44" s="157"/>
      <c r="P44" s="157"/>
      <c r="Q44" s="157" t="s">
        <v>177</v>
      </c>
      <c r="X44" s="166"/>
      <c r="Y44" s="166"/>
      <c r="Z44" s="166"/>
      <c r="AA44" s="166"/>
      <c r="AB44" s="166"/>
      <c r="AC44" s="166"/>
      <c r="AD44" s="166"/>
      <c r="AE44" s="166"/>
      <c r="AF44" s="166"/>
      <c r="AG44" s="166"/>
      <c r="AH44" s="166"/>
      <c r="AI44" s="166"/>
      <c r="AJ44" s="166"/>
      <c r="AK44" s="166"/>
      <c r="AL44" s="166"/>
      <c r="AM44" s="166"/>
      <c r="AN44" s="166" t="s">
        <v>127</v>
      </c>
      <c r="AO44" s="166"/>
      <c r="AP44" s="166"/>
      <c r="AQ44" s="166"/>
      <c r="AR44" s="166"/>
      <c r="AS44" s="166"/>
      <c r="AT44" s="166"/>
      <c r="AU44" s="166"/>
      <c r="AV44" s="166"/>
      <c r="AW44" s="166"/>
      <c r="AX44" s="166"/>
      <c r="AY44" s="166"/>
      <c r="AZ44" s="166">
        <v>2.0</v>
      </c>
      <c r="BQ44" s="173">
        <f t="shared" si="6"/>
        <v>0.6703145909</v>
      </c>
    </row>
    <row r="45">
      <c r="B45" s="149">
        <v>1642.0</v>
      </c>
      <c r="C45" s="150"/>
      <c r="D45" s="150"/>
      <c r="E45" s="150"/>
      <c r="F45" s="150"/>
      <c r="G45" s="150"/>
      <c r="H45" s="150"/>
      <c r="I45" s="150"/>
      <c r="J45" s="150"/>
      <c r="K45" s="150"/>
      <c r="L45" s="150"/>
      <c r="M45" s="150"/>
      <c r="N45" s="150"/>
      <c r="O45" s="150"/>
      <c r="P45" s="150"/>
      <c r="Q45" s="150" t="s">
        <v>178</v>
      </c>
      <c r="X45" s="155"/>
      <c r="Y45" s="155"/>
      <c r="Z45" s="155"/>
      <c r="AA45" s="155"/>
      <c r="AB45" s="155"/>
      <c r="AC45" s="155"/>
      <c r="AD45" s="155"/>
      <c r="AE45" s="155"/>
      <c r="AF45" s="155"/>
      <c r="AG45" s="155"/>
      <c r="AH45" s="155"/>
      <c r="AI45" s="155"/>
      <c r="AJ45" s="155"/>
      <c r="AK45" s="155"/>
      <c r="AL45" s="155"/>
      <c r="AM45" s="155"/>
      <c r="AN45" s="155" t="s">
        <v>44</v>
      </c>
      <c r="AO45" s="155"/>
      <c r="AP45" s="155"/>
      <c r="AQ45" s="155"/>
      <c r="AR45" s="155"/>
      <c r="AS45" s="155"/>
      <c r="AT45" s="155"/>
      <c r="AU45" s="155"/>
      <c r="AV45" s="155"/>
      <c r="AW45" s="155"/>
      <c r="AX45" s="155"/>
      <c r="AY45" s="155"/>
      <c r="AZ45" s="155">
        <v>11.0</v>
      </c>
      <c r="BQ45" s="173">
        <f t="shared" si="6"/>
        <v>0.6698492487</v>
      </c>
    </row>
    <row r="46">
      <c r="B46" s="156">
        <v>1643.0</v>
      </c>
      <c r="C46" s="157"/>
      <c r="D46" s="157"/>
      <c r="E46" s="157"/>
      <c r="F46" s="157"/>
      <c r="G46" s="157"/>
      <c r="H46" s="157"/>
      <c r="I46" s="157"/>
      <c r="J46" s="157"/>
      <c r="K46" s="157"/>
      <c r="L46" s="157"/>
      <c r="M46" s="157"/>
      <c r="N46" s="157"/>
      <c r="O46" s="157"/>
      <c r="P46" s="157"/>
      <c r="Q46" s="157" t="s">
        <v>179</v>
      </c>
      <c r="X46" s="155"/>
      <c r="Y46" s="155"/>
      <c r="Z46" s="155"/>
      <c r="AA46" s="155"/>
      <c r="AB46" s="155"/>
      <c r="AC46" s="155"/>
      <c r="AD46" s="155"/>
      <c r="AE46" s="155"/>
      <c r="AF46" s="155"/>
      <c r="AG46" s="155"/>
      <c r="AH46" s="155"/>
      <c r="AI46" s="155"/>
      <c r="AJ46" s="155"/>
      <c r="AK46" s="155"/>
      <c r="AL46" s="155"/>
      <c r="AM46" s="155"/>
      <c r="AN46" s="155" t="s">
        <v>180</v>
      </c>
      <c r="AO46" s="166"/>
      <c r="AP46" s="166"/>
      <c r="AQ46" s="166"/>
      <c r="AR46" s="166"/>
      <c r="AS46" s="166"/>
      <c r="AT46" s="166"/>
      <c r="AU46" s="166"/>
      <c r="AV46" s="166"/>
      <c r="AW46" s="166"/>
      <c r="AX46" s="166"/>
      <c r="AY46" s="166"/>
      <c r="AZ46" s="166">
        <v>9.0</v>
      </c>
      <c r="BQ46" s="173">
        <f t="shared" si="6"/>
        <v>0.3071595089</v>
      </c>
    </row>
    <row r="47">
      <c r="B47" s="149">
        <v>1644.0</v>
      </c>
      <c r="C47" s="150"/>
      <c r="D47" s="150"/>
      <c r="E47" s="150"/>
      <c r="F47" s="150"/>
      <c r="G47" s="150"/>
      <c r="H47" s="150"/>
      <c r="I47" s="150"/>
      <c r="J47" s="150"/>
      <c r="K47" s="150"/>
      <c r="L47" s="150"/>
      <c r="M47" s="150"/>
      <c r="N47" s="150"/>
      <c r="O47" s="150"/>
      <c r="P47" s="150"/>
      <c r="Q47" s="150" t="s">
        <v>181</v>
      </c>
      <c r="X47" s="155"/>
      <c r="Y47" s="155"/>
      <c r="Z47" s="155"/>
      <c r="AA47" s="155"/>
      <c r="AB47" s="155"/>
      <c r="AC47" s="155"/>
      <c r="AD47" s="155"/>
      <c r="AE47" s="155"/>
      <c r="AF47" s="155"/>
      <c r="AG47" s="155"/>
      <c r="AH47" s="155"/>
      <c r="AI47" s="155"/>
      <c r="AJ47" s="155"/>
      <c r="AK47" s="155"/>
      <c r="AL47" s="155"/>
      <c r="AM47" s="155"/>
      <c r="AN47" s="155" t="s">
        <v>45</v>
      </c>
      <c r="AO47" s="155"/>
      <c r="AP47" s="155"/>
      <c r="AQ47" s="155"/>
      <c r="AR47" s="155"/>
      <c r="AS47" s="155"/>
      <c r="AT47" s="155"/>
      <c r="AU47" s="155"/>
      <c r="AV47" s="155"/>
      <c r="AW47" s="155"/>
      <c r="AX47" s="155"/>
      <c r="AY47" s="155"/>
      <c r="AZ47" s="155">
        <v>6.0</v>
      </c>
      <c r="BQ47" s="173">
        <f t="shared" si="6"/>
        <v>0.9515612172</v>
      </c>
    </row>
    <row r="48">
      <c r="B48" s="156">
        <v>1645.0</v>
      </c>
      <c r="C48" s="157"/>
      <c r="D48" s="157"/>
      <c r="E48" s="157"/>
      <c r="F48" s="157"/>
      <c r="G48" s="157"/>
      <c r="H48" s="157"/>
      <c r="I48" s="157"/>
      <c r="J48" s="157"/>
      <c r="K48" s="157"/>
      <c r="L48" s="157"/>
      <c r="M48" s="157"/>
      <c r="N48" s="157"/>
      <c r="O48" s="157"/>
      <c r="P48" s="157"/>
      <c r="Q48" s="157" t="s">
        <v>182</v>
      </c>
      <c r="X48" s="166"/>
      <c r="Y48" s="166"/>
      <c r="Z48" s="166"/>
      <c r="AA48" s="166"/>
      <c r="AB48" s="166"/>
      <c r="AC48" s="166"/>
      <c r="AD48" s="166"/>
      <c r="AE48" s="166"/>
      <c r="AF48" s="166"/>
      <c r="AG48" s="166"/>
      <c r="AH48" s="166"/>
      <c r="AI48" s="166"/>
      <c r="AJ48" s="166"/>
      <c r="AK48" s="166"/>
      <c r="AL48" s="166"/>
      <c r="AM48" s="166"/>
      <c r="AN48" s="166" t="s">
        <v>183</v>
      </c>
      <c r="AO48" s="166"/>
      <c r="AP48" s="166"/>
      <c r="AQ48" s="166"/>
      <c r="AR48" s="166"/>
      <c r="AS48" s="166"/>
      <c r="AT48" s="166"/>
      <c r="AU48" s="166"/>
      <c r="AV48" s="166"/>
      <c r="AW48" s="166"/>
      <c r="AX48" s="166"/>
      <c r="AY48" s="166"/>
      <c r="AZ48" s="166">
        <v>4.0</v>
      </c>
      <c r="BQ48" s="173">
        <f t="shared" si="6"/>
        <v>0.9706261697</v>
      </c>
    </row>
    <row r="49">
      <c r="B49" s="149">
        <v>1646.0</v>
      </c>
      <c r="C49" s="150"/>
      <c r="D49" s="150"/>
      <c r="E49" s="150"/>
      <c r="F49" s="150"/>
      <c r="G49" s="150"/>
      <c r="H49" s="150"/>
      <c r="I49" s="150"/>
      <c r="J49" s="150"/>
      <c r="K49" s="150"/>
      <c r="L49" s="150"/>
      <c r="M49" s="150"/>
      <c r="N49" s="150"/>
      <c r="O49" s="150"/>
      <c r="P49" s="150"/>
      <c r="Q49" s="150" t="s">
        <v>184</v>
      </c>
      <c r="X49" s="155"/>
      <c r="Y49" s="155"/>
      <c r="Z49" s="155"/>
      <c r="AA49" s="155"/>
      <c r="AB49" s="155"/>
      <c r="AC49" s="155"/>
      <c r="AD49" s="155"/>
      <c r="AE49" s="155"/>
      <c r="AF49" s="155"/>
      <c r="AG49" s="155"/>
      <c r="AH49" s="155"/>
      <c r="AI49" s="155"/>
      <c r="AJ49" s="155"/>
      <c r="AK49" s="155"/>
      <c r="AL49" s="155"/>
      <c r="AM49" s="155"/>
      <c r="AN49" s="155" t="s">
        <v>46</v>
      </c>
      <c r="AO49" s="155"/>
      <c r="AP49" s="155"/>
      <c r="AQ49" s="155"/>
      <c r="AR49" s="155"/>
      <c r="AS49" s="155"/>
      <c r="AT49" s="155"/>
      <c r="AU49" s="155"/>
      <c r="AV49" s="155"/>
      <c r="AW49" s="155"/>
      <c r="AX49" s="155"/>
      <c r="AY49" s="155"/>
      <c r="AZ49" s="155">
        <v>9.0</v>
      </c>
      <c r="BQ49" s="173">
        <f t="shared" si="6"/>
        <v>0.01115473797</v>
      </c>
    </row>
    <row r="50">
      <c r="B50" s="156">
        <v>1647.0</v>
      </c>
      <c r="C50" s="157"/>
      <c r="D50" s="157"/>
      <c r="E50" s="157"/>
      <c r="F50" s="157"/>
      <c r="G50" s="157"/>
      <c r="H50" s="157"/>
      <c r="I50" s="157"/>
      <c r="J50" s="157"/>
      <c r="K50" s="157"/>
      <c r="L50" s="157"/>
      <c r="M50" s="157"/>
      <c r="N50" s="157"/>
      <c r="O50" s="157"/>
      <c r="P50" s="157"/>
      <c r="Q50" s="157" t="s">
        <v>185</v>
      </c>
      <c r="X50" s="166"/>
      <c r="Y50" s="166"/>
      <c r="Z50" s="166"/>
      <c r="AA50" s="166"/>
      <c r="AB50" s="166"/>
      <c r="AC50" s="166"/>
      <c r="AD50" s="166"/>
      <c r="AE50" s="166"/>
      <c r="AF50" s="166"/>
      <c r="AG50" s="166"/>
      <c r="AH50" s="166"/>
      <c r="AI50" s="166"/>
      <c r="AJ50" s="166"/>
      <c r="AK50" s="166"/>
      <c r="AL50" s="166"/>
      <c r="AM50" s="166"/>
      <c r="AN50" s="166" t="s">
        <v>186</v>
      </c>
      <c r="AO50" s="166"/>
      <c r="AP50" s="166"/>
      <c r="AQ50" s="166"/>
      <c r="AR50" s="166"/>
      <c r="AS50" s="166"/>
      <c r="AT50" s="166"/>
      <c r="AU50" s="166"/>
      <c r="AV50" s="166"/>
      <c r="AW50" s="166"/>
      <c r="AX50" s="166"/>
      <c r="AY50" s="166"/>
      <c r="AZ50" s="166">
        <v>4.0</v>
      </c>
      <c r="BQ50" s="173">
        <f t="shared" si="6"/>
        <v>0.198809818</v>
      </c>
    </row>
    <row r="51">
      <c r="B51" s="149">
        <v>1648.0</v>
      </c>
      <c r="C51" s="150"/>
      <c r="D51" s="150"/>
      <c r="E51" s="150"/>
      <c r="F51" s="150"/>
      <c r="G51" s="150"/>
      <c r="H51" s="150"/>
      <c r="I51" s="150"/>
      <c r="J51" s="150"/>
      <c r="K51" s="150"/>
      <c r="L51" s="150"/>
      <c r="M51" s="150"/>
      <c r="N51" s="150"/>
      <c r="O51" s="150"/>
      <c r="P51" s="150"/>
      <c r="Q51" s="150" t="s">
        <v>187</v>
      </c>
      <c r="X51" s="155"/>
      <c r="Y51" s="155"/>
      <c r="Z51" s="155"/>
      <c r="AA51" s="155"/>
      <c r="AB51" s="155"/>
      <c r="AC51" s="155"/>
      <c r="AD51" s="155"/>
      <c r="AE51" s="155"/>
      <c r="AF51" s="155"/>
      <c r="AG51" s="155"/>
      <c r="AH51" s="155"/>
      <c r="AI51" s="155"/>
      <c r="AJ51" s="155"/>
      <c r="AK51" s="155"/>
      <c r="AL51" s="155"/>
      <c r="AM51" s="155"/>
      <c r="AN51" s="155" t="s">
        <v>47</v>
      </c>
      <c r="AO51" s="155"/>
      <c r="AP51" s="155"/>
      <c r="AQ51" s="155"/>
      <c r="AR51" s="155"/>
      <c r="AS51" s="155"/>
      <c r="AT51" s="155"/>
      <c r="AU51" s="155"/>
      <c r="AV51" s="155"/>
      <c r="AW51" s="155"/>
      <c r="AX51" s="155"/>
      <c r="AY51" s="155"/>
      <c r="AZ51" s="155">
        <v>4.0</v>
      </c>
      <c r="BQ51" s="173">
        <f t="shared" si="6"/>
        <v>0.2583759672</v>
      </c>
    </row>
    <row r="52">
      <c r="B52" s="149">
        <v>1650.0</v>
      </c>
      <c r="C52" s="150"/>
      <c r="D52" s="150"/>
      <c r="E52" s="150"/>
      <c r="F52" s="150"/>
      <c r="G52" s="150"/>
      <c r="H52" s="150"/>
      <c r="I52" s="150"/>
      <c r="J52" s="150"/>
      <c r="K52" s="150"/>
      <c r="L52" s="150"/>
      <c r="M52" s="150"/>
      <c r="N52" s="150"/>
      <c r="O52" s="150"/>
      <c r="P52" s="150"/>
      <c r="Q52" s="150" t="s">
        <v>188</v>
      </c>
      <c r="X52" s="166"/>
      <c r="Y52" s="166"/>
      <c r="Z52" s="166"/>
      <c r="AA52" s="166"/>
      <c r="AB52" s="166"/>
      <c r="AC52" s="166"/>
      <c r="AD52" s="166"/>
      <c r="AE52" s="166"/>
      <c r="AF52" s="166"/>
      <c r="AG52" s="166"/>
      <c r="AH52" s="166"/>
      <c r="AI52" s="166"/>
      <c r="AJ52" s="166"/>
      <c r="AK52" s="166"/>
      <c r="AL52" s="166"/>
      <c r="AM52" s="166"/>
      <c r="AN52" s="166" t="s">
        <v>189</v>
      </c>
      <c r="AO52" s="166"/>
      <c r="AP52" s="166"/>
      <c r="AQ52" s="166"/>
      <c r="AR52" s="166"/>
      <c r="AS52" s="166"/>
      <c r="AT52" s="166"/>
      <c r="AU52" s="166"/>
      <c r="AV52" s="166"/>
      <c r="AW52" s="166"/>
      <c r="AX52" s="166"/>
      <c r="AY52" s="166"/>
      <c r="AZ52" s="166">
        <v>1.0</v>
      </c>
      <c r="BQ52" s="173">
        <f t="shared" si="6"/>
        <v>0.1918344297</v>
      </c>
    </row>
    <row r="53">
      <c r="B53" s="166" t="s">
        <v>125</v>
      </c>
      <c r="C53" s="174"/>
      <c r="D53" s="174"/>
      <c r="E53" s="174"/>
      <c r="F53" s="174"/>
      <c r="G53" s="174"/>
      <c r="H53" s="174"/>
      <c r="I53" s="174"/>
      <c r="J53" s="174"/>
      <c r="K53" s="174"/>
      <c r="L53" s="174"/>
      <c r="M53" s="174"/>
      <c r="N53" s="174"/>
      <c r="O53" s="174"/>
      <c r="P53" s="174"/>
      <c r="Q53" s="150"/>
      <c r="X53" s="155"/>
      <c r="Y53" s="155"/>
      <c r="Z53" s="155"/>
      <c r="AA53" s="155"/>
      <c r="AB53" s="155"/>
      <c r="AC53" s="155"/>
      <c r="AD53" s="155"/>
      <c r="AE53" s="155"/>
      <c r="AF53" s="155"/>
      <c r="AG53" s="155"/>
      <c r="AH53" s="155"/>
      <c r="AI53" s="155"/>
      <c r="AJ53" s="155"/>
      <c r="AK53" s="155"/>
      <c r="AL53" s="155"/>
      <c r="AM53" s="155"/>
      <c r="AN53" s="155" t="s">
        <v>48</v>
      </c>
      <c r="AO53" s="155"/>
      <c r="AP53" s="155"/>
      <c r="AQ53" s="155"/>
      <c r="AR53" s="155"/>
      <c r="AS53" s="155"/>
      <c r="AT53" s="155"/>
      <c r="AU53" s="155"/>
      <c r="AV53" s="155"/>
      <c r="AW53" s="155"/>
      <c r="AX53" s="155"/>
      <c r="AY53" s="155"/>
      <c r="AZ53" s="155">
        <v>11.0</v>
      </c>
      <c r="BQ53" s="173">
        <f t="shared" si="6"/>
        <v>0.8735079979</v>
      </c>
    </row>
    <row r="54">
      <c r="B54" s="149"/>
      <c r="C54" s="150"/>
      <c r="D54" s="150"/>
      <c r="E54" s="150"/>
      <c r="F54" s="150"/>
      <c r="G54" s="150"/>
      <c r="H54" s="150"/>
      <c r="I54" s="150"/>
      <c r="J54" s="150"/>
      <c r="K54" s="150"/>
      <c r="L54" s="150"/>
      <c r="M54" s="150"/>
      <c r="N54" s="150"/>
      <c r="O54" s="150"/>
      <c r="P54" s="150"/>
      <c r="Q54" s="150"/>
      <c r="X54" s="166"/>
      <c r="Y54" s="166"/>
      <c r="Z54" s="166"/>
      <c r="AA54" s="166"/>
      <c r="AB54" s="166"/>
      <c r="AC54" s="166"/>
      <c r="AD54" s="166"/>
      <c r="AE54" s="166"/>
      <c r="AF54" s="166"/>
      <c r="AG54" s="166"/>
      <c r="AH54" s="166"/>
      <c r="AI54" s="166"/>
      <c r="AJ54" s="166"/>
      <c r="AK54" s="166"/>
      <c r="AL54" s="166"/>
      <c r="AM54" s="166"/>
      <c r="AN54" s="166" t="s">
        <v>190</v>
      </c>
      <c r="AO54" s="166"/>
      <c r="AP54" s="166"/>
      <c r="AQ54" s="166"/>
      <c r="AR54" s="166"/>
      <c r="AS54" s="166"/>
      <c r="AT54" s="166"/>
      <c r="AU54" s="166"/>
      <c r="AV54" s="166"/>
      <c r="AW54" s="166"/>
      <c r="AX54" s="166"/>
      <c r="AY54" s="166"/>
      <c r="AZ54" s="166">
        <v>2.0</v>
      </c>
      <c r="BQ54" s="173">
        <f t="shared" si="6"/>
        <v>0.812750098</v>
      </c>
    </row>
    <row r="55">
      <c r="B55" s="166">
        <v>1652.0</v>
      </c>
      <c r="C55" s="166"/>
      <c r="D55" s="166"/>
      <c r="E55" s="166"/>
      <c r="F55" s="166"/>
      <c r="G55" s="166"/>
      <c r="H55" s="166"/>
      <c r="I55" s="166"/>
      <c r="J55" s="166"/>
      <c r="K55" s="166"/>
      <c r="L55" s="166"/>
      <c r="M55" s="166"/>
      <c r="N55" s="166"/>
      <c r="O55" s="166"/>
      <c r="P55" s="166"/>
      <c r="Q55" s="166" t="s">
        <v>191</v>
      </c>
      <c r="X55" s="155"/>
      <c r="Y55" s="155"/>
      <c r="Z55" s="155"/>
      <c r="AA55" s="155"/>
      <c r="AB55" s="155"/>
      <c r="AC55" s="155"/>
      <c r="AD55" s="155"/>
      <c r="AE55" s="155"/>
      <c r="AF55" s="155"/>
      <c r="AG55" s="155"/>
      <c r="AH55" s="155"/>
      <c r="AI55" s="155"/>
      <c r="AJ55" s="155"/>
      <c r="AK55" s="155"/>
      <c r="AL55" s="155"/>
      <c r="AM55" s="155"/>
      <c r="AN55" s="155" t="s">
        <v>49</v>
      </c>
      <c r="AO55" s="155"/>
      <c r="AP55" s="155"/>
      <c r="AQ55" s="155"/>
      <c r="AR55" s="155"/>
      <c r="AS55" s="155"/>
      <c r="AT55" s="155"/>
      <c r="AU55" s="155"/>
      <c r="AV55" s="155"/>
      <c r="AW55" s="155"/>
      <c r="AX55" s="155"/>
      <c r="AY55" s="155"/>
      <c r="AZ55" s="155">
        <v>4.0</v>
      </c>
      <c r="BQ55" s="173">
        <f t="shared" si="6"/>
        <v>0.7834849135</v>
      </c>
    </row>
    <row r="56">
      <c r="B56" s="166">
        <v>1653.0</v>
      </c>
      <c r="C56" s="166"/>
      <c r="D56" s="166"/>
      <c r="E56" s="166"/>
      <c r="F56" s="166"/>
      <c r="G56" s="166"/>
      <c r="H56" s="166"/>
      <c r="I56" s="166"/>
      <c r="J56" s="166"/>
      <c r="K56" s="166"/>
      <c r="L56" s="166"/>
      <c r="M56" s="166"/>
      <c r="N56" s="166"/>
      <c r="O56" s="166"/>
      <c r="P56" s="166"/>
      <c r="Q56" s="166" t="s">
        <v>192</v>
      </c>
      <c r="X56" s="166"/>
      <c r="Y56" s="166"/>
      <c r="Z56" s="166"/>
      <c r="AA56" s="166"/>
      <c r="AB56" s="166"/>
      <c r="AC56" s="166"/>
      <c r="AD56" s="166"/>
      <c r="AE56" s="166"/>
      <c r="AF56" s="166"/>
      <c r="AG56" s="166"/>
      <c r="AH56" s="166"/>
      <c r="AI56" s="166"/>
      <c r="AJ56" s="166"/>
      <c r="AK56" s="166"/>
      <c r="AL56" s="166"/>
      <c r="AM56" s="166"/>
      <c r="AN56" s="166" t="s">
        <v>193</v>
      </c>
      <c r="AO56" s="166"/>
      <c r="AP56" s="166"/>
      <c r="AQ56" s="166"/>
      <c r="AR56" s="166"/>
      <c r="AS56" s="166"/>
      <c r="AT56" s="166"/>
      <c r="AU56" s="166"/>
      <c r="AV56" s="166"/>
      <c r="AW56" s="166"/>
      <c r="AX56" s="166"/>
      <c r="AY56" s="166"/>
      <c r="AZ56" s="166">
        <v>0.0</v>
      </c>
      <c r="BQ56" s="173">
        <f t="shared" si="6"/>
        <v>0.2497974435</v>
      </c>
    </row>
    <row r="57">
      <c r="B57" s="166">
        <v>1654.0</v>
      </c>
      <c r="C57" s="166"/>
      <c r="D57" s="166"/>
      <c r="E57" s="166"/>
      <c r="F57" s="166"/>
      <c r="G57" s="166"/>
      <c r="H57" s="166"/>
      <c r="I57" s="166"/>
      <c r="J57" s="166"/>
      <c r="K57" s="166"/>
      <c r="L57" s="166"/>
      <c r="M57" s="166"/>
      <c r="N57" s="166"/>
      <c r="O57" s="166"/>
      <c r="P57" s="166"/>
      <c r="Q57" s="166" t="s">
        <v>194</v>
      </c>
      <c r="X57" s="155"/>
      <c r="Y57" s="155"/>
      <c r="Z57" s="155"/>
      <c r="AA57" s="155"/>
      <c r="AB57" s="155"/>
      <c r="AC57" s="155"/>
      <c r="AD57" s="155"/>
      <c r="AE57" s="155"/>
      <c r="AF57" s="155"/>
      <c r="AG57" s="155"/>
      <c r="AH57" s="155"/>
      <c r="AI57" s="155"/>
      <c r="AJ57" s="155"/>
      <c r="AK57" s="155"/>
      <c r="AL57" s="155"/>
      <c r="AM57" s="155"/>
      <c r="AN57" s="155" t="s">
        <v>50</v>
      </c>
      <c r="AO57" s="155"/>
      <c r="AP57" s="155"/>
      <c r="AQ57" s="155"/>
      <c r="AR57" s="155"/>
      <c r="AS57" s="155"/>
      <c r="AT57" s="155"/>
      <c r="AU57" s="155"/>
      <c r="AV57" s="155"/>
      <c r="AW57" s="155"/>
      <c r="AX57" s="155"/>
      <c r="AY57" s="155"/>
      <c r="AZ57" s="155">
        <v>13.0</v>
      </c>
      <c r="BQ57" s="173">
        <f t="shared" si="6"/>
        <v>0.02373628573</v>
      </c>
    </row>
    <row r="58">
      <c r="B58" s="175">
        <v>1655.0</v>
      </c>
      <c r="C58" s="166"/>
      <c r="D58" s="166"/>
      <c r="E58" s="166"/>
      <c r="F58" s="166"/>
      <c r="G58" s="166"/>
      <c r="H58" s="166"/>
      <c r="I58" s="166"/>
      <c r="J58" s="166"/>
      <c r="K58" s="166"/>
      <c r="L58" s="166"/>
      <c r="M58" s="166"/>
      <c r="N58" s="166"/>
      <c r="O58" s="166"/>
      <c r="P58" s="166"/>
      <c r="Q58" s="166" t="s">
        <v>195</v>
      </c>
      <c r="X58" s="155"/>
      <c r="Y58" s="155"/>
      <c r="Z58" s="155"/>
      <c r="AA58" s="155"/>
      <c r="AB58" s="155"/>
      <c r="AC58" s="155"/>
      <c r="AD58" s="155"/>
      <c r="AE58" s="155"/>
      <c r="AF58" s="155"/>
      <c r="AG58" s="155"/>
      <c r="AH58" s="155"/>
      <c r="AI58" s="155"/>
      <c r="AJ58" s="155"/>
      <c r="AK58" s="155"/>
      <c r="AL58" s="155"/>
      <c r="AM58" s="155"/>
      <c r="AN58" s="155" t="s">
        <v>196</v>
      </c>
      <c r="AO58" s="155"/>
      <c r="AP58" s="155"/>
      <c r="AQ58" s="155"/>
      <c r="AR58" s="155"/>
      <c r="AS58" s="155"/>
      <c r="AT58" s="155"/>
      <c r="AU58" s="155"/>
      <c r="AV58" s="155"/>
      <c r="AW58" s="155"/>
      <c r="AX58" s="155"/>
      <c r="AY58" s="155"/>
      <c r="AZ58" s="155">
        <v>7.0</v>
      </c>
      <c r="BQ58" s="173">
        <f t="shared" si="6"/>
        <v>0.2442572325</v>
      </c>
    </row>
    <row r="59">
      <c r="X59" s="176"/>
      <c r="Y59" s="176"/>
      <c r="Z59" s="176"/>
      <c r="AA59" s="155" t="s">
        <v>197</v>
      </c>
      <c r="AB59" s="176"/>
      <c r="AC59" s="176"/>
      <c r="AD59" s="176"/>
      <c r="AE59" s="176"/>
      <c r="AF59" s="176"/>
      <c r="AG59" s="176"/>
      <c r="AH59" s="176"/>
      <c r="AI59" s="176"/>
      <c r="AJ59" s="176"/>
      <c r="AK59" s="176"/>
      <c r="AL59" s="176"/>
      <c r="AM59" s="176"/>
      <c r="AN59" s="176"/>
      <c r="AO59" s="176"/>
      <c r="AP59" s="176"/>
      <c r="AQ59" s="176"/>
      <c r="AR59" s="176"/>
      <c r="AS59" s="176"/>
      <c r="AT59" s="176"/>
      <c r="AU59" s="176"/>
      <c r="AV59" s="176"/>
      <c r="AW59" s="176"/>
      <c r="AX59" s="176"/>
      <c r="AY59" s="176"/>
      <c r="AZ59" s="176"/>
      <c r="BQ59" s="173">
        <f t="shared" si="6"/>
        <v>0.7291631168</v>
      </c>
    </row>
    <row r="60">
      <c r="B60" s="166">
        <v>1656.0</v>
      </c>
      <c r="X60" s="176"/>
      <c r="Y60" s="176"/>
      <c r="Z60" s="176"/>
      <c r="AA60" s="160">
        <f>(AA63+AA65)</f>
        <v>2.230769231</v>
      </c>
      <c r="AB60" s="155" t="s">
        <v>198</v>
      </c>
      <c r="AC60" s="176"/>
      <c r="AD60" s="176"/>
      <c r="AE60" s="176"/>
      <c r="AF60" s="176"/>
      <c r="AG60" s="176"/>
      <c r="AH60" s="176"/>
      <c r="AI60" s="176"/>
      <c r="AJ60" s="176"/>
      <c r="AK60" s="176"/>
      <c r="AL60" s="176"/>
      <c r="AM60" s="176"/>
      <c r="AN60" s="176"/>
      <c r="AO60" s="176"/>
      <c r="AP60" s="176"/>
      <c r="AQ60" s="176"/>
      <c r="AR60" s="176"/>
      <c r="AS60" s="176"/>
      <c r="AT60" s="176"/>
      <c r="AU60" s="176"/>
      <c r="AV60" s="176"/>
      <c r="AW60" s="176"/>
      <c r="AX60" s="176"/>
      <c r="AY60" s="176"/>
      <c r="AZ60" s="176"/>
      <c r="BO60" s="177"/>
      <c r="BQ60" s="173">
        <f t="shared" si="6"/>
        <v>0.7959862868</v>
      </c>
    </row>
    <row r="61">
      <c r="B61" s="166">
        <v>1657.0</v>
      </c>
      <c r="V61" s="170">
        <f>V65/V63</f>
        <v>0.2678641156</v>
      </c>
      <c r="AA61" s="170">
        <f>AA60*2</f>
        <v>4.461538462</v>
      </c>
      <c r="AB61" s="166" t="s">
        <v>199</v>
      </c>
      <c r="BQ61" s="173">
        <f t="shared" si="6"/>
        <v>0.0780423317</v>
      </c>
    </row>
    <row r="62">
      <c r="M62" s="166">
        <f>0.5+0.5*V61</f>
        <v>0.6339320578</v>
      </c>
      <c r="Q62" s="166" t="s">
        <v>200</v>
      </c>
      <c r="T62" s="166" t="s">
        <v>201</v>
      </c>
      <c r="BQ62" s="173">
        <f t="shared" si="6"/>
        <v>0.333359227</v>
      </c>
    </row>
    <row r="63">
      <c r="G63" s="178"/>
      <c r="H63" s="178" t="str">
        <f t="shared" ref="H63:M63" si="7">AVERAGE(H69,H71,H73,H75,H77,H79,H81,H83,H85,H87,H89,H91,H93)</f>
        <v>#REF!</v>
      </c>
      <c r="I63" s="178" t="str">
        <f t="shared" si="7"/>
        <v>#REF!</v>
      </c>
      <c r="J63" s="178" t="str">
        <f t="shared" si="7"/>
        <v>#REF!</v>
      </c>
      <c r="K63" s="178" t="str">
        <f t="shared" si="7"/>
        <v>#REF!</v>
      </c>
      <c r="L63" s="178" t="str">
        <f t="shared" si="7"/>
        <v>#REF!</v>
      </c>
      <c r="M63" s="178" t="str">
        <f t="shared" si="7"/>
        <v>#REF!</v>
      </c>
      <c r="N63" s="166"/>
      <c r="P63" s="178">
        <f>AVERAGE(P69,P71,P73,P75,P77,P79,P81,P83,P85,P87,P89,P91,P93)</f>
        <v>0.1334923139</v>
      </c>
      <c r="R63" s="178"/>
      <c r="S63" s="178"/>
      <c r="T63" s="179">
        <v>10.0</v>
      </c>
      <c r="U63" s="178">
        <f>AVERAGE(U69,U71,U73,U75,U77,U79,U81,U83,U85,U87,U89,U91,U93)</f>
        <v>49.61538462</v>
      </c>
      <c r="V63" s="173">
        <f>AVERAGE(S69,S71,S73,S75,S77,S79,S81,S83,S85,S87,S89,S91,S93, S95)</f>
        <v>14.07142857</v>
      </c>
      <c r="W63" s="173">
        <f t="shared" ref="W63:Y63" si="8">AVERAGE(W69,W71,W73,W75,W77,W79,W81,W83,W85,W87,W89,W91,W93, W95)</f>
        <v>1.024003729</v>
      </c>
      <c r="X63" s="173">
        <f t="shared" si="8"/>
        <v>0.0465023362</v>
      </c>
      <c r="Y63" s="173">
        <f t="shared" si="8"/>
        <v>6.538461538</v>
      </c>
      <c r="Z63" s="173"/>
      <c r="AA63" s="173">
        <f>AVERAGE(AA69,AA71,AA73,AA75,AA77,AA79,AA81,AA83,AA85,AA87,AA89,AA91,AA93, AA95)</f>
        <v>8</v>
      </c>
      <c r="AB63" s="173"/>
      <c r="AC63" s="173"/>
      <c r="AD63" s="173"/>
      <c r="AE63" s="173"/>
      <c r="AF63" s="173">
        <f>AVERAGE(AF69,AF71,AF73,AF75,AF77,AF79,AF81,AF83,AF85,AF87,AF89,AF91,AF93, AF95)</f>
        <v>1</v>
      </c>
      <c r="AG63" s="173"/>
      <c r="AH63" s="173"/>
      <c r="AI63" s="173"/>
      <c r="AJ63" s="173"/>
      <c r="AK63" s="173"/>
      <c r="AL63" s="173"/>
      <c r="AM63" s="173"/>
      <c r="AN63" s="173">
        <f t="shared" ref="AN63:AP63" si="9">AVERAGE(AN69,AN71,AN73,AN75,AN77,AN79,AN81,AN83,AN85,AN87,AN89,AN91,AN93, AN95)</f>
        <v>0</v>
      </c>
      <c r="AO63" s="173">
        <f t="shared" si="9"/>
        <v>0.1437654744</v>
      </c>
      <c r="AP63" s="173" t="str">
        <f t="shared" si="9"/>
        <v>#REF!</v>
      </c>
      <c r="AQ63" s="173"/>
      <c r="AR63" s="173" t="str">
        <f t="shared" ref="AR63:AV63" si="10">AVERAGE(AR69,AR71,AR73,AR75,AR77,AR79,AR81,AR83,AR85,AR87,AR89,AR91,AR93, AR95)</f>
        <v>#REF!</v>
      </c>
      <c r="AS63" s="173" t="str">
        <f t="shared" si="10"/>
        <v>#REF!</v>
      </c>
      <c r="AT63" s="173" t="str">
        <f t="shared" si="10"/>
        <v>#REF!</v>
      </c>
      <c r="AU63" s="173" t="str">
        <f t="shared" si="10"/>
        <v>#REF!</v>
      </c>
      <c r="AV63" s="173" t="str">
        <f t="shared" si="10"/>
        <v>#REF!</v>
      </c>
      <c r="AW63" s="173"/>
      <c r="AX63" s="173" t="str">
        <f>AVERAGE(AX69,AX71,AX73,AX75,AX77,AX79,AX81,AX83,AX85,AX87,AX89,AY92,AY94, AX95)</f>
        <v>#REF!</v>
      </c>
      <c r="AY63" s="173"/>
      <c r="AZ63" s="173" t="str">
        <f>AVERAGE(AZ69,AZ71,AZ73,AZ75,AZ77,AZ79,AZ81,AZ83,AZ85,AZ87,AZ89,AZ91,#REF!, AZ95)</f>
        <v>#REF!</v>
      </c>
      <c r="BA63" s="173">
        <f t="shared" ref="BA63:BG63" si="11">AVERAGE(BA69,BA71,BA73,BA75,BA77,BA79,BA81,BA83,BA85,BA87,BA89,BA91,BA93, BA95)</f>
        <v>2.845307692</v>
      </c>
      <c r="BB63" s="173">
        <f t="shared" si="11"/>
        <v>69.79428571</v>
      </c>
      <c r="BC63" s="173">
        <f t="shared" si="11"/>
        <v>0.04876792797</v>
      </c>
      <c r="BD63" s="173">
        <f t="shared" si="11"/>
        <v>0.1334923139</v>
      </c>
      <c r="BE63" s="173">
        <f t="shared" si="11"/>
        <v>3.146153846</v>
      </c>
      <c r="BF63" s="173">
        <f t="shared" si="11"/>
        <v>0.9039520085</v>
      </c>
      <c r="BG63" s="173">
        <f t="shared" si="11"/>
        <v>1</v>
      </c>
      <c r="BQ63" s="173">
        <f t="shared" si="6"/>
        <v>0.1869044942</v>
      </c>
    </row>
    <row r="64">
      <c r="G64" s="166"/>
      <c r="H64" s="166"/>
      <c r="I64" s="166"/>
      <c r="J64" s="166"/>
      <c r="K64" s="166"/>
      <c r="L64" s="166"/>
      <c r="Q64" s="166" t="s">
        <v>202</v>
      </c>
      <c r="R64" s="180"/>
      <c r="S64" s="180"/>
      <c r="T64" s="181" t="s">
        <v>203</v>
      </c>
      <c r="U64" s="180">
        <f>STDEV(U67,U69,U71,U73,U75,U77,U79,U81,U83,U85,U87,U89,U91)</f>
        <v>20.55905217</v>
      </c>
      <c r="V64" s="180">
        <f>STDEV(V67,S69,S71,S73,S75,S77,S79,S81,S83,S85,S87,S89,S91)</f>
        <v>6.300185911</v>
      </c>
      <c r="W64" s="173"/>
      <c r="X64" s="173"/>
      <c r="Y64" s="173"/>
      <c r="Z64" s="173"/>
      <c r="AA64" s="173"/>
      <c r="AB64" s="173"/>
      <c r="AC64" s="173"/>
      <c r="AD64" s="173"/>
      <c r="AE64" s="173"/>
      <c r="AF64" s="173"/>
      <c r="AQ64" s="166"/>
      <c r="AR64" s="166"/>
      <c r="AS64" s="166"/>
      <c r="AT64" s="166"/>
      <c r="AU64" s="166" t="s">
        <v>204</v>
      </c>
      <c r="BQ64" s="173">
        <f t="shared" si="6"/>
        <v>0.08731030259</v>
      </c>
    </row>
    <row r="65">
      <c r="M65" s="166" t="s">
        <v>205</v>
      </c>
      <c r="N65" s="166"/>
      <c r="T65" s="166">
        <v>20.0</v>
      </c>
      <c r="U65" s="170">
        <f>AVERAGE(U70,U72,U74,U76,U78,U80,U82,U84,U86,U88,U90,U92,U94)</f>
        <v>47.15384615</v>
      </c>
      <c r="V65" s="180">
        <f>AVERAGE(S70,S72,S74,S76,S78,S80,S82,S84,S86,S88,S90,S92,S94)</f>
        <v>3.769230769</v>
      </c>
      <c r="W65" s="180">
        <f t="shared" ref="W65:Y65" si="12">AVERAGE(W70,W72,W74,W76,W78,W80,W82,W84,W86,W88,W90,W92,W94)</f>
        <v>0.9936062319</v>
      </c>
      <c r="X65" s="180">
        <f t="shared" si="12"/>
        <v>-0.1188477486</v>
      </c>
      <c r="Y65" s="180">
        <f t="shared" si="12"/>
        <v>9.538461538</v>
      </c>
      <c r="Z65" s="180"/>
      <c r="AA65" s="180">
        <f>AVERAGE(AA70,AA72,AA74,AA76,AA78,AA80,AA82,AA84,AA86,AA88,AA90,AA92,AA94)</f>
        <v>-5.769230769</v>
      </c>
      <c r="AB65" s="180"/>
      <c r="AC65" s="180"/>
      <c r="AD65" s="180"/>
      <c r="AE65" s="180"/>
      <c r="AF65" s="180">
        <f>AVERAGE(AF70,AF72,AF74,AF76,AF78,AF80,AF82,AF84,AF86,AF88,AF90,AF92,AF94)</f>
        <v>1</v>
      </c>
      <c r="AG65" s="180"/>
      <c r="AH65" s="180"/>
      <c r="AI65" s="180"/>
      <c r="AJ65" s="180"/>
      <c r="AK65" s="180"/>
      <c r="AL65" s="180"/>
      <c r="AM65" s="180"/>
      <c r="AN65" s="180">
        <f t="shared" ref="AN65:AP65" si="13">AVERAGE(AN70,AN72,AN74,AN76,AN78,AN80,AN82,AN84,AN86,AN88,AN90,AN92,AN94)</f>
        <v>0</v>
      </c>
      <c r="AO65" s="180">
        <f t="shared" si="13"/>
        <v>0</v>
      </c>
      <c r="AP65" s="180" t="str">
        <f t="shared" si="13"/>
        <v>#REF!</v>
      </c>
      <c r="AQ65" s="180"/>
      <c r="AR65" s="180" t="str">
        <f t="shared" ref="AR65:AU65" si="14">AVERAGE(AS70,AR72,AR74,AR76,AR78,AR80,AR82,AR84,AR86,AR88,AR90,AR92,AR94)</f>
        <v>#REF!</v>
      </c>
      <c r="AS65" s="180" t="str">
        <f t="shared" si="14"/>
        <v>#REF!</v>
      </c>
      <c r="AT65" s="180" t="str">
        <f t="shared" si="14"/>
        <v>#REF!</v>
      </c>
      <c r="AU65" s="180" t="str">
        <f t="shared" si="14"/>
        <v>#REF!</v>
      </c>
      <c r="AV65" s="173" t="str">
        <f>AVERAGE(AV71,AV73,AV75,AV77,AV79,AV81,AV83,AV85,AV87,AV89,AV91,AV93,AV95, AV97)</f>
        <v>#REF!</v>
      </c>
      <c r="AW65" s="180"/>
      <c r="AX65" s="180" t="str">
        <f>AVERAGE(AX70,AX72,AX74,AX76,AX78,AX80,AX82,AX84,AX86,AX88,AX90,AY93,#REF!)</f>
        <v>#REF!</v>
      </c>
      <c r="AY65" s="180"/>
      <c r="AZ65" s="180" t="str">
        <f>AVERAGE(AZ70,AZ72,AZ74,AZ76,AZ78,AZ80,AZ82,AZ84,AZ86,AZ88,AZ90,#REF!,#REF!)</f>
        <v>#REF!</v>
      </c>
      <c r="BA65" s="180">
        <f t="shared" ref="BA65:BG65" si="15">AVERAGE(BA70,BA72,BA74,BA76,BA78,BA80,BA82,BA84,BA86,BA88,BA90,BA92,BA94)</f>
        <v>3.026461538</v>
      </c>
      <c r="BB65" s="180">
        <f t="shared" si="15"/>
        <v>67.88</v>
      </c>
      <c r="BC65" s="180">
        <f t="shared" si="15"/>
        <v>-0.03068931636</v>
      </c>
      <c r="BD65" s="180">
        <f t="shared" si="15"/>
        <v>-0.05995446637</v>
      </c>
      <c r="BE65" s="180">
        <f t="shared" si="15"/>
        <v>3.181384615</v>
      </c>
      <c r="BF65" s="180">
        <f t="shared" si="15"/>
        <v>0.9511219209</v>
      </c>
      <c r="BG65" s="180">
        <f t="shared" si="15"/>
        <v>-0.4491229841</v>
      </c>
      <c r="BQ65" s="173">
        <f t="shared" si="6"/>
        <v>0.05902181441</v>
      </c>
    </row>
    <row r="66">
      <c r="A66" s="166" t="s">
        <v>206</v>
      </c>
      <c r="B66" s="166" t="s">
        <v>207</v>
      </c>
      <c r="C66" s="166" t="s">
        <v>208</v>
      </c>
      <c r="D66" s="166" t="s">
        <v>209</v>
      </c>
      <c r="E66" s="166" t="s">
        <v>210</v>
      </c>
      <c r="F66" s="166" t="s">
        <v>211</v>
      </c>
      <c r="G66" s="166"/>
      <c r="H66" s="166"/>
      <c r="I66" s="166"/>
      <c r="J66" s="166"/>
      <c r="K66" s="166"/>
      <c r="L66" s="166" t="s">
        <v>212</v>
      </c>
      <c r="M66" s="166" t="s">
        <v>82</v>
      </c>
      <c r="N66" s="166" t="s">
        <v>213</v>
      </c>
      <c r="P66" s="177">
        <f>AVERAGE(P71,P73,P75,P77,P79,P81,P83,P85,P87,P89,P91,P93,P95)</f>
        <v>0.1175675658</v>
      </c>
      <c r="Q66" s="166" t="s">
        <v>199</v>
      </c>
      <c r="R66" s="166" t="str">
        <f>AVERAGE(R69:R95)</f>
        <v>#REF!</v>
      </c>
      <c r="S66" s="166"/>
      <c r="T66" s="166"/>
      <c r="U66" s="166" t="s">
        <v>89</v>
      </c>
      <c r="V66" s="166" t="s">
        <v>214</v>
      </c>
      <c r="W66" s="166" t="s">
        <v>215</v>
      </c>
      <c r="X66" s="166" t="s">
        <v>216</v>
      </c>
      <c r="Y66" s="166" t="s">
        <v>207</v>
      </c>
      <c r="AA66" s="166" t="s">
        <v>217</v>
      </c>
      <c r="AB66" s="166" t="s">
        <v>218</v>
      </c>
      <c r="AC66" s="166" t="s">
        <v>219</v>
      </c>
      <c r="AD66" s="166" t="s">
        <v>220</v>
      </c>
      <c r="AE66" s="166" t="s">
        <v>221</v>
      </c>
      <c r="AF66" s="166" t="s">
        <v>222</v>
      </c>
      <c r="AG66" s="166" t="s">
        <v>223</v>
      </c>
      <c r="AH66" s="166" t="s">
        <v>224</v>
      </c>
      <c r="AI66" s="166"/>
      <c r="AJ66" s="166"/>
      <c r="AK66" s="166" t="s">
        <v>225</v>
      </c>
      <c r="AL66" s="166"/>
      <c r="AM66" s="166"/>
      <c r="AN66" s="166" t="s">
        <v>226</v>
      </c>
      <c r="AO66" s="166" t="s">
        <v>227</v>
      </c>
      <c r="AP66" s="166" t="s">
        <v>228</v>
      </c>
      <c r="AQ66" s="166"/>
      <c r="AR66" s="166"/>
      <c r="AS66" s="166" t="s">
        <v>225</v>
      </c>
      <c r="AT66" s="182"/>
      <c r="AU66" s="182" t="s">
        <v>229</v>
      </c>
      <c r="AV66" s="166" t="s">
        <v>230</v>
      </c>
      <c r="AW66" s="166"/>
      <c r="AX66" s="166" t="s">
        <v>231</v>
      </c>
      <c r="AY66" s="166" t="s">
        <v>232</v>
      </c>
      <c r="AZ66" s="166" t="s">
        <v>233</v>
      </c>
      <c r="BA66" s="166" t="s">
        <v>234</v>
      </c>
      <c r="BB66" s="166" t="s">
        <v>235</v>
      </c>
      <c r="BC66" s="166" t="s">
        <v>236</v>
      </c>
      <c r="BD66" s="166" t="s">
        <v>237</v>
      </c>
      <c r="BE66" s="166" t="s">
        <v>238</v>
      </c>
      <c r="BF66" s="166" t="s">
        <v>239</v>
      </c>
      <c r="BG66" s="166" t="s">
        <v>240</v>
      </c>
      <c r="BH66" s="166" t="s">
        <v>241</v>
      </c>
      <c r="BI66" s="166" t="s">
        <v>242</v>
      </c>
      <c r="BJ66" s="166" t="s">
        <v>243</v>
      </c>
      <c r="BQ66" s="173">
        <f t="shared" si="6"/>
        <v>0.7507452473</v>
      </c>
    </row>
    <row r="67">
      <c r="A67" s="166"/>
      <c r="C67" s="166"/>
      <c r="D67" s="166"/>
      <c r="E67" s="166"/>
      <c r="F67" s="166" t="s">
        <v>244</v>
      </c>
      <c r="G67" s="166"/>
      <c r="H67" s="166"/>
      <c r="I67" s="166"/>
      <c r="J67" s="166"/>
      <c r="K67" s="166"/>
      <c r="L67" s="166"/>
      <c r="M67" s="166"/>
      <c r="N67" s="166"/>
      <c r="O67" s="166"/>
      <c r="Q67" s="166">
        <v>2010.0</v>
      </c>
      <c r="R67" s="180"/>
      <c r="S67" s="180"/>
      <c r="T67" s="180"/>
      <c r="U67" s="180">
        <f>STDEV(U70,U72,U74,U76,U78,U80,U82,U84,U86,U88,U90,U92,U94)</f>
        <v>20.71169619</v>
      </c>
      <c r="V67" s="180">
        <f>STDEV(S70,S72,S74,S76,S78,S80,S82,S84,S86,S88,S90,S92,S94)</f>
        <v>3.218536058</v>
      </c>
      <c r="AC67" s="166" t="s">
        <v>245</v>
      </c>
      <c r="AO67" s="166" t="s">
        <v>246</v>
      </c>
      <c r="AP67" s="166" t="s">
        <v>247</v>
      </c>
      <c r="AT67" s="166"/>
      <c r="AU67" s="166" t="s">
        <v>248</v>
      </c>
      <c r="AV67" s="166"/>
      <c r="AW67" s="166"/>
      <c r="AX67" s="166" t="s">
        <v>249</v>
      </c>
      <c r="BQ67" s="173">
        <f t="shared" si="6"/>
        <v>0.04704998505</v>
      </c>
    </row>
    <row r="68">
      <c r="A68" s="166"/>
      <c r="C68" s="166"/>
      <c r="D68" s="166"/>
      <c r="E68" s="166"/>
      <c r="F68" s="166"/>
      <c r="G68" s="166"/>
      <c r="H68" s="166"/>
      <c r="I68" s="166"/>
      <c r="J68" s="166"/>
      <c r="K68" s="166"/>
      <c r="L68" s="166"/>
      <c r="M68" s="166"/>
      <c r="N68" s="166"/>
      <c r="O68" s="166"/>
      <c r="P68" s="166"/>
      <c r="Q68" s="166"/>
      <c r="R68" s="166" t="s">
        <v>250</v>
      </c>
      <c r="S68" s="166"/>
      <c r="T68" s="166"/>
      <c r="U68" s="166" t="s">
        <v>89</v>
      </c>
      <c r="Y68" s="166" t="s">
        <v>207</v>
      </c>
      <c r="Z68" s="166" t="s">
        <v>251</v>
      </c>
      <c r="AO68" s="166" t="s">
        <v>252</v>
      </c>
      <c r="AP68" s="166" t="s">
        <v>253</v>
      </c>
      <c r="AQ68" s="166"/>
      <c r="AR68" s="166" t="s">
        <v>254</v>
      </c>
      <c r="AS68" s="166" t="s">
        <v>255</v>
      </c>
      <c r="AT68" s="166" t="s">
        <v>256</v>
      </c>
      <c r="AU68" s="166" t="s">
        <v>257</v>
      </c>
      <c r="AV68" s="166" t="s">
        <v>258</v>
      </c>
      <c r="AW68" s="166" t="s">
        <v>259</v>
      </c>
      <c r="AX68" s="166" t="s">
        <v>260</v>
      </c>
      <c r="BQ68" s="173">
        <f t="shared" si="6"/>
        <v>0.2230337306</v>
      </c>
    </row>
    <row r="69">
      <c r="A69" s="180">
        <f t="shared" ref="A69:A95" si="16">AN69/W69</f>
        <v>0.7734596453</v>
      </c>
      <c r="G69" s="166"/>
      <c r="H69" s="166" t="s">
        <v>261</v>
      </c>
      <c r="I69" s="166" t="s">
        <v>262</v>
      </c>
      <c r="R69" s="166">
        <f t="shared" ref="R69:R95" si="17">AQ69/W69</f>
        <v>149.8204497</v>
      </c>
      <c r="S69" s="166">
        <v>18.0</v>
      </c>
      <c r="U69" s="166">
        <v>40.0</v>
      </c>
      <c r="V69" s="166">
        <v>18.0</v>
      </c>
      <c r="W69" s="177">
        <f>U69/$U$63</f>
        <v>0.8062015504</v>
      </c>
      <c r="X69" s="177">
        <f>(U69-$U$63)/$U$64</f>
        <v>-0.46769591</v>
      </c>
      <c r="Y69" s="183">
        <f t="shared" ref="Y69:Y82" si="18">-(U70-U69-S70)</f>
        <v>9</v>
      </c>
      <c r="Z69" s="170">
        <f t="shared" ref="Z69:Z95" si="19">V69</f>
        <v>18</v>
      </c>
      <c r="AA69" s="177">
        <f t="shared" ref="AA69:AA95" si="20">-Y69+S69</f>
        <v>9</v>
      </c>
      <c r="AB69" s="177">
        <f t="shared" ref="AB69:AB95" si="21">Y69/U69</f>
        <v>0.225</v>
      </c>
      <c r="AC69" s="177">
        <f t="shared" ref="AC69:AC95" si="22">S69/U69</f>
        <v>0.45</v>
      </c>
      <c r="AD69" s="177">
        <f t="shared" ref="AD69:AD95" si="23">AC69-AB69</f>
        <v>0.225</v>
      </c>
      <c r="AE69" s="177">
        <f t="shared" ref="AE69:AE95" si="24">AD69+1</f>
        <v>1.225</v>
      </c>
      <c r="AF69" s="177">
        <f>S69/$V$63</f>
        <v>1.279187817</v>
      </c>
      <c r="AG69" s="177">
        <f>Y69/$Y$63</f>
        <v>1.376470588</v>
      </c>
      <c r="AH69" s="177" t="str">
        <f/>
        <v>#ERROR!</v>
      </c>
      <c r="AI69" s="177"/>
      <c r="AJ69" s="177">
        <f>S69/(AVERAGE($V$63,$V$65))</f>
        <v>2.017862642</v>
      </c>
      <c r="AK69" s="177">
        <f t="shared" ref="AK69:AK92" si="25">AN69*AZ68</f>
        <v>0</v>
      </c>
      <c r="AM69" s="177">
        <f t="shared" ref="AM69:AM95" si="26">(1+AT69)*100</f>
        <v>100</v>
      </c>
      <c r="AN69" s="177">
        <f>(S69-$V$63)/$V$64</f>
        <v>0.6235643652</v>
      </c>
      <c r="AO69" s="177">
        <f>AN69-X69</f>
        <v>1.091260275</v>
      </c>
      <c r="AP69" s="177">
        <f t="shared" ref="AP69:AP91" si="27">(AN69-W69)/AZ69</f>
        <v>-0.2739557777</v>
      </c>
      <c r="AQ69" s="177">
        <f t="shared" ref="AQ69:AQ95" si="28">(1+AR69)*100</f>
        <v>120.7854788</v>
      </c>
      <c r="AR69" s="177">
        <f t="shared" ref="AR69:AR95" si="29">AVERAGE(AS69:AV69)</f>
        <v>0.2078547884</v>
      </c>
      <c r="AS69" s="177">
        <f t="shared" ref="AS69:AS95" si="30">AK69</f>
        <v>0</v>
      </c>
      <c r="AT69" s="177">
        <f>AK69</f>
        <v>0</v>
      </c>
      <c r="AU69" s="177">
        <f t="shared" ref="AU69:AU91" si="31">(AN69)*AZ69</f>
        <v>0.4157095768</v>
      </c>
      <c r="AV69" s="177">
        <f>AU69</f>
        <v>0.4157095768</v>
      </c>
      <c r="AW69" s="177">
        <f t="shared" ref="AW69:AW90" si="32">(1+AV69)*100</f>
        <v>141.5709577</v>
      </c>
      <c r="AX69" s="177">
        <f t="shared" ref="AX69:AX90" si="33">(AN69-W69)*AZ69</f>
        <v>-0.1217581234</v>
      </c>
      <c r="AY69" s="177">
        <f>average(AU69:AX69)</f>
        <v>35.57015468</v>
      </c>
      <c r="AZ69" s="177">
        <f>40/60</f>
        <v>0.6666666667</v>
      </c>
      <c r="BA69" s="184">
        <v>2.89</v>
      </c>
      <c r="BB69" s="170">
        <f t="shared" ref="BB69:BB73" si="34">(AZ69^(-1))*U69</f>
        <v>60</v>
      </c>
      <c r="BE69" s="170">
        <f>3.117</f>
        <v>3.117</v>
      </c>
      <c r="BF69" s="173">
        <f t="shared" ref="BF69:BF94" si="35">BA69/BE69</f>
        <v>0.9271735643</v>
      </c>
      <c r="BG69" s="177"/>
      <c r="BH69" s="185"/>
      <c r="BQ69" s="173">
        <f t="shared" si="6"/>
        <v>0.7942375527</v>
      </c>
    </row>
    <row r="70">
      <c r="A70" s="180">
        <f t="shared" si="16"/>
        <v>-1.267850112</v>
      </c>
      <c r="B70" s="170">
        <f t="shared" ref="B70:B95" si="36">-(U70-U69-S70)</f>
        <v>9</v>
      </c>
      <c r="C70" s="184">
        <f t="shared" ref="C70:C95" si="37">B70/U70</f>
        <v>0.28125</v>
      </c>
      <c r="D70" s="184">
        <f t="shared" ref="D70:D95" si="38">S70/U70</f>
        <v>0.03125</v>
      </c>
      <c r="E70" s="184">
        <f t="shared" ref="E70:E95" si="39">D70-C70</f>
        <v>-0.25</v>
      </c>
      <c r="F70" s="184">
        <f t="shared" ref="F70:F95" si="40">E70-BD70</f>
        <v>-0.05</v>
      </c>
      <c r="G70" s="166"/>
      <c r="H70" s="166" t="s">
        <v>263</v>
      </c>
      <c r="I70" s="166" t="s">
        <v>264</v>
      </c>
      <c r="J70" s="166" t="s">
        <v>265</v>
      </c>
      <c r="K70" s="166" t="s">
        <v>266</v>
      </c>
      <c r="L70" s="166" t="s">
        <v>267</v>
      </c>
      <c r="M70" s="166" t="s">
        <v>268</v>
      </c>
      <c r="N70" s="166" t="s">
        <v>269</v>
      </c>
      <c r="O70" s="166" t="s">
        <v>270</v>
      </c>
      <c r="P70" s="166"/>
      <c r="Q70" s="166">
        <v>2011.0</v>
      </c>
      <c r="R70" s="166">
        <f t="shared" si="17"/>
        <v>98.00387614</v>
      </c>
      <c r="S70" s="166">
        <v>1.0</v>
      </c>
      <c r="U70" s="166">
        <v>32.0</v>
      </c>
      <c r="V70" s="166">
        <v>1.0</v>
      </c>
      <c r="W70" s="177">
        <f>U70/$U$65</f>
        <v>0.67862969</v>
      </c>
      <c r="X70" s="177">
        <f>(U70-$U$63)/$U$67</f>
        <v>-0.8505042009</v>
      </c>
      <c r="Y70" s="183">
        <f t="shared" si="18"/>
        <v>9</v>
      </c>
      <c r="Z70" s="170">
        <f t="shared" si="19"/>
        <v>1</v>
      </c>
      <c r="AA70" s="177">
        <f t="shared" si="20"/>
        <v>-8</v>
      </c>
      <c r="AB70" s="177">
        <f t="shared" si="21"/>
        <v>0.28125</v>
      </c>
      <c r="AC70" s="177">
        <f t="shared" si="22"/>
        <v>0.03125</v>
      </c>
      <c r="AD70" s="177">
        <f t="shared" si="23"/>
        <v>-0.25</v>
      </c>
      <c r="AE70" s="177">
        <f t="shared" si="24"/>
        <v>0.75</v>
      </c>
      <c r="AF70" s="177">
        <f>S70/$V$65</f>
        <v>0.2653061224</v>
      </c>
      <c r="AG70" s="177">
        <f>Y70/$Y$65</f>
        <v>0.9435483871</v>
      </c>
      <c r="AH70" s="177"/>
      <c r="AI70" s="177"/>
      <c r="AJ70" s="177">
        <f>S70/$V$61/(AVERAGE($V$63,$V$65))</f>
        <v>0.4185087648</v>
      </c>
      <c r="AK70" s="177">
        <f t="shared" si="25"/>
        <v>-0.5736004856</v>
      </c>
      <c r="AM70" s="177">
        <f t="shared" si="26"/>
        <v>84.63530132</v>
      </c>
      <c r="AN70" s="177">
        <f>(S70-$V$65)/$V$67</f>
        <v>-0.8604007285</v>
      </c>
      <c r="AO70" s="177">
        <f t="shared" ref="AO70:AO95" si="42">AN70-X69</f>
        <v>-0.3927048184</v>
      </c>
      <c r="AP70" s="177">
        <f t="shared" si="27"/>
        <v>-2.741397933</v>
      </c>
      <c r="AQ70" s="177">
        <f t="shared" si="28"/>
        <v>66.50834009</v>
      </c>
      <c r="AR70" s="177">
        <f t="shared" si="29"/>
        <v>-0.3349165991</v>
      </c>
      <c r="AS70" s="177">
        <f t="shared" si="30"/>
        <v>-0.5736004856</v>
      </c>
      <c r="AT70" s="177">
        <f>AK70*$V$61</f>
        <v>-0.1536469868</v>
      </c>
      <c r="AU70" s="177">
        <f t="shared" si="31"/>
        <v>-0.4830319879</v>
      </c>
      <c r="AV70" s="177">
        <f>AU70*$V$61</f>
        <v>-0.1293869362</v>
      </c>
      <c r="AW70" s="177">
        <f t="shared" si="32"/>
        <v>87.06130638</v>
      </c>
      <c r="AX70" s="177">
        <f t="shared" si="33"/>
        <v>-0.8640170771</v>
      </c>
      <c r="AY70" s="177">
        <f>average(AV70:AX70)</f>
        <v>28.68930079</v>
      </c>
      <c r="AZ70" s="177">
        <f>U70/57</f>
        <v>0.5614035088</v>
      </c>
      <c r="BA70" s="184">
        <v>2.803</v>
      </c>
      <c r="BB70" s="170">
        <f t="shared" si="34"/>
        <v>57</v>
      </c>
      <c r="BC70" s="186">
        <f t="shared" ref="BC70:BC94" si="43">(BB70-BB69)/BB69</f>
        <v>-0.05</v>
      </c>
      <c r="BD70" s="177">
        <f t="shared" ref="BD70:BD94" si="44">(U70-U69)/U69</f>
        <v>-0.2</v>
      </c>
      <c r="BE70" s="166">
        <v>3.059</v>
      </c>
      <c r="BF70" s="173">
        <f t="shared" si="35"/>
        <v>0.9163125204</v>
      </c>
      <c r="BG70" s="177">
        <f t="shared" ref="BG70:BG94" si="45">BD70/$BD$63</f>
        <v>-1.498213599</v>
      </c>
      <c r="BH70" s="187">
        <f>BD70/$BD$65</f>
        <v>3.335864901</v>
      </c>
      <c r="BI70" s="187">
        <f>AN70/$AN$65</f>
        <v>-4.0299E+17</v>
      </c>
      <c r="BJ70" s="177">
        <f t="shared" ref="BJ70:BJ72" si="46">(AN70-AN69)/AN69</f>
        <v>-2.379810612</v>
      </c>
      <c r="BQ70" s="173">
        <f t="shared" si="6"/>
        <v>0.6044450475</v>
      </c>
    </row>
    <row r="71">
      <c r="A71" s="180">
        <f t="shared" si="16"/>
        <v>-0.01520313799</v>
      </c>
      <c r="B71" s="170">
        <f t="shared" si="36"/>
        <v>9</v>
      </c>
      <c r="C71" s="184">
        <f t="shared" si="37"/>
        <v>0.2432432432</v>
      </c>
      <c r="D71" s="184">
        <f t="shared" si="38"/>
        <v>0.3783783784</v>
      </c>
      <c r="E71" s="184">
        <f t="shared" si="39"/>
        <v>0.1351351351</v>
      </c>
      <c r="F71" s="184">
        <f t="shared" si="40"/>
        <v>-0.02111486486</v>
      </c>
      <c r="G71" s="178">
        <f>(I71/100)*H71</f>
        <v>95.87026317</v>
      </c>
      <c r="H71" s="177">
        <f>AVERAGE(R70,R71)</f>
        <v>115.6095567</v>
      </c>
      <c r="I71" s="177">
        <f>AVERAGE(J71:M71)</f>
        <v>82.92589807</v>
      </c>
      <c r="J71" s="178">
        <f>(1+AVERAGE(AK70,AK71))*100</f>
        <v>71.00172915</v>
      </c>
      <c r="K71" s="178">
        <f t="shared" ref="K71:M71" si="41">(1+AVERAGE(AT70,AT71))*100</f>
        <v>91.99940409</v>
      </c>
      <c r="L71" s="178">
        <f t="shared" si="41"/>
        <v>75.51010322</v>
      </c>
      <c r="M71" s="178">
        <f t="shared" si="41"/>
        <v>93.19235581</v>
      </c>
      <c r="N71" s="186">
        <f>(W71-W69)/W71</f>
        <v>-0.08108108108</v>
      </c>
      <c r="O71" s="186">
        <f>AVERAGE(P70:P71)</f>
        <v>0.15625</v>
      </c>
      <c r="P71" s="177">
        <f t="shared" ref="P71:P95" si="47">(U71-U70)/U70</f>
        <v>0.15625</v>
      </c>
      <c r="R71" s="166">
        <f t="shared" si="17"/>
        <v>133.2152373</v>
      </c>
      <c r="S71" s="166">
        <v>14.0</v>
      </c>
      <c r="U71" s="166">
        <v>37.0</v>
      </c>
      <c r="V71" s="166">
        <v>14.0</v>
      </c>
      <c r="W71" s="177">
        <f>U71/$U$63</f>
        <v>0.7457364341</v>
      </c>
      <c r="X71" s="177">
        <f>(U71-$U$63)/$U$64</f>
        <v>-0.613617034</v>
      </c>
      <c r="Y71" s="183">
        <f t="shared" si="18"/>
        <v>5</v>
      </c>
      <c r="Z71" s="170">
        <f t="shared" si="19"/>
        <v>14</v>
      </c>
      <c r="AA71" s="177">
        <f t="shared" si="20"/>
        <v>9</v>
      </c>
      <c r="AB71" s="177">
        <f t="shared" si="21"/>
        <v>0.1351351351</v>
      </c>
      <c r="AC71" s="177">
        <f t="shared" si="22"/>
        <v>0.3783783784</v>
      </c>
      <c r="AD71" s="177">
        <f t="shared" si="23"/>
        <v>0.2432432432</v>
      </c>
      <c r="AE71" s="177">
        <f t="shared" si="24"/>
        <v>1.243243243</v>
      </c>
      <c r="AF71" s="177">
        <f>S71/$V$63</f>
        <v>0.9949238579</v>
      </c>
      <c r="AG71" s="177">
        <f>Y71/$Y$63</f>
        <v>0.7647058824</v>
      </c>
      <c r="AH71" s="177"/>
      <c r="AI71" s="177"/>
      <c r="AJ71" s="177">
        <f>S71/(AVERAGE($V$63,$V$65))</f>
        <v>1.569448722</v>
      </c>
      <c r="AK71" s="177">
        <f t="shared" si="25"/>
        <v>-0.00636493132</v>
      </c>
      <c r="AM71" s="177">
        <f t="shared" si="26"/>
        <v>99.36350687</v>
      </c>
      <c r="AN71" s="177">
        <f>(S71-$V$63)/$V$64</f>
        <v>-0.01133753391</v>
      </c>
      <c r="AO71" s="177">
        <f t="shared" si="42"/>
        <v>0.839166667</v>
      </c>
      <c r="AP71" s="177">
        <f t="shared" si="27"/>
        <v>-1.268610433</v>
      </c>
      <c r="AQ71" s="177">
        <f t="shared" si="28"/>
        <v>99.34345605</v>
      </c>
      <c r="AR71" s="177">
        <f t="shared" si="29"/>
        <v>-0.006565439489</v>
      </c>
      <c r="AS71" s="177">
        <f t="shared" si="30"/>
        <v>-0.00636493132</v>
      </c>
      <c r="AT71" s="177">
        <f>AK71</f>
        <v>-0.00636493132</v>
      </c>
      <c r="AU71" s="177">
        <f t="shared" si="31"/>
        <v>-0.006765947658</v>
      </c>
      <c r="AV71" s="177">
        <f>AU71</f>
        <v>-0.006765947658</v>
      </c>
      <c r="AW71" s="177">
        <f t="shared" si="32"/>
        <v>99.32340523</v>
      </c>
      <c r="AX71" s="177">
        <f t="shared" si="33"/>
        <v>-0.4518022067</v>
      </c>
      <c r="AY71" s="177">
        <f t="shared" ref="AY71:AY90" si="48">average(AU71:AX71)</f>
        <v>24.71451778</v>
      </c>
      <c r="AZ71" s="177">
        <f>37/62</f>
        <v>0.5967741935</v>
      </c>
      <c r="BA71" s="184">
        <v>2.66</v>
      </c>
      <c r="BB71" s="170">
        <f t="shared" si="34"/>
        <v>62</v>
      </c>
      <c r="BC71" s="186">
        <f t="shared" si="43"/>
        <v>0.08771929825</v>
      </c>
      <c r="BD71" s="177">
        <f t="shared" si="44"/>
        <v>0.15625</v>
      </c>
      <c r="BE71" s="166">
        <v>3.081</v>
      </c>
      <c r="BF71" s="173">
        <f t="shared" si="35"/>
        <v>0.8633560532</v>
      </c>
      <c r="BG71" s="177">
        <f t="shared" si="45"/>
        <v>1.170479374</v>
      </c>
      <c r="BH71" s="188">
        <f>BD71/$BD$63</f>
        <v>1.170479374</v>
      </c>
      <c r="BI71" s="188">
        <f>AN71/$AN$63</f>
        <v>-196772057215381</v>
      </c>
      <c r="BJ71" s="177">
        <f t="shared" si="46"/>
        <v>-0.986822961</v>
      </c>
      <c r="BQ71" s="173">
        <f t="shared" si="6"/>
        <v>0.7771622021</v>
      </c>
    </row>
    <row r="72">
      <c r="A72" s="180">
        <f t="shared" si="16"/>
        <v>-1.725684875</v>
      </c>
      <c r="B72" s="170">
        <f t="shared" si="36"/>
        <v>5</v>
      </c>
      <c r="C72" s="184">
        <f t="shared" si="37"/>
        <v>0.15625</v>
      </c>
      <c r="D72" s="184">
        <f t="shared" si="38"/>
        <v>0</v>
      </c>
      <c r="E72" s="184">
        <f t="shared" si="39"/>
        <v>-0.15625</v>
      </c>
      <c r="F72" s="184">
        <f t="shared" si="40"/>
        <v>-0.02111486486</v>
      </c>
      <c r="G72" s="166"/>
      <c r="H72" s="189"/>
      <c r="I72" s="189"/>
      <c r="J72" s="166"/>
      <c r="K72" s="166"/>
      <c r="L72" s="166"/>
      <c r="M72" s="166"/>
      <c r="N72" s="166"/>
      <c r="P72" s="177">
        <f t="shared" si="47"/>
        <v>-0.1351351351</v>
      </c>
      <c r="Q72" s="166">
        <v>2012.0</v>
      </c>
      <c r="R72" s="166">
        <f t="shared" si="17"/>
        <v>84.00536201</v>
      </c>
      <c r="S72" s="166">
        <v>0.0</v>
      </c>
      <c r="U72" s="166">
        <v>32.0</v>
      </c>
      <c r="V72" s="166">
        <v>0.0</v>
      </c>
      <c r="W72" s="177">
        <f>U72/$U$65</f>
        <v>0.67862969</v>
      </c>
      <c r="X72" s="177">
        <f>(U72-$U$63)/$U$67</f>
        <v>-0.8505042009</v>
      </c>
      <c r="Y72" s="183">
        <f t="shared" si="18"/>
        <v>3</v>
      </c>
      <c r="Z72" s="170">
        <f t="shared" si="19"/>
        <v>0</v>
      </c>
      <c r="AA72" s="177">
        <f t="shared" si="20"/>
        <v>-3</v>
      </c>
      <c r="AB72" s="177">
        <f t="shared" si="21"/>
        <v>0.09375</v>
      </c>
      <c r="AC72" s="177">
        <f t="shared" si="22"/>
        <v>0</v>
      </c>
      <c r="AD72" s="177">
        <f t="shared" si="23"/>
        <v>-0.09375</v>
      </c>
      <c r="AE72" s="177">
        <f t="shared" si="24"/>
        <v>0.90625</v>
      </c>
      <c r="AF72" s="177">
        <f>S72/$V$65</f>
        <v>0</v>
      </c>
      <c r="AG72" s="177">
        <f>Y72/$Y$65</f>
        <v>0.314516129</v>
      </c>
      <c r="AH72" s="177"/>
      <c r="AI72" s="177"/>
      <c r="AJ72" s="177">
        <f>S72/(AVERAGE($V$63,$V$65))/$V$61</f>
        <v>0</v>
      </c>
      <c r="AK72" s="177">
        <f t="shared" si="25"/>
        <v>-0.6988828498</v>
      </c>
      <c r="AM72" s="177">
        <f t="shared" si="26"/>
        <v>81.27943635</v>
      </c>
      <c r="AN72" s="177">
        <f>(S72-$V$65)/$V$67</f>
        <v>-1.171100992</v>
      </c>
      <c r="AO72" s="177">
        <f t="shared" si="42"/>
        <v>-0.5574839576</v>
      </c>
      <c r="AP72" s="177">
        <f t="shared" si="27"/>
        <v>-3.294832777</v>
      </c>
      <c r="AQ72" s="177">
        <f t="shared" si="28"/>
        <v>57.00853279</v>
      </c>
      <c r="AR72" s="177">
        <f t="shared" si="29"/>
        <v>-0.4299146721</v>
      </c>
      <c r="AS72" s="177">
        <f t="shared" si="30"/>
        <v>-0.6988828498</v>
      </c>
      <c r="AT72" s="177">
        <f>AK72*$V$61</f>
        <v>-0.1872056365</v>
      </c>
      <c r="AU72" s="177">
        <f t="shared" si="31"/>
        <v>-0.6574602058</v>
      </c>
      <c r="AV72" s="177">
        <f>AU72*$V$61</f>
        <v>-0.1761099965</v>
      </c>
      <c r="AW72" s="177">
        <f t="shared" si="32"/>
        <v>82.38900035</v>
      </c>
      <c r="AX72" s="177">
        <f t="shared" si="33"/>
        <v>-1.038445295</v>
      </c>
      <c r="AY72" s="177">
        <f t="shared" si="48"/>
        <v>20.12924621</v>
      </c>
      <c r="AZ72" s="177">
        <f>32/57</f>
        <v>0.5614035088</v>
      </c>
      <c r="BA72" s="184">
        <v>2.942</v>
      </c>
      <c r="BB72" s="170">
        <f t="shared" si="34"/>
        <v>57</v>
      </c>
      <c r="BC72" s="186">
        <f t="shared" si="43"/>
        <v>-0.08064516129</v>
      </c>
      <c r="BD72" s="177">
        <f t="shared" si="44"/>
        <v>-0.1351351351</v>
      </c>
      <c r="BE72" s="166">
        <v>3.119</v>
      </c>
      <c r="BF72" s="173">
        <f t="shared" si="35"/>
        <v>0.943251042</v>
      </c>
      <c r="BG72" s="177">
        <f t="shared" si="45"/>
        <v>-1.012306486</v>
      </c>
      <c r="BH72" s="190">
        <f>BD72/$BD$65</f>
        <v>2.253962771</v>
      </c>
      <c r="BI72" s="190">
        <f>AN72/$AN$65</f>
        <v>-5.48514E+17</v>
      </c>
      <c r="BJ72" s="177">
        <f t="shared" si="46"/>
        <v>102.2941555</v>
      </c>
      <c r="BQ72" s="173">
        <f t="shared" si="6"/>
        <v>0.9595071204</v>
      </c>
    </row>
    <row r="73">
      <c r="A73" s="180">
        <f t="shared" si="16"/>
        <v>-1.546919291</v>
      </c>
      <c r="B73" s="170">
        <f t="shared" si="36"/>
        <v>3</v>
      </c>
      <c r="C73" s="184">
        <f t="shared" si="37"/>
        <v>0.08333333333</v>
      </c>
      <c r="D73" s="184">
        <f t="shared" si="38"/>
        <v>0.1944444444</v>
      </c>
      <c r="E73" s="184">
        <f t="shared" si="39"/>
        <v>0.1111111111</v>
      </c>
      <c r="F73" s="184">
        <f t="shared" si="40"/>
        <v>-0.01388888889</v>
      </c>
      <c r="G73" s="178">
        <f>(I73/100)*H73</f>
        <v>31.67847306</v>
      </c>
      <c r="H73" s="177">
        <f>AVERAGE(R72,R73)</f>
        <v>67.44823695</v>
      </c>
      <c r="I73" s="177">
        <f>AVERAGE(J73:M73)</f>
        <v>46.96708838</v>
      </c>
      <c r="J73" s="178">
        <f>(1+AVERAGE(AK72,AK73))*100</f>
        <v>33.54944748</v>
      </c>
      <c r="K73" s="178">
        <f t="shared" ref="K73:M73" si="49">(1+AVERAGE(AT72,AT73))*100</f>
        <v>59.13330814</v>
      </c>
      <c r="L73" s="178">
        <f t="shared" si="49"/>
        <v>35.55904372</v>
      </c>
      <c r="M73" s="178">
        <f t="shared" si="49"/>
        <v>59.62655418</v>
      </c>
      <c r="N73" s="186">
        <f>(W73-W71)/W73</f>
        <v>-0.02777777778</v>
      </c>
      <c r="O73" s="186">
        <f>AVERAGE(P72:P73)</f>
        <v>-0.005067567568</v>
      </c>
      <c r="P73" s="177">
        <f t="shared" si="47"/>
        <v>0.125</v>
      </c>
      <c r="R73" s="166">
        <f t="shared" si="17"/>
        <v>50.89111189</v>
      </c>
      <c r="S73" s="166">
        <v>7.0</v>
      </c>
      <c r="U73" s="166">
        <v>36.0</v>
      </c>
      <c r="V73" s="166">
        <v>7.0</v>
      </c>
      <c r="W73" s="177">
        <f>U73/$U$63</f>
        <v>0.7255813953</v>
      </c>
      <c r="X73" s="177">
        <f>(U73-$U$63)/$U$64</f>
        <v>-0.6622574086</v>
      </c>
      <c r="Y73" s="183">
        <f t="shared" si="18"/>
        <v>11</v>
      </c>
      <c r="Z73" s="170">
        <f t="shared" si="19"/>
        <v>7</v>
      </c>
      <c r="AA73" s="177">
        <f t="shared" si="20"/>
        <v>-4</v>
      </c>
      <c r="AB73" s="177">
        <f t="shared" si="21"/>
        <v>0.3055555556</v>
      </c>
      <c r="AC73" s="177">
        <f t="shared" si="22"/>
        <v>0.1944444444</v>
      </c>
      <c r="AD73" s="177">
        <f t="shared" si="23"/>
        <v>-0.1111111111</v>
      </c>
      <c r="AE73" s="177">
        <f t="shared" si="24"/>
        <v>0.8888888889</v>
      </c>
      <c r="AF73" s="177">
        <f>S73/$V$63</f>
        <v>0.4974619289</v>
      </c>
      <c r="AG73" s="177">
        <f>Y73/$Y$63</f>
        <v>1.682352941</v>
      </c>
      <c r="AH73" s="177"/>
      <c r="AI73" s="177"/>
      <c r="AJ73" s="177">
        <f>S73/(AVERAGE($V$63,$V$65))</f>
        <v>0.7847243609</v>
      </c>
      <c r="AK73" s="177">
        <f t="shared" si="25"/>
        <v>-0.6301282007</v>
      </c>
      <c r="AM73" s="177">
        <f t="shared" si="26"/>
        <v>36.98717993</v>
      </c>
      <c r="AN73" s="177">
        <f>(S73-$V$63)/$V$64</f>
        <v>-1.122415857</v>
      </c>
      <c r="AO73" s="177">
        <f t="shared" si="42"/>
        <v>-0.2719116565</v>
      </c>
      <c r="AP73" s="177">
        <f t="shared" si="27"/>
        <v>-3.285328449</v>
      </c>
      <c r="AQ73" s="177">
        <f t="shared" si="28"/>
        <v>36.92564398</v>
      </c>
      <c r="AR73" s="177">
        <f t="shared" si="29"/>
        <v>-0.6307435602</v>
      </c>
      <c r="AS73" s="177">
        <f t="shared" si="30"/>
        <v>-0.6301282007</v>
      </c>
      <c r="AT73" s="177">
        <f>AK73</f>
        <v>-0.6301282007</v>
      </c>
      <c r="AU73" s="177">
        <f t="shared" si="31"/>
        <v>-0.6313589198</v>
      </c>
      <c r="AV73" s="177">
        <f>AU73</f>
        <v>-0.6313589198</v>
      </c>
      <c r="AW73" s="177">
        <f t="shared" si="32"/>
        <v>36.86410802</v>
      </c>
      <c r="AX73" s="177">
        <f t="shared" si="33"/>
        <v>-1.039498455</v>
      </c>
      <c r="AY73" s="177">
        <f t="shared" si="48"/>
        <v>8.640472931</v>
      </c>
      <c r="AZ73" s="177">
        <f>36/64</f>
        <v>0.5625</v>
      </c>
      <c r="BA73" s="184">
        <v>2.777</v>
      </c>
      <c r="BB73" s="170">
        <f t="shared" si="34"/>
        <v>64</v>
      </c>
      <c r="BC73" s="186">
        <f t="shared" si="43"/>
        <v>0.1228070175</v>
      </c>
      <c r="BD73" s="177">
        <f t="shared" si="44"/>
        <v>0.125</v>
      </c>
      <c r="BE73" s="166">
        <v>3.074</v>
      </c>
      <c r="BF73" s="173">
        <f t="shared" si="35"/>
        <v>0.9033832141</v>
      </c>
      <c r="BG73" s="177">
        <f t="shared" si="45"/>
        <v>0.9363834991</v>
      </c>
      <c r="BH73" s="185">
        <f>BD73/$BD$63</f>
        <v>0.9363834991</v>
      </c>
      <c r="BI73" s="185">
        <f>AN73/$AN$63</f>
        <v>-1.94804E+16</v>
      </c>
      <c r="BJ73" s="177"/>
      <c r="BQ73" s="173">
        <f t="shared" si="6"/>
        <v>0.9235490145</v>
      </c>
    </row>
    <row r="74">
      <c r="A74" s="180">
        <f t="shared" si="16"/>
        <v>-0.9600181917</v>
      </c>
      <c r="B74" s="170">
        <f t="shared" si="36"/>
        <v>11</v>
      </c>
      <c r="C74" s="184">
        <f t="shared" si="37"/>
        <v>0.4074074074</v>
      </c>
      <c r="D74" s="184">
        <f t="shared" si="38"/>
        <v>0.07407407407</v>
      </c>
      <c r="E74" s="184">
        <f t="shared" si="39"/>
        <v>-0.3333333333</v>
      </c>
      <c r="F74" s="184">
        <f t="shared" si="40"/>
        <v>-0.08333333333</v>
      </c>
      <c r="G74" s="166"/>
      <c r="H74" s="189"/>
      <c r="I74" s="189"/>
      <c r="J74" s="166"/>
      <c r="K74" s="166"/>
      <c r="L74" s="166"/>
      <c r="M74" s="166"/>
      <c r="N74" s="166"/>
      <c r="P74" s="177">
        <f t="shared" si="47"/>
        <v>-0.25</v>
      </c>
      <c r="Q74" s="166">
        <v>2013.0</v>
      </c>
      <c r="R74" s="166">
        <f t="shared" si="17"/>
        <v>143.7391012</v>
      </c>
      <c r="S74" s="166">
        <v>2.0</v>
      </c>
      <c r="U74" s="166">
        <v>27.0</v>
      </c>
      <c r="V74" s="166">
        <v>2.0</v>
      </c>
      <c r="W74" s="177">
        <f>U74/$U$65</f>
        <v>0.572593801</v>
      </c>
      <c r="X74" s="177">
        <f>(U74-$U$63)/$U$67</f>
        <v>-1.09191369</v>
      </c>
      <c r="Y74" s="183">
        <f t="shared" si="18"/>
        <v>8</v>
      </c>
      <c r="Z74" s="170">
        <f t="shared" si="19"/>
        <v>2</v>
      </c>
      <c r="AA74" s="177">
        <f t="shared" si="20"/>
        <v>-6</v>
      </c>
      <c r="AB74" s="177">
        <f t="shared" si="21"/>
        <v>0.2962962963</v>
      </c>
      <c r="AC74" s="177">
        <f t="shared" si="22"/>
        <v>0.07407407407</v>
      </c>
      <c r="AD74" s="177">
        <f t="shared" si="23"/>
        <v>-0.2222222222</v>
      </c>
      <c r="AE74" s="177">
        <f t="shared" si="24"/>
        <v>0.7777777778</v>
      </c>
      <c r="AF74" s="177">
        <f>S74/$V$65</f>
        <v>0.5306122449</v>
      </c>
      <c r="AG74" s="177">
        <f>Y74/$Y$65</f>
        <v>0.8387096774</v>
      </c>
      <c r="AH74" s="177"/>
      <c r="AI74" s="177"/>
      <c r="AJ74" s="177">
        <f>S74/(AVERAGE($V$63,$V$65))/$V$61</f>
        <v>0.8370175295</v>
      </c>
      <c r="AK74" s="177">
        <f t="shared" si="25"/>
        <v>-0.3092065118</v>
      </c>
      <c r="AM74" s="177">
        <f t="shared" si="26"/>
        <v>91.71746712</v>
      </c>
      <c r="AN74" s="177">
        <f>(S74-$V$65)/$V$67</f>
        <v>-0.5497004654</v>
      </c>
      <c r="AO74" s="177">
        <f t="shared" si="42"/>
        <v>0.1125569432</v>
      </c>
      <c r="AP74" s="177">
        <f t="shared" si="27"/>
        <v>-2.476787347</v>
      </c>
      <c r="AQ74" s="177">
        <f t="shared" si="28"/>
        <v>82.30411831</v>
      </c>
      <c r="AR74" s="177">
        <f t="shared" si="29"/>
        <v>-0.1769588169</v>
      </c>
      <c r="AS74" s="177">
        <f t="shared" si="30"/>
        <v>-0.3092065118</v>
      </c>
      <c r="AT74" s="177">
        <f>AK74*$V$61</f>
        <v>-0.08282532881</v>
      </c>
      <c r="AU74" s="177">
        <f t="shared" si="31"/>
        <v>-0.2490830234</v>
      </c>
      <c r="AV74" s="177">
        <f>AU74*$V$61</f>
        <v>-0.06672040377</v>
      </c>
      <c r="AW74" s="177">
        <f t="shared" si="32"/>
        <v>93.32795962</v>
      </c>
      <c r="AX74" s="177">
        <f t="shared" si="33"/>
        <v>-0.5085395895</v>
      </c>
      <c r="AY74" s="177">
        <f t="shared" si="48"/>
        <v>23.12590415</v>
      </c>
      <c r="AZ74" s="177">
        <f>29/64</f>
        <v>0.453125</v>
      </c>
      <c r="BA74" s="184">
        <v>2.775</v>
      </c>
      <c r="BB74" s="166">
        <v>64.0</v>
      </c>
      <c r="BC74" s="186">
        <f t="shared" si="43"/>
        <v>0</v>
      </c>
      <c r="BD74" s="177">
        <f t="shared" si="44"/>
        <v>-0.25</v>
      </c>
      <c r="BE74" s="166">
        <v>3.158</v>
      </c>
      <c r="BF74" s="173">
        <f t="shared" si="35"/>
        <v>0.8787207093</v>
      </c>
      <c r="BG74" s="177">
        <f t="shared" si="45"/>
        <v>-1.872766998</v>
      </c>
      <c r="BH74" s="187">
        <f>BD74/$BD$65</f>
        <v>4.169831126</v>
      </c>
      <c r="BI74" s="187">
        <f>AN74/$AN$65</f>
        <v>-2.57466E+17</v>
      </c>
      <c r="BJ74" s="177">
        <f t="shared" ref="BJ74:BJ76" si="51">(AN74-AN73)/AN73</f>
        <v>-0.5102524062</v>
      </c>
      <c r="BQ74" s="173">
        <f t="shared" si="6"/>
        <v>0.1952983641</v>
      </c>
    </row>
    <row r="75">
      <c r="A75" s="180">
        <f t="shared" si="16"/>
        <v>-1.105635104</v>
      </c>
      <c r="B75" s="170">
        <f t="shared" si="36"/>
        <v>8</v>
      </c>
      <c r="C75" s="184">
        <f t="shared" si="37"/>
        <v>0.275862069</v>
      </c>
      <c r="D75" s="184">
        <f t="shared" si="38"/>
        <v>0.3448275862</v>
      </c>
      <c r="E75" s="184">
        <f t="shared" si="39"/>
        <v>0.06896551724</v>
      </c>
      <c r="F75" s="184">
        <f t="shared" si="40"/>
        <v>-0.005108556833</v>
      </c>
      <c r="G75" s="178">
        <f>(I75/100)*H75</f>
        <v>102.9311283</v>
      </c>
      <c r="H75" s="177">
        <f>AVERAGE(R74,R75)</f>
        <v>133.4373238</v>
      </c>
      <c r="I75" s="177">
        <f>AVERAGE(J75:M75)</f>
        <v>77.13818395</v>
      </c>
      <c r="J75" s="178">
        <f>(1+AVERAGE(AK74,AK75))*100</f>
        <v>69.89831226</v>
      </c>
      <c r="K75" s="178">
        <f t="shared" ref="K75:M75" si="50">(1+AVERAGE(AT74,AT75))*100</f>
        <v>81.2173714</v>
      </c>
      <c r="L75" s="178">
        <f t="shared" si="50"/>
        <v>74.15946057</v>
      </c>
      <c r="M75" s="178">
        <f t="shared" si="50"/>
        <v>83.27759156</v>
      </c>
      <c r="N75" s="186">
        <f>(W75-W73)/W75</f>
        <v>-0.2413793103</v>
      </c>
      <c r="O75" s="186">
        <f>AVERAGE(P74:P75)</f>
        <v>-0.08796296296</v>
      </c>
      <c r="P75" s="177">
        <f t="shared" si="47"/>
        <v>0.07407407407</v>
      </c>
      <c r="R75" s="166">
        <f t="shared" si="17"/>
        <v>123.1355464</v>
      </c>
      <c r="S75" s="166">
        <v>10.0</v>
      </c>
      <c r="U75" s="166">
        <v>29.0</v>
      </c>
      <c r="V75" s="166">
        <v>10.0</v>
      </c>
      <c r="W75" s="177">
        <f>U75/$U$63</f>
        <v>0.584496124</v>
      </c>
      <c r="X75" s="177">
        <f>(U75-$U$63)/$U$64</f>
        <v>-1.002740031</v>
      </c>
      <c r="Y75" s="183">
        <f t="shared" si="18"/>
        <v>6</v>
      </c>
      <c r="Z75" s="170">
        <f t="shared" si="19"/>
        <v>10</v>
      </c>
      <c r="AA75" s="177">
        <f t="shared" si="20"/>
        <v>4</v>
      </c>
      <c r="AB75" s="177">
        <f t="shared" si="21"/>
        <v>0.2068965517</v>
      </c>
      <c r="AC75" s="177">
        <f t="shared" si="22"/>
        <v>0.3448275862</v>
      </c>
      <c r="AD75" s="177">
        <f t="shared" si="23"/>
        <v>0.1379310345</v>
      </c>
      <c r="AE75" s="177">
        <f t="shared" si="24"/>
        <v>1.137931034</v>
      </c>
      <c r="AF75" s="177">
        <f>S75/$V$63</f>
        <v>0.7106598985</v>
      </c>
      <c r="AG75" s="177">
        <f>Y75/$Y$63</f>
        <v>0.9176470588</v>
      </c>
      <c r="AH75" s="177"/>
      <c r="AI75" s="177"/>
      <c r="AJ75" s="177">
        <f t="shared" ref="AJ75:AJ76" si="52">S75/(AVERAGE($V$63,$V$65))</f>
        <v>1.121034801</v>
      </c>
      <c r="AK75" s="177">
        <f t="shared" si="25"/>
        <v>-0.2928272431</v>
      </c>
      <c r="AM75" s="177">
        <f t="shared" si="26"/>
        <v>70.71727569</v>
      </c>
      <c r="AN75" s="177">
        <f>(S75-$V$63)/$V$64</f>
        <v>-0.6462394331</v>
      </c>
      <c r="AO75" s="177">
        <f t="shared" si="42"/>
        <v>0.4456742572</v>
      </c>
      <c r="AP75" s="177">
        <f t="shared" si="27"/>
        <v>-2.970741</v>
      </c>
      <c r="AQ75" s="177">
        <f t="shared" si="28"/>
        <v>71.97224959</v>
      </c>
      <c r="AR75" s="177">
        <f t="shared" si="29"/>
        <v>-0.2802775041</v>
      </c>
      <c r="AS75" s="177">
        <f t="shared" si="30"/>
        <v>-0.2928272431</v>
      </c>
      <c r="AT75" s="177">
        <f>AK75</f>
        <v>-0.2928272431</v>
      </c>
      <c r="AU75" s="177">
        <f t="shared" si="31"/>
        <v>-0.2677277651</v>
      </c>
      <c r="AV75" s="177">
        <f>AU75</f>
        <v>-0.2677277651</v>
      </c>
      <c r="AW75" s="177">
        <f t="shared" si="32"/>
        <v>73.22722349</v>
      </c>
      <c r="AX75" s="177">
        <f t="shared" si="33"/>
        <v>-0.5098761594</v>
      </c>
      <c r="AY75" s="177">
        <f t="shared" si="48"/>
        <v>18.04547295</v>
      </c>
      <c r="AZ75" s="177">
        <f>29/70</f>
        <v>0.4142857143</v>
      </c>
      <c r="BA75" s="184">
        <v>2.741</v>
      </c>
      <c r="BB75" s="170">
        <f t="shared" ref="BB75:BB86" si="53">(AZ75^(-1))*U75</f>
        <v>70</v>
      </c>
      <c r="BC75" s="186">
        <f t="shared" si="43"/>
        <v>0.09375</v>
      </c>
      <c r="BD75" s="177">
        <f t="shared" si="44"/>
        <v>0.07407407407</v>
      </c>
      <c r="BE75" s="166">
        <v>3.116</v>
      </c>
      <c r="BF75" s="173">
        <f t="shared" si="35"/>
        <v>0.8796534018</v>
      </c>
      <c r="BG75" s="177">
        <f t="shared" si="45"/>
        <v>0.5548939254</v>
      </c>
      <c r="BH75" s="188">
        <f>BD75/$BD$63</f>
        <v>0.5548939254</v>
      </c>
      <c r="BI75" s="188">
        <f>AN75/$AN$63</f>
        <v>-1.1216E+16</v>
      </c>
      <c r="BJ75" s="177">
        <f t="shared" si="51"/>
        <v>0.1756210404</v>
      </c>
      <c r="BQ75" s="173">
        <f t="shared" si="6"/>
        <v>0.1624700664</v>
      </c>
    </row>
    <row r="76">
      <c r="A76" s="180">
        <f t="shared" si="16"/>
        <v>-2.400952869</v>
      </c>
      <c r="B76" s="170">
        <f t="shared" si="36"/>
        <v>6</v>
      </c>
      <c r="C76" s="184">
        <f t="shared" si="37"/>
        <v>0.2608695652</v>
      </c>
      <c r="D76" s="184">
        <f t="shared" si="38"/>
        <v>0</v>
      </c>
      <c r="E76" s="184">
        <f t="shared" si="39"/>
        <v>-0.2608695652</v>
      </c>
      <c r="F76" s="184">
        <f t="shared" si="40"/>
        <v>-0.05397301349</v>
      </c>
      <c r="G76" s="166"/>
      <c r="H76" s="189"/>
      <c r="I76" s="189"/>
      <c r="J76" s="166"/>
      <c r="K76" s="166"/>
      <c r="L76" s="166"/>
      <c r="M76" s="166"/>
      <c r="N76" s="166"/>
      <c r="P76" s="177">
        <f t="shared" si="47"/>
        <v>-0.2068965517</v>
      </c>
      <c r="Q76" s="166">
        <v>2014.0</v>
      </c>
      <c r="R76" s="166">
        <f t="shared" si="17"/>
        <v>146.5603128</v>
      </c>
      <c r="S76" s="166">
        <v>0.0</v>
      </c>
      <c r="U76" s="166">
        <v>23.0</v>
      </c>
      <c r="V76" s="166">
        <v>0.0</v>
      </c>
      <c r="W76" s="177">
        <f>U76/$U$65</f>
        <v>0.4877650897</v>
      </c>
      <c r="X76" s="177">
        <f>(U76-$U$63)/$U$67</f>
        <v>-1.285041282</v>
      </c>
      <c r="Y76" s="183">
        <f t="shared" si="18"/>
        <v>5</v>
      </c>
      <c r="Z76" s="170">
        <f t="shared" si="19"/>
        <v>0</v>
      </c>
      <c r="AA76" s="177">
        <f t="shared" si="20"/>
        <v>-5</v>
      </c>
      <c r="AB76" s="177">
        <f t="shared" si="21"/>
        <v>0.2173913043</v>
      </c>
      <c r="AC76" s="177">
        <f t="shared" si="22"/>
        <v>0</v>
      </c>
      <c r="AD76" s="177">
        <f t="shared" si="23"/>
        <v>-0.2173913043</v>
      </c>
      <c r="AE76" s="177">
        <f t="shared" si="24"/>
        <v>0.7826086957</v>
      </c>
      <c r="AF76" s="177">
        <f>S76/$V$65</f>
        <v>0</v>
      </c>
      <c r="AG76" s="177">
        <f>Y76/$Y$65</f>
        <v>0.5241935484</v>
      </c>
      <c r="AH76" s="191"/>
      <c r="AI76" s="191"/>
      <c r="AJ76" s="191">
        <f t="shared" si="52"/>
        <v>0</v>
      </c>
      <c r="AK76" s="177">
        <f t="shared" si="25"/>
        <v>-0.4851704108</v>
      </c>
      <c r="AM76" s="177">
        <f t="shared" si="26"/>
        <v>87.0040257</v>
      </c>
      <c r="AN76" s="177">
        <f>(S76-$V$65)/$V$67</f>
        <v>-1.171100992</v>
      </c>
      <c r="AO76" s="177">
        <f t="shared" si="42"/>
        <v>-0.1683609604</v>
      </c>
      <c r="AP76" s="177">
        <f t="shared" si="27"/>
        <v>-4.688099795</v>
      </c>
      <c r="AQ76" s="177">
        <f t="shared" si="28"/>
        <v>71.48700415</v>
      </c>
      <c r="AR76" s="177">
        <f t="shared" si="29"/>
        <v>-0.2851299585</v>
      </c>
      <c r="AS76" s="177">
        <f t="shared" si="30"/>
        <v>-0.4851704108</v>
      </c>
      <c r="AT76" s="177">
        <f>AK76*$V$61</f>
        <v>-0.129959743</v>
      </c>
      <c r="AU76" s="177">
        <f t="shared" si="31"/>
        <v>-0.4143895816</v>
      </c>
      <c r="AV76" s="177">
        <f>AU76*$V$61</f>
        <v>-0.1110000988</v>
      </c>
      <c r="AW76" s="177">
        <f t="shared" si="32"/>
        <v>88.89999012</v>
      </c>
      <c r="AX76" s="177">
        <f t="shared" si="33"/>
        <v>-0.5869833826</v>
      </c>
      <c r="AY76" s="177">
        <f t="shared" si="48"/>
        <v>21.94690426</v>
      </c>
      <c r="AZ76" s="177">
        <f>U76/65</f>
        <v>0.3538461538</v>
      </c>
      <c r="BA76" s="184">
        <v>3.142</v>
      </c>
      <c r="BB76" s="170">
        <f t="shared" si="53"/>
        <v>65</v>
      </c>
      <c r="BC76" s="186">
        <f t="shared" si="43"/>
        <v>-0.07142857143</v>
      </c>
      <c r="BD76" s="177">
        <f t="shared" si="44"/>
        <v>-0.2068965517</v>
      </c>
      <c r="BE76" s="166">
        <v>3.122</v>
      </c>
      <c r="BF76" s="173">
        <f t="shared" si="35"/>
        <v>1.00640615</v>
      </c>
      <c r="BG76" s="177">
        <f t="shared" si="45"/>
        <v>-1.549876136</v>
      </c>
      <c r="BH76" s="190">
        <f>BD76/$BD$65</f>
        <v>3.450894725</v>
      </c>
      <c r="BI76" s="190">
        <f>AN76/$AN$65</f>
        <v>-5.48514E+17</v>
      </c>
      <c r="BJ76" s="177">
        <f t="shared" si="51"/>
        <v>0.8121781674</v>
      </c>
      <c r="BQ76" s="173">
        <f t="shared" si="6"/>
        <v>0.5095201093</v>
      </c>
    </row>
    <row r="77">
      <c r="A77" s="180">
        <f t="shared" si="16"/>
        <v>-2.648513331</v>
      </c>
      <c r="B77" s="170">
        <f t="shared" si="36"/>
        <v>5</v>
      </c>
      <c r="C77" s="184">
        <f t="shared" si="37"/>
        <v>0.2083333333</v>
      </c>
      <c r="D77" s="184">
        <f t="shared" si="38"/>
        <v>0.25</v>
      </c>
      <c r="E77" s="184">
        <f t="shared" si="39"/>
        <v>0.04166666667</v>
      </c>
      <c r="F77" s="184">
        <f t="shared" si="40"/>
        <v>-0.001811594203</v>
      </c>
      <c r="G77" s="178">
        <f>(I77/100)*H77</f>
        <v>82.78441215</v>
      </c>
      <c r="H77" s="177">
        <f>AVERAGE(R76,R77)</f>
        <v>130.5148418</v>
      </c>
      <c r="I77" s="177">
        <f>AVERAGE(J77:M77)</f>
        <v>63.42911733</v>
      </c>
      <c r="J77" s="178">
        <f>(1+AVERAGE(AK76,AK77))*100</f>
        <v>53.07513281</v>
      </c>
      <c r="K77" s="178">
        <f t="shared" ref="K77:M77" si="54">(1+AVERAGE(AT76,AT77))*100</f>
        <v>70.8356662</v>
      </c>
      <c r="L77" s="178">
        <f t="shared" si="54"/>
        <v>57.31809808</v>
      </c>
      <c r="M77" s="178">
        <f t="shared" si="54"/>
        <v>72.48757222</v>
      </c>
      <c r="N77" s="186">
        <f>(W77-W75)/W77</f>
        <v>-0.2083333333</v>
      </c>
      <c r="O77" s="186">
        <f>AVERAGE(P76:P77)</f>
        <v>-0.08170914543</v>
      </c>
      <c r="P77" s="177">
        <f t="shared" si="47"/>
        <v>0.04347826087</v>
      </c>
      <c r="R77" s="166">
        <f t="shared" si="17"/>
        <v>114.4693708</v>
      </c>
      <c r="S77" s="166">
        <v>6.0</v>
      </c>
      <c r="U77" s="166">
        <v>24.0</v>
      </c>
      <c r="V77" s="166">
        <v>6.0</v>
      </c>
      <c r="W77" s="177">
        <f>U77/$U$63</f>
        <v>0.4837209302</v>
      </c>
      <c r="X77" s="177">
        <f>(U77-$U$63)/$U$64</f>
        <v>-1.245941904</v>
      </c>
      <c r="Y77" s="183">
        <f t="shared" si="18"/>
        <v>5</v>
      </c>
      <c r="Z77" s="170">
        <f t="shared" si="19"/>
        <v>6</v>
      </c>
      <c r="AA77" s="177">
        <f t="shared" si="20"/>
        <v>1</v>
      </c>
      <c r="AB77" s="177">
        <f t="shared" si="21"/>
        <v>0.2083333333</v>
      </c>
      <c r="AC77" s="177">
        <f t="shared" si="22"/>
        <v>0.25</v>
      </c>
      <c r="AD77" s="177">
        <f t="shared" si="23"/>
        <v>0.04166666667</v>
      </c>
      <c r="AE77" s="177">
        <f t="shared" si="24"/>
        <v>1.041666667</v>
      </c>
      <c r="AF77" s="177">
        <f>S77/$V$63</f>
        <v>0.4263959391</v>
      </c>
      <c r="AG77" s="177">
        <f>Y77/$Y$63</f>
        <v>0.7647058824</v>
      </c>
      <c r="AH77" s="192"/>
      <c r="AI77" s="192"/>
      <c r="AJ77" s="192">
        <f>S77/(AVERAGE($V$63,$V$65))/$V$61</f>
        <v>2.511052589</v>
      </c>
      <c r="AK77" s="177">
        <f t="shared" si="25"/>
        <v>-0.4533269329</v>
      </c>
      <c r="AM77" s="177">
        <f t="shared" si="26"/>
        <v>54.66730671</v>
      </c>
      <c r="AN77" s="177">
        <f>(S77-$V$63)/$V$64</f>
        <v>-1.281141332</v>
      </c>
      <c r="AO77" s="177">
        <f t="shared" si="42"/>
        <v>0.003899949498</v>
      </c>
      <c r="AP77" s="177">
        <f t="shared" si="27"/>
        <v>-5.147514932</v>
      </c>
      <c r="AQ77" s="177">
        <f t="shared" si="28"/>
        <v>55.37123052</v>
      </c>
      <c r="AR77" s="177">
        <f t="shared" si="29"/>
        <v>-0.4462876948</v>
      </c>
      <c r="AS77" s="177">
        <f t="shared" si="30"/>
        <v>-0.4533269329</v>
      </c>
      <c r="AT77" s="177">
        <f>AK77</f>
        <v>-0.4533269329</v>
      </c>
      <c r="AU77" s="177">
        <f t="shared" si="31"/>
        <v>-0.4392484568</v>
      </c>
      <c r="AV77" s="177">
        <f>AU77</f>
        <v>-0.4392484568</v>
      </c>
      <c r="AW77" s="177">
        <f t="shared" si="32"/>
        <v>56.07515432</v>
      </c>
      <c r="AX77" s="177">
        <f t="shared" si="33"/>
        <v>-0.6050956328</v>
      </c>
      <c r="AY77" s="177">
        <f t="shared" si="48"/>
        <v>13.64789044</v>
      </c>
      <c r="AZ77" s="177">
        <f>24/70</f>
        <v>0.3428571429</v>
      </c>
      <c r="BA77" s="184">
        <v>2.85</v>
      </c>
      <c r="BB77" s="170">
        <f t="shared" si="53"/>
        <v>70</v>
      </c>
      <c r="BC77" s="186">
        <f t="shared" si="43"/>
        <v>0.07692307692</v>
      </c>
      <c r="BD77" s="177">
        <f t="shared" si="44"/>
        <v>0.04347826087</v>
      </c>
      <c r="BE77" s="166">
        <v>3.125</v>
      </c>
      <c r="BF77" s="173">
        <f t="shared" si="35"/>
        <v>0.912</v>
      </c>
      <c r="BG77" s="177">
        <f t="shared" si="45"/>
        <v>0.3256986084</v>
      </c>
      <c r="BH77" s="185">
        <f>BD77/$BD$63</f>
        <v>0.3256986084</v>
      </c>
      <c r="BI77" s="185">
        <f>AN77/$AN$63</f>
        <v>-2.22352E+16</v>
      </c>
      <c r="BJ77" s="177"/>
      <c r="BQ77" s="173">
        <f t="shared" si="6"/>
        <v>0.960298795</v>
      </c>
    </row>
    <row r="78">
      <c r="A78" s="180">
        <f t="shared" si="16"/>
        <v>0.1469971144</v>
      </c>
      <c r="B78" s="170">
        <f t="shared" si="36"/>
        <v>5</v>
      </c>
      <c r="C78" s="184">
        <f t="shared" si="37"/>
        <v>0.2173913043</v>
      </c>
      <c r="D78" s="184">
        <f t="shared" si="38"/>
        <v>0.1739130435</v>
      </c>
      <c r="E78" s="184">
        <f t="shared" si="39"/>
        <v>-0.04347826087</v>
      </c>
      <c r="F78" s="184">
        <f t="shared" si="40"/>
        <v>-0.001811594203</v>
      </c>
      <c r="H78" s="177"/>
      <c r="I78" s="177"/>
      <c r="N78" s="166" t="s">
        <v>92</v>
      </c>
      <c r="P78" s="177">
        <f t="shared" si="47"/>
        <v>-0.04166666667</v>
      </c>
      <c r="Q78" s="166">
        <v>2015.0</v>
      </c>
      <c r="R78" s="166">
        <f t="shared" si="17"/>
        <v>208.1025903</v>
      </c>
      <c r="S78" s="166">
        <v>4.0</v>
      </c>
      <c r="U78" s="166">
        <v>23.0</v>
      </c>
      <c r="V78" s="166">
        <v>4.0</v>
      </c>
      <c r="W78" s="177">
        <f>U78/$U$65</f>
        <v>0.4877650897</v>
      </c>
      <c r="X78" s="177">
        <f>(U78-$U$63)/$U$67</f>
        <v>-1.285041282</v>
      </c>
      <c r="Y78" s="183">
        <f t="shared" si="18"/>
        <v>3</v>
      </c>
      <c r="Z78" s="170">
        <f t="shared" si="19"/>
        <v>4</v>
      </c>
      <c r="AA78" s="177">
        <f t="shared" si="20"/>
        <v>1</v>
      </c>
      <c r="AB78" s="177">
        <f t="shared" si="21"/>
        <v>0.1304347826</v>
      </c>
      <c r="AC78" s="177">
        <f t="shared" si="22"/>
        <v>0.1739130435</v>
      </c>
      <c r="AD78" s="177">
        <f t="shared" si="23"/>
        <v>0.04347826087</v>
      </c>
      <c r="AE78" s="177">
        <f t="shared" si="24"/>
        <v>1.043478261</v>
      </c>
      <c r="AF78" s="177">
        <f>S78/$V$65</f>
        <v>1.06122449</v>
      </c>
      <c r="AG78" s="177">
        <f>Y78/$Y$65</f>
        <v>0.314516129</v>
      </c>
      <c r="AH78" s="193"/>
      <c r="AI78" s="193"/>
      <c r="AJ78" s="193">
        <f>S78/(AVERAGE($V$63,$V$65))</f>
        <v>0.4484139205</v>
      </c>
      <c r="AK78" s="177">
        <f t="shared" si="25"/>
        <v>0.02458287796</v>
      </c>
      <c r="AM78" s="177">
        <f t="shared" si="26"/>
        <v>100.6584871</v>
      </c>
      <c r="AN78" s="177">
        <f>(S78-$V$65)/$V$67</f>
        <v>0.07170006071</v>
      </c>
      <c r="AO78" s="177">
        <f t="shared" si="42"/>
        <v>1.317641965</v>
      </c>
      <c r="AP78" s="177">
        <f t="shared" si="27"/>
        <v>-1.302464439</v>
      </c>
      <c r="AQ78" s="177">
        <f t="shared" si="28"/>
        <v>101.5051786</v>
      </c>
      <c r="AR78" s="177">
        <f t="shared" si="29"/>
        <v>0.0150517861</v>
      </c>
      <c r="AS78" s="177">
        <f t="shared" si="30"/>
        <v>0.02458287796</v>
      </c>
      <c r="AT78" s="177">
        <f>AK78*$V$61</f>
        <v>0.006584870862</v>
      </c>
      <c r="AU78" s="177">
        <f t="shared" si="31"/>
        <v>0.02290418606</v>
      </c>
      <c r="AV78" s="177">
        <f>AU78*$V$61</f>
        <v>0.006135209542</v>
      </c>
      <c r="AW78" s="177">
        <f t="shared" si="32"/>
        <v>100.613521</v>
      </c>
      <c r="AX78" s="177">
        <f t="shared" si="33"/>
        <v>-0.132909662</v>
      </c>
      <c r="AY78" s="177">
        <f t="shared" si="48"/>
        <v>25.12741267</v>
      </c>
      <c r="AZ78" s="177">
        <f>U78/72</f>
        <v>0.3194444444</v>
      </c>
      <c r="BA78" s="184">
        <v>3.006</v>
      </c>
      <c r="BB78" s="170">
        <f t="shared" si="53"/>
        <v>72</v>
      </c>
      <c r="BC78" s="186">
        <f t="shared" si="43"/>
        <v>0.02857142857</v>
      </c>
      <c r="BD78" s="177">
        <f t="shared" si="44"/>
        <v>-0.04166666667</v>
      </c>
      <c r="BE78" s="166">
        <v>3.114</v>
      </c>
      <c r="BF78" s="173">
        <f t="shared" si="35"/>
        <v>0.9653179191</v>
      </c>
      <c r="BG78" s="177">
        <f t="shared" si="45"/>
        <v>-0.312127833</v>
      </c>
      <c r="BH78" s="187">
        <f>BD78/$BD$65</f>
        <v>0.6949718543</v>
      </c>
      <c r="BI78" s="194">
        <f>AN78/$AN$65</f>
        <v>3.35825E+16</v>
      </c>
      <c r="BJ78" s="177">
        <f t="shared" ref="BJ78:BJ93" si="56">(AN78-AN77)/AN77</f>
        <v>-1.05596577</v>
      </c>
      <c r="BQ78" s="173">
        <f t="shared" si="6"/>
        <v>0.6929900555</v>
      </c>
    </row>
    <row r="79">
      <c r="A79" s="180">
        <f t="shared" si="16"/>
        <v>-0.01654459134</v>
      </c>
      <c r="B79" s="170">
        <f t="shared" si="36"/>
        <v>3</v>
      </c>
      <c r="C79" s="184">
        <f t="shared" si="37"/>
        <v>0.08823529412</v>
      </c>
      <c r="D79" s="184">
        <f t="shared" si="38"/>
        <v>0.4117647059</v>
      </c>
      <c r="E79" s="184">
        <f t="shared" si="39"/>
        <v>0.3235294118</v>
      </c>
      <c r="F79" s="184">
        <f t="shared" si="40"/>
        <v>-0.1547314578</v>
      </c>
      <c r="G79" s="178">
        <f>(I79/100)*H79</f>
        <v>177.6690127</v>
      </c>
      <c r="H79" s="177">
        <f>AVERAGE(R78,R79)</f>
        <v>176.709353</v>
      </c>
      <c r="I79" s="177">
        <f>AVERAGE(J79:M79)</f>
        <v>100.5430724</v>
      </c>
      <c r="J79" s="178">
        <f>(1+AVERAGE(AK78,AK79))*100</f>
        <v>101.0480583</v>
      </c>
      <c r="K79" s="178">
        <f t="shared" ref="K79:M79" si="55">(1+AVERAGE(AT78,AT79))*100</f>
        <v>100.1481579</v>
      </c>
      <c r="L79" s="178">
        <f t="shared" si="55"/>
        <v>100.9072611</v>
      </c>
      <c r="M79" s="178">
        <f t="shared" si="55"/>
        <v>100.0688122</v>
      </c>
      <c r="N79" s="186">
        <f>(W79-W77)/W79</f>
        <v>0.2941176471</v>
      </c>
      <c r="O79" s="186">
        <f>AVERAGE(P78:P79)</f>
        <v>0.2182971014</v>
      </c>
      <c r="P79" s="177">
        <f t="shared" si="47"/>
        <v>0.4782608696</v>
      </c>
      <c r="R79" s="166">
        <f t="shared" si="17"/>
        <v>145.3161158</v>
      </c>
      <c r="S79" s="166">
        <v>14.0</v>
      </c>
      <c r="U79" s="166">
        <v>34.0</v>
      </c>
      <c r="V79" s="166">
        <v>14.0</v>
      </c>
      <c r="W79" s="177">
        <f>U79/$U$63</f>
        <v>0.6852713178</v>
      </c>
      <c r="X79" s="177">
        <f>(U79-$U$63)/$U$64</f>
        <v>-0.7595381579</v>
      </c>
      <c r="Y79" s="183">
        <f t="shared" si="18"/>
        <v>3</v>
      </c>
      <c r="Z79" s="170">
        <f t="shared" si="19"/>
        <v>14</v>
      </c>
      <c r="AA79" s="177">
        <f t="shared" si="20"/>
        <v>11</v>
      </c>
      <c r="AB79" s="177">
        <f t="shared" si="21"/>
        <v>0.08823529412</v>
      </c>
      <c r="AC79" s="177">
        <f t="shared" si="22"/>
        <v>0.4117647059</v>
      </c>
      <c r="AD79" s="177">
        <f t="shared" si="23"/>
        <v>0.3235294118</v>
      </c>
      <c r="AE79" s="177">
        <f t="shared" si="24"/>
        <v>1.323529412</v>
      </c>
      <c r="AF79" s="177">
        <f>S79/$V$63</f>
        <v>0.9949238579</v>
      </c>
      <c r="AG79" s="177">
        <f>Y79/$Y$63</f>
        <v>0.4588235294</v>
      </c>
      <c r="AH79" s="195"/>
      <c r="AI79" s="195"/>
      <c r="AJ79" s="195">
        <f>S79/(AVERAGE($V$63,$V$65))/$V$61</f>
        <v>5.859122707</v>
      </c>
      <c r="AK79" s="177">
        <f t="shared" si="25"/>
        <v>-0.003621712222</v>
      </c>
      <c r="AM79" s="177">
        <f t="shared" si="26"/>
        <v>99.63782878</v>
      </c>
      <c r="AN79" s="177">
        <f>(S79-$V$63)/$V$64</f>
        <v>-0.01133753391</v>
      </c>
      <c r="AO79" s="177">
        <f t="shared" si="42"/>
        <v>1.273703748</v>
      </c>
      <c r="AP79" s="177">
        <f t="shared" si="27"/>
        <v>-1.659568147</v>
      </c>
      <c r="AQ79" s="177">
        <f t="shared" si="28"/>
        <v>99.58096615</v>
      </c>
      <c r="AR79" s="177">
        <f t="shared" si="29"/>
        <v>-0.004190338537</v>
      </c>
      <c r="AS79" s="177">
        <f t="shared" si="30"/>
        <v>-0.003621712222</v>
      </c>
      <c r="AT79" s="177">
        <f>AK79</f>
        <v>-0.003621712222</v>
      </c>
      <c r="AU79" s="177">
        <f t="shared" si="31"/>
        <v>-0.004758964853</v>
      </c>
      <c r="AV79" s="177">
        <f>AU79</f>
        <v>-0.004758964853</v>
      </c>
      <c r="AW79" s="177">
        <f t="shared" si="32"/>
        <v>99.52410351</v>
      </c>
      <c r="AX79" s="177">
        <f t="shared" si="33"/>
        <v>-0.2924037155</v>
      </c>
      <c r="AY79" s="177">
        <f t="shared" si="48"/>
        <v>24.80554547</v>
      </c>
      <c r="AZ79" s="177">
        <f>34/81</f>
        <v>0.4197530864</v>
      </c>
      <c r="BA79" s="184">
        <v>2.506</v>
      </c>
      <c r="BB79" s="170">
        <f t="shared" si="53"/>
        <v>81</v>
      </c>
      <c r="BC79" s="186">
        <f t="shared" si="43"/>
        <v>0.125</v>
      </c>
      <c r="BD79" s="177">
        <f t="shared" si="44"/>
        <v>0.4782608696</v>
      </c>
      <c r="BE79" s="166">
        <v>3.133</v>
      </c>
      <c r="BF79" s="173">
        <f t="shared" si="35"/>
        <v>0.7998723268</v>
      </c>
      <c r="BG79" s="177">
        <f t="shared" si="45"/>
        <v>3.582684692</v>
      </c>
      <c r="BH79" s="188">
        <f>BD79/$BD$63</f>
        <v>3.582684692</v>
      </c>
      <c r="BI79" s="196">
        <f>AN79/$AN$63</f>
        <v>-196772057215381</v>
      </c>
      <c r="BJ79" s="177">
        <f t="shared" si="56"/>
        <v>-1.158124467</v>
      </c>
      <c r="BQ79" s="173">
        <f t="shared" si="6"/>
        <v>0.6455923838</v>
      </c>
    </row>
    <row r="80">
      <c r="A80" s="180">
        <f t="shared" si="16"/>
        <v>-0.7854694296</v>
      </c>
      <c r="B80" s="170">
        <f t="shared" si="36"/>
        <v>3</v>
      </c>
      <c r="C80" s="184">
        <f t="shared" si="37"/>
        <v>0.09090909091</v>
      </c>
      <c r="D80" s="184">
        <f t="shared" si="38"/>
        <v>0.06060606061</v>
      </c>
      <c r="E80" s="184">
        <f t="shared" si="39"/>
        <v>-0.0303030303</v>
      </c>
      <c r="F80" s="184">
        <f t="shared" si="40"/>
        <v>-0.0008912655971</v>
      </c>
      <c r="H80" s="177"/>
      <c r="I80" s="177"/>
      <c r="N80" s="166" t="s">
        <v>92</v>
      </c>
      <c r="P80" s="177">
        <f t="shared" si="47"/>
        <v>-0.02941176471</v>
      </c>
      <c r="Q80" s="166">
        <v>2016.0</v>
      </c>
      <c r="R80" s="166">
        <f t="shared" si="17"/>
        <v>121.7699513</v>
      </c>
      <c r="S80" s="166">
        <v>2.0</v>
      </c>
      <c r="U80" s="166">
        <v>33.0</v>
      </c>
      <c r="V80" s="166">
        <v>2.0</v>
      </c>
      <c r="W80" s="177">
        <f>U80/$U$65</f>
        <v>0.6998368679</v>
      </c>
      <c r="X80" s="177">
        <f>(U80-$U$63)/$U$67</f>
        <v>-0.802222303</v>
      </c>
      <c r="Y80" s="183">
        <f t="shared" si="18"/>
        <v>7</v>
      </c>
      <c r="Z80" s="170">
        <f t="shared" si="19"/>
        <v>2</v>
      </c>
      <c r="AA80" s="177">
        <f t="shared" si="20"/>
        <v>-5</v>
      </c>
      <c r="AB80" s="177">
        <f t="shared" si="21"/>
        <v>0.2121212121</v>
      </c>
      <c r="AC80" s="177">
        <f t="shared" si="22"/>
        <v>0.06060606061</v>
      </c>
      <c r="AD80" s="177">
        <f t="shared" si="23"/>
        <v>-0.1515151515</v>
      </c>
      <c r="AE80" s="177">
        <f t="shared" si="24"/>
        <v>0.8484848485</v>
      </c>
      <c r="AF80" s="177">
        <f>S80/$V$65</f>
        <v>0.5306122449</v>
      </c>
      <c r="AG80" s="177">
        <f>Y80/$Y$65</f>
        <v>0.7338709677</v>
      </c>
      <c r="AH80" s="191"/>
      <c r="AI80" s="191"/>
      <c r="AJ80" s="191">
        <f>S80/(AVERAGE($V$63,$V$65))</f>
        <v>0.2242069603</v>
      </c>
      <c r="AK80" s="177">
        <f t="shared" si="25"/>
        <v>-0.230738467</v>
      </c>
      <c r="AM80" s="177">
        <f t="shared" si="26"/>
        <v>93.81934446</v>
      </c>
      <c r="AN80" s="177">
        <f>(S80-$V$65)/$V$67</f>
        <v>-0.5497004654</v>
      </c>
      <c r="AO80" s="177">
        <f t="shared" si="42"/>
        <v>0.2098376925</v>
      </c>
      <c r="AP80" s="177">
        <f t="shared" si="27"/>
        <v>-2.915587111</v>
      </c>
      <c r="AQ80" s="177">
        <f t="shared" si="28"/>
        <v>85.21910129</v>
      </c>
      <c r="AR80" s="177">
        <f t="shared" si="29"/>
        <v>-0.1478089871</v>
      </c>
      <c r="AS80" s="177">
        <f t="shared" si="30"/>
        <v>-0.230738467</v>
      </c>
      <c r="AT80" s="177">
        <f>AK80*$V$61</f>
        <v>-0.06180655538</v>
      </c>
      <c r="AU80" s="177">
        <f t="shared" si="31"/>
        <v>-0.2355859137</v>
      </c>
      <c r="AV80" s="177">
        <f>AU80*$V$61</f>
        <v>-0.06310501243</v>
      </c>
      <c r="AW80" s="177">
        <f t="shared" si="32"/>
        <v>93.68949876</v>
      </c>
      <c r="AX80" s="177">
        <f t="shared" si="33"/>
        <v>-0.535516</v>
      </c>
      <c r="AY80" s="177">
        <f t="shared" si="48"/>
        <v>23.21382296</v>
      </c>
      <c r="AZ80" s="177">
        <f>U80/77</f>
        <v>0.4285714286</v>
      </c>
      <c r="BA80" s="184">
        <v>2.874</v>
      </c>
      <c r="BB80" s="170">
        <f t="shared" si="53"/>
        <v>77</v>
      </c>
      <c r="BC80" s="186">
        <f t="shared" si="43"/>
        <v>-0.04938271605</v>
      </c>
      <c r="BD80" s="177">
        <f t="shared" si="44"/>
        <v>-0.02941176471</v>
      </c>
      <c r="BE80" s="166">
        <v>3.132</v>
      </c>
      <c r="BF80" s="173">
        <f t="shared" si="35"/>
        <v>0.9176245211</v>
      </c>
      <c r="BG80" s="177">
        <f t="shared" si="45"/>
        <v>-0.2203255292</v>
      </c>
      <c r="BH80" s="190">
        <f>BD80/$BD$65</f>
        <v>0.4905683677</v>
      </c>
      <c r="BI80" s="197">
        <f>AN80/$AN$65</f>
        <v>-2.57466E+17</v>
      </c>
      <c r="BJ80" s="177">
        <f t="shared" si="56"/>
        <v>47.48501179</v>
      </c>
      <c r="BQ80" s="173">
        <f t="shared" si="6"/>
        <v>0.4582537509</v>
      </c>
    </row>
    <row r="81">
      <c r="A81" s="180">
        <f t="shared" si="16"/>
        <v>-0.429288607</v>
      </c>
      <c r="B81" s="170">
        <f t="shared" si="36"/>
        <v>7</v>
      </c>
      <c r="C81" s="184">
        <f t="shared" si="37"/>
        <v>0.1842105263</v>
      </c>
      <c r="D81" s="184">
        <f t="shared" si="38"/>
        <v>0.3157894737</v>
      </c>
      <c r="E81" s="184">
        <f t="shared" si="39"/>
        <v>0.1315789474</v>
      </c>
      <c r="F81" s="184">
        <f t="shared" si="40"/>
        <v>-0.01993620415</v>
      </c>
      <c r="G81" s="178">
        <f>(I81/100)*H81</f>
        <v>99.21290111</v>
      </c>
      <c r="H81" s="177">
        <f>AVERAGE(R80,R81)</f>
        <v>116.4710534</v>
      </c>
      <c r="I81" s="177">
        <f>AVERAGE(J81:M81)</f>
        <v>85.18245365</v>
      </c>
      <c r="J81" s="178">
        <f>(1+AVERAGE(AK80,AK81))*100</f>
        <v>81.41760915</v>
      </c>
      <c r="K81" s="178">
        <f t="shared" ref="K81:M81" si="57">(1+AVERAGE(AT80,AT81))*100</f>
        <v>89.86420473</v>
      </c>
      <c r="L81" s="178">
        <f t="shared" si="57"/>
        <v>80.41197783</v>
      </c>
      <c r="M81" s="178">
        <f t="shared" si="57"/>
        <v>89.0360229</v>
      </c>
      <c r="N81" s="186">
        <f>(W81-W79)/W81</f>
        <v>0.1052631579</v>
      </c>
      <c r="O81" s="186">
        <f>AVERAGE(P80:P81)</f>
        <v>0.0610516934</v>
      </c>
      <c r="P81" s="177">
        <f t="shared" si="47"/>
        <v>0.1515151515</v>
      </c>
      <c r="R81" s="166">
        <f t="shared" si="17"/>
        <v>111.1721556</v>
      </c>
      <c r="S81" s="166">
        <v>12.0</v>
      </c>
      <c r="U81" s="166">
        <v>38.0</v>
      </c>
      <c r="V81" s="166">
        <v>12.0</v>
      </c>
      <c r="W81" s="177">
        <f>U81/$U$63</f>
        <v>0.7658914729</v>
      </c>
      <c r="X81" s="177">
        <f>(U81-$U$63)/$U$64</f>
        <v>-0.5649766593</v>
      </c>
      <c r="Y81" s="183">
        <f t="shared" si="18"/>
        <v>1</v>
      </c>
      <c r="Z81" s="170">
        <f t="shared" si="19"/>
        <v>12</v>
      </c>
      <c r="AA81" s="177">
        <f t="shared" si="20"/>
        <v>11</v>
      </c>
      <c r="AB81" s="177">
        <f t="shared" si="21"/>
        <v>0.02631578947</v>
      </c>
      <c r="AC81" s="177">
        <f t="shared" si="22"/>
        <v>0.3157894737</v>
      </c>
      <c r="AD81" s="177">
        <f t="shared" si="23"/>
        <v>0.2894736842</v>
      </c>
      <c r="AE81" s="177">
        <f t="shared" si="24"/>
        <v>1.289473684</v>
      </c>
      <c r="AF81" s="177">
        <f>S81/$V$63</f>
        <v>0.8527918782</v>
      </c>
      <c r="AG81" s="177">
        <f>Y81/$Y$63</f>
        <v>0.1529411765</v>
      </c>
      <c r="AH81" s="192"/>
      <c r="AI81" s="192"/>
      <c r="AJ81" s="192">
        <f>S81/(AVERAGE($V$63,$V$65))/$V$61</f>
        <v>5.022105177</v>
      </c>
      <c r="AK81" s="177">
        <f t="shared" si="25"/>
        <v>-0.1409093501</v>
      </c>
      <c r="AM81" s="177">
        <f t="shared" si="26"/>
        <v>85.90906499</v>
      </c>
      <c r="AN81" s="177">
        <f>(S81-$V$63)/$V$64</f>
        <v>-0.3287884835</v>
      </c>
      <c r="AO81" s="177">
        <f t="shared" si="42"/>
        <v>0.4734338195</v>
      </c>
      <c r="AP81" s="177">
        <f t="shared" si="27"/>
        <v>-2.304589382</v>
      </c>
      <c r="AQ81" s="177">
        <f t="shared" si="28"/>
        <v>85.14580601</v>
      </c>
      <c r="AR81" s="177">
        <f t="shared" si="29"/>
        <v>-0.1485419399</v>
      </c>
      <c r="AS81" s="177">
        <f t="shared" si="30"/>
        <v>-0.1409093501</v>
      </c>
      <c r="AT81" s="198">
        <f>AK81</f>
        <v>-0.1409093501</v>
      </c>
      <c r="AU81" s="177">
        <f t="shared" si="31"/>
        <v>-0.1561745297</v>
      </c>
      <c r="AV81" s="198">
        <f>AU81</f>
        <v>-0.1561745297</v>
      </c>
      <c r="AW81" s="177">
        <f t="shared" si="32"/>
        <v>84.38254703</v>
      </c>
      <c r="AX81" s="177">
        <f t="shared" si="33"/>
        <v>-0.5199729793</v>
      </c>
      <c r="AY81" s="177">
        <f t="shared" si="48"/>
        <v>20.88755625</v>
      </c>
      <c r="AZ81" s="177">
        <f>U81/80</f>
        <v>0.475</v>
      </c>
      <c r="BA81" s="184">
        <v>2.668</v>
      </c>
      <c r="BB81" s="170">
        <f t="shared" si="53"/>
        <v>80</v>
      </c>
      <c r="BC81" s="186">
        <f t="shared" si="43"/>
        <v>0.03896103896</v>
      </c>
      <c r="BD81" s="177">
        <f t="shared" si="44"/>
        <v>0.1515151515</v>
      </c>
      <c r="BE81" s="166">
        <v>3.132</v>
      </c>
      <c r="BF81" s="173">
        <f t="shared" si="35"/>
        <v>0.8518518519</v>
      </c>
      <c r="BG81" s="177">
        <f t="shared" si="45"/>
        <v>1.135010302</v>
      </c>
      <c r="BH81" s="185">
        <f>BD81/$BD$63</f>
        <v>1.135010302</v>
      </c>
      <c r="BI81" s="194">
        <f>AN81/$AN$63</f>
        <v>-5.70639E+15</v>
      </c>
      <c r="BJ81" s="177">
        <f t="shared" si="56"/>
        <v>-0.4018770145</v>
      </c>
      <c r="BQ81" s="173">
        <f t="shared" si="6"/>
        <v>0.1138338941</v>
      </c>
    </row>
    <row r="82">
      <c r="A82" s="180">
        <f t="shared" si="16"/>
        <v>0.4293249056</v>
      </c>
      <c r="B82" s="170">
        <f t="shared" si="36"/>
        <v>1</v>
      </c>
      <c r="C82" s="184">
        <f t="shared" si="37"/>
        <v>0.02380952381</v>
      </c>
      <c r="D82" s="184">
        <f t="shared" si="38"/>
        <v>0.119047619</v>
      </c>
      <c r="E82" s="184">
        <f t="shared" si="39"/>
        <v>0.09523809524</v>
      </c>
      <c r="F82" s="184">
        <f t="shared" si="40"/>
        <v>-0.01002506266</v>
      </c>
      <c r="G82" s="166"/>
      <c r="H82" s="189"/>
      <c r="I82" s="189"/>
      <c r="J82" s="166"/>
      <c r="K82" s="166"/>
      <c r="L82" s="166"/>
      <c r="N82" s="166" t="s">
        <v>271</v>
      </c>
      <c r="P82" s="177">
        <f t="shared" si="47"/>
        <v>0.1052631579</v>
      </c>
      <c r="Q82" s="166">
        <v>2017.0</v>
      </c>
      <c r="R82" s="166">
        <f t="shared" si="17"/>
        <v>126.6730115</v>
      </c>
      <c r="S82" s="166">
        <v>5.0</v>
      </c>
      <c r="U82" s="166">
        <v>42.0</v>
      </c>
      <c r="V82" s="166">
        <v>5.0</v>
      </c>
      <c r="W82" s="177">
        <f>U82/$U$65</f>
        <v>0.8907014682</v>
      </c>
      <c r="X82" s="177">
        <f>(U82-$U$63)/$U$67</f>
        <v>-0.3676852222</v>
      </c>
      <c r="Y82" s="183">
        <f t="shared" si="18"/>
        <v>9</v>
      </c>
      <c r="Z82" s="170">
        <f t="shared" si="19"/>
        <v>5</v>
      </c>
      <c r="AA82" s="177">
        <f t="shared" si="20"/>
        <v>-4</v>
      </c>
      <c r="AB82" s="177">
        <f t="shared" si="21"/>
        <v>0.2142857143</v>
      </c>
      <c r="AC82" s="177">
        <f t="shared" si="22"/>
        <v>0.119047619</v>
      </c>
      <c r="AD82" s="177">
        <f t="shared" si="23"/>
        <v>-0.09523809524</v>
      </c>
      <c r="AE82" s="177">
        <f t="shared" si="24"/>
        <v>0.9047619048</v>
      </c>
      <c r="AF82" s="177">
        <f>S82/$V$65</f>
        <v>1.326530612</v>
      </c>
      <c r="AG82" s="177">
        <f>Y82/$Y$65</f>
        <v>0.9435483871</v>
      </c>
      <c r="AH82" s="193"/>
      <c r="AI82" s="193"/>
      <c r="AJ82" s="193">
        <f>S82/(AVERAGE($V$63,$V$65))</f>
        <v>0.5605174007</v>
      </c>
      <c r="AK82" s="177">
        <f t="shared" si="25"/>
        <v>0.1816401538</v>
      </c>
      <c r="AM82" s="177">
        <f t="shared" si="26"/>
        <v>104.8654879</v>
      </c>
      <c r="AN82" s="177">
        <f>(S82-$V$65)/$V$67</f>
        <v>0.3824003238</v>
      </c>
      <c r="AO82" s="177">
        <f t="shared" si="42"/>
        <v>0.9473769831</v>
      </c>
      <c r="AP82" s="177">
        <f t="shared" si="27"/>
        <v>-0.8713733904</v>
      </c>
      <c r="AQ82" s="177">
        <f t="shared" si="28"/>
        <v>112.8278374</v>
      </c>
      <c r="AR82" s="177">
        <f t="shared" si="29"/>
        <v>0.1282783736</v>
      </c>
      <c r="AS82" s="177">
        <f t="shared" si="30"/>
        <v>0.1816401538</v>
      </c>
      <c r="AT82" s="199">
        <f>AK82*$V$61</f>
        <v>0.04865487915</v>
      </c>
      <c r="AU82" s="177">
        <f t="shared" si="31"/>
        <v>0.2230668555</v>
      </c>
      <c r="AV82" s="199">
        <f>AU82*$V$61</f>
        <v>0.05975160597</v>
      </c>
      <c r="AW82" s="177">
        <f t="shared" si="32"/>
        <v>105.9751606</v>
      </c>
      <c r="AX82" s="177">
        <f t="shared" si="33"/>
        <v>-0.2965090009</v>
      </c>
      <c r="AY82" s="177">
        <f t="shared" si="48"/>
        <v>26.49036751</v>
      </c>
      <c r="AZ82" s="177">
        <f>U82/72</f>
        <v>0.5833333333</v>
      </c>
      <c r="BA82" s="184">
        <v>2.977</v>
      </c>
      <c r="BB82" s="170">
        <f t="shared" si="53"/>
        <v>72</v>
      </c>
      <c r="BC82" s="186">
        <f t="shared" si="43"/>
        <v>-0.1</v>
      </c>
      <c r="BD82" s="177">
        <f t="shared" si="44"/>
        <v>0.1052631579</v>
      </c>
      <c r="BE82" s="166">
        <v>3.098</v>
      </c>
      <c r="BF82" s="173">
        <f t="shared" si="35"/>
        <v>0.9609425436</v>
      </c>
      <c r="BG82" s="177">
        <f t="shared" si="45"/>
        <v>0.7885334729</v>
      </c>
      <c r="BH82" s="187">
        <f>BD82/$BD$65</f>
        <v>-1.755718369</v>
      </c>
      <c r="BI82" s="194">
        <f>AN82/$AN$65</f>
        <v>1.79107E+17</v>
      </c>
      <c r="BJ82" s="177">
        <f t="shared" si="56"/>
        <v>-2.163058753</v>
      </c>
      <c r="BQ82" s="173">
        <f t="shared" si="6"/>
        <v>0.9103218331</v>
      </c>
    </row>
    <row r="83">
      <c r="A83" s="180">
        <f t="shared" si="16"/>
        <v>-0.7456608843</v>
      </c>
      <c r="B83" s="170">
        <f t="shared" si="36"/>
        <v>9</v>
      </c>
      <c r="C83" s="184">
        <f t="shared" si="37"/>
        <v>0.2093023256</v>
      </c>
      <c r="D83" s="184">
        <f t="shared" si="38"/>
        <v>0.2325581395</v>
      </c>
      <c r="E83" s="184">
        <f t="shared" si="39"/>
        <v>0.02325581395</v>
      </c>
      <c r="F83" s="184">
        <f t="shared" si="40"/>
        <v>-0.000553709856</v>
      </c>
      <c r="G83" s="178">
        <f>(I83/100)*H83</f>
        <v>86.75050002</v>
      </c>
      <c r="H83" s="177">
        <f>AVERAGE(R82,R83)</f>
        <v>99.17396962</v>
      </c>
      <c r="I83" s="177">
        <f>AVERAGE(J83:M83)</f>
        <v>87.47305402</v>
      </c>
      <c r="J83" s="178">
        <f>(1+AVERAGE(AK82,AK83))*100</f>
        <v>90.23335756</v>
      </c>
      <c r="K83" s="178">
        <f t="shared" ref="K83:M83" si="58">(1+AVERAGE(AT82,AT83))*100</f>
        <v>83.58409383</v>
      </c>
      <c r="L83" s="178">
        <f t="shared" si="58"/>
        <v>92.12026358</v>
      </c>
      <c r="M83" s="178">
        <f t="shared" si="58"/>
        <v>83.95450111</v>
      </c>
      <c r="N83" s="186">
        <f>(W83-W81)/W83</f>
        <v>0.1162790698</v>
      </c>
      <c r="O83" s="186">
        <f>AVERAGE(P82:P83)</f>
        <v>0.06453634085</v>
      </c>
      <c r="P83" s="177">
        <f t="shared" si="47"/>
        <v>0.02380952381</v>
      </c>
      <c r="R83" s="166">
        <f t="shared" si="17"/>
        <v>71.6749277</v>
      </c>
      <c r="S83" s="166">
        <v>10.0</v>
      </c>
      <c r="U83" s="166">
        <v>43.0</v>
      </c>
      <c r="V83" s="166">
        <v>10.0</v>
      </c>
      <c r="W83" s="177">
        <f>U83/$U$63</f>
        <v>0.8666666667</v>
      </c>
      <c r="X83" s="177">
        <f>(U83-$U$63)/$U$64</f>
        <v>-0.3217747861</v>
      </c>
      <c r="Y83" s="200">
        <v>0.0</v>
      </c>
      <c r="Z83" s="170">
        <f t="shared" si="19"/>
        <v>10</v>
      </c>
      <c r="AA83" s="177">
        <f t="shared" si="20"/>
        <v>10</v>
      </c>
      <c r="AB83" s="177">
        <f t="shared" si="21"/>
        <v>0</v>
      </c>
      <c r="AC83" s="177">
        <f t="shared" si="22"/>
        <v>0.2325581395</v>
      </c>
      <c r="AD83" s="177">
        <f t="shared" si="23"/>
        <v>0.2325581395</v>
      </c>
      <c r="AE83" s="177">
        <f t="shared" si="24"/>
        <v>1.23255814</v>
      </c>
      <c r="AF83" s="177">
        <f>S83/$V$63</f>
        <v>0.7106598985</v>
      </c>
      <c r="AG83" s="177">
        <f>Y83/$Y$63</f>
        <v>0</v>
      </c>
      <c r="AH83" s="195"/>
      <c r="AI83" s="195"/>
      <c r="AJ83" s="195">
        <f>S83/(AVERAGE($V$63,$V$65))/$V$61</f>
        <v>4.185087648</v>
      </c>
      <c r="AK83" s="177">
        <f t="shared" si="25"/>
        <v>-0.3769730026</v>
      </c>
      <c r="AM83" s="177">
        <f t="shared" si="26"/>
        <v>62.30269974</v>
      </c>
      <c r="AN83" s="177">
        <f>(S83-$V$63)/$V$64</f>
        <v>-0.6462394331</v>
      </c>
      <c r="AO83" s="177">
        <f t="shared" si="42"/>
        <v>-0.2785542108</v>
      </c>
      <c r="AP83" s="177">
        <f t="shared" si="27"/>
        <v>-2.568421983</v>
      </c>
      <c r="AQ83" s="177">
        <f t="shared" si="28"/>
        <v>62.11827068</v>
      </c>
      <c r="AR83" s="177">
        <f t="shared" si="29"/>
        <v>-0.3788172932</v>
      </c>
      <c r="AS83" s="177">
        <f t="shared" si="30"/>
        <v>-0.3769730026</v>
      </c>
      <c r="AT83" s="201">
        <f>AK83</f>
        <v>-0.3769730026</v>
      </c>
      <c r="AU83" s="177">
        <f t="shared" si="31"/>
        <v>-0.3806615839</v>
      </c>
      <c r="AV83" s="201">
        <f>AU83</f>
        <v>-0.3806615839</v>
      </c>
      <c r="AW83" s="177">
        <f t="shared" si="32"/>
        <v>61.93384161</v>
      </c>
      <c r="AX83" s="177">
        <f t="shared" si="33"/>
        <v>-0.891163867</v>
      </c>
      <c r="AY83" s="177">
        <f t="shared" si="48"/>
        <v>15.07033864</v>
      </c>
      <c r="AZ83" s="177">
        <f>U83/73</f>
        <v>0.5890410959</v>
      </c>
      <c r="BA83" s="184">
        <v>3.081</v>
      </c>
      <c r="BB83" s="170">
        <f t="shared" si="53"/>
        <v>73</v>
      </c>
      <c r="BC83" s="186">
        <f t="shared" si="43"/>
        <v>0.01388888889</v>
      </c>
      <c r="BD83" s="177">
        <f t="shared" si="44"/>
        <v>0.02380952381</v>
      </c>
      <c r="BE83" s="166">
        <v>3.141</v>
      </c>
      <c r="BF83" s="173">
        <f t="shared" si="35"/>
        <v>0.9808978032</v>
      </c>
      <c r="BG83" s="177">
        <f t="shared" si="45"/>
        <v>0.1783587617</v>
      </c>
      <c r="BH83" s="188">
        <f>BD83/$BD$63</f>
        <v>0.1783587617</v>
      </c>
      <c r="BI83" s="196">
        <f>AN83/$AN$63</f>
        <v>-1.1216E+16</v>
      </c>
      <c r="BJ83" s="177">
        <f t="shared" si="56"/>
        <v>-2.689955246</v>
      </c>
      <c r="BQ83" s="173">
        <f t="shared" si="6"/>
        <v>0.1349330905</v>
      </c>
    </row>
    <row r="84">
      <c r="A84" s="180">
        <f t="shared" si="16"/>
        <v>-0.8452334079</v>
      </c>
      <c r="B84" s="170">
        <f t="shared" si="36"/>
        <v>-4</v>
      </c>
      <c r="C84" s="184">
        <f t="shared" si="37"/>
        <v>-0.08333333333</v>
      </c>
      <c r="D84" s="184">
        <f t="shared" si="38"/>
        <v>0.02083333333</v>
      </c>
      <c r="E84" s="184">
        <f t="shared" si="39"/>
        <v>0.1041666667</v>
      </c>
      <c r="F84" s="184">
        <f t="shared" si="40"/>
        <v>-0.0121124031</v>
      </c>
      <c r="H84" s="177"/>
      <c r="I84" s="177"/>
      <c r="N84" s="166" t="s">
        <v>272</v>
      </c>
      <c r="P84" s="177">
        <f t="shared" si="47"/>
        <v>0.1162790698</v>
      </c>
      <c r="Q84" s="166">
        <v>2018.0</v>
      </c>
      <c r="R84" s="166">
        <f t="shared" si="17"/>
        <v>62.97177941</v>
      </c>
      <c r="S84" s="166">
        <v>1.0</v>
      </c>
      <c r="U84" s="166">
        <v>48.0</v>
      </c>
      <c r="V84" s="166">
        <v>1.0</v>
      </c>
      <c r="W84" s="177">
        <f>U84/$U$65</f>
        <v>1.017944535</v>
      </c>
      <c r="X84" s="177">
        <f>(U84-$U$63)/$U$67</f>
        <v>-0.07799383502</v>
      </c>
      <c r="Y84" s="183">
        <f t="shared" ref="Y84:Y94" si="60">-(U85-U84-S85)</f>
        <v>8</v>
      </c>
      <c r="Z84" s="170">
        <f t="shared" si="19"/>
        <v>1</v>
      </c>
      <c r="AA84" s="177">
        <f t="shared" si="20"/>
        <v>-7</v>
      </c>
      <c r="AB84" s="177">
        <f t="shared" si="21"/>
        <v>0.1666666667</v>
      </c>
      <c r="AC84" s="177">
        <f t="shared" si="22"/>
        <v>0.02083333333</v>
      </c>
      <c r="AD84" s="177">
        <f t="shared" si="23"/>
        <v>-0.1458333333</v>
      </c>
      <c r="AE84" s="177">
        <f t="shared" si="24"/>
        <v>0.8541666667</v>
      </c>
      <c r="AF84" s="177">
        <f>S84/$V$65</f>
        <v>0.2653061224</v>
      </c>
      <c r="AG84" s="177">
        <f>Y84/$Y$65</f>
        <v>0.8387096774</v>
      </c>
      <c r="AH84" s="191"/>
      <c r="AI84" s="191"/>
      <c r="AJ84" s="191">
        <f>S84/(AVERAGE($V$63,$V$65))</f>
        <v>0.1121034801</v>
      </c>
      <c r="AK84" s="177">
        <f t="shared" si="25"/>
        <v>-0.506811388</v>
      </c>
      <c r="AM84" s="177">
        <f t="shared" si="26"/>
        <v>86.42434158</v>
      </c>
      <c r="AN84" s="177">
        <f>(S84-$V$65)/$V$67</f>
        <v>-0.8604007285</v>
      </c>
      <c r="AO84" s="177">
        <f t="shared" si="42"/>
        <v>-0.5386259424</v>
      </c>
      <c r="AP84" s="177">
        <f t="shared" si="27"/>
        <v>-2.582724737</v>
      </c>
      <c r="AQ84" s="177">
        <f t="shared" si="28"/>
        <v>64.10177872</v>
      </c>
      <c r="AR84" s="177">
        <f t="shared" si="29"/>
        <v>-0.3589822128</v>
      </c>
      <c r="AS84" s="177">
        <f t="shared" si="30"/>
        <v>-0.506811388</v>
      </c>
      <c r="AT84" s="202">
        <f>AK84*$V$61</f>
        <v>-0.1357565842</v>
      </c>
      <c r="AU84" s="177">
        <f t="shared" si="31"/>
        <v>-0.6257459843</v>
      </c>
      <c r="AV84" s="202">
        <f>AU84*$V$61</f>
        <v>-0.1676148947</v>
      </c>
      <c r="AW84" s="177">
        <f t="shared" si="32"/>
        <v>83.23851053</v>
      </c>
      <c r="AX84" s="177">
        <f t="shared" si="33"/>
        <v>-1.366069283</v>
      </c>
      <c r="AY84" s="177">
        <f t="shared" si="48"/>
        <v>20.26977009</v>
      </c>
      <c r="AZ84" s="177">
        <f t="shared" ref="AZ84:AZ85" si="61">U84/66</f>
        <v>0.7272727273</v>
      </c>
      <c r="BA84" s="184">
        <v>2.937</v>
      </c>
      <c r="BB84" s="170">
        <f t="shared" si="53"/>
        <v>66</v>
      </c>
      <c r="BC84" s="186">
        <f t="shared" si="43"/>
        <v>-0.09589041096</v>
      </c>
      <c r="BD84" s="177">
        <f t="shared" si="44"/>
        <v>0.1162790698</v>
      </c>
      <c r="BE84" s="166">
        <v>3.171</v>
      </c>
      <c r="BF84" s="173">
        <f t="shared" si="35"/>
        <v>0.9262062441</v>
      </c>
      <c r="BG84" s="177">
        <f t="shared" si="45"/>
        <v>0.8710544178</v>
      </c>
      <c r="BH84" s="190">
        <f>BD84/$BD$65</f>
        <v>-1.939456338</v>
      </c>
      <c r="BI84" s="197">
        <f>AN84/$AN$65</f>
        <v>-4.0299E+17</v>
      </c>
      <c r="BJ84" s="177">
        <f t="shared" si="56"/>
        <v>0.3313962047</v>
      </c>
      <c r="BQ84" s="173">
        <f t="shared" si="6"/>
        <v>0.6156342195</v>
      </c>
    </row>
    <row r="85">
      <c r="A85" s="180">
        <f t="shared" si="16"/>
        <v>1.007085286</v>
      </c>
      <c r="B85" s="170">
        <f t="shared" si="36"/>
        <v>8</v>
      </c>
      <c r="C85" s="184">
        <f t="shared" si="37"/>
        <v>0.1290322581</v>
      </c>
      <c r="D85" s="184">
        <f t="shared" si="38"/>
        <v>0.3548387097</v>
      </c>
      <c r="E85" s="184">
        <f t="shared" si="39"/>
        <v>0.2258064516</v>
      </c>
      <c r="F85" s="184">
        <f t="shared" si="40"/>
        <v>-0.06586021505</v>
      </c>
      <c r="G85" s="178">
        <f>(I85/100)*H85</f>
        <v>152.5891786</v>
      </c>
      <c r="H85" s="177">
        <f>AVERAGE(R84,R85)</f>
        <v>113.4601836</v>
      </c>
      <c r="I85" s="177">
        <f>AVERAGE(J85:M85)</f>
        <v>134.4869837</v>
      </c>
      <c r="J85" s="178">
        <f>(1+AVERAGE(AK84,AK85))*100</f>
        <v>120.4218402</v>
      </c>
      <c r="K85" s="178">
        <f t="shared" ref="K85:M85" si="59">(1+AVERAGE(AT84,AT85))*100</f>
        <v>138.9745804</v>
      </c>
      <c r="L85" s="178">
        <f t="shared" si="59"/>
        <v>127.8224799</v>
      </c>
      <c r="M85" s="178">
        <f t="shared" si="59"/>
        <v>150.7290344</v>
      </c>
      <c r="N85" s="186">
        <f>(W85-W83)/W85</f>
        <v>0.3064516129</v>
      </c>
      <c r="O85" s="186">
        <f>AVERAGE(P84:P85)</f>
        <v>0.2039728682</v>
      </c>
      <c r="P85" s="177">
        <f t="shared" si="47"/>
        <v>0.2916666667</v>
      </c>
      <c r="R85" s="166">
        <f t="shared" si="17"/>
        <v>163.9485877</v>
      </c>
      <c r="S85" s="166">
        <v>22.0</v>
      </c>
      <c r="U85" s="166">
        <v>62.0</v>
      </c>
      <c r="V85" s="166">
        <v>22.0</v>
      </c>
      <c r="W85" s="177">
        <f>U85/$U$63</f>
        <v>1.249612403</v>
      </c>
      <c r="X85" s="177">
        <f>(U85-$U$63)/$U$64</f>
        <v>0.6023923321</v>
      </c>
      <c r="Y85" s="183">
        <f t="shared" si="60"/>
        <v>7</v>
      </c>
      <c r="Z85" s="170">
        <f t="shared" si="19"/>
        <v>22</v>
      </c>
      <c r="AA85" s="177">
        <f t="shared" si="20"/>
        <v>15</v>
      </c>
      <c r="AB85" s="177">
        <f t="shared" si="21"/>
        <v>0.1129032258</v>
      </c>
      <c r="AC85" s="177">
        <f t="shared" si="22"/>
        <v>0.3548387097</v>
      </c>
      <c r="AD85" s="177">
        <f t="shared" si="23"/>
        <v>0.2419354839</v>
      </c>
      <c r="AE85" s="177">
        <f t="shared" si="24"/>
        <v>1.241935484</v>
      </c>
      <c r="AF85" s="177">
        <f>S85/$V$63</f>
        <v>1.563451777</v>
      </c>
      <c r="AG85" s="177">
        <f>Y85/$Y$63</f>
        <v>1.070588235</v>
      </c>
      <c r="AH85" s="192"/>
      <c r="AI85" s="192"/>
      <c r="AJ85" s="192">
        <f>S85/(AVERAGE($V$63,$V$65))/$V$61</f>
        <v>9.207192825</v>
      </c>
      <c r="AK85" s="177">
        <f t="shared" si="25"/>
        <v>0.9152481923</v>
      </c>
      <c r="AM85" s="177">
        <f t="shared" si="26"/>
        <v>191.5248192</v>
      </c>
      <c r="AN85" s="177">
        <f>(S85-$V$63)/$V$64</f>
        <v>1.258466264</v>
      </c>
      <c r="AO85" s="177">
        <f t="shared" si="42"/>
        <v>1.336460099</v>
      </c>
      <c r="AP85" s="177">
        <f t="shared" si="27"/>
        <v>0.009425078135</v>
      </c>
      <c r="AQ85" s="177">
        <f t="shared" si="28"/>
        <v>204.8721887</v>
      </c>
      <c r="AR85" s="177">
        <f t="shared" si="29"/>
        <v>1.048721887</v>
      </c>
      <c r="AS85" s="177">
        <f t="shared" si="30"/>
        <v>0.9152481923</v>
      </c>
      <c r="AT85" s="198">
        <f>AK85</f>
        <v>0.9152481923</v>
      </c>
      <c r="AU85" s="177">
        <f t="shared" si="31"/>
        <v>1.182195582</v>
      </c>
      <c r="AV85" s="198">
        <f>AU85</f>
        <v>1.182195582</v>
      </c>
      <c r="AW85" s="177">
        <f t="shared" si="32"/>
        <v>218.2195582</v>
      </c>
      <c r="AX85" s="177">
        <f t="shared" si="33"/>
        <v>0.008317263625</v>
      </c>
      <c r="AY85" s="177">
        <f t="shared" si="48"/>
        <v>55.14806665</v>
      </c>
      <c r="AZ85" s="177">
        <f t="shared" si="61"/>
        <v>0.9393939394</v>
      </c>
      <c r="BA85" s="184">
        <v>2.733</v>
      </c>
      <c r="BB85" s="170">
        <f t="shared" si="53"/>
        <v>66</v>
      </c>
      <c r="BC85" s="186">
        <f t="shared" si="43"/>
        <v>0</v>
      </c>
      <c r="BD85" s="177">
        <f t="shared" si="44"/>
        <v>0.2916666667</v>
      </c>
      <c r="BE85" s="166">
        <v>3.149</v>
      </c>
      <c r="BF85" s="173">
        <f t="shared" si="35"/>
        <v>0.8678945697</v>
      </c>
      <c r="BG85" s="177">
        <f t="shared" si="45"/>
        <v>2.184894831</v>
      </c>
      <c r="BH85" s="185">
        <f>BD85/$BD$63</f>
        <v>2.184894831</v>
      </c>
      <c r="BI85" s="194">
        <f>AN85/$AN$63</f>
        <v>2.18417E+16</v>
      </c>
      <c r="BJ85" s="177">
        <f t="shared" si="56"/>
        <v>-2.462651324</v>
      </c>
      <c r="BQ85" s="173">
        <f t="shared" si="6"/>
        <v>0.2861056537</v>
      </c>
    </row>
    <row r="86">
      <c r="A86" s="180">
        <f t="shared" si="16"/>
        <v>1.197413995</v>
      </c>
      <c r="B86" s="170">
        <f t="shared" si="36"/>
        <v>7</v>
      </c>
      <c r="C86" s="184">
        <f t="shared" si="37"/>
        <v>0.109375</v>
      </c>
      <c r="D86" s="184">
        <f t="shared" si="38"/>
        <v>0.140625</v>
      </c>
      <c r="E86" s="184">
        <f t="shared" si="39"/>
        <v>0.03125</v>
      </c>
      <c r="F86" s="184">
        <f t="shared" si="40"/>
        <v>-0.001008064516</v>
      </c>
      <c r="H86" s="177"/>
      <c r="I86" s="177"/>
      <c r="N86" s="166" t="s">
        <v>273</v>
      </c>
      <c r="P86" s="177">
        <f t="shared" si="47"/>
        <v>0.03225806452</v>
      </c>
      <c r="Q86" s="166">
        <v>2019.0</v>
      </c>
      <c r="R86" s="166">
        <f t="shared" si="17"/>
        <v>147.2855566</v>
      </c>
      <c r="S86" s="166">
        <v>9.0</v>
      </c>
      <c r="U86" s="166">
        <v>64.0</v>
      </c>
      <c r="V86" s="166">
        <v>9.0</v>
      </c>
      <c r="W86" s="177">
        <f>U86/$U$65</f>
        <v>1.35725938</v>
      </c>
      <c r="X86" s="177">
        <f>(U86-$U$63)/$U$67</f>
        <v>0.6945165309</v>
      </c>
      <c r="Y86" s="183">
        <f t="shared" si="60"/>
        <v>11</v>
      </c>
      <c r="Z86" s="170">
        <f t="shared" si="19"/>
        <v>9</v>
      </c>
      <c r="AA86" s="177">
        <f t="shared" si="20"/>
        <v>-2</v>
      </c>
      <c r="AB86" s="177">
        <f t="shared" si="21"/>
        <v>0.171875</v>
      </c>
      <c r="AC86" s="177">
        <f t="shared" si="22"/>
        <v>0.140625</v>
      </c>
      <c r="AD86" s="177">
        <f t="shared" si="23"/>
        <v>-0.03125</v>
      </c>
      <c r="AE86" s="177">
        <f t="shared" si="24"/>
        <v>0.96875</v>
      </c>
      <c r="AF86" s="177">
        <f>S86/$V$65</f>
        <v>2.387755102</v>
      </c>
      <c r="AG86" s="177">
        <f>Y86/$Y$65</f>
        <v>1.153225806</v>
      </c>
      <c r="AH86" s="191"/>
      <c r="AI86" s="191"/>
      <c r="AJ86" s="191">
        <f>S86/(AVERAGE($V$63,$V$65))</f>
        <v>1.008931321</v>
      </c>
      <c r="AK86" s="177">
        <f t="shared" si="25"/>
        <v>1.526704323</v>
      </c>
      <c r="AM86" s="177">
        <f t="shared" si="26"/>
        <v>140.8949303</v>
      </c>
      <c r="AN86" s="177">
        <f>(S86-$V$65)/$V$67</f>
        <v>1.625201376</v>
      </c>
      <c r="AO86" s="177">
        <f t="shared" si="42"/>
        <v>1.022809044</v>
      </c>
      <c r="AP86" s="177">
        <f t="shared" si="27"/>
        <v>0.2679419959</v>
      </c>
      <c r="AQ86" s="177">
        <f t="shared" si="28"/>
        <v>199.9047033</v>
      </c>
      <c r="AR86" s="177">
        <f t="shared" si="29"/>
        <v>0.9990470328</v>
      </c>
      <c r="AS86" s="177">
        <f t="shared" si="30"/>
        <v>1.526704323</v>
      </c>
      <c r="AT86" s="199">
        <f>AK86*$V$61</f>
        <v>0.4089493032</v>
      </c>
      <c r="AU86" s="177">
        <f t="shared" si="31"/>
        <v>1.625201376</v>
      </c>
      <c r="AV86" s="199">
        <f>AU86*$V$61</f>
        <v>0.4353331292</v>
      </c>
      <c r="AW86" s="177">
        <f t="shared" si="32"/>
        <v>143.5333129</v>
      </c>
      <c r="AX86" s="177">
        <f t="shared" si="33"/>
        <v>0.2679419959</v>
      </c>
      <c r="AY86" s="177">
        <f t="shared" si="48"/>
        <v>36.46544736</v>
      </c>
      <c r="AZ86" s="180">
        <f>64/64</f>
        <v>1</v>
      </c>
      <c r="BA86" s="184">
        <v>2.919</v>
      </c>
      <c r="BB86" s="170">
        <f t="shared" si="53"/>
        <v>64</v>
      </c>
      <c r="BC86" s="186">
        <f t="shared" si="43"/>
        <v>-0.0303030303</v>
      </c>
      <c r="BD86" s="177">
        <f t="shared" si="44"/>
        <v>0.03225806452</v>
      </c>
      <c r="BE86" s="166">
        <v>3.012</v>
      </c>
      <c r="BF86" s="173">
        <f t="shared" si="35"/>
        <v>0.969123506</v>
      </c>
      <c r="BG86" s="177">
        <f t="shared" si="45"/>
        <v>0.2416473546</v>
      </c>
      <c r="BH86" s="187">
        <f>BD86/$BD$65</f>
        <v>-0.5380427259</v>
      </c>
      <c r="BI86" s="194">
        <f>AN86/$AN$65</f>
        <v>7.61203E+17</v>
      </c>
      <c r="BJ86" s="177">
        <f t="shared" si="56"/>
        <v>0.2914143366</v>
      </c>
      <c r="BQ86" s="173">
        <f t="shared" si="6"/>
        <v>0.6037140259</v>
      </c>
    </row>
    <row r="87">
      <c r="A87" s="180">
        <f t="shared" si="16"/>
        <v>1.015451152</v>
      </c>
      <c r="B87" s="170">
        <f t="shared" si="36"/>
        <v>11</v>
      </c>
      <c r="C87" s="184">
        <f t="shared" si="37"/>
        <v>0.1428571429</v>
      </c>
      <c r="D87" s="184">
        <f t="shared" si="38"/>
        <v>0.3116883117</v>
      </c>
      <c r="E87" s="184">
        <f t="shared" si="39"/>
        <v>0.1688311688</v>
      </c>
      <c r="F87" s="184">
        <f t="shared" si="40"/>
        <v>-0.03429383117</v>
      </c>
      <c r="G87" s="178">
        <f>(I87/100)*H87</f>
        <v>379.3249232</v>
      </c>
      <c r="H87" s="177">
        <f>AVERAGE(R86,R87)</f>
        <v>161.0265996</v>
      </c>
      <c r="I87" s="177">
        <f>AVERAGE(J87:M87)</f>
        <v>235.5666232</v>
      </c>
      <c r="J87" s="178">
        <f>(1+AVERAGE(AK86,AK87))*100</f>
        <v>255.1310768</v>
      </c>
      <c r="K87" s="178">
        <f t="shared" ref="K87:M87" si="62">(1+AVERAGE(AT86,AT87))*100</f>
        <v>199.2433259</v>
      </c>
      <c r="L87" s="178">
        <f t="shared" si="62"/>
        <v>273.6927512</v>
      </c>
      <c r="M87" s="178">
        <f t="shared" si="62"/>
        <v>214.1993389</v>
      </c>
      <c r="N87" s="186">
        <f>(W87-W85)/W87</f>
        <v>0.1948051948</v>
      </c>
      <c r="O87" s="186">
        <f>AVERAGE(P86:P87)</f>
        <v>0.1176915323</v>
      </c>
      <c r="P87" s="177">
        <f t="shared" si="47"/>
        <v>0.203125</v>
      </c>
      <c r="R87" s="166">
        <f t="shared" si="17"/>
        <v>174.7676427</v>
      </c>
      <c r="S87" s="166">
        <v>24.0</v>
      </c>
      <c r="U87" s="166">
        <v>77.0</v>
      </c>
      <c r="V87" s="166">
        <v>24.0</v>
      </c>
      <c r="W87" s="177">
        <f t="shared" ref="W87:W89" si="63">U87/$U$63</f>
        <v>1.551937984</v>
      </c>
      <c r="X87" s="177">
        <f>(U87-$U$63)/$U$64</f>
        <v>1.331997952</v>
      </c>
      <c r="Y87" s="183">
        <f t="shared" si="60"/>
        <v>4</v>
      </c>
      <c r="Z87" s="170">
        <f t="shared" si="19"/>
        <v>24</v>
      </c>
      <c r="AA87" s="177">
        <f t="shared" si="20"/>
        <v>20</v>
      </c>
      <c r="AB87" s="177">
        <f t="shared" si="21"/>
        <v>0.05194805195</v>
      </c>
      <c r="AC87" s="177">
        <f t="shared" si="22"/>
        <v>0.3116883117</v>
      </c>
      <c r="AD87" s="177">
        <f t="shared" si="23"/>
        <v>0.2597402597</v>
      </c>
      <c r="AE87" s="177">
        <f t="shared" si="24"/>
        <v>1.25974026</v>
      </c>
      <c r="AF87" s="177">
        <f>S87/$V$63</f>
        <v>1.705583756</v>
      </c>
      <c r="AG87" s="177">
        <f>Y87/$Y$63</f>
        <v>0.6117647059</v>
      </c>
      <c r="AH87" s="192"/>
      <c r="AI87" s="192"/>
      <c r="AJ87" s="192">
        <f>S87/(AVERAGE($V$63,$V$65))/$V$61</f>
        <v>10.04421035</v>
      </c>
      <c r="AK87" s="177">
        <f t="shared" si="25"/>
        <v>1.575917214</v>
      </c>
      <c r="AM87" s="177">
        <f t="shared" si="26"/>
        <v>257.5917214</v>
      </c>
      <c r="AN87" s="177">
        <f>(S87-$V$63)/$V$64</f>
        <v>1.575917214</v>
      </c>
      <c r="AO87" s="177">
        <f t="shared" si="42"/>
        <v>0.8814006831</v>
      </c>
      <c r="AP87" s="177">
        <f t="shared" si="27"/>
        <v>0.02044151456</v>
      </c>
      <c r="AQ87" s="177">
        <f t="shared" si="28"/>
        <v>271.2285431</v>
      </c>
      <c r="AR87" s="177">
        <f t="shared" si="29"/>
        <v>1.712285431</v>
      </c>
      <c r="AS87" s="177">
        <f t="shared" si="30"/>
        <v>1.575917214</v>
      </c>
      <c r="AT87" s="201">
        <f>AK87</f>
        <v>1.575917214</v>
      </c>
      <c r="AU87" s="177">
        <f t="shared" si="31"/>
        <v>1.848653648</v>
      </c>
      <c r="AV87" s="201">
        <f>AU87</f>
        <v>1.848653648</v>
      </c>
      <c r="AW87" s="177">
        <f t="shared" si="32"/>
        <v>284.8653648</v>
      </c>
      <c r="AX87" s="177">
        <f t="shared" si="33"/>
        <v>0.0281291997</v>
      </c>
      <c r="AY87" s="177">
        <f t="shared" si="48"/>
        <v>72.14770033</v>
      </c>
      <c r="AZ87" s="180">
        <f t="shared" ref="AZ87:AZ91" si="64">U87/BB87</f>
        <v>1.173065204</v>
      </c>
      <c r="BA87" s="184">
        <v>2.819</v>
      </c>
      <c r="BB87" s="170">
        <f>1641/25</f>
        <v>65.64</v>
      </c>
      <c r="BC87" s="186">
        <f t="shared" si="43"/>
        <v>0.025625</v>
      </c>
      <c r="BD87" s="177">
        <f t="shared" si="44"/>
        <v>0.203125</v>
      </c>
      <c r="BE87" s="166">
        <v>3.133</v>
      </c>
      <c r="BF87" s="173">
        <f t="shared" si="35"/>
        <v>0.899776572</v>
      </c>
      <c r="BG87" s="177">
        <f t="shared" si="45"/>
        <v>1.521623186</v>
      </c>
      <c r="BH87" s="188">
        <f>BD87/$BD$63</f>
        <v>1.521623186</v>
      </c>
      <c r="BI87" s="196">
        <f>AN87/$AN$63</f>
        <v>2.73513E+16</v>
      </c>
      <c r="BJ87" s="177">
        <f t="shared" si="56"/>
        <v>-0.03032495713</v>
      </c>
      <c r="BQ87" s="173">
        <f t="shared" si="6"/>
        <v>0.2441013129</v>
      </c>
    </row>
    <row r="88">
      <c r="A88" s="180">
        <f t="shared" si="16"/>
        <v>0.4352968632</v>
      </c>
      <c r="B88" s="170">
        <f t="shared" si="36"/>
        <v>4</v>
      </c>
      <c r="C88" s="184">
        <f t="shared" si="37"/>
        <v>0.05063291139</v>
      </c>
      <c r="D88" s="184">
        <f t="shared" si="38"/>
        <v>0.07594936709</v>
      </c>
      <c r="E88" s="184">
        <f t="shared" si="39"/>
        <v>0.0253164557</v>
      </c>
      <c r="F88" s="184">
        <f t="shared" si="40"/>
        <v>-0.0006575702778</v>
      </c>
      <c r="G88" s="166"/>
      <c r="H88" s="189"/>
      <c r="I88" s="189"/>
      <c r="J88" s="166" t="s">
        <v>273</v>
      </c>
      <c r="K88" s="166" t="s">
        <v>273</v>
      </c>
      <c r="L88" s="166" t="s">
        <v>273</v>
      </c>
      <c r="M88" s="166"/>
      <c r="N88" s="166" t="s">
        <v>274</v>
      </c>
      <c r="P88" s="177">
        <f t="shared" si="47"/>
        <v>0.02597402597</v>
      </c>
      <c r="Q88" s="166">
        <v>2020.0</v>
      </c>
      <c r="R88" s="166">
        <f t="shared" si="17"/>
        <v>93.10139325</v>
      </c>
      <c r="S88" s="166">
        <v>6.0</v>
      </c>
      <c r="U88" s="166">
        <v>79.0</v>
      </c>
      <c r="V88" s="166">
        <v>6.0</v>
      </c>
      <c r="W88" s="177">
        <f t="shared" si="63"/>
        <v>1.592248062</v>
      </c>
      <c r="X88" s="177">
        <f>(U88-$U$63)/$U$67</f>
        <v>1.418744999</v>
      </c>
      <c r="Y88" s="183">
        <f t="shared" si="60"/>
        <v>18</v>
      </c>
      <c r="Z88" s="170">
        <f t="shared" si="19"/>
        <v>6</v>
      </c>
      <c r="AA88" s="177">
        <f t="shared" si="20"/>
        <v>-12</v>
      </c>
      <c r="AB88" s="177">
        <f t="shared" si="21"/>
        <v>0.2278481013</v>
      </c>
      <c r="AC88" s="177">
        <f t="shared" si="22"/>
        <v>0.07594936709</v>
      </c>
      <c r="AD88" s="177">
        <f t="shared" si="23"/>
        <v>-0.1518987342</v>
      </c>
      <c r="AE88" s="177">
        <f t="shared" si="24"/>
        <v>0.8481012658</v>
      </c>
      <c r="AF88" s="177">
        <f>S88/$V$65</f>
        <v>1.591836735</v>
      </c>
      <c r="AG88" s="177">
        <f>Y88/$Y$65</f>
        <v>1.887096774</v>
      </c>
      <c r="AH88" s="191"/>
      <c r="AI88" s="191"/>
      <c r="AJ88" s="191">
        <f>S88/(AVERAGE($V$63,$V$65))</f>
        <v>0.6726208808</v>
      </c>
      <c r="AK88" s="177">
        <f t="shared" si="25"/>
        <v>0.8130521814</v>
      </c>
      <c r="AM88" s="177">
        <f t="shared" si="26"/>
        <v>121.7787503</v>
      </c>
      <c r="AN88" s="177">
        <f>(S88-$V$65)/$V$67</f>
        <v>0.6931005868</v>
      </c>
      <c r="AO88" s="177">
        <f t="shared" si="42"/>
        <v>-0.638897365</v>
      </c>
      <c r="AP88" s="177">
        <f t="shared" si="27"/>
        <v>-0.8791158352</v>
      </c>
      <c r="AQ88" s="177">
        <f t="shared" si="28"/>
        <v>148.240513</v>
      </c>
      <c r="AR88" s="177">
        <f t="shared" si="29"/>
        <v>0.4824051298</v>
      </c>
      <c r="AS88" s="177">
        <f t="shared" si="30"/>
        <v>0.8130521814</v>
      </c>
      <c r="AT88" s="202">
        <f>AK88*$V$61</f>
        <v>0.2177875035</v>
      </c>
      <c r="AU88" s="177">
        <f t="shared" si="31"/>
        <v>0.7088936608</v>
      </c>
      <c r="AV88" s="202">
        <f>AU88*$V$61</f>
        <v>0.1898871735</v>
      </c>
      <c r="AW88" s="177">
        <f t="shared" si="32"/>
        <v>118.9887173</v>
      </c>
      <c r="AX88" s="177">
        <f t="shared" si="33"/>
        <v>-0.9196355585</v>
      </c>
      <c r="AY88" s="177">
        <f t="shared" si="48"/>
        <v>29.74196566</v>
      </c>
      <c r="AZ88" s="180">
        <f t="shared" si="64"/>
        <v>1.022786121</v>
      </c>
      <c r="BA88" s="184">
        <v>3.25</v>
      </c>
      <c r="BB88" s="170">
        <f>1931/25</f>
        <v>77.24</v>
      </c>
      <c r="BC88" s="186">
        <f t="shared" si="43"/>
        <v>0.1767215113</v>
      </c>
      <c r="BD88" s="177">
        <f t="shared" si="44"/>
        <v>0.02597402597</v>
      </c>
      <c r="BE88" s="166">
        <v>3.439</v>
      </c>
      <c r="BF88" s="173">
        <f t="shared" si="35"/>
        <v>0.9450421634</v>
      </c>
      <c r="BG88" s="177">
        <f t="shared" si="45"/>
        <v>0.1945731946</v>
      </c>
      <c r="BH88" s="190">
        <f>BD88/$BD$65</f>
        <v>-0.4332292079</v>
      </c>
      <c r="BI88" s="197">
        <f>AN88/$AN$65</f>
        <v>3.24631E+17</v>
      </c>
      <c r="BJ88" s="177">
        <f t="shared" si="56"/>
        <v>-0.5601922609</v>
      </c>
      <c r="BQ88" s="173">
        <f t="shared" si="6"/>
        <v>0.2925298297</v>
      </c>
    </row>
    <row r="89">
      <c r="A89" s="180">
        <f t="shared" si="16"/>
        <v>0.5764053923</v>
      </c>
      <c r="B89" s="170">
        <f t="shared" si="36"/>
        <v>18</v>
      </c>
      <c r="C89" s="184">
        <f t="shared" si="37"/>
        <v>0.2222222222</v>
      </c>
      <c r="D89" s="184">
        <f t="shared" si="38"/>
        <v>0.2469135802</v>
      </c>
      <c r="E89" s="184">
        <f t="shared" si="39"/>
        <v>0.02469135802</v>
      </c>
      <c r="F89" s="184">
        <f t="shared" si="40"/>
        <v>-0.0006250976715</v>
      </c>
      <c r="G89" s="178">
        <f>(I89/100)*H89</f>
        <v>185.97048</v>
      </c>
      <c r="H89" s="177">
        <f>AVERAGE(R88,R89)</f>
        <v>107.3065343</v>
      </c>
      <c r="I89" s="177">
        <f>AVERAGE(J89:M89)</f>
        <v>173.3076939</v>
      </c>
      <c r="J89" s="178">
        <f>(1+AVERAGE(AK88,AK89))*100</f>
        <v>188.7754793</v>
      </c>
      <c r="K89" s="178">
        <f t="shared" ref="K89:M89" si="65">(1+AVERAGE(AT88,AT89))*100</f>
        <v>159.0122454</v>
      </c>
      <c r="L89" s="178">
        <f t="shared" si="65"/>
        <v>185.6966876</v>
      </c>
      <c r="M89" s="178">
        <f t="shared" si="65"/>
        <v>159.7463632</v>
      </c>
      <c r="N89" s="186">
        <f>(W89-W87)/W89</f>
        <v>0.04938271605</v>
      </c>
      <c r="O89" s="186">
        <f>AVERAGE(P88:P89)</f>
        <v>0.02564524084</v>
      </c>
      <c r="P89" s="177">
        <f t="shared" si="47"/>
        <v>0.0253164557</v>
      </c>
      <c r="R89" s="166">
        <f t="shared" si="17"/>
        <v>121.5116754</v>
      </c>
      <c r="S89" s="166">
        <v>20.0</v>
      </c>
      <c r="U89" s="166">
        <v>81.0</v>
      </c>
      <c r="V89" s="166">
        <v>20.0</v>
      </c>
      <c r="W89" s="177">
        <f t="shared" si="63"/>
        <v>1.63255814</v>
      </c>
      <c r="X89" s="177">
        <f>(U89-$U$63)/$U$64</f>
        <v>1.52655945</v>
      </c>
      <c r="Y89" s="183">
        <f t="shared" si="60"/>
        <v>17</v>
      </c>
      <c r="Z89" s="170">
        <f t="shared" si="19"/>
        <v>20</v>
      </c>
      <c r="AA89" s="177">
        <f t="shared" si="20"/>
        <v>3</v>
      </c>
      <c r="AB89" s="177">
        <f t="shared" si="21"/>
        <v>0.2098765432</v>
      </c>
      <c r="AC89" s="177">
        <f t="shared" si="22"/>
        <v>0.2469135802</v>
      </c>
      <c r="AD89" s="177">
        <f t="shared" si="23"/>
        <v>0.03703703704</v>
      </c>
      <c r="AE89" s="177">
        <f t="shared" si="24"/>
        <v>1.037037037</v>
      </c>
      <c r="AF89" s="177">
        <f>S89/$V$63</f>
        <v>1.421319797</v>
      </c>
      <c r="AG89" s="177">
        <f>Y89/$Y$63</f>
        <v>2.6</v>
      </c>
      <c r="AH89" s="192"/>
      <c r="AI89" s="192"/>
      <c r="AJ89" s="192">
        <f>S89/(AVERAGE($V$63,$V$65))/$V$61</f>
        <v>8.370175295</v>
      </c>
      <c r="AK89" s="177">
        <f t="shared" si="25"/>
        <v>0.9624574038</v>
      </c>
      <c r="AM89" s="177">
        <f t="shared" si="26"/>
        <v>196.2457404</v>
      </c>
      <c r="AN89" s="177">
        <f>(S89-$V$63)/$V$64</f>
        <v>0.9410153148</v>
      </c>
      <c r="AO89" s="177">
        <f t="shared" si="42"/>
        <v>-0.4777296841</v>
      </c>
      <c r="AP89" s="177">
        <f t="shared" si="27"/>
        <v>-0.6474889855</v>
      </c>
      <c r="AQ89" s="177">
        <f t="shared" si="28"/>
        <v>198.3748747</v>
      </c>
      <c r="AR89" s="177">
        <f t="shared" si="29"/>
        <v>0.9837487474</v>
      </c>
      <c r="AS89" s="177">
        <f t="shared" si="30"/>
        <v>0.9624574038</v>
      </c>
      <c r="AT89" s="198">
        <f>AK89</f>
        <v>0.9624574038</v>
      </c>
      <c r="AU89" s="177">
        <f t="shared" si="31"/>
        <v>1.005040091</v>
      </c>
      <c r="AV89" s="198">
        <f>AU89</f>
        <v>1.005040091</v>
      </c>
      <c r="AW89" s="177">
        <f t="shared" si="32"/>
        <v>200.5040091</v>
      </c>
      <c r="AX89" s="177">
        <f t="shared" si="33"/>
        <v>-0.7385939979</v>
      </c>
      <c r="AY89" s="177">
        <f t="shared" si="48"/>
        <v>50.44387382</v>
      </c>
      <c r="AZ89" s="180">
        <f t="shared" si="64"/>
        <v>1.068037975</v>
      </c>
      <c r="BA89" s="184">
        <v>3.006</v>
      </c>
      <c r="BB89" s="170">
        <f>1896/25</f>
        <v>75.84</v>
      </c>
      <c r="BC89" s="186">
        <f t="shared" si="43"/>
        <v>-0.01812532367</v>
      </c>
      <c r="BD89" s="177">
        <f t="shared" si="44"/>
        <v>0.0253164557</v>
      </c>
      <c r="BE89" s="166">
        <v>3.213</v>
      </c>
      <c r="BF89" s="173">
        <f t="shared" si="35"/>
        <v>0.9355742297</v>
      </c>
      <c r="BG89" s="177">
        <f t="shared" si="45"/>
        <v>0.189647291</v>
      </c>
      <c r="BH89" s="185">
        <f>BD89/$BD$63</f>
        <v>0.189647291</v>
      </c>
      <c r="BI89" s="194">
        <f>AN89/$AN$63</f>
        <v>1.63321E+16</v>
      </c>
      <c r="BJ89" s="177">
        <f t="shared" si="56"/>
        <v>0.3576893927</v>
      </c>
      <c r="BQ89" s="173">
        <f t="shared" si="6"/>
        <v>0.006645135138</v>
      </c>
    </row>
    <row r="90">
      <c r="A90" s="180">
        <f t="shared" si="16"/>
        <v>1.233583893</v>
      </c>
      <c r="B90" s="170">
        <f t="shared" si="36"/>
        <v>17</v>
      </c>
      <c r="C90" s="184">
        <f t="shared" si="37"/>
        <v>0.2297297297</v>
      </c>
      <c r="D90" s="184">
        <f t="shared" si="38"/>
        <v>0.1351351351</v>
      </c>
      <c r="E90" s="184">
        <f t="shared" si="39"/>
        <v>-0.09459459459</v>
      </c>
      <c r="F90" s="184">
        <f t="shared" si="40"/>
        <v>-0.008174841508</v>
      </c>
      <c r="G90" s="179"/>
      <c r="H90" s="189"/>
      <c r="I90" s="189"/>
      <c r="J90" s="179" t="s">
        <v>275</v>
      </c>
      <c r="K90" s="179" t="s">
        <v>275</v>
      </c>
      <c r="L90" s="179" t="s">
        <v>275</v>
      </c>
      <c r="M90" s="179"/>
      <c r="N90" s="166" t="s">
        <v>276</v>
      </c>
      <c r="P90" s="177">
        <f t="shared" si="47"/>
        <v>-0.08641975309</v>
      </c>
      <c r="Q90" s="166">
        <v>2021.0</v>
      </c>
      <c r="R90" s="166">
        <f t="shared" si="17"/>
        <v>144.7523818</v>
      </c>
      <c r="S90" s="166">
        <v>10.0</v>
      </c>
      <c r="U90" s="166">
        <v>74.0</v>
      </c>
      <c r="V90" s="166">
        <v>10.0</v>
      </c>
      <c r="W90" s="177">
        <f>U90/$U$65</f>
        <v>1.569331158</v>
      </c>
      <c r="X90" s="177">
        <f>(U90-$U$63)/$U$67</f>
        <v>1.17733551</v>
      </c>
      <c r="Y90" s="183">
        <f t="shared" si="60"/>
        <v>13</v>
      </c>
      <c r="Z90" s="170">
        <f t="shared" si="19"/>
        <v>10</v>
      </c>
      <c r="AA90" s="177">
        <f t="shared" si="20"/>
        <v>-3</v>
      </c>
      <c r="AB90" s="177">
        <f t="shared" si="21"/>
        <v>0.1756756757</v>
      </c>
      <c r="AC90" s="177">
        <f t="shared" si="22"/>
        <v>0.1351351351</v>
      </c>
      <c r="AD90" s="177">
        <f t="shared" si="23"/>
        <v>-0.04054054054</v>
      </c>
      <c r="AE90" s="177">
        <f t="shared" si="24"/>
        <v>0.9594594595</v>
      </c>
      <c r="AF90" s="177">
        <f>S90/$V$65</f>
        <v>2.653061224</v>
      </c>
      <c r="AG90" s="177">
        <f>Y90/$Y$65</f>
        <v>1.362903226</v>
      </c>
      <c r="AH90" s="193"/>
      <c r="AI90" s="193"/>
      <c r="AJ90" s="193">
        <f>S90/(AVERAGE($V$63,$V$65))</f>
        <v>1.121034801</v>
      </c>
      <c r="AK90" s="177">
        <f t="shared" si="25"/>
        <v>2.067616466</v>
      </c>
      <c r="AM90" s="177">
        <f t="shared" si="26"/>
        <v>155.3840256</v>
      </c>
      <c r="AN90" s="177">
        <f>(S90-$V$65)/$V$67</f>
        <v>1.935901639</v>
      </c>
      <c r="AO90" s="177">
        <f t="shared" si="42"/>
        <v>0.4093421887</v>
      </c>
      <c r="AP90" s="177">
        <f t="shared" si="27"/>
        <v>0.3649853112</v>
      </c>
      <c r="AQ90" s="177">
        <f t="shared" si="28"/>
        <v>227.164423</v>
      </c>
      <c r="AR90" s="177">
        <f t="shared" si="29"/>
        <v>1.27164423</v>
      </c>
      <c r="AS90" s="177">
        <f t="shared" si="30"/>
        <v>2.067616466</v>
      </c>
      <c r="AT90" s="199">
        <f>AK90*$V$61</f>
        <v>0.553840256</v>
      </c>
      <c r="AU90" s="177">
        <f t="shared" si="31"/>
        <v>1.944309464</v>
      </c>
      <c r="AV90" s="199">
        <f>AU90*$V$61</f>
        <v>0.5208107349</v>
      </c>
      <c r="AW90" s="177">
        <f t="shared" si="32"/>
        <v>152.0810735</v>
      </c>
      <c r="AX90" s="177">
        <f t="shared" si="33"/>
        <v>0.368162535</v>
      </c>
      <c r="AY90" s="177">
        <f t="shared" si="48"/>
        <v>38.72858906</v>
      </c>
      <c r="AZ90" s="180">
        <f t="shared" si="64"/>
        <v>1.004343105</v>
      </c>
      <c r="BA90" s="184">
        <v>3.267</v>
      </c>
      <c r="BB90" s="170">
        <f>1842/25</f>
        <v>73.68</v>
      </c>
      <c r="BC90" s="186">
        <f t="shared" si="43"/>
        <v>-0.02848101266</v>
      </c>
      <c r="BD90" s="177">
        <f t="shared" si="44"/>
        <v>-0.08641975309</v>
      </c>
      <c r="BE90" s="166">
        <v>3.307</v>
      </c>
      <c r="BF90" s="173">
        <f t="shared" si="35"/>
        <v>0.9879044451</v>
      </c>
      <c r="BG90" s="177">
        <f t="shared" si="45"/>
        <v>-0.6473762463</v>
      </c>
      <c r="BH90" s="187">
        <f>BD90/$BD$65</f>
        <v>1.441423105</v>
      </c>
      <c r="BI90" s="194">
        <f>AN90/$AN$65</f>
        <v>9.06727E+17</v>
      </c>
      <c r="BJ90" s="177">
        <f t="shared" si="56"/>
        <v>1.05724775</v>
      </c>
      <c r="BQ90" s="173">
        <f t="shared" si="6"/>
        <v>0.3698930439</v>
      </c>
    </row>
    <row r="91">
      <c r="A91" s="180">
        <f t="shared" si="16"/>
        <v>-0.1140235349</v>
      </c>
      <c r="B91" s="170">
        <f t="shared" si="36"/>
        <v>13</v>
      </c>
      <c r="C91" s="184">
        <f t="shared" si="37"/>
        <v>0.1756756757</v>
      </c>
      <c r="D91" s="184">
        <f t="shared" si="38"/>
        <v>0.1756756757</v>
      </c>
      <c r="E91" s="184">
        <f t="shared" si="39"/>
        <v>0</v>
      </c>
      <c r="F91" s="184">
        <f t="shared" si="40"/>
        <v>0</v>
      </c>
      <c r="G91" s="178">
        <f>(I91/100)*H91</f>
        <v>155.0790312</v>
      </c>
      <c r="H91" s="177">
        <f>AVERAGE(R90,R91)</f>
        <v>100.0975607</v>
      </c>
      <c r="I91" s="177">
        <f>AVERAGE(J91:M91)</f>
        <v>154.9278824</v>
      </c>
      <c r="J91" s="178">
        <f>(1+AVERAGE(AK90,AK91))*100</f>
        <v>194.8407428</v>
      </c>
      <c r="K91" s="178">
        <f t="shared" ref="K91:M91" si="66">(1+AVERAGE(AT90,AT91))*100</f>
        <v>119.1519323</v>
      </c>
      <c r="L91" s="178">
        <f t="shared" si="66"/>
        <v>188.4468955</v>
      </c>
      <c r="M91" s="178">
        <f t="shared" si="66"/>
        <v>117.2719591</v>
      </c>
      <c r="N91" s="186">
        <f>(W91-W89)/W91</f>
        <v>-0.09459459459</v>
      </c>
      <c r="O91" s="186">
        <f>AVERAGE(P90:P91)</f>
        <v>-0.04320987654</v>
      </c>
      <c r="P91" s="177">
        <f t="shared" si="47"/>
        <v>0</v>
      </c>
      <c r="R91" s="166">
        <f t="shared" si="17"/>
        <v>55.44273959</v>
      </c>
      <c r="S91" s="166">
        <v>13.0</v>
      </c>
      <c r="U91" s="166">
        <v>74.0</v>
      </c>
      <c r="V91" s="166">
        <v>13.0</v>
      </c>
      <c r="W91" s="177">
        <f>U91/$U$63</f>
        <v>1.491472868</v>
      </c>
      <c r="X91" s="177">
        <f>(U91-$U$63)/$U$64</f>
        <v>1.186076828</v>
      </c>
      <c r="Y91" s="183">
        <f t="shared" si="60"/>
        <v>11</v>
      </c>
      <c r="Z91" s="170">
        <f t="shared" si="19"/>
        <v>13</v>
      </c>
      <c r="AA91" s="177">
        <f t="shared" si="20"/>
        <v>2</v>
      </c>
      <c r="AB91" s="177">
        <f t="shared" si="21"/>
        <v>0.1486486486</v>
      </c>
      <c r="AC91" s="177">
        <f t="shared" si="22"/>
        <v>0.1756756757</v>
      </c>
      <c r="AD91" s="177">
        <f t="shared" si="23"/>
        <v>0.02702702703</v>
      </c>
      <c r="AE91" s="177">
        <f t="shared" si="24"/>
        <v>1.027027027</v>
      </c>
      <c r="AF91" s="177">
        <f>S91/$V$63</f>
        <v>0.923857868</v>
      </c>
      <c r="AG91" s="177">
        <f>Y91/$Y$63</f>
        <v>1.682352941</v>
      </c>
      <c r="AH91" s="195"/>
      <c r="AI91" s="195"/>
      <c r="AJ91" s="195">
        <f>S91/(AVERAGE($V$63,$V$65))/$V$61</f>
        <v>5.440613942</v>
      </c>
      <c r="AK91" s="177">
        <f t="shared" si="25"/>
        <v>-0.1708016103</v>
      </c>
      <c r="AM91" s="177">
        <f t="shared" si="26"/>
        <v>82.91983897</v>
      </c>
      <c r="AN91" s="177">
        <f>(S91-$V$63)/$V$64</f>
        <v>-0.1700630087</v>
      </c>
      <c r="AO91" s="177">
        <f t="shared" si="42"/>
        <v>-1.347398518</v>
      </c>
      <c r="AP91" s="177">
        <f t="shared" si="27"/>
        <v>-1.611240737</v>
      </c>
      <c r="AQ91" s="177">
        <f t="shared" si="28"/>
        <v>82.69134184</v>
      </c>
      <c r="AR91" s="177">
        <f t="shared" si="29"/>
        <v>-0.1730865816</v>
      </c>
      <c r="AS91" s="177">
        <f t="shared" si="30"/>
        <v>-0.1708016103</v>
      </c>
      <c r="AT91" s="201">
        <f>AK91</f>
        <v>-0.1708016103</v>
      </c>
      <c r="AU91" s="177">
        <f t="shared" si="31"/>
        <v>-0.175371553</v>
      </c>
      <c r="AV91" s="201">
        <f>AU91</f>
        <v>-0.175371553</v>
      </c>
      <c r="AZ91" s="180">
        <f t="shared" si="64"/>
        <v>1.031215162</v>
      </c>
      <c r="BA91" s="184">
        <v>3.167</v>
      </c>
      <c r="BB91" s="170">
        <f>1794/25</f>
        <v>71.76</v>
      </c>
      <c r="BC91" s="186">
        <f t="shared" si="43"/>
        <v>-0.02605863192</v>
      </c>
      <c r="BD91" s="177">
        <f t="shared" si="44"/>
        <v>0</v>
      </c>
      <c r="BE91" s="166">
        <v>3.221</v>
      </c>
      <c r="BF91" s="173">
        <f t="shared" si="35"/>
        <v>0.9832350202</v>
      </c>
      <c r="BG91" s="177">
        <f t="shared" si="45"/>
        <v>0</v>
      </c>
      <c r="BH91" s="188">
        <f>BD91/$BD$63</f>
        <v>0</v>
      </c>
      <c r="BI91" s="196">
        <f>AN91/$AN$63</f>
        <v>-2.95158E+15</v>
      </c>
      <c r="BJ91" s="177">
        <f t="shared" si="56"/>
        <v>-1.087846926</v>
      </c>
      <c r="BQ91" s="173">
        <f t="shared" si="6"/>
        <v>0.5406738404</v>
      </c>
    </row>
    <row r="92">
      <c r="A92" s="180">
        <f t="shared" si="16"/>
        <v>0.2651712652</v>
      </c>
      <c r="B92" s="170">
        <f t="shared" si="36"/>
        <v>11</v>
      </c>
      <c r="C92" s="184">
        <f t="shared" si="37"/>
        <v>0.1617647059</v>
      </c>
      <c r="D92" s="184">
        <f t="shared" si="38"/>
        <v>0.07352941176</v>
      </c>
      <c r="E92" s="184">
        <f t="shared" si="39"/>
        <v>-0.08823529412</v>
      </c>
      <c r="F92" s="184">
        <f t="shared" si="40"/>
        <v>-0.007154213037</v>
      </c>
      <c r="G92" s="179"/>
      <c r="H92" s="189"/>
      <c r="I92" s="189"/>
      <c r="J92" s="179" t="s">
        <v>277</v>
      </c>
      <c r="K92" s="179" t="s">
        <v>277</v>
      </c>
      <c r="L92" s="179" t="s">
        <v>277</v>
      </c>
      <c r="M92" s="179"/>
      <c r="N92" s="166" t="s">
        <v>278</v>
      </c>
      <c r="P92" s="177">
        <f t="shared" si="47"/>
        <v>-0.08108108108</v>
      </c>
      <c r="Q92" s="166">
        <v>2022.0</v>
      </c>
      <c r="R92" s="166" t="str">
        <f t="shared" si="17"/>
        <v>#REF!</v>
      </c>
      <c r="S92" s="166">
        <v>5.0</v>
      </c>
      <c r="U92" s="166">
        <v>68.0</v>
      </c>
      <c r="V92" s="166">
        <v>5.0</v>
      </c>
      <c r="W92" s="177">
        <f>U92/$U$65</f>
        <v>1.442088091</v>
      </c>
      <c r="X92" s="177">
        <f>(U92-$U$63)/$U$67</f>
        <v>0.8876441223</v>
      </c>
      <c r="Y92" s="183">
        <f t="shared" si="60"/>
        <v>11</v>
      </c>
      <c r="Z92" s="170">
        <f t="shared" si="19"/>
        <v>5</v>
      </c>
      <c r="AA92" s="177">
        <f t="shared" si="20"/>
        <v>-6</v>
      </c>
      <c r="AB92" s="177">
        <f t="shared" si="21"/>
        <v>0.1617647059</v>
      </c>
      <c r="AC92" s="177">
        <f t="shared" si="22"/>
        <v>0.07352941176</v>
      </c>
      <c r="AD92" s="177">
        <f t="shared" si="23"/>
        <v>-0.08823529412</v>
      </c>
      <c r="AE92" s="177">
        <f t="shared" si="24"/>
        <v>0.9117647059</v>
      </c>
      <c r="AF92" s="177">
        <f>S92/$V$65</f>
        <v>1.326530612</v>
      </c>
      <c r="AG92" s="177">
        <f>Y92/$Y$65</f>
        <v>1.153225806</v>
      </c>
      <c r="AH92" s="203"/>
      <c r="AI92" s="203"/>
      <c r="AJ92" s="203">
        <f>S92/(AVERAGE($V$63,$V$65))/S81</f>
        <v>0.04670978339</v>
      </c>
      <c r="AK92" s="177">
        <f t="shared" si="25"/>
        <v>0.3943370117</v>
      </c>
      <c r="AM92" s="177">
        <f t="shared" si="26"/>
        <v>110.5628735</v>
      </c>
      <c r="AN92" s="177">
        <f>(S92-$V$65)/$V$67</f>
        <v>0.3824003238</v>
      </c>
      <c r="AO92" s="177">
        <f t="shared" si="42"/>
        <v>-0.8036765041</v>
      </c>
      <c r="AP92" s="177" t="str">
        <f t="shared" ref="AP92:AP94" si="68">(AN92-W92)/#REF!</f>
        <v>#REF!</v>
      </c>
      <c r="AQ92" s="177" t="str">
        <f t="shared" si="28"/>
        <v>#REF!</v>
      </c>
      <c r="AR92" s="177" t="str">
        <f t="shared" si="29"/>
        <v>#REF!</v>
      </c>
      <c r="AS92" s="177">
        <f t="shared" si="30"/>
        <v>0.3943370117</v>
      </c>
      <c r="AT92" s="202">
        <f>AK92*$V$61</f>
        <v>0.1056287349</v>
      </c>
      <c r="AU92" s="177" t="str">
        <f t="shared" ref="AU92:AU94" si="69">(AN92)*#REF!</f>
        <v>#REF!</v>
      </c>
      <c r="AV92" s="202" t="str">
        <f>AU92*$V$61</f>
        <v>#REF!</v>
      </c>
      <c r="AX92" s="177">
        <f t="shared" ref="AX92:AX94" si="70">(1+AV91)*100</f>
        <v>82.4628447</v>
      </c>
      <c r="AY92" s="177">
        <f>(AN91-W91)*AZ91</f>
        <v>-1.713400988</v>
      </c>
      <c r="AZ92" s="177">
        <f>average(AU91:AX91)</f>
        <v>-0.175371553</v>
      </c>
      <c r="BA92" s="184">
        <v>3.331</v>
      </c>
      <c r="BB92" s="170">
        <f>1744/25</f>
        <v>69.76</v>
      </c>
      <c r="BC92" s="186">
        <f t="shared" si="43"/>
        <v>-0.02787068004</v>
      </c>
      <c r="BD92" s="177">
        <f t="shared" si="44"/>
        <v>-0.08108108108</v>
      </c>
      <c r="BE92" s="166">
        <v>3.29</v>
      </c>
      <c r="BF92" s="173">
        <f t="shared" si="35"/>
        <v>1.012462006</v>
      </c>
      <c r="BG92" s="177">
        <f t="shared" si="45"/>
        <v>-0.6073838913</v>
      </c>
      <c r="BH92" s="190">
        <f>BD92/$BD$65</f>
        <v>1.352377662</v>
      </c>
      <c r="BI92" s="197">
        <f>AN92/$AN$65</f>
        <v>1.79107E+17</v>
      </c>
      <c r="BJ92" s="177">
        <f t="shared" si="56"/>
        <v>-3.248580257</v>
      </c>
      <c r="BQ92" s="173">
        <f t="shared" si="6"/>
        <v>0.4270174744</v>
      </c>
    </row>
    <row r="93">
      <c r="A93" s="180">
        <f t="shared" si="16"/>
        <v>-0.1205391655</v>
      </c>
      <c r="B93" s="170">
        <f t="shared" si="36"/>
        <v>11</v>
      </c>
      <c r="C93" s="184">
        <f t="shared" si="37"/>
        <v>0.1571428571</v>
      </c>
      <c r="D93" s="184">
        <f t="shared" si="38"/>
        <v>0.1857142857</v>
      </c>
      <c r="E93" s="184">
        <f t="shared" si="39"/>
        <v>0.02857142857</v>
      </c>
      <c r="F93" s="184">
        <f t="shared" si="40"/>
        <v>-0.0008403361345</v>
      </c>
      <c r="G93" s="178" t="str">
        <f>(I93/100)*H93</f>
        <v>#REF!</v>
      </c>
      <c r="H93" s="177" t="str">
        <f>AVERAGE(R92,R93)</f>
        <v>#REF!</v>
      </c>
      <c r="I93" s="177" t="str">
        <f>AVERAGE(J93:M93)</f>
        <v>#REF!</v>
      </c>
      <c r="J93" s="178" t="str">
        <f>(1+AVERAGE(AK92,AK93))*100</f>
        <v>#REF!</v>
      </c>
      <c r="K93" s="178" t="str">
        <f t="shared" ref="K93:M93" si="67">(1+AVERAGE(AT92,AT93))*100</f>
        <v>#REF!</v>
      </c>
      <c r="L93" s="178" t="str">
        <f t="shared" si="67"/>
        <v>#REF!</v>
      </c>
      <c r="M93" s="178" t="str">
        <f t="shared" si="67"/>
        <v>#REF!</v>
      </c>
      <c r="N93" s="186">
        <f>(W93-W91)/W93</f>
        <v>-0.05714285714</v>
      </c>
      <c r="O93" s="186">
        <f>AVERAGE(P92:P93)</f>
        <v>-0.02583465819</v>
      </c>
      <c r="P93" s="177">
        <f t="shared" si="47"/>
        <v>0.02941176471</v>
      </c>
      <c r="R93" s="166" t="str">
        <f t="shared" si="17"/>
        <v>#REF!</v>
      </c>
      <c r="S93" s="166">
        <v>13.0</v>
      </c>
      <c r="U93" s="166">
        <v>70.0</v>
      </c>
      <c r="V93" s="166">
        <v>13.0</v>
      </c>
      <c r="W93" s="177">
        <f>U93/$U$63</f>
        <v>1.410852713</v>
      </c>
      <c r="X93" s="177">
        <f>(U93-$U$63)/$U$64</f>
        <v>0.9915153293</v>
      </c>
      <c r="Y93" s="183">
        <f t="shared" si="60"/>
        <v>6</v>
      </c>
      <c r="Z93" s="170">
        <f t="shared" si="19"/>
        <v>13</v>
      </c>
      <c r="AA93" s="177">
        <f t="shared" si="20"/>
        <v>7</v>
      </c>
      <c r="AB93" s="177">
        <f t="shared" si="21"/>
        <v>0.08571428571</v>
      </c>
      <c r="AC93" s="177">
        <f t="shared" si="22"/>
        <v>0.1857142857</v>
      </c>
      <c r="AD93" s="177">
        <f t="shared" si="23"/>
        <v>0.1</v>
      </c>
      <c r="AE93" s="177">
        <f t="shared" si="24"/>
        <v>1.1</v>
      </c>
      <c r="AF93" s="177">
        <f>S93/$V$63</f>
        <v>0.923857868</v>
      </c>
      <c r="AG93" s="177">
        <f>Y93/$Y$63</f>
        <v>0.9176470588</v>
      </c>
      <c r="AH93" s="177"/>
      <c r="AI93" s="177"/>
      <c r="AJ93" s="177">
        <f t="shared" ref="AJ93:AJ95" si="71">S93/(AVERAGE($V$63,$V$65))</f>
        <v>1.457345242</v>
      </c>
      <c r="AK93" s="177" t="str">
        <f t="shared" ref="AK93:AK95" si="72">AN93*#REF!</f>
        <v>#REF!</v>
      </c>
      <c r="AM93" s="177" t="str">
        <f t="shared" si="26"/>
        <v>#REF!</v>
      </c>
      <c r="AN93" s="177">
        <f>(S93-$V$63)/$V$64</f>
        <v>-0.1700630087</v>
      </c>
      <c r="AO93" s="177">
        <f t="shared" si="42"/>
        <v>-1.057707131</v>
      </c>
      <c r="AP93" s="177" t="str">
        <f t="shared" si="68"/>
        <v>#REF!</v>
      </c>
      <c r="AQ93" s="177" t="str">
        <f t="shared" si="28"/>
        <v>#REF!</v>
      </c>
      <c r="AR93" s="177" t="str">
        <f t="shared" si="29"/>
        <v>#REF!</v>
      </c>
      <c r="AS93" s="177" t="str">
        <f t="shared" si="30"/>
        <v>#REF!</v>
      </c>
      <c r="AT93" s="198" t="str">
        <f>AK93</f>
        <v>#REF!</v>
      </c>
      <c r="AU93" s="177" t="str">
        <f t="shared" si="69"/>
        <v>#REF!</v>
      </c>
      <c r="AV93" s="198" t="str">
        <f>AU93</f>
        <v>#REF!</v>
      </c>
      <c r="AX93" s="177" t="str">
        <f t="shared" si="70"/>
        <v>#REF!</v>
      </c>
      <c r="AY93" s="177" t="str">
        <f t="shared" ref="AY93:AY94" si="73">(AN92-W92)*#REF!</f>
        <v>#REF!</v>
      </c>
      <c r="AZ93" s="177" t="str">
        <f t="shared" ref="AZ93:AZ94" si="74">average(AU92:AW92)</f>
        <v>#REF!</v>
      </c>
      <c r="BA93" s="184">
        <v>3.091</v>
      </c>
      <c r="BB93" s="170">
        <f>1822/25</f>
        <v>72.88</v>
      </c>
      <c r="BC93" s="186">
        <f t="shared" si="43"/>
        <v>0.04472477064</v>
      </c>
      <c r="BD93" s="177">
        <f t="shared" si="44"/>
        <v>0.02941176471</v>
      </c>
      <c r="BE93" s="166">
        <v>3.265</v>
      </c>
      <c r="BF93" s="173">
        <f t="shared" si="35"/>
        <v>0.9467075038</v>
      </c>
      <c r="BG93" s="177">
        <f t="shared" si="45"/>
        <v>0.2203255292</v>
      </c>
      <c r="BH93" s="185">
        <f>BD93/$BD$63</f>
        <v>0.2203255292</v>
      </c>
      <c r="BI93" s="194">
        <f>AN93/$AN$63</f>
        <v>-2.95158E+15</v>
      </c>
      <c r="BJ93" s="177">
        <f t="shared" si="56"/>
        <v>-1.444725065</v>
      </c>
      <c r="BQ93" s="173">
        <f t="shared" si="6"/>
        <v>0.03730828668</v>
      </c>
    </row>
    <row r="94">
      <c r="A94" s="180">
        <f t="shared" si="16"/>
        <v>0.04971961223</v>
      </c>
      <c r="B94" s="170">
        <f t="shared" si="36"/>
        <v>6</v>
      </c>
      <c r="C94" s="184">
        <f t="shared" si="37"/>
        <v>0.08823529412</v>
      </c>
      <c r="D94" s="184">
        <f t="shared" si="38"/>
        <v>0.05882352941</v>
      </c>
      <c r="E94" s="184">
        <f t="shared" si="39"/>
        <v>-0.02941176471</v>
      </c>
      <c r="F94" s="184">
        <f t="shared" si="40"/>
        <v>-0.0008403361345</v>
      </c>
      <c r="G94" s="179"/>
      <c r="H94" s="189"/>
      <c r="I94" s="189"/>
      <c r="J94" s="179" t="s">
        <v>279</v>
      </c>
      <c r="K94" s="179" t="s">
        <v>279</v>
      </c>
      <c r="L94" s="179" t="s">
        <v>279</v>
      </c>
      <c r="M94" s="179"/>
      <c r="N94" s="166" t="s">
        <v>280</v>
      </c>
      <c r="P94" s="177">
        <f t="shared" si="47"/>
        <v>-0.02857142857</v>
      </c>
      <c r="Q94" s="166">
        <v>2023.0</v>
      </c>
      <c r="R94" s="166" t="str">
        <f t="shared" si="17"/>
        <v>#REF!</v>
      </c>
      <c r="S94" s="166">
        <v>4.0</v>
      </c>
      <c r="U94" s="166">
        <v>68.0</v>
      </c>
      <c r="V94" s="166">
        <v>4.0</v>
      </c>
      <c r="W94" s="177">
        <f t="shared" ref="W94:W95" si="76">U94/$U$65</f>
        <v>1.442088091</v>
      </c>
      <c r="X94" s="177">
        <f>(U94-$U$63)/$U$67</f>
        <v>0.8876441223</v>
      </c>
      <c r="Y94" s="183">
        <f t="shared" si="60"/>
        <v>19</v>
      </c>
      <c r="Z94" s="170">
        <f t="shared" si="19"/>
        <v>4</v>
      </c>
      <c r="AA94" s="177">
        <f t="shared" si="20"/>
        <v>-15</v>
      </c>
      <c r="AB94" s="177">
        <f t="shared" si="21"/>
        <v>0.2794117647</v>
      </c>
      <c r="AC94" s="177">
        <f t="shared" si="22"/>
        <v>0.05882352941</v>
      </c>
      <c r="AD94" s="177">
        <f t="shared" si="23"/>
        <v>-0.2205882353</v>
      </c>
      <c r="AE94" s="177">
        <f t="shared" si="24"/>
        <v>0.7794117647</v>
      </c>
      <c r="AF94" s="177">
        <f>S94/$V$65</f>
        <v>1.06122449</v>
      </c>
      <c r="AG94" s="177">
        <f>Y94/$Y$65</f>
        <v>1.991935484</v>
      </c>
      <c r="AH94" s="177"/>
      <c r="AI94" s="177"/>
      <c r="AJ94" s="177">
        <f t="shared" si="71"/>
        <v>0.4484139205</v>
      </c>
      <c r="AK94" s="177" t="str">
        <f t="shared" si="72"/>
        <v>#REF!</v>
      </c>
      <c r="AM94" s="177" t="str">
        <f t="shared" si="26"/>
        <v>#REF!</v>
      </c>
      <c r="AN94" s="177">
        <f>(S94-$V$65)/$V$67</f>
        <v>0.07170006071</v>
      </c>
      <c r="AO94" s="177">
        <f t="shared" si="42"/>
        <v>-0.9198152686</v>
      </c>
      <c r="AP94" s="177" t="str">
        <f t="shared" si="68"/>
        <v>#REF!</v>
      </c>
      <c r="AQ94" s="177" t="str">
        <f t="shared" si="28"/>
        <v>#REF!</v>
      </c>
      <c r="AR94" s="177" t="str">
        <f t="shared" si="29"/>
        <v>#REF!</v>
      </c>
      <c r="AS94" s="177" t="str">
        <f t="shared" si="30"/>
        <v>#REF!</v>
      </c>
      <c r="AT94" s="199" t="str">
        <f>AK94*$V$61</f>
        <v>#REF!</v>
      </c>
      <c r="AU94" s="177" t="str">
        <f t="shared" si="69"/>
        <v>#REF!</v>
      </c>
      <c r="AV94" s="199" t="str">
        <f>AU94*$V$61</f>
        <v>#REF!</v>
      </c>
      <c r="AW94" s="177" t="str">
        <f t="shared" ref="AW94:AW95" si="77">(1+AV94)*100</f>
        <v>#REF!</v>
      </c>
      <c r="AX94" s="177" t="str">
        <f t="shared" si="70"/>
        <v>#REF!</v>
      </c>
      <c r="AY94" s="177" t="str">
        <f t="shared" si="73"/>
        <v>#REF!</v>
      </c>
      <c r="AZ94" s="177" t="str">
        <f t="shared" si="74"/>
        <v>#REF!</v>
      </c>
      <c r="BA94" s="184">
        <v>3.121</v>
      </c>
      <c r="BB94" s="170">
        <f>1694/25</f>
        <v>67.76</v>
      </c>
      <c r="BC94" s="186">
        <f t="shared" si="43"/>
        <v>-0.07025246981</v>
      </c>
      <c r="BD94" s="177">
        <f t="shared" si="44"/>
        <v>-0.02857142857</v>
      </c>
      <c r="BE94" s="166">
        <v>3.337</v>
      </c>
      <c r="BF94" s="173">
        <f t="shared" si="35"/>
        <v>0.9352712017</v>
      </c>
      <c r="BG94" s="177">
        <f t="shared" si="45"/>
        <v>-0.2140305141</v>
      </c>
      <c r="BH94" s="187">
        <f>BD94/$BD$65</f>
        <v>0.4765521287</v>
      </c>
      <c r="BI94" s="194">
        <f>AN94/$AN$65</f>
        <v>3.35825E+16</v>
      </c>
      <c r="BJ94" s="177">
        <f>(BB94-BB93)/BB93</f>
        <v>-0.07025246981</v>
      </c>
      <c r="BQ94" s="173">
        <f t="shared" si="6"/>
        <v>0.3881147237</v>
      </c>
    </row>
    <row r="95">
      <c r="A95" s="180">
        <f t="shared" si="16"/>
        <v>-0.008485846507</v>
      </c>
      <c r="B95" s="170">
        <f t="shared" si="36"/>
        <v>19</v>
      </c>
      <c r="C95" s="184">
        <f t="shared" si="37"/>
        <v>0.3015873016</v>
      </c>
      <c r="D95" s="184">
        <f t="shared" si="38"/>
        <v>0.2222222222</v>
      </c>
      <c r="E95" s="184">
        <f t="shared" si="39"/>
        <v>-0.07936507937</v>
      </c>
      <c r="F95" s="184">
        <f t="shared" si="40"/>
        <v>-0.07936507937</v>
      </c>
      <c r="G95" s="178" t="str">
        <f>(I95/100)*H95</f>
        <v>#REF!</v>
      </c>
      <c r="H95" s="177" t="str">
        <f>AVERAGE(R94,R95)</f>
        <v>#REF!</v>
      </c>
      <c r="I95" s="177" t="str">
        <f>AVERAGE(J95:M95)</f>
        <v>#REF!</v>
      </c>
      <c r="J95" s="178" t="str">
        <f>(1+AVERAGE(AK94,AK95))*100</f>
        <v>#REF!</v>
      </c>
      <c r="K95" s="178" t="str">
        <f t="shared" ref="K95:M95" si="75">(1+AVERAGE(AT94,AT95))*100</f>
        <v>#REF!</v>
      </c>
      <c r="L95" s="178" t="str">
        <f t="shared" si="75"/>
        <v>#REF!</v>
      </c>
      <c r="M95" s="178" t="str">
        <f t="shared" si="75"/>
        <v>#REF!</v>
      </c>
      <c r="N95" s="186">
        <f>(W95-W93)/W95</f>
        <v>-0.05598621878</v>
      </c>
      <c r="O95" s="186">
        <f>AVERAGE(P94:P95)</f>
        <v>-0.05105042017</v>
      </c>
      <c r="P95" s="177">
        <f t="shared" si="47"/>
        <v>-0.07352941176</v>
      </c>
      <c r="R95" s="166" t="str">
        <f t="shared" si="17"/>
        <v>#REF!</v>
      </c>
      <c r="S95" s="166">
        <v>14.0</v>
      </c>
      <c r="U95" s="166">
        <v>63.0</v>
      </c>
      <c r="V95" s="166">
        <v>14.0</v>
      </c>
      <c r="W95" s="177">
        <f t="shared" si="76"/>
        <v>1.336052202</v>
      </c>
      <c r="X95" s="177">
        <f>(U95-$U$63)/$U$64</f>
        <v>0.6510327068</v>
      </c>
      <c r="Y95" s="183"/>
      <c r="Z95" s="170">
        <f t="shared" si="19"/>
        <v>14</v>
      </c>
      <c r="AA95" s="177">
        <f t="shared" si="20"/>
        <v>14</v>
      </c>
      <c r="AB95" s="177">
        <f t="shared" si="21"/>
        <v>0</v>
      </c>
      <c r="AC95" s="177">
        <f t="shared" si="22"/>
        <v>0.2222222222</v>
      </c>
      <c r="AD95" s="177">
        <f t="shared" si="23"/>
        <v>0.2222222222</v>
      </c>
      <c r="AE95" s="177">
        <f t="shared" si="24"/>
        <v>1.222222222</v>
      </c>
      <c r="AF95" s="177">
        <f>S95/$V$63</f>
        <v>0.9949238579</v>
      </c>
      <c r="AG95" s="177"/>
      <c r="AH95" s="177"/>
      <c r="AI95" s="177"/>
      <c r="AJ95" s="177">
        <f t="shared" si="71"/>
        <v>1.569448722</v>
      </c>
      <c r="AK95" s="177" t="str">
        <f t="shared" si="72"/>
        <v>#REF!</v>
      </c>
      <c r="AM95" s="177" t="str">
        <f t="shared" si="26"/>
        <v>#REF!</v>
      </c>
      <c r="AN95" s="177">
        <f>(S95-$V$63)/$V$64</f>
        <v>-0.01133753391</v>
      </c>
      <c r="AO95" s="177">
        <f t="shared" si="42"/>
        <v>-0.8989816562</v>
      </c>
      <c r="AP95" s="177">
        <f>(AN95-W95)/AZ95</f>
        <v>-1.390164014</v>
      </c>
      <c r="AQ95" s="177" t="str">
        <f t="shared" si="28"/>
        <v>#REF!</v>
      </c>
      <c r="AR95" s="177" t="str">
        <f t="shared" si="29"/>
        <v>#REF!</v>
      </c>
      <c r="AS95" s="177" t="str">
        <f t="shared" si="30"/>
        <v>#REF!</v>
      </c>
      <c r="AT95" s="201" t="str">
        <f>AK95</f>
        <v>#REF!</v>
      </c>
      <c r="AU95" s="177">
        <f>(AN95)*AZ95</f>
        <v>-0.01098868672</v>
      </c>
      <c r="AV95" s="201">
        <f>AU95</f>
        <v>-0.01098868672</v>
      </c>
      <c r="AW95" s="177">
        <f t="shared" si="77"/>
        <v>98.90113133</v>
      </c>
      <c r="AX95" s="177">
        <f>(AN95-W95)*AZ95</f>
        <v>-1.30593159</v>
      </c>
      <c r="AY95" s="177">
        <f>average(AU95:AX95)</f>
        <v>24.39330559</v>
      </c>
      <c r="AZ95" s="180">
        <f>U95/BB95</f>
        <v>0.9692307692</v>
      </c>
      <c r="BB95" s="166">
        <v>65.0</v>
      </c>
      <c r="BG95" s="177"/>
      <c r="BH95" s="188"/>
      <c r="BI95" s="196"/>
      <c r="BQ95" s="173">
        <f t="shared" si="6"/>
        <v>0.1042841892</v>
      </c>
    </row>
    <row r="96">
      <c r="C96" s="170">
        <f>AVERAGE(C68:C95)</f>
        <v>0.1698203378</v>
      </c>
      <c r="F96" s="170">
        <f>SUM(F69:F95)</f>
        <v>-0.6492263987</v>
      </c>
      <c r="G96" s="166"/>
      <c r="H96" s="166"/>
      <c r="I96" s="166"/>
      <c r="J96" s="166"/>
      <c r="K96" s="166"/>
      <c r="L96" s="166" t="s">
        <v>281</v>
      </c>
      <c r="N96" s="166" t="s">
        <v>282</v>
      </c>
      <c r="P96" s="177"/>
      <c r="R96" s="166"/>
      <c r="S96" s="166"/>
      <c r="U96" s="166"/>
      <c r="V96" s="166"/>
      <c r="X96" s="177"/>
      <c r="Y96" s="177"/>
      <c r="Z96" s="177"/>
      <c r="AA96" s="177"/>
      <c r="AB96" s="177"/>
      <c r="AC96" s="177"/>
      <c r="AD96" s="177"/>
      <c r="AE96" s="177"/>
      <c r="AF96" s="177"/>
      <c r="AG96" s="177"/>
      <c r="AH96" s="177"/>
      <c r="AI96" s="177"/>
      <c r="AJ96" s="177">
        <f>V96/(AVERAGE($V$63,$V$65))</f>
        <v>0</v>
      </c>
      <c r="AK96" s="177"/>
      <c r="AL96" s="177"/>
      <c r="AM96" s="177"/>
      <c r="AN96" s="177"/>
      <c r="AQ96" s="177"/>
      <c r="AR96" s="177"/>
      <c r="AS96" s="177"/>
      <c r="AV96" s="202"/>
      <c r="BB96" s="166"/>
      <c r="BD96" s="177">
        <f>AVERAGE(BD70:BD94)</f>
        <v>0.03289998816</v>
      </c>
      <c r="BH96" s="190"/>
      <c r="BI96" s="197"/>
      <c r="BQ96" s="173">
        <f t="shared" si="6"/>
        <v>0.5776961713</v>
      </c>
    </row>
    <row r="97">
      <c r="M97" s="170" t="str">
        <f>AVERAGE(M63:M95)</f>
        <v>#REF!</v>
      </c>
      <c r="N97" s="186" t="str">
        <f>(W97-W95)/W97</f>
        <v>#DIV/0!</v>
      </c>
      <c r="O97" s="170">
        <f t="shared" ref="O97:P97" si="78">AVERAGE(O63:O95)</f>
        <v>0.04250847278</v>
      </c>
      <c r="P97" s="178">
        <f t="shared" si="78"/>
        <v>0.04444556193</v>
      </c>
      <c r="X97" s="177"/>
      <c r="Y97" s="177"/>
      <c r="Z97" s="177"/>
      <c r="AA97" s="177"/>
      <c r="AB97" s="177"/>
      <c r="AC97" s="177"/>
      <c r="AD97" s="177">
        <f t="shared" ref="AD97:AE97" si="79">AVERAGE(AD69:AD95)</f>
        <v>0.02241734995</v>
      </c>
      <c r="AE97" s="177">
        <f t="shared" si="79"/>
        <v>1.02241735</v>
      </c>
      <c r="AF97" s="177"/>
      <c r="AG97" s="177"/>
      <c r="AH97" s="177"/>
      <c r="AI97" s="177"/>
      <c r="AJ97" s="177"/>
      <c r="AK97" s="177"/>
      <c r="AL97" s="177"/>
      <c r="AM97" s="177"/>
      <c r="AN97" s="177"/>
      <c r="BI97" s="194"/>
      <c r="BQ97" s="173">
        <f t="shared" si="6"/>
        <v>0.3811910694</v>
      </c>
    </row>
    <row r="98">
      <c r="X98" s="177"/>
      <c r="Y98" s="177"/>
      <c r="Z98" s="177"/>
      <c r="AA98" s="177"/>
      <c r="AB98" s="177"/>
      <c r="AC98" s="177"/>
      <c r="AD98" s="177"/>
      <c r="AE98" s="177"/>
      <c r="AF98" s="177"/>
      <c r="AG98" s="177"/>
      <c r="AH98" s="177"/>
      <c r="AI98" s="177"/>
      <c r="AJ98" s="177"/>
      <c r="AK98" s="177"/>
      <c r="AL98" s="177"/>
      <c r="AM98" s="177"/>
      <c r="AN98" s="177"/>
      <c r="BQ98" s="173">
        <f t="shared" si="6"/>
        <v>0.1167276975</v>
      </c>
    </row>
    <row r="99">
      <c r="M99" s="166" t="s">
        <v>82</v>
      </c>
      <c r="X99" s="177"/>
      <c r="Y99" s="177"/>
      <c r="Z99" s="177"/>
      <c r="AA99" s="177"/>
      <c r="AB99" s="177"/>
      <c r="AC99" s="177"/>
      <c r="AD99" s="177"/>
      <c r="AE99" s="177"/>
      <c r="AF99" s="177"/>
      <c r="AG99" s="177"/>
      <c r="AH99" s="177"/>
      <c r="AI99" s="177"/>
      <c r="AJ99" s="177"/>
      <c r="AK99" s="177"/>
      <c r="AL99" s="177"/>
      <c r="AM99" s="177"/>
      <c r="AN99" s="177"/>
    </row>
    <row r="100">
      <c r="D100" s="166" t="s">
        <v>283</v>
      </c>
      <c r="E100" s="166" t="s">
        <v>284</v>
      </c>
      <c r="G100" s="166"/>
      <c r="H100" s="166"/>
      <c r="I100" s="166"/>
      <c r="J100" s="166"/>
      <c r="K100" s="166"/>
      <c r="L100" s="166" t="s">
        <v>285</v>
      </c>
      <c r="M100" s="166">
        <v>100.0</v>
      </c>
      <c r="X100" s="177"/>
      <c r="Y100" s="177"/>
      <c r="Z100" s="177"/>
      <c r="AA100" s="177"/>
      <c r="AB100" s="177"/>
      <c r="AC100" s="177"/>
      <c r="AD100" s="177"/>
      <c r="AE100" s="177"/>
      <c r="AF100" s="177"/>
      <c r="AG100" s="177"/>
      <c r="AH100" s="177"/>
      <c r="AI100" s="177"/>
      <c r="AJ100" s="177"/>
      <c r="AK100" s="177"/>
      <c r="AL100" s="177"/>
      <c r="AM100" s="177"/>
      <c r="AN100" s="177"/>
      <c r="BO100" s="166" t="s">
        <v>286</v>
      </c>
    </row>
    <row r="101">
      <c r="D101" s="166" t="s">
        <v>283</v>
      </c>
      <c r="E101" s="166" t="s">
        <v>287</v>
      </c>
      <c r="G101" s="166"/>
      <c r="H101" s="166"/>
      <c r="I101" s="166"/>
      <c r="J101" s="166"/>
      <c r="K101" s="166"/>
      <c r="L101" s="166" t="s">
        <v>288</v>
      </c>
      <c r="M101" s="166">
        <v>100.0</v>
      </c>
      <c r="X101" s="177"/>
      <c r="Y101" s="177"/>
      <c r="Z101" s="177"/>
      <c r="AA101" s="177"/>
      <c r="AB101" s="177"/>
      <c r="AC101" s="177"/>
      <c r="AD101" s="177"/>
      <c r="AE101" s="177"/>
      <c r="AF101" s="177"/>
      <c r="AG101" s="177"/>
      <c r="AH101" s="177"/>
      <c r="AI101" s="177"/>
      <c r="AJ101" s="177"/>
      <c r="AK101" s="177"/>
      <c r="AL101" s="177"/>
      <c r="AM101" s="177"/>
      <c r="AN101" s="177"/>
    </row>
    <row r="102">
      <c r="X102" s="177"/>
      <c r="Y102" s="177"/>
      <c r="Z102" s="177"/>
      <c r="AA102" s="177"/>
      <c r="AB102" s="177"/>
      <c r="AC102" s="177"/>
      <c r="AD102" s="177"/>
      <c r="AE102" s="177"/>
      <c r="AF102" s="177"/>
      <c r="AG102" s="177"/>
      <c r="AH102" s="177"/>
      <c r="AI102" s="177"/>
      <c r="AJ102" s="177"/>
      <c r="AK102" s="177"/>
      <c r="AL102" s="177"/>
      <c r="AM102" s="177"/>
      <c r="AN102" s="177"/>
    </row>
    <row r="103">
      <c r="A103" s="166" t="s">
        <v>289</v>
      </c>
      <c r="C103" s="166" t="s">
        <v>290</v>
      </c>
      <c r="G103" s="166"/>
      <c r="H103" s="166"/>
      <c r="I103" s="166"/>
      <c r="J103" s="166"/>
      <c r="K103" s="166"/>
      <c r="L103" s="166" t="s">
        <v>291</v>
      </c>
      <c r="M103" s="170">
        <f>(M101-M100)/100</f>
        <v>0</v>
      </c>
      <c r="X103" s="177"/>
      <c r="Y103" s="177"/>
      <c r="Z103" s="177"/>
      <c r="AA103" s="177"/>
      <c r="AB103" s="177"/>
      <c r="AC103" s="177"/>
      <c r="AD103" s="177"/>
      <c r="AE103" s="177"/>
      <c r="AF103" s="177"/>
      <c r="AG103" s="177"/>
      <c r="AH103" s="177"/>
      <c r="AI103" s="177"/>
      <c r="AJ103" s="177"/>
      <c r="AK103" s="177"/>
      <c r="AL103" s="177"/>
      <c r="AM103" s="177"/>
      <c r="AN103" s="177"/>
    </row>
    <row r="104">
      <c r="X104" s="177"/>
      <c r="Y104" s="177"/>
      <c r="Z104" s="177"/>
      <c r="AA104" s="177"/>
      <c r="AB104" s="177"/>
      <c r="AC104" s="177"/>
      <c r="AD104" s="177"/>
      <c r="AE104" s="177"/>
      <c r="AF104" s="177"/>
      <c r="AG104" s="177"/>
      <c r="AH104" s="177"/>
      <c r="AI104" s="177"/>
      <c r="AJ104" s="177"/>
      <c r="AK104" s="177"/>
      <c r="AL104" s="177"/>
      <c r="AM104" s="177"/>
      <c r="AN104" s="177"/>
      <c r="BO104" s="166" t="s">
        <v>292</v>
      </c>
    </row>
    <row r="105">
      <c r="E105" s="166" t="s">
        <v>293</v>
      </c>
      <c r="F105" s="166" t="s">
        <v>294</v>
      </c>
      <c r="G105" s="166"/>
      <c r="H105" s="166"/>
      <c r="I105" s="166"/>
      <c r="J105" s="166"/>
      <c r="K105" s="166"/>
      <c r="L105" s="166" t="s">
        <v>295</v>
      </c>
      <c r="M105" s="166">
        <v>0.71</v>
      </c>
    </row>
    <row r="106">
      <c r="BO106" s="166" t="s">
        <v>296</v>
      </c>
    </row>
    <row r="107">
      <c r="G107" s="166"/>
      <c r="H107" s="166"/>
      <c r="I107" s="166"/>
      <c r="J107" s="166"/>
      <c r="K107" s="166"/>
      <c r="L107" s="166" t="s">
        <v>297</v>
      </c>
      <c r="M107" s="166" t="s">
        <v>298</v>
      </c>
    </row>
    <row r="108">
      <c r="G108" s="166"/>
      <c r="H108" s="166"/>
      <c r="I108" s="166"/>
      <c r="J108" s="166"/>
      <c r="K108" s="166"/>
      <c r="L108" s="166" t="s">
        <v>299</v>
      </c>
      <c r="M108" s="170">
        <f>M62</f>
        <v>0.6339320578</v>
      </c>
    </row>
    <row r="110">
      <c r="G110" s="166"/>
      <c r="H110" s="166"/>
      <c r="I110" s="166"/>
      <c r="J110" s="166"/>
      <c r="K110" s="166"/>
      <c r="L110" s="166" t="s">
        <v>300</v>
      </c>
      <c r="M110" s="170">
        <f>(1+M103*M105*M108)*100</f>
        <v>100</v>
      </c>
    </row>
    <row r="158">
      <c r="BE158" s="204" t="s">
        <v>301</v>
      </c>
    </row>
    <row r="159">
      <c r="BE159" s="204" t="s">
        <v>302</v>
      </c>
    </row>
    <row r="160">
      <c r="BE160" s="204" t="s">
        <v>303</v>
      </c>
    </row>
    <row r="161">
      <c r="BE161" s="204">
        <v>0.2513</v>
      </c>
    </row>
    <row r="162">
      <c r="BE162" s="204">
        <v>0.2464</v>
      </c>
    </row>
    <row r="163">
      <c r="BE163" s="204" t="s">
        <v>304</v>
      </c>
    </row>
    <row r="164">
      <c r="BE164" s="204" t="s">
        <v>305</v>
      </c>
    </row>
    <row r="165">
      <c r="BE165" s="204" t="s">
        <v>306</v>
      </c>
    </row>
    <row r="166">
      <c r="BE166" s="204" t="s">
        <v>307</v>
      </c>
    </row>
    <row r="167">
      <c r="BE167" s="204" t="s">
        <v>308</v>
      </c>
    </row>
    <row r="168">
      <c r="BE168" s="204">
        <v>8.058</v>
      </c>
    </row>
    <row r="169">
      <c r="BE169" s="204" t="s">
        <v>309</v>
      </c>
    </row>
    <row r="170">
      <c r="BE170" s="204">
        <v>0.0091</v>
      </c>
    </row>
    <row r="171">
      <c r="BE171" s="204" t="s">
        <v>310</v>
      </c>
    </row>
    <row r="178">
      <c r="BL178" s="204" t="s">
        <v>304</v>
      </c>
    </row>
    <row r="179">
      <c r="BL179" s="204" t="s">
        <v>305</v>
      </c>
    </row>
    <row r="180">
      <c r="BL180" s="204" t="s">
        <v>306</v>
      </c>
    </row>
    <row r="181">
      <c r="BL181" s="204" t="s">
        <v>307</v>
      </c>
    </row>
    <row r="182">
      <c r="BL182" s="204" t="s">
        <v>308</v>
      </c>
    </row>
    <row r="183">
      <c r="BL183" s="204">
        <v>9.214</v>
      </c>
    </row>
    <row r="184">
      <c r="BL184" s="204" t="s">
        <v>309</v>
      </c>
    </row>
    <row r="185">
      <c r="BL185" s="204">
        <v>0.0057</v>
      </c>
    </row>
    <row r="186">
      <c r="BL186" s="204" t="s">
        <v>310</v>
      </c>
    </row>
    <row r="187">
      <c r="BL187" s="204" t="s">
        <v>311</v>
      </c>
    </row>
    <row r="188">
      <c r="BL188" s="204" t="s">
        <v>312</v>
      </c>
    </row>
    <row r="189">
      <c r="BL189" s="204" t="s">
        <v>313</v>
      </c>
    </row>
    <row r="190">
      <c r="BL190" s="204">
        <v>26.0</v>
      </c>
    </row>
    <row r="191">
      <c r="BL191" s="204" t="s">
        <v>314</v>
      </c>
    </row>
    <row r="192">
      <c r="BL192" s="205"/>
    </row>
    <row r="243">
      <c r="BF243" s="204" t="s">
        <v>301</v>
      </c>
    </row>
    <row r="244">
      <c r="BF244" s="204" t="s">
        <v>302</v>
      </c>
    </row>
    <row r="245">
      <c r="BF245" s="204" t="s">
        <v>303</v>
      </c>
    </row>
    <row r="246">
      <c r="BF246" s="204">
        <v>0.1354</v>
      </c>
    </row>
    <row r="247">
      <c r="BF247" s="204">
        <v>0.2667</v>
      </c>
    </row>
    <row r="248">
      <c r="BF248" s="204" t="s">
        <v>304</v>
      </c>
    </row>
    <row r="249">
      <c r="BF249" s="204" t="s">
        <v>305</v>
      </c>
    </row>
    <row r="250">
      <c r="BF250" s="204" t="s">
        <v>306</v>
      </c>
    </row>
    <row r="251">
      <c r="BF251" s="204" t="s">
        <v>307</v>
      </c>
    </row>
    <row r="252">
      <c r="BF252" s="204" t="s">
        <v>308</v>
      </c>
    </row>
    <row r="253">
      <c r="BF253" s="204">
        <v>3.76</v>
      </c>
    </row>
    <row r="254">
      <c r="BF254" s="204" t="s">
        <v>309</v>
      </c>
    </row>
    <row r="255">
      <c r="BF255" s="204">
        <v>0.0643</v>
      </c>
    </row>
    <row r="256">
      <c r="BF256" s="204" t="s">
        <v>315</v>
      </c>
    </row>
    <row r="287">
      <c r="W287" s="204" t="s">
        <v>301</v>
      </c>
    </row>
    <row r="288">
      <c r="W288" s="204" t="s">
        <v>302</v>
      </c>
    </row>
    <row r="289">
      <c r="W289" s="204" t="s">
        <v>303</v>
      </c>
    </row>
    <row r="290">
      <c r="W290" s="204">
        <v>0.4979</v>
      </c>
    </row>
    <row r="291">
      <c r="W291" s="204">
        <v>0.4173</v>
      </c>
    </row>
    <row r="292">
      <c r="W292" s="204" t="s">
        <v>304</v>
      </c>
    </row>
    <row r="293">
      <c r="W293" s="204" t="s">
        <v>305</v>
      </c>
    </row>
    <row r="294">
      <c r="W294" s="204" t="s">
        <v>306</v>
      </c>
    </row>
    <row r="295">
      <c r="W295" s="204" t="s">
        <v>307</v>
      </c>
    </row>
    <row r="296">
      <c r="W296" s="204" t="s">
        <v>308</v>
      </c>
    </row>
    <row r="297">
      <c r="W297" s="204">
        <v>24.79</v>
      </c>
    </row>
    <row r="298">
      <c r="W298" s="204" t="s">
        <v>316</v>
      </c>
    </row>
    <row r="299">
      <c r="W299" s="204" t="s">
        <v>317</v>
      </c>
    </row>
    <row r="300">
      <c r="W300" s="204" t="s">
        <v>310</v>
      </c>
    </row>
    <row r="301">
      <c r="W301" s="206"/>
    </row>
    <row r="326">
      <c r="E326" s="166" t="s">
        <v>318</v>
      </c>
      <c r="R326" s="166"/>
      <c r="S326" s="166"/>
      <c r="T326" s="166"/>
      <c r="U326" s="166" t="s">
        <v>319</v>
      </c>
      <c r="X326" s="166"/>
      <c r="Y326" s="166"/>
      <c r="Z326" s="166"/>
      <c r="AA326" s="166"/>
      <c r="AB326" s="166"/>
      <c r="AC326" s="166"/>
      <c r="AD326" s="166"/>
      <c r="AE326" s="166"/>
      <c r="AF326" s="166"/>
      <c r="AG326" s="166"/>
      <c r="AH326" s="166"/>
      <c r="AI326" s="166"/>
      <c r="AJ326" s="166"/>
      <c r="AK326" s="166"/>
      <c r="AL326" s="166"/>
      <c r="AM326" s="166"/>
      <c r="AN326" s="166" t="s">
        <v>320</v>
      </c>
      <c r="AP326" s="166" t="s">
        <v>321</v>
      </c>
      <c r="AW326" s="166"/>
      <c r="AX326" s="166" t="s">
        <v>322</v>
      </c>
    </row>
    <row r="328">
      <c r="E328" s="204" t="s">
        <v>301</v>
      </c>
      <c r="R328" s="204"/>
      <c r="S328" s="204"/>
      <c r="T328" s="204"/>
      <c r="U328" s="204" t="s">
        <v>301</v>
      </c>
      <c r="X328" s="204"/>
      <c r="Y328" s="204"/>
      <c r="Z328" s="204"/>
      <c r="AA328" s="204"/>
      <c r="AB328" s="204"/>
      <c r="AC328" s="204"/>
      <c r="AD328" s="204"/>
      <c r="AE328" s="204"/>
      <c r="AF328" s="204"/>
      <c r="AG328" s="204"/>
      <c r="AH328" s="204"/>
      <c r="AI328" s="204"/>
      <c r="AJ328" s="204"/>
      <c r="AK328" s="204"/>
      <c r="AL328" s="204"/>
      <c r="AM328" s="204"/>
      <c r="AN328" s="204" t="s">
        <v>301</v>
      </c>
      <c r="AP328" s="204" t="s">
        <v>301</v>
      </c>
      <c r="AW328" s="204"/>
      <c r="AX328" s="204" t="s">
        <v>301</v>
      </c>
    </row>
    <row r="329">
      <c r="E329" s="204" t="s">
        <v>302</v>
      </c>
      <c r="R329" s="204"/>
      <c r="S329" s="204"/>
      <c r="T329" s="204"/>
      <c r="U329" s="204" t="s">
        <v>302</v>
      </c>
      <c r="X329" s="204"/>
      <c r="Y329" s="204"/>
      <c r="Z329" s="204"/>
      <c r="AA329" s="204"/>
      <c r="AB329" s="204"/>
      <c r="AC329" s="204"/>
      <c r="AD329" s="204"/>
      <c r="AE329" s="204"/>
      <c r="AF329" s="204"/>
      <c r="AG329" s="204"/>
      <c r="AH329" s="204"/>
      <c r="AI329" s="204"/>
      <c r="AJ329" s="204"/>
      <c r="AK329" s="204"/>
      <c r="AL329" s="204"/>
      <c r="AM329" s="204"/>
      <c r="AN329" s="204" t="s">
        <v>302</v>
      </c>
      <c r="AP329" s="204" t="s">
        <v>302</v>
      </c>
      <c r="AW329" s="204"/>
      <c r="AX329" s="204" t="s">
        <v>302</v>
      </c>
    </row>
    <row r="330">
      <c r="E330" s="204" t="s">
        <v>303</v>
      </c>
      <c r="R330" s="204"/>
      <c r="S330" s="204"/>
      <c r="T330" s="204"/>
      <c r="U330" s="204" t="s">
        <v>303</v>
      </c>
      <c r="X330" s="204"/>
      <c r="Y330" s="204"/>
      <c r="Z330" s="204"/>
      <c r="AA330" s="204"/>
      <c r="AB330" s="204"/>
      <c r="AC330" s="204"/>
      <c r="AD330" s="204"/>
      <c r="AE330" s="204"/>
      <c r="AF330" s="204"/>
      <c r="AG330" s="204"/>
      <c r="AH330" s="204"/>
      <c r="AI330" s="204"/>
      <c r="AJ330" s="204"/>
      <c r="AK330" s="204"/>
      <c r="AL330" s="204"/>
      <c r="AM330" s="204"/>
      <c r="AN330" s="204" t="s">
        <v>303</v>
      </c>
      <c r="AP330" s="204" t="s">
        <v>303</v>
      </c>
      <c r="AW330" s="204"/>
      <c r="AX330" s="204" t="s">
        <v>303</v>
      </c>
    </row>
    <row r="331">
      <c r="E331" s="204">
        <v>0.4565</v>
      </c>
      <c r="R331" s="204"/>
      <c r="S331" s="204"/>
      <c r="T331" s="204"/>
      <c r="U331" s="204">
        <v>0.4386</v>
      </c>
      <c r="X331" s="204"/>
      <c r="Y331" s="204"/>
      <c r="Z331" s="204"/>
      <c r="AA331" s="204"/>
      <c r="AB331" s="204"/>
      <c r="AC331" s="204"/>
      <c r="AD331" s="204"/>
      <c r="AE331" s="204"/>
      <c r="AF331" s="204"/>
      <c r="AG331" s="204"/>
      <c r="AH331" s="204"/>
      <c r="AI331" s="204"/>
      <c r="AJ331" s="204"/>
      <c r="AK331" s="204"/>
      <c r="AL331" s="204"/>
      <c r="AM331" s="204"/>
      <c r="AN331" s="204">
        <v>0.5197</v>
      </c>
      <c r="AP331" s="204">
        <v>0.4458</v>
      </c>
      <c r="AW331" s="204"/>
      <c r="AX331" s="204">
        <v>0.2156</v>
      </c>
    </row>
    <row r="332">
      <c r="E332" s="204">
        <v>0.4341</v>
      </c>
      <c r="R332" s="204"/>
      <c r="S332" s="204"/>
      <c r="T332" s="204"/>
      <c r="U332" s="204">
        <v>0.4412</v>
      </c>
      <c r="X332" s="204"/>
      <c r="Y332" s="204"/>
      <c r="Z332" s="204"/>
      <c r="AA332" s="204"/>
      <c r="AB332" s="204"/>
      <c r="AC332" s="204"/>
      <c r="AD332" s="204"/>
      <c r="AE332" s="204"/>
      <c r="AF332" s="204"/>
      <c r="AG332" s="204"/>
      <c r="AH332" s="204"/>
      <c r="AI332" s="204"/>
      <c r="AJ332" s="204"/>
      <c r="AK332" s="204"/>
      <c r="AL332" s="204"/>
      <c r="AM332" s="204"/>
      <c r="AN332" s="204">
        <v>0.4081</v>
      </c>
      <c r="AP332" s="204">
        <v>0.4384</v>
      </c>
      <c r="AW332" s="204"/>
      <c r="AX332" s="204">
        <v>0.5216</v>
      </c>
    </row>
    <row r="333">
      <c r="E333" s="204" t="s">
        <v>304</v>
      </c>
      <c r="R333" s="204"/>
      <c r="S333" s="204"/>
      <c r="T333" s="204"/>
      <c r="U333" s="204" t="s">
        <v>304</v>
      </c>
      <c r="X333" s="204"/>
      <c r="Y333" s="204"/>
      <c r="Z333" s="204"/>
      <c r="AA333" s="204"/>
      <c r="AB333" s="204"/>
      <c r="AC333" s="204"/>
      <c r="AD333" s="204"/>
      <c r="AE333" s="204"/>
      <c r="AF333" s="204"/>
      <c r="AG333" s="204"/>
      <c r="AH333" s="204"/>
      <c r="AI333" s="204"/>
      <c r="AJ333" s="204"/>
      <c r="AK333" s="204"/>
      <c r="AL333" s="204"/>
      <c r="AM333" s="204"/>
      <c r="AN333" s="204" t="s">
        <v>304</v>
      </c>
      <c r="AP333" s="204" t="s">
        <v>304</v>
      </c>
      <c r="AW333" s="204"/>
      <c r="AX333" s="204" t="s">
        <v>304</v>
      </c>
    </row>
    <row r="334">
      <c r="E334" s="204" t="s">
        <v>305</v>
      </c>
      <c r="R334" s="204"/>
      <c r="S334" s="204"/>
      <c r="T334" s="204"/>
      <c r="U334" s="204" t="s">
        <v>305</v>
      </c>
      <c r="X334" s="204"/>
      <c r="Y334" s="204"/>
      <c r="Z334" s="204"/>
      <c r="AA334" s="204"/>
      <c r="AB334" s="204"/>
      <c r="AC334" s="204"/>
      <c r="AD334" s="204"/>
      <c r="AE334" s="204"/>
      <c r="AF334" s="204"/>
      <c r="AG334" s="204"/>
      <c r="AH334" s="204"/>
      <c r="AI334" s="204"/>
      <c r="AJ334" s="204"/>
      <c r="AK334" s="204"/>
      <c r="AL334" s="204"/>
      <c r="AM334" s="204"/>
      <c r="AN334" s="204" t="s">
        <v>305</v>
      </c>
      <c r="AP334" s="204" t="s">
        <v>305</v>
      </c>
      <c r="AW334" s="204"/>
      <c r="AX334" s="204" t="s">
        <v>305</v>
      </c>
    </row>
    <row r="335">
      <c r="E335" s="204" t="s">
        <v>306</v>
      </c>
      <c r="R335" s="204"/>
      <c r="S335" s="204"/>
      <c r="T335" s="204"/>
      <c r="U335" s="204" t="s">
        <v>306</v>
      </c>
      <c r="X335" s="204"/>
      <c r="Y335" s="204"/>
      <c r="Z335" s="204"/>
      <c r="AA335" s="204"/>
      <c r="AB335" s="204"/>
      <c r="AC335" s="204"/>
      <c r="AD335" s="204"/>
      <c r="AE335" s="204"/>
      <c r="AF335" s="204"/>
      <c r="AG335" s="204"/>
      <c r="AH335" s="204"/>
      <c r="AI335" s="204"/>
      <c r="AJ335" s="204"/>
      <c r="AK335" s="204"/>
      <c r="AL335" s="204"/>
      <c r="AM335" s="204"/>
      <c r="AN335" s="204" t="s">
        <v>306</v>
      </c>
      <c r="AP335" s="204" t="s">
        <v>306</v>
      </c>
      <c r="AW335" s="204"/>
      <c r="AX335" s="204" t="s">
        <v>306</v>
      </c>
    </row>
    <row r="336">
      <c r="E336" s="204" t="s">
        <v>307</v>
      </c>
      <c r="R336" s="204"/>
      <c r="S336" s="204"/>
      <c r="T336" s="204"/>
      <c r="U336" s="204" t="s">
        <v>307</v>
      </c>
      <c r="X336" s="204"/>
      <c r="Y336" s="204"/>
      <c r="Z336" s="204"/>
      <c r="AA336" s="204"/>
      <c r="AB336" s="204"/>
      <c r="AC336" s="204"/>
      <c r="AD336" s="204"/>
      <c r="AE336" s="204"/>
      <c r="AF336" s="204"/>
      <c r="AG336" s="204"/>
      <c r="AH336" s="204"/>
      <c r="AI336" s="204"/>
      <c r="AJ336" s="204"/>
      <c r="AK336" s="204"/>
      <c r="AL336" s="204"/>
      <c r="AM336" s="204"/>
      <c r="AN336" s="204" t="s">
        <v>307</v>
      </c>
      <c r="AP336" s="204" t="s">
        <v>307</v>
      </c>
      <c r="AW336" s="204"/>
      <c r="AX336" s="204" t="s">
        <v>307</v>
      </c>
    </row>
    <row r="337">
      <c r="E337" s="204" t="s">
        <v>308</v>
      </c>
      <c r="R337" s="204"/>
      <c r="S337" s="204"/>
      <c r="T337" s="204"/>
      <c r="U337" s="204" t="s">
        <v>308</v>
      </c>
      <c r="X337" s="204"/>
      <c r="Y337" s="204"/>
      <c r="Z337" s="204"/>
      <c r="AA337" s="204"/>
      <c r="AB337" s="204"/>
      <c r="AC337" s="204"/>
      <c r="AD337" s="204"/>
      <c r="AE337" s="204"/>
      <c r="AF337" s="204"/>
      <c r="AG337" s="204"/>
      <c r="AH337" s="204"/>
      <c r="AI337" s="204"/>
      <c r="AJ337" s="204"/>
      <c r="AK337" s="204"/>
      <c r="AL337" s="204"/>
      <c r="AM337" s="204"/>
      <c r="AN337" s="204" t="s">
        <v>308</v>
      </c>
      <c r="AP337" s="204" t="s">
        <v>308</v>
      </c>
      <c r="AW337" s="204"/>
      <c r="AX337" s="204" t="s">
        <v>308</v>
      </c>
    </row>
    <row r="338">
      <c r="E338" s="204">
        <v>21.0</v>
      </c>
      <c r="R338" s="204"/>
      <c r="S338" s="204"/>
      <c r="T338" s="204"/>
      <c r="U338" s="204">
        <v>19.53</v>
      </c>
      <c r="X338" s="204"/>
      <c r="Y338" s="204"/>
      <c r="Z338" s="204"/>
      <c r="AA338" s="204"/>
      <c r="AB338" s="204"/>
      <c r="AC338" s="204"/>
      <c r="AD338" s="204"/>
      <c r="AE338" s="204"/>
      <c r="AF338" s="204"/>
      <c r="AG338" s="204"/>
      <c r="AH338" s="204"/>
      <c r="AI338" s="204"/>
      <c r="AJ338" s="204"/>
      <c r="AK338" s="204"/>
      <c r="AL338" s="204"/>
      <c r="AM338" s="204"/>
      <c r="AN338" s="204">
        <v>27.05</v>
      </c>
      <c r="AP338" s="204">
        <v>20.11</v>
      </c>
      <c r="AW338" s="204"/>
      <c r="AX338" s="204">
        <v>6.87</v>
      </c>
    </row>
    <row r="339">
      <c r="E339" s="204" t="s">
        <v>316</v>
      </c>
      <c r="R339" s="204"/>
      <c r="S339" s="204"/>
      <c r="T339" s="204"/>
      <c r="U339" s="204" t="s">
        <v>316</v>
      </c>
      <c r="X339" s="204"/>
      <c r="Y339" s="204"/>
      <c r="Z339" s="204"/>
      <c r="AA339" s="204"/>
      <c r="AB339" s="204"/>
      <c r="AC339" s="204"/>
      <c r="AD339" s="204"/>
      <c r="AE339" s="204"/>
      <c r="AF339" s="204"/>
      <c r="AG339" s="204"/>
      <c r="AH339" s="204"/>
      <c r="AI339" s="204"/>
      <c r="AJ339" s="204"/>
      <c r="AK339" s="204"/>
      <c r="AL339" s="204"/>
      <c r="AM339" s="204"/>
      <c r="AN339" s="204" t="s">
        <v>316</v>
      </c>
      <c r="AP339" s="204" t="s">
        <v>316</v>
      </c>
      <c r="AW339" s="204"/>
      <c r="AX339" s="204" t="s">
        <v>316</v>
      </c>
    </row>
    <row r="340">
      <c r="E340" s="204">
        <v>1.0E-4</v>
      </c>
      <c r="R340" s="204"/>
      <c r="S340" s="204"/>
      <c r="T340" s="204"/>
      <c r="U340" s="204">
        <v>2.0E-4</v>
      </c>
      <c r="X340" s="204"/>
      <c r="Y340" s="204"/>
      <c r="Z340" s="204"/>
      <c r="AA340" s="204"/>
      <c r="AB340" s="204"/>
      <c r="AC340" s="204"/>
      <c r="AD340" s="204"/>
      <c r="AE340" s="204"/>
      <c r="AF340" s="204"/>
      <c r="AG340" s="204"/>
      <c r="AH340" s="204"/>
      <c r="AI340" s="204"/>
      <c r="AJ340" s="204"/>
      <c r="AK340" s="204"/>
      <c r="AL340" s="204"/>
      <c r="AM340" s="204"/>
      <c r="AN340" s="204" t="s">
        <v>317</v>
      </c>
      <c r="AP340" s="204">
        <v>1.0E-4</v>
      </c>
      <c r="AW340" s="204"/>
      <c r="AX340" s="204">
        <v>0.0147</v>
      </c>
    </row>
    <row r="341">
      <c r="E341" s="204" t="s">
        <v>310</v>
      </c>
      <c r="R341" s="204"/>
      <c r="S341" s="204"/>
      <c r="T341" s="204"/>
      <c r="U341" s="204" t="s">
        <v>310</v>
      </c>
      <c r="X341" s="204"/>
      <c r="Y341" s="204"/>
      <c r="Z341" s="204"/>
      <c r="AA341" s="204"/>
      <c r="AB341" s="204"/>
      <c r="AC341" s="204"/>
      <c r="AD341" s="204"/>
      <c r="AE341" s="204"/>
      <c r="AF341" s="204"/>
      <c r="AG341" s="204"/>
      <c r="AH341" s="204"/>
      <c r="AI341" s="204"/>
      <c r="AJ341" s="204"/>
      <c r="AK341" s="204"/>
      <c r="AL341" s="204"/>
      <c r="AM341" s="204"/>
      <c r="AN341" s="204" t="s">
        <v>310</v>
      </c>
      <c r="AP341" s="204" t="s">
        <v>310</v>
      </c>
      <c r="AW341" s="204"/>
      <c r="AX341" s="204" t="s">
        <v>310</v>
      </c>
    </row>
    <row r="342">
      <c r="E342" s="206"/>
      <c r="R342" s="206"/>
      <c r="S342" s="206"/>
      <c r="T342" s="206"/>
      <c r="U342" s="206"/>
      <c r="AP342" s="206"/>
      <c r="AW342" s="204"/>
      <c r="AX342" s="204" t="s">
        <v>311</v>
      </c>
    </row>
  </sheetData>
  <mergeCells count="1">
    <mergeCell ref="AZ1:BA1"/>
  </mergeCells>
  <conditionalFormatting sqref="A69:A95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R69:R95 T69:U95">
    <cfRule type="colorScale" priority="2">
      <colorScale>
        <cfvo type="min"/>
        <cfvo type="max"/>
        <color rgb="FFFFFFFF"/>
        <color rgb="FF57BB8A"/>
      </colorScale>
    </cfRule>
  </conditionalFormatting>
  <conditionalFormatting sqref="S69:S95 V69:V95">
    <cfRule type="colorScale" priority="3">
      <colorScale>
        <cfvo type="min"/>
        <cfvo type="max"/>
        <color rgb="FFFFFFFF"/>
        <color rgb="FF57BB8A"/>
      </colorScale>
    </cfRule>
  </conditionalFormatting>
  <conditionalFormatting sqref="W69:W95 Z69:AE95 AF69:AF96 AG69:AG98">
    <cfRule type="colorScale" priority="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X69:AF96 AG69:AG98 AH69:AJ96 AK69:AK100 AM69:AN100 AQ69:AS96 AT69:AT95 BG69:BG95 AL96:AL100">
    <cfRule type="colorScale" priority="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AO69:AO95">
    <cfRule type="colorScale" priority="6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BA69:BA94">
    <cfRule type="colorScale" priority="7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BB69:BB94">
    <cfRule type="colorScale" priority="8">
      <colorScale>
        <cfvo type="min"/>
        <cfvo type="max"/>
        <color rgb="FFFFFFFF"/>
        <color rgb="FFFFD666"/>
      </colorScale>
    </cfRule>
  </conditionalFormatting>
  <conditionalFormatting sqref="BD70:BD94 P71:P96">
    <cfRule type="colorScale" priority="9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BC70:BC94">
    <cfRule type="colorScale" priority="10">
      <colorScale>
        <cfvo type="min"/>
        <cfvo type="max"/>
        <color rgb="FFFFFFFF"/>
        <color rgb="FFFFD666"/>
      </colorScale>
    </cfRule>
  </conditionalFormatting>
  <conditionalFormatting sqref="BE69:BE94">
    <cfRule type="colorScale" priority="11">
      <colorScale>
        <cfvo type="min"/>
        <cfvo type="max"/>
        <color rgb="FFFFFFFF"/>
        <color rgb="FFFFD666"/>
      </colorScale>
    </cfRule>
  </conditionalFormatting>
  <conditionalFormatting sqref="BF69:BF94">
    <cfRule type="colorScale" priority="12">
      <colorScale>
        <cfvo type="min"/>
        <cfvo type="formula" val="0.91"/>
        <cfvo type="max"/>
        <color rgb="FFE67C73"/>
        <color rgb="FFFFFFFF"/>
        <color rgb="FF57BB8A"/>
      </colorScale>
    </cfRule>
  </conditionalFormatting>
  <conditionalFormatting sqref="B70:B95">
    <cfRule type="colorScale" priority="13">
      <colorScale>
        <cfvo type="min"/>
        <cfvo type="max"/>
        <color rgb="FFFFFFFF"/>
        <color rgb="FFE67C73"/>
      </colorScale>
    </cfRule>
  </conditionalFormatting>
  <conditionalFormatting sqref="C70:C95">
    <cfRule type="colorScale" priority="14">
      <colorScale>
        <cfvo type="min"/>
        <cfvo type="max"/>
        <color rgb="FFFFFFFF"/>
        <color rgb="FFE67C73"/>
      </colorScale>
    </cfRule>
  </conditionalFormatting>
  <conditionalFormatting sqref="BH69:BH94 BI70:BI94">
    <cfRule type="colorScale" priority="1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AQ69:AU95 AL70 AV70">
    <cfRule type="colorScale" priority="16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AP69:AP117">
    <cfRule type="colorScale" priority="17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AM69:AM95 AQ69:AT95 AV69:AX95 AY92:AY94">
    <cfRule type="colorScale" priority="18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AZ69:AZ91 AZ95">
    <cfRule type="colorScale" priority="19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AY69:AY90 AZ92:AZ94 AY95">
    <cfRule type="colorScale" priority="20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D70:D95">
    <cfRule type="colorScale" priority="2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E70:E95">
    <cfRule type="colorScale" priority="2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F70:F95">
    <cfRule type="colorScale" priority="23">
      <colorScale>
        <cfvo type="min"/>
        <cfvo type="max"/>
        <color rgb="FFE67C73"/>
        <color rgb="FFFFFFFF"/>
      </colorScale>
    </cfRule>
  </conditionalFormatting>
  <conditionalFormatting sqref="M71 M73 M75 M77 M79 M81 M83 M85 M87 M89:M95">
    <cfRule type="colorScale" priority="2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71:L71 G73:L73 G75:L75 G77:L77 G79:L79 G81:L81 G83:L83 G85:L85 G87:L87 G89:L95">
    <cfRule type="colorScale" priority="2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N71:O71 N73:O73 N75:O75 N77:O77 N79:O79 N81:O81 N83:O83 N85:O85 N87:O87 N89:N95 O89 O91 O93 O95 N97">
    <cfRule type="colorScale" priority="26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  <tableParts count="2">
    <tablePart r:id="rId4"/>
    <tablePart r:id="rId5"/>
  </tableParts>
</worksheet>
</file>