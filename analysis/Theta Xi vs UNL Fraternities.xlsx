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9.xml.rels" ContentType="application/vnd.openxmlformats-package.relationships+xml"/>
  <Override PartName="/xl/worksheets/_rels/sheet5.xml.rels" ContentType="application/vnd.openxmlformats-package.relationships+xml"/>
  <Override PartName="/xl/worksheets/_rels/sheet10.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Summary" sheetId="2" state="visible" r:id="rId4"/>
    <sheet name="TX vs IFC" sheetId="3" state="visible" r:id="rId5"/>
    <sheet name="Combined Score" sheetId="4" state="visible" r:id="rId6"/>
    <sheet name="Recruitment Index" sheetId="5" state="visible" r:id="rId7"/>
    <sheet name="GPA Matrix" sheetId="6" state="visible" r:id="rId8"/>
    <sheet name="Members Matrix" sheetId="7" state="visible" r:id="rId9"/>
    <sheet name="New Members Matrix" sheetId="8" state="visible" r:id="rId10"/>
    <sheet name="TX History" sheetId="9" state="visible" r:id="rId11"/>
    <sheet name="Chapter Data" sheetId="10" state="visible" r:id="rId12"/>
    <sheet name="Campus Stats" sheetId="11" state="visible" r:id="rId13"/>
    <sheet name="IFC Size (legacy)" sheetId="12" state="visible" r:id="rId14"/>
    <sheet name="Lists" sheetId="13" state="visible" r:id="rId15"/>
    <sheet name="Old Index Review" sheetId="14" state="visible" r:id="rId16"/>
  </sheets>
  <definedNames>
    <definedName function="false" hidden="true" localSheetId="9" name="_xlnm._FilterDatabase" vbProcedure="false">'Chapter Data'!$A$1:$M$627</definedName>
    <definedName function="false" hidden="false" name="LatestTerm" vbProcedure="false">Lists!$G$3</definedName>
    <definedName function="false" hidden="false" name="MinChapters" vbProcedure="false">Lists!$G$4</definedName>
    <definedName function="false" hidden="false" name="OurChapter" vbProcedure="false">Lists!$G$2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<sst xmlns="http://schemas.openxmlformats.org/spreadsheetml/2006/main" count="3299" uniqueCount="471">
  <si>
    <t xml:space="preserve">Theta Xi vs UNL fraternities: GPA and recruitment</t>
  </si>
  <si>
    <t xml:space="preserve">What this is</t>
  </si>
  <si>
    <t xml:space="preserve">Purpose</t>
  </si>
  <si>
    <t xml:space="preserve">Compares Theta Xi (UNL) with every other IFC house on grades and recruitment. Every house is covered semester by semester from Fall 2018, and our own history goes back to 2010. It replaces the multi-university GPA Data.xlsx and the recruitment index in AE List.xlsx, both kept in legacy/.</t>
  </si>
  <si>
    <t xml:space="preserve">Our chapter</t>
  </si>
  <si>
    <t xml:space="preserve">Set on the Lists tab (yellow cell). Type any IFC house name there and every tab recalculates for that house.</t>
  </si>
  <si>
    <t xml:space="preserve">Tabs</t>
  </si>
  <si>
    <t xml:space="preserve">Summary</t>
  </si>
  <si>
    <t xml:space="preserve">Latest-semester snapshot, calendar-year recruitment, combined ranks, targets and the written evaluation.</t>
  </si>
  <si>
    <t xml:space="preserve">TX vs IFC</t>
  </si>
  <si>
    <t xml:space="preserve">One row per semester: GPA, size, new members and retention against the IFC, with charts.</t>
  </si>
  <si>
    <t xml:space="preserve">Combined Score</t>
  </si>
  <si>
    <t xml:space="preserve">Every IFC house over a window you choose. GPA and recruitment are scored as percentiles and blended with weights you set.</t>
  </si>
  <si>
    <t xml:space="preserve">Recruitment Index</t>
  </si>
  <si>
    <t xml:space="preserve">Recruitment Index v2 by calendar year (Spring + Fall, one exec term): recruiting, size-adjusted, replacement and growth vs the IFC.</t>
  </si>
  <si>
    <t xml:space="preserve">GPA / Members / New Members Matrix</t>
  </si>
  <si>
    <t xml:space="preserve">Every IFC house by semester, with IFC averages, medians and our rank at the bottom.</t>
  </si>
  <si>
    <t xml:space="preserve">TX History</t>
  </si>
  <si>
    <t xml:space="preserve">Our GPA and size since 2010 against the campus benchmarks, plus pledge-class retention.</t>
  </si>
  <si>
    <t xml:space="preserve">Chapter Data</t>
  </si>
  <si>
    <t xml:space="preserve">The raw numbers from UNL's reports: one row per chapter per semester, all four councils.</t>
  </si>
  <si>
    <t xml:space="preserve">Campus Stats</t>
  </si>
  <si>
    <t xml:space="preserve">All-UNL GPAs by group (men, women, Greek, non-Greek).</t>
  </si>
  <si>
    <t xml:space="preserve">IFC Size (legacy)</t>
  </si>
  <si>
    <t xml:space="preserve">Average IFC chapter size before 2018, from AE List.xlsx.</t>
  </si>
  <si>
    <t xml:space="preserve">Lists</t>
  </si>
  <si>
    <t xml:space="preserve">Semester order, IFC chapter list and settings.</t>
  </si>
  <si>
    <t xml:space="preserve">Old Index Review</t>
  </si>
  <si>
    <t xml:space="preserve">What was off in the old recruitment score and GPA math, and what v2 does instead.</t>
  </si>
  <si>
    <t xml:space="preserve">Adding a new semester</t>
  </si>
  <si>
    <t xml:space="preserve">1. Chapter Data</t>
  </si>
  <si>
    <t xml:space="preserve">Paste the new scorecard's rows at the bottom (Semester, Council, Chapter, Total Members, New Members, GPA, ranks, retention). Type the semester exactly like 'Fall 2026', and spell chapters the way the Lists tab does (for example 'Farmhouse'). Column B fills itself in. Formulas read rows 2 to 2500.</t>
  </si>
  <si>
    <t xml:space="preserve">2. New chapters</t>
  </si>
  <si>
    <t xml:space="preserve">If a new IFC house appears, add it to column D on the Lists tab. The matrices and Combined Score have five spare rows for new houses.</t>
  </si>
  <si>
    <t xml:space="preserve">3. Campus Stats</t>
  </si>
  <si>
    <t xml:space="preserve">Type in the all-campus GPAs from UNL's All-Community Grade Report (fsl.unl.edu, Councils &amp; Chapters page, Academic Reports).</t>
  </si>
  <si>
    <t xml:space="preserve">4. Settings</t>
  </si>
  <si>
    <t xml:space="preserve">Update 'Latest semester' on the Lists tab, the recruitment year on Summary and the window on Combined Score. Then reread the written evaluation on Summary, since it does not update itself.</t>
  </si>
  <si>
    <t xml:space="preserve">Room to grow</t>
  </si>
  <si>
    <t xml:space="preserve">Semesters are set up through Spring 2028. To go further, add semesters to Lists column A, add rows to Campus Stats, copy the last column of each matrix one to the right, and extend the TX vs IFC and Recruitment Index rows.</t>
  </si>
  <si>
    <t xml:space="preserve">Definitions</t>
  </si>
  <si>
    <t xml:space="preserve">GPA</t>
  </si>
  <si>
    <t xml:space="preserve">The term GPA printed on UNL's report. 'IFC average' is weighted by members, so it equals the GPA of all IFC men. 'IFC median' is the middle house.</t>
  </si>
  <si>
    <t xml:space="preserve">New members</t>
  </si>
  <si>
    <t xml:space="preserve">As printed by UNL. Scorecards from 2024 on say 'new members initiated', so pledges who dropped before initiation are not counted. Spring classes are small for every house.</t>
  </si>
  <si>
    <t xml:space="preserve">Calendar year</t>
  </si>
  <si>
    <t xml:space="preserve">Spring + Fall of the same year. This matches the exec term: elected in November, trained in December, running recruitment from January.</t>
  </si>
  <si>
    <t xml:space="preserve">Indexes</t>
  </si>
  <si>
    <t xml:space="preserve">100 = matches the benchmark, 150 = 50% better, 50 = half as good.</t>
  </si>
  <si>
    <t xml:space="preserve">Percentiles</t>
  </si>
  <si>
    <t xml:space="preserve">Among IFC houses in the Combined Score window. 100% = best, 0% = worst.</t>
  </si>
  <si>
    <t xml:space="preserve">Sources and gaps</t>
  </si>
  <si>
    <t xml:space="preserve">Reports</t>
  </si>
  <si>
    <t xml:space="preserve">UNL IFC report cards for Fall 2018 to Fall 2022, Community Scorecards for Spring 2023 to Spring 2026, and the Fall 2023 All-Community Grade Report, all in source-data/. The data is also kept as a CSV in data/.</t>
  </si>
  <si>
    <t xml:space="preserve">Campus GPAs</t>
  </si>
  <si>
    <t xml:space="preserve">UNL All-Community Grade Reports (the UNL tab of GPA Data.xlsx through Spring 2024, then the Spring 2025, Fall 2025 and Spring 2026 reports).</t>
  </si>
  <si>
    <t xml:space="preserve">Missing</t>
  </si>
  <si>
    <t xml:space="preserve">Fall 2023 new-member counts (no scorecard that term). GPAs for Spring 2020 (pass/no-pass semester). New-member counts for Spring 2020 and Spring 2022. The Sigma Tau Gamma row in Fall 2022, which is blacked out on the PDF.</t>
  </si>
  <si>
    <t xml:space="preserve">Chapter records</t>
  </si>
  <si>
    <t xml:space="preserve">Theta Xi numbers before Fall 2018 come from AE List.xlsx and GPA Data.xlsx. From Fall 2018 on, only UNL's numbers are used so every house is measured the same way. Where our records differ, the Chapter Data notes say so.</t>
  </si>
  <si>
    <t xml:space="preserve">Color key</t>
  </si>
  <si>
    <t xml:space="preserve">Blue text</t>
  </si>
  <si>
    <t xml:space="preserve">typed-in data</t>
  </si>
  <si>
    <t xml:space="preserve">Black text</t>
  </si>
  <si>
    <t xml:space="preserve">formula</t>
  </si>
  <si>
    <t xml:space="preserve">Green text</t>
  </si>
  <si>
    <t xml:space="preserve">formula that pulls from another tab</t>
  </si>
  <si>
    <t xml:space="preserve">Yellow fill</t>
  </si>
  <si>
    <t xml:space="preserve">setting you can change</t>
  </si>
  <si>
    <t xml:space="preserve">Orange fill</t>
  </si>
  <si>
    <t xml:space="preserve">number missing from the repo; fill it in when you find it</t>
  </si>
  <si>
    <t xml:space="preserve">Light gold row</t>
  </si>
  <si>
    <t xml:space="preserve">our chapter (set on the Lists tab)</t>
  </si>
  <si>
    <t xml:space="preserve">The tables are live formulas. The written evaluation below them was written from data through Spring 2026.</t>
  </si>
  <si>
    <t xml:space="preserve">Latest semester</t>
  </si>
  <si>
    <t xml:space="preserve">Recruitment year to show (calendar year)</t>
  </si>
  <si>
    <t xml:space="preserve">Pick the last year with both a Spring and a Fall report.</t>
  </si>
  <si>
    <t xml:space="preserve">Us</t>
  </si>
  <si>
    <t xml:space="preserve">IFC benchmark</t>
  </si>
  <si>
    <t xml:space="preserve">Our IFC rank</t>
  </si>
  <si>
    <t xml:space="preserve">Houses ranked</t>
  </si>
  <si>
    <t xml:space="preserve">Chapter GPA (benchmark = IFC average, member weighted)</t>
  </si>
  <si>
    <t xml:space="preserve">Members (benchmark = IFC median house)</t>
  </si>
  <si>
    <t xml:space="preserve">New members this semester (benchmark = IFC average house)</t>
  </si>
  <si>
    <t xml:space="preserve">New-member retention (benchmark = IFC median)</t>
  </si>
  <si>
    <t xml:space="preserve">Recruitment for the chosen calendar year</t>
  </si>
  <si>
    <t xml:space="preserve">Benchmark</t>
  </si>
  <si>
    <t xml:space="preserve">New members (Spring + Fall) vs the average IFC house</t>
  </si>
  <si>
    <t xml:space="preserve">Recruiting index (100 = average IFC house)</t>
  </si>
  <si>
    <t xml:space="preserve">Size-adjusted recruiting index (100 = IFC rate)</t>
  </si>
  <si>
    <t xml:space="preserve">Replacement index (100 = replaced everyone who left)</t>
  </si>
  <si>
    <t xml:space="preserve">Membership growth, Fall to Fall (us vs the IFC)</t>
  </si>
  <si>
    <t xml:space="preserve">Share of all IFC new members</t>
  </si>
  <si>
    <t xml:space="preserve">&lt;- benchmark = an equal share (1 / number of houses)</t>
  </si>
  <si>
    <t xml:space="preserve">Combined scorecard (window on the Combined Score tab)</t>
  </si>
  <si>
    <t xml:space="preserve">Our rank</t>
  </si>
  <si>
    <t xml:space="preserve">Houses scored</t>
  </si>
  <si>
    <t xml:space="preserve">GPA rank</t>
  </si>
  <si>
    <t xml:space="preserve">Recruitment rank</t>
  </si>
  <si>
    <t xml:space="preserve">Combined rank</t>
  </si>
  <si>
    <t xml:space="preserve">Window</t>
  </si>
  <si>
    <t xml:space="preserve">Targets for the current exec team</t>
  </si>
  <si>
    <t xml:space="preserve">Value</t>
  </si>
  <si>
    <t xml:space="preserve">GPA points we are behind the IFC average (latest semester)</t>
  </si>
  <si>
    <t xml:space="preserve">New members this Fall to match last year's average IFC house</t>
  </si>
  <si>
    <t xml:space="preserve">New members this Fall to replace last year's departures</t>
  </si>
  <si>
    <t xml:space="preserve">(assumes as many men leave this year as left last year)</t>
  </si>
  <si>
    <t xml:space="preserve">Evaluation</t>
  </si>
  <si>
    <t xml:space="preserve">Bottom line: Theta Xi is a below-average IFC house on grades, and it has shrunk from 86 men (Fall 2019) to 43 (Spring 2026) while the IFC grew. Over Spring 2024 to Spring 2026 we rank 18th of 23 active IFC houses on GPA, 20th on recruitment and 20th combined.</t>
  </si>
  <si>
    <t xml:space="preserve">GPA: we were below the IFC average (all IFC men) in every reported semester since Fall 2018 except Spring 2022 (+0.010). The gap shrank from -0.42 in Fall 2018 to within 0.06 in Spring 2021, Fall 2021 and Spring 2024 (11th of 25 that term). It opened up again in 2025: -0.32 in Spring 2025, -0.30 in Fall 2025 and -0.23 in Spring 2026 (3.163 vs 3.392, 17th of 23).</t>
  </si>
  <si>
    <t xml:space="preserve">Against all UNL men we were ahead in 5 of the 11 semesters from Spring 2021 to Spring 2026, but behind for the last three in a row: 3.053 vs 3.220 (Spring 2025), 3.033 vs 3.196 (Fall 2025) and 3.163 vs 3.226 (Spring 2026).</t>
  </si>
  <si>
    <t xml:space="preserve">Size: from 2018 to 2023 we were a median IFC house (60 to 86 men, about 13th of 25). Since Spring 2024 we have had 43 to 48 men, about 55% of the median house (78 in Spring 2026). Over the same years total IFC membership grew from 1,641 men (Fall 2018) to 1,980 (Fall 2025), so the drop is ours, not the market's.</t>
  </si>
  <si>
    <t xml:space="preserve">Recruiting volume: new members per calendar year were 34 (2019), 24 (2021), 17 (2024) and 15 (2025). UNL's reports are missing a term in 2020, 2022 and 2023, so those years are blank. The average IFC house took 24 to 27 a year, so our recruiting index fell from 143 in 2019 to 99 in 2021, 68 in 2024 and 56 in 2025. Our share of all IFC new members fell from 5.4% to 2.3%, where an equal share is about 4%.</t>
  </si>
  <si>
    <t xml:space="preserve">Replacement: in the years UNL's reports cover fully, the replacement index was 86 (2021), 59 (2024) and 79 (2025), so we lost more men than we brought in. Our Fall roster has dropped every year since 2019: 86, 78, 74, 71, 60, 48, 44.</t>
  </si>
  <si>
    <t xml:space="preserve">For our size, recruiting is closer to normal: the 2025 size-adjusted index was 89. So the problem is less that each member recruits badly and more that a smaller house brings in a smaller class, which shrinks the next class too. Getting back to a stable size means recruiting above the IFC rate for a few years, not just matching it.</t>
  </si>
  <si>
    <t xml:space="preserve">Retention is not the main leak now. UNL's new-member retention for us was 100% (Fall 2024), 75% (Spring 2025, 3 men), 92% (Fall 2025) and 100% (Spring 2026), close to the IFC median each term, and active retention was 90% to 98%. Our own records show heavier pledge losses in the 2020 to 2023 classes (30 of 86, 35%), so this has improved.</t>
  </si>
  <si>
    <t xml:space="preserve">The current exec team is off to a good start: 6 new members in Spring 2026, 5th most in the IFC (the average house took 4.1). To match the 2025 average IFC house for the year, Fall 2026 needs about 21 new members; to replace a 2025-sized loss it needs about 13 (Fall 2025 brought in 12, against an IFC median of 25).</t>
  </si>
  <si>
    <t xml:space="preserve">Houses that score well on both GPA and recruitment over Spring 2024 to Spring 2026 are Pi Kappa Alpha, Phi Kappa Theta and Sigma Chi: all three recruit big classes and keep GPAs above 3.38. Farmhouse, Sigma Phi Epsilon and Beta Theta Pi lead on GPA but sit in the bottom half on recruitment, mostly because they bring in fewer new men per member.</t>
  </si>
  <si>
    <t xml:space="preserve">Caveats: UNL has no Fall 2023 scorecard, so that semester uses the Fall 2023 All-Community Grade Report (GPA and members for every house, but no new-member counts). UNL's Spring 2020 report has no GPAs (pass/no-pass semester), and the Spring 2020 and Spring 2022 reports leave out new members. Some of our chapter records disagree with UNL's reports (for example Fall 2019: 77 vs 86 members). UNL's numbers are used everywhere so every house is measured the same way.</t>
  </si>
  <si>
    <t xml:space="preserve">Everything on this tab is a formula. Change 'Our chapter' on the Lists tab to see any other house.</t>
  </si>
  <si>
    <t xml:space="preserve">Size</t>
  </si>
  <si>
    <t xml:space="preserve">Recruitment</t>
  </si>
  <si>
    <t xml:space="preserve">Retention (reported Fall 2024+)</t>
  </si>
  <si>
    <t xml:space="preserve">Semester</t>
  </si>
  <si>
    <t xml:space="preserve">Our GPA</t>
  </si>
  <si>
    <t xml:space="preserve">IFC avg (member wtd)</t>
  </si>
  <si>
    <t xml:space="preserve">IFC median</t>
  </si>
  <si>
    <t xml:space="preserve">All UNL men</t>
  </si>
  <si>
    <t xml:space="preserve">Greek men</t>
  </si>
  <si>
    <t xml:space="preserve">Gap vs IFC avg</t>
  </si>
  <si>
    <t xml:space="preserve">IFC GPA rank</t>
  </si>
  <si>
    <t xml:space="preserve">Chapters w/ GPA</t>
  </si>
  <si>
    <t xml:space="preserve">Our members</t>
  </si>
  <si>
    <t xml:space="preserve">IFC median size</t>
  </si>
  <si>
    <t xml:space="preserve">Size rank</t>
  </si>
  <si>
    <t xml:space="preserve">Size vs median (100 = median)</t>
  </si>
  <si>
    <t xml:space="preserve">Our new members</t>
  </si>
  <si>
    <t xml:space="preserve">IFC avg new members</t>
  </si>
  <si>
    <t xml:space="preserve">IFC median new members</t>
  </si>
  <si>
    <t xml:space="preserve">NM rank (1 = most)</t>
  </si>
  <si>
    <t xml:space="preserve">Share of all IFC NMs</t>
  </si>
  <si>
    <t xml:space="preserve">Our active retention</t>
  </si>
  <si>
    <t xml:space="preserve">Our NM retention</t>
  </si>
  <si>
    <t xml:space="preserve">IFC median NM retention</t>
  </si>
  <si>
    <t xml:space="preserve">Fall 2018</t>
  </si>
  <si>
    <t xml:space="preserve">Spring 2019</t>
  </si>
  <si>
    <t xml:space="preserve">Fall 2019</t>
  </si>
  <si>
    <t xml:space="preserve">Spring 2020</t>
  </si>
  <si>
    <t xml:space="preserve">Fall 2020</t>
  </si>
  <si>
    <t xml:space="preserve">Spring 2021</t>
  </si>
  <si>
    <t xml:space="preserve">Fall 2021</t>
  </si>
  <si>
    <t xml:space="preserve">Spring 2022</t>
  </si>
  <si>
    <t xml:space="preserve">Fall 2022</t>
  </si>
  <si>
    <t xml:space="preserve">Spring 2023</t>
  </si>
  <si>
    <t xml:space="preserve">Fall 2023</t>
  </si>
  <si>
    <t xml:space="preserve">Spring 2024</t>
  </si>
  <si>
    <t xml:space="preserve">Fall 2024</t>
  </si>
  <si>
    <t xml:space="preserve">Spring 2025</t>
  </si>
  <si>
    <t xml:space="preserve">Fall 2025</t>
  </si>
  <si>
    <t xml:space="preserve">Spring 2026</t>
  </si>
  <si>
    <t xml:space="preserve">Fall 2026</t>
  </si>
  <si>
    <t xml:space="preserve">Spring 2027</t>
  </si>
  <si>
    <t xml:space="preserve">Fall 2027</t>
  </si>
  <si>
    <t xml:space="preserve">Spring 2028</t>
  </si>
  <si>
    <t xml:space="preserve">Spring new-member counts are tiny for every house (the IFC median is 1 to 4), so compare recruiting by calendar year on the Recruitment Index tab rather than spring by spring.</t>
  </si>
  <si>
    <t xml:space="preserve">Charts cover Fall 2018 to Spring 2026. After adding semesters, extend each chart's data range (right-click &gt; Select Data).</t>
  </si>
  <si>
    <t xml:space="preserve">Combined GPA + recruitment scorecard for every IFC house</t>
  </si>
  <si>
    <t xml:space="preserve">Pick a window and weights in the yellow cells. Scores are percentiles among IFC houses (100 = best in the IFC, 0 = worst), then blended.</t>
  </si>
  <si>
    <t xml:space="preserve">Window start</t>
  </si>
  <si>
    <t xml:space="preserve">&lt;- term numbers used in the formulas</t>
  </si>
  <si>
    <t xml:space="preserve">Window end</t>
  </si>
  <si>
    <t xml:space="preserve">GPA weight</t>
  </si>
  <si>
    <t xml:space="preserve">Recruitment weight</t>
  </si>
  <si>
    <t xml:space="preserve">Growth compares members at the window end with the window start, so start and end in the same season (Spring to Spring or Fall to Fall).</t>
  </si>
  <si>
    <t xml:space="preserve">Chapter</t>
  </si>
  <si>
    <t xml:space="preserve">Avg GPA</t>
  </si>
  <si>
    <t xml:space="preserve">Avg members</t>
  </si>
  <si>
    <t xml:space="preserve">Avg NMs / semester</t>
  </si>
  <si>
    <t xml:space="preserve">NMs per member / semester</t>
  </si>
  <si>
    <t xml:space="preserve">Members at start</t>
  </si>
  <si>
    <t xml:space="preserve">Members at end</t>
  </si>
  <si>
    <t xml:space="preserve">Growth</t>
  </si>
  <si>
    <t xml:space="preserve">Avg NM retention</t>
  </si>
  <si>
    <t xml:space="preserve">GPA pctl</t>
  </si>
  <si>
    <t xml:space="preserve">NM volume pctl</t>
  </si>
  <si>
    <t xml:space="preserve">NM rate pctl</t>
  </si>
  <si>
    <t xml:space="preserve">Growth pctl</t>
  </si>
  <si>
    <t xml:space="preserve">Recruitment score</t>
  </si>
  <si>
    <t xml:space="preserve">Combined score</t>
  </si>
  <si>
    <t xml:space="preserve">GPA pctl: where the house's average GPA over the window falls among IFC houses.</t>
  </si>
  <si>
    <t xml:space="preserve">Recruitment score = average of three percentiles: new-member volume, new members per member (recruiting for its size) and membership growth across the window.</t>
  </si>
  <si>
    <t xml:space="preserve">Combined score = GPA weight x GPA pctl + recruitment weight x recruitment score. Ranks: 1 = best.</t>
  </si>
  <si>
    <t xml:space="preserve">Only houses with a report at the window end are scored (closed or suspended houses drop out). Houses that joined mid-window get no growth score.</t>
  </si>
  <si>
    <t xml:space="preserve">Recruitment Index v2: our recruiting vs the other IFC houses, by calendar year</t>
  </si>
  <si>
    <t xml:space="preserve">Calendar year = Spring + Fall of the same year, which lines up with one exec team (elected in November, trained in December, running recruitment from January).</t>
  </si>
  <si>
    <t xml:space="preserve">Scores (100 = matches the benchmark)</t>
  </si>
  <si>
    <t xml:space="preserve">Recruiting volume</t>
  </si>
  <si>
    <t xml:space="preserve">Size and replacement</t>
  </si>
  <si>
    <t xml:space="preserve">IFC comparison inputs</t>
  </si>
  <si>
    <t xml:space="preserve">Year</t>
  </si>
  <si>
    <t xml:space="preserve">Spring</t>
  </si>
  <si>
    <t xml:space="preserve">Fall</t>
  </si>
  <si>
    <t xml:space="preserve">Recruiting index</t>
  </si>
  <si>
    <t xml:space="preserve">Size-adjusted recruiting index</t>
  </si>
  <si>
    <t xml:space="preserve">Replacement index</t>
  </si>
  <si>
    <t xml:space="preserve">Growth vs IFC (pts)</t>
  </si>
  <si>
    <t xml:space="preserve">Combined recruitment index</t>
  </si>
  <si>
    <t xml:space="preserve">Our NMs (Spring + Fall)</t>
  </si>
  <si>
    <t xml:space="preserve">IFC avg NMs per house</t>
  </si>
  <si>
    <t xml:space="preserve">Our share of all IFC NMs</t>
  </si>
  <si>
    <t xml:space="preserve">Our members last Fall</t>
  </si>
  <si>
    <t xml:space="preserve">Our members this Fall</t>
  </si>
  <si>
    <t xml:space="preserve">Our est. departures</t>
  </si>
  <si>
    <t xml:space="preserve">Our growth</t>
  </si>
  <si>
    <t xml:space="preserve">Our NMs per member</t>
  </si>
  <si>
    <t xml:space="preserve">IFC NMs (Spring + Fall)</t>
  </si>
  <si>
    <t xml:space="preserve">IFC men last Fall</t>
  </si>
  <si>
    <t xml:space="preserve">IFC men this Fall</t>
  </si>
  <si>
    <t xml:space="preserve">IFC growth</t>
  </si>
  <si>
    <t xml:space="preserve">IFC NMs per member</t>
  </si>
  <si>
    <t xml:space="preserve">How to read it: each index is 100 when we match the benchmark. 150 is 50% better, 50 is half as good.</t>
  </si>
  <si>
    <t xml:space="preserve">Recruiting index = our new members for the year / the average IFC house's new members for the year. Every house recruits in the same seasons, so no fall/spring weighting is needed.</t>
  </si>
  <si>
    <t xml:space="preserve">Size-adjusted recruiting index = our new members per member (members = last Fall's roster) / the same ratio for the whole IFC. 100 = we recruit as hard as the IFC does for our size.</t>
  </si>
  <si>
    <t xml:space="preserve">Replacement index = new members / estimated departures x 100, where departures = last Fall's roster + this year's new members - this Fall's roster. 100 = we replaced every man who graduated or left.</t>
  </si>
  <si>
    <t xml:space="preserve">Growth vs IFC = our Fall-to-Fall % change in members minus the IFC's, in percentage points.</t>
  </si>
  <si>
    <t xml:space="preserve">Combined recruitment index = average of the three indexes that exist that year.</t>
  </si>
  <si>
    <t xml:space="preserve">Blank years: UNL left spring new members off the Spring 2020 and Spring 2022 reports, and there is no Fall 2023 report in the repo, so 2020, 2022, 2023 and 2024 are missing some IFC inputs. The current year fills in once its Fall report is added.</t>
  </si>
  <si>
    <t xml:space="preserve">Why v2: the old index (AE List.xlsx) only compared us to our own history, so 100 meant 'normal for Theta Xi', not 'normal for UNL'. See the Old Index Review tab.</t>
  </si>
  <si>
    <t xml:space="preserve">IFC chapter GPA by semester (term GPA as printed on the UNL report)</t>
  </si>
  <si>
    <t xml:space="preserve">Chapters reporting a GPA</t>
  </si>
  <si>
    <t xml:space="preserve">IFC average (member weighted)</t>
  </si>
  <si>
    <t xml:space="preserve">IFC median chapter</t>
  </si>
  <si>
    <t xml:space="preserve">IFC top quartile cutoff</t>
  </si>
  <si>
    <t xml:space="preserve">Our IFC rank (1 = best)</t>
  </si>
  <si>
    <t xml:space="preserve">Our percentile (100% = best)</t>
  </si>
  <si>
    <t xml:space="preserve">Our gap vs IFC average</t>
  </si>
  <si>
    <t xml:space="preserve">IFC chapter size by semester (total members incl. new members)</t>
  </si>
  <si>
    <t xml:space="preserve">Chapters reporting</t>
  </si>
  <si>
    <t xml:space="preserve">Total IFC men</t>
  </si>
  <si>
    <t xml:space="preserve">IFC average chapter</t>
  </si>
  <si>
    <t xml:space="preserve">Our size rank (1 = biggest)</t>
  </si>
  <si>
    <t xml:space="preserve">Our size vs median (100 = median)</t>
  </si>
  <si>
    <t xml:space="preserve">IFC new members by semester (as printed on the UNL report)</t>
  </si>
  <si>
    <t xml:space="preserve">Total IFC new members</t>
  </si>
  <si>
    <t xml:space="preserve">Our rank (1 = most)</t>
  </si>
  <si>
    <t xml:space="preserve">Our share of all IFC new members</t>
  </si>
  <si>
    <t xml:space="preserve">Before Fall 2018 the repo only has our own numbers (from AE List.xlsx and GPA Data.xlsx), so peer comparisons start in Fall 2018. The IFC average size before 2018 comes from AE List.xlsx.</t>
  </si>
  <si>
    <t xml:space="preserve">Gap vs Greek men</t>
  </si>
  <si>
    <t xml:space="preserve">Gap vs all men</t>
  </si>
  <si>
    <t xml:space="preserve">IFC avg size</t>
  </si>
  <si>
    <t xml:space="preserve">Size vs IFC avg (100 = avg)</t>
  </si>
  <si>
    <t xml:space="preserve">Fall 2010</t>
  </si>
  <si>
    <t xml:space="preserve">Spring 2011</t>
  </si>
  <si>
    <t xml:space="preserve">Fall 2011</t>
  </si>
  <si>
    <t xml:space="preserve">Spring 2012</t>
  </si>
  <si>
    <t xml:space="preserve">Fall 2012</t>
  </si>
  <si>
    <t xml:space="preserve">Spring 2013</t>
  </si>
  <si>
    <t xml:space="preserve">Fall 2013</t>
  </si>
  <si>
    <t xml:space="preserve">Spring 2014</t>
  </si>
  <si>
    <t xml:space="preserve">Fall 2014</t>
  </si>
  <si>
    <t xml:space="preserve">Spring 2015</t>
  </si>
  <si>
    <t xml:space="preserve">Fall 2015</t>
  </si>
  <si>
    <t xml:space="preserve">Spring 2016</t>
  </si>
  <si>
    <t xml:space="preserve">Fall 2016</t>
  </si>
  <si>
    <t xml:space="preserve">Spring 2017</t>
  </si>
  <si>
    <t xml:space="preserve">Fall 2017</t>
  </si>
  <si>
    <t xml:space="preserve">Spring 2018</t>
  </si>
  <si>
    <t xml:space="preserve">Theta Xi pledge-class retention (from AE List.xlsx, Disgusting tab, top block)</t>
  </si>
  <si>
    <t xml:space="preserve">Class</t>
  </si>
  <si>
    <t xml:space="preserve">Pledged</t>
  </si>
  <si>
    <t xml:space="preserve">Still in</t>
  </si>
  <si>
    <t xml:space="preserve">Lost</t>
  </si>
  <si>
    <t xml:space="preserve">% lost</t>
  </si>
  <si>
    <t xml:space="preserve">Total</t>
  </si>
  <si>
    <t xml:space="preserve">Counted when that sheet was last updated (late 2023). The chart table lower on that sheet shows slightly different splits for Fall 2020 and Spring 2023. From Fall 2024 on, UNL reports new-member retention for every house (see TX vs IFC).</t>
  </si>
  <si>
    <t xml:space="preserve">Term #</t>
  </si>
  <si>
    <t xml:space="preserve">Council</t>
  </si>
  <si>
    <t xml:space="preserve">Total Members</t>
  </si>
  <si>
    <t xml:space="preserve">New Members</t>
  </si>
  <si>
    <t xml:space="preserve">Chapter GPA</t>
  </si>
  <si>
    <t xml:space="preserve">Community GPA Rank</t>
  </si>
  <si>
    <t xml:space="preserve">Council GPA Rank</t>
  </si>
  <si>
    <t xml:space="preserve">Retention of Actives</t>
  </si>
  <si>
    <t xml:space="preserve">Retention of New Members</t>
  </si>
  <si>
    <t xml:space="preserve">Source</t>
  </si>
  <si>
    <t xml:space="preserve">Notes</t>
  </si>
  <si>
    <t xml:space="preserve">IFC</t>
  </si>
  <si>
    <t xml:space="preserve">Theta Xi</t>
  </si>
  <si>
    <t xml:space="preserve">legacy/AE List.xlsx (Cleaned tab) + legacy/GPA Data.xlsx (UNL tab)</t>
  </si>
  <si>
    <t xml:space="preserve">Chapter records; no UNL report for this semester in the repo</t>
  </si>
  <si>
    <t xml:space="preserve">Acacia</t>
  </si>
  <si>
    <t xml:space="preserve">source-data/ifc-report-cards/2018-fall-ifc-report-card.pdf</t>
  </si>
  <si>
    <t xml:space="preserve">Alpha Gamma Nu</t>
  </si>
  <si>
    <t xml:space="preserve">Alpha Gamma Rho</t>
  </si>
  <si>
    <t xml:space="preserve">Alpha Gamma Sigma</t>
  </si>
  <si>
    <t xml:space="preserve">Alpha Tau Omega</t>
  </si>
  <si>
    <t xml:space="preserve">Beta Sigma Psi</t>
  </si>
  <si>
    <t xml:space="preserve">Beta Theta Pi</t>
  </si>
  <si>
    <t xml:space="preserve">Chi Phi</t>
  </si>
  <si>
    <t xml:space="preserve">Delta Tau Delta</t>
  </si>
  <si>
    <t xml:space="preserve">all membership/GPA metrics N/A in PDF</t>
  </si>
  <si>
    <t xml:space="preserve">Delta Upsilon</t>
  </si>
  <si>
    <t xml:space="preserve">Farmhouse</t>
  </si>
  <si>
    <t xml:space="preserve">Kappa Sigma</t>
  </si>
  <si>
    <t xml:space="preserve">Phi Delta Theta</t>
  </si>
  <si>
    <t xml:space="preserve">Phi Gamma Delta</t>
  </si>
  <si>
    <t xml:space="preserve">Phi Kappa Psi</t>
  </si>
  <si>
    <t xml:space="preserve">Phi Kappa Theta</t>
  </si>
  <si>
    <t xml:space="preserve">Pi Kappa Alpha</t>
  </si>
  <si>
    <t xml:space="preserve">Pi Kappa Phi</t>
  </si>
  <si>
    <t xml:space="preserve">Sigma Alpha Epsilon</t>
  </si>
  <si>
    <t xml:space="preserve">Sigma Alpha Mu</t>
  </si>
  <si>
    <t xml:space="preserve">Sigma Chi</t>
  </si>
  <si>
    <t xml:space="preserve">Sigma Nu</t>
  </si>
  <si>
    <t xml:space="preserve">Sigma Phi Epsilon</t>
  </si>
  <si>
    <t xml:space="preserve">Tau Kappa Epsilon</t>
  </si>
  <si>
    <t xml:space="preserve">Theta Chi</t>
  </si>
  <si>
    <t xml:space="preserve">Triangle</t>
  </si>
  <si>
    <t xml:space="preserve">source-data/ifc-report-cards/2019-spring-ifc-report-card.pdf</t>
  </si>
  <si>
    <t xml:space="preserve">member count cell blank; other membership/GPA metrics N/A (suspended)</t>
  </si>
  <si>
    <t xml:space="preserve">source-data/ifc-report-cards/2019-fall-ifc-report-card.pdf</t>
  </si>
  <si>
    <t xml:space="preserve">Chapter records had members 77, new members 24; UNL report used so every house is measured the same way</t>
  </si>
  <si>
    <t xml:space="preserve">source-data/ifc-report-cards/2020-spring-ifc-report-card.pdf</t>
  </si>
  <si>
    <t xml:space="preserve">no GPA reported in Spring 2020 report (all N/A); grad-rate cells say "See Fall 19 Report"; new-member column blank</t>
  </si>
  <si>
    <t xml:space="preserve">Sigma Tau Gamma</t>
  </si>
  <si>
    <t xml:space="preserve">no GPA reported in Spring 2020 report (all N/A); grad-rate cells say "See Fall 19 Report"; new-member column blank; Chapter records had members 79, new members 6; UNL report used so every house is measured the same way</t>
  </si>
  <si>
    <t xml:space="preserve">source-data/ifc-report-cards/2020-fall-ifc-report-card.pdf</t>
  </si>
  <si>
    <t xml:space="preserve">chapter GPA and comparison cells blank; the only GPA shown sits in the New Member GPA column (could be a misplaced chapter GPA)</t>
  </si>
  <si>
    <t xml:space="preserve">Chapter records had members 81, new members 20, GPA 3.006; UNL report used so every house is measured the same way</t>
  </si>
  <si>
    <t xml:space="preserve">source-data/ifc-report-cards/2021-spring-ifc-report-card.pdf</t>
  </si>
  <si>
    <t xml:space="preserve">Chapter records had GPA 3.26; UNL report used so every house is measured the same way</t>
  </si>
  <si>
    <t xml:space="preserve">source-data/ifc-report-cards/2021-fall-ifc-report-card.pdf</t>
  </si>
  <si>
    <t xml:space="preserve">4yr grad rate printed as ".65.52", read as 65.52%</t>
  </si>
  <si>
    <t xml:space="preserve">Delta Sigma Phi</t>
  </si>
  <si>
    <t xml:space="preserve">1st-2nd yr retention printed as "9394.00%" (obvious typo; stored as 93.94%)</t>
  </si>
  <si>
    <t xml:space="preserve">cells show SUS (suspended); no data</t>
  </si>
  <si>
    <t xml:space="preserve">1st-2nd yr retention printed as "8387.00%" (obvious typo; stored as 83.87%)</t>
  </si>
  <si>
    <t xml:space="preserve">Chapter records had new members 13, GPA 3.16; UNL report used so every house is measured the same way</t>
  </si>
  <si>
    <t xml:space="preserve">source-data/ifc-report-cards/2022-spring-ifc-report-card.pdf</t>
  </si>
  <si>
    <t xml:space="preserve">Chapter records had new members 4, GPA 3.331; UNL report used so every house is measured the same way</t>
  </si>
  <si>
    <t xml:space="preserve">source-data/ifc-report-cards/2022-fall-ifc-report-card.pdf</t>
  </si>
  <si>
    <t xml:space="preserve">rank printed as "*(/2243)"; read as council 22 / community 43 (only unused ranks); new member GPA 0.750 as printed (1 new member)</t>
  </si>
  <si>
    <t xml:space="preserve">row blacked out in PDF; standing "Suspension Through 2027"</t>
  </si>
  <si>
    <t xml:space="preserve">row is covered by a solid black box in the PDF (redacted); values intentionally not extracted</t>
  </si>
  <si>
    <t xml:space="preserve">Chapter records had members 70, new members 13, GPA 3.091; UNL report used so every house is measured the same way</t>
  </si>
  <si>
    <t xml:space="preserve">source-data/community-scorecards/2023-spring-community-scorecard.pdf</t>
  </si>
  <si>
    <t xml:space="preserve">new member cell blank in PDF (possibly 0)</t>
  </si>
  <si>
    <t xml:space="preserve">1st-2nd yr retention shown as ##### (Excel overflow) in PDF; new member cell blank in PDF (possibly 0)</t>
  </si>
  <si>
    <t xml:space="preserve">1st-2nd yr retention shown as ##### (Excel overflow) in PDF; 4yr grad rate shown as ##### (Excel overflow) in PDF; new member cell blank in PDF (possibly 0)</t>
  </si>
  <si>
    <t xml:space="preserve">1st-2nd yr retention shown as ##### (Excel overflow) in PDF</t>
  </si>
  <si>
    <t xml:space="preserve">Chapter records had members 68, new members 5; UNL report used so every house is measured the same way</t>
  </si>
  <si>
    <t xml:space="preserve">1st-2nd yr retention shown as ##### (Excel overflow) in PDF; 6yr grad rate shown as ##### (Excel overflow) in PDF</t>
  </si>
  <si>
    <t xml:space="preserve">MGC</t>
  </si>
  <si>
    <t xml:space="preserve">Delta Phi Lambda</t>
  </si>
  <si>
    <t xml:space="preserve">Delta Xi Nu</t>
  </si>
  <si>
    <t xml:space="preserve">1st-2nd yr retention shown as ##### (Excel overflow) in PDF; 6yr grad rate shown as ##### (Excel overflow) in PDF; new member cell blank in PDF (possibly 0)</t>
  </si>
  <si>
    <t xml:space="preserve">Kappa Delta Chi</t>
  </si>
  <si>
    <t xml:space="preserve">6yr grad rate shown as ##### (Excel overflow) in PDF</t>
  </si>
  <si>
    <t xml:space="preserve">Lambda Phi Epsilon</t>
  </si>
  <si>
    <t xml:space="preserve">Lambda Theta Nu</t>
  </si>
  <si>
    <t xml:space="preserve">Omega Delta Phi</t>
  </si>
  <si>
    <t xml:space="preserve">Sigma Lambda Beta</t>
  </si>
  <si>
    <t xml:space="preserve">Sigma Psi Zeta</t>
  </si>
  <si>
    <t xml:space="preserve">NPHC</t>
  </si>
  <si>
    <t xml:space="preserve">Delta Sigma Theta</t>
  </si>
  <si>
    <t xml:space="preserve">6yr grad rate shown as ##### (Excel overflow) in PDF; GPA not disclosed (N/A; small chapter); new member cell blank in PDF (possibly 0)</t>
  </si>
  <si>
    <t xml:space="preserve">Kappa Alpha Psi</t>
  </si>
  <si>
    <t xml:space="preserve">Omega Psi Phi</t>
  </si>
  <si>
    <t xml:space="preserve">6yr grad rate shown as ##### (Excel overflow) in PDF; GPA not disclosed (N/A; small chapter)</t>
  </si>
  <si>
    <t xml:space="preserve">Phi Beta Sigma</t>
  </si>
  <si>
    <t xml:space="preserve">4yr grad rate shown as ##### (Excel overflow) in PDF; GPA not disclosed (N/A; small chapter); new member cell blank in PDF (possibly 0)</t>
  </si>
  <si>
    <t xml:space="preserve">Zeta Phi Beta</t>
  </si>
  <si>
    <t xml:space="preserve">PHA</t>
  </si>
  <si>
    <t xml:space="preserve">Alpha Chi Omega</t>
  </si>
  <si>
    <t xml:space="preserve">Alpha Omicron Pi</t>
  </si>
  <si>
    <t xml:space="preserve">Alpha Phi</t>
  </si>
  <si>
    <t xml:space="preserve">Alpha Xi Delta</t>
  </si>
  <si>
    <t xml:space="preserve">Chi Omega</t>
  </si>
  <si>
    <t xml:space="preserve">Delta Delta Delta</t>
  </si>
  <si>
    <t xml:space="preserve">Delta Gamma</t>
  </si>
  <si>
    <t xml:space="preserve">Gamma Phi Beta</t>
  </si>
  <si>
    <t xml:space="preserve">Kappa Alpha Theta</t>
  </si>
  <si>
    <t xml:space="preserve">Kappa Delta</t>
  </si>
  <si>
    <t xml:space="preserve">Kappa Kappa Gamma</t>
  </si>
  <si>
    <t xml:space="preserve">Phi Mu</t>
  </si>
  <si>
    <t xml:space="preserve">Pi Alpha Chi</t>
  </si>
  <si>
    <t xml:space="preserve">Pi Beta Phi</t>
  </si>
  <si>
    <t xml:space="preserve">Sigma Alpha</t>
  </si>
  <si>
    <t xml:space="preserve">source-data/academic-reports/2023-fall-all-community-grade-report.pdf</t>
  </si>
  <si>
    <t xml:space="preserve">No Fall 2023 scorecard exists; GPA and members from the All-Community Grade Report (members enrolled for credit only; no new-member counts)</t>
  </si>
  <si>
    <t xml:space="preserve">source-data/community-scorecards/2024-spring-community-scorecard.pdf</t>
  </si>
  <si>
    <t xml:space="preserve">Chapter records had members 58, GPA 3.346; UNL report used so every house is measured the same way</t>
  </si>
  <si>
    <t xml:space="preserve">council rank printed N/A although GPA and community rank (41) are given; see Kappa Alpha Psi note</t>
  </si>
  <si>
    <t xml:space="preserve">GPA not disclosed (N/A; small chapter); PDF shows GPA N/A, council rank 1, community rank N/A; Delta Sigma Theta shows council rank N/A with community rank 41 - the council-rank "1" likely belongs to Delta Sigma Theta (recorded as printed)</t>
  </si>
  <si>
    <t xml:space="preserve">GPA not disclosed (N/A; small chapter)</t>
  </si>
  <si>
    <t xml:space="preserve">source-data/community-scorecards/2024-fall-community-scorecard.pdf</t>
  </si>
  <si>
    <t xml:space="preserve">Lambda Chi Alpha</t>
  </si>
  <si>
    <t xml:space="preserve">Retention of Active Members printed as "101%" (&gt;100%, stored as printed)</t>
  </si>
  <si>
    <t xml:space="preserve">Retention of Active Members printed as "102%" (&gt;100%, stored as printed)</t>
  </si>
  <si>
    <t xml:space="preserve">Sigma Lambda Gamma</t>
  </si>
  <si>
    <t xml:space="preserve">Sigma Gamma Rho</t>
  </si>
  <si>
    <t xml:space="preserve">Alpha Omega Epsilon</t>
  </si>
  <si>
    <t xml:space="preserve">source-data/community-scorecards/2025-spring-community-scorecard.csv</t>
  </si>
  <si>
    <t xml:space="preserve">Delta Phi Lambda Sorority, Inc.</t>
  </si>
  <si>
    <t xml:space="preserve">Delta Xi Nu Multicultural Sorority, Inc.</t>
  </si>
  <si>
    <t xml:space="preserve">Kappa Delta Chi Sorority, Inc.</t>
  </si>
  <si>
    <t xml:space="preserve">Lambda Phi Epsilon International Fraternity, Inc.</t>
  </si>
  <si>
    <t xml:space="preserve">Lambda Theta Nu Sorority, Inc.</t>
  </si>
  <si>
    <t xml:space="preserve">Omega Delta Phi Fraternity, Inc.</t>
  </si>
  <si>
    <t xml:space="preserve">Sigma Lambda Beta International Fraternity, Inc.</t>
  </si>
  <si>
    <t xml:space="preserve">Sigma Lambda Gamma National Sorority, Inc.</t>
  </si>
  <si>
    <t xml:space="preserve">Sigma Psi Zeta Sorority, Inc.</t>
  </si>
  <si>
    <t xml:space="preserve">Delta Sigma Theta Sorority, Inc.</t>
  </si>
  <si>
    <t xml:space="preserve">Kappa Alpha Psi Fraternity, Inc.</t>
  </si>
  <si>
    <t xml:space="preserve">Sigma Gamma Rho Sorority, Inc.</t>
  </si>
  <si>
    <t xml:space="preserve">Zeta Phi Beta Sorority, Inc.</t>
  </si>
  <si>
    <t xml:space="preserve">source-data/community-scorecards/2025-fall-community-scorecard.csv</t>
  </si>
  <si>
    <t xml:space="preserve">source-data/community-scorecards/2026-spring-community-scorecard.csv</t>
  </si>
  <si>
    <t xml:space="preserve">Omega Psi Phi Fraternity, Inc.</t>
  </si>
  <si>
    <t xml:space="preserve">All Male</t>
  </si>
  <si>
    <t xml:space="preserve">All Female</t>
  </si>
  <si>
    <t xml:space="preserve">All UNL</t>
  </si>
  <si>
    <t xml:space="preserve">Greek Male</t>
  </si>
  <si>
    <t xml:space="preserve">Greek Female</t>
  </si>
  <si>
    <t xml:space="preserve">All Greek</t>
  </si>
  <si>
    <t xml:space="preserve">Non-Greek Male</t>
  </si>
  <si>
    <t xml:space="preserve">Non-Greek Female</t>
  </si>
  <si>
    <t xml:space="preserve">All Non-Greek</t>
  </si>
  <si>
    <t xml:space="preserve">Source / notes</t>
  </si>
  <si>
    <t xml:space="preserve">legacy/GPA Data.xlsx, UNL tab; All Greek equals Greek Male here (3.117), probably a typo in the original sheet</t>
  </si>
  <si>
    <t xml:space="preserve">All Non-Greek was a formula (=AVERAGE(I3:J3)) in GPA Data.xlsx; left blank. </t>
  </si>
  <si>
    <t xml:space="preserve">All Non-Greek was a formula (=AVERAGE(I4:J4)) in GPA Data.xlsx; left blank. </t>
  </si>
  <si>
    <t xml:space="preserve">legacy/GPA Data.xlsx, UNL tab</t>
  </si>
  <si>
    <t xml:space="preserve">All Non-Greek was a formula (=AVERAGE(I6:J6)) in GPA Data.xlsx; left blank. </t>
  </si>
  <si>
    <t xml:space="preserve">legacy/GPA Data.xlsx, UNL tab; the Fall 2019 IFC report card prints UNL Men = 3.096, not 3.032</t>
  </si>
  <si>
    <t xml:space="preserve">legacy/GPA Data.xlsx, UNL tab; pass/no-pass COVID semester; the UNL chapter report printed no GPAs</t>
  </si>
  <si>
    <t xml:space="preserve">legacy/GPA Data.xlsx, UNL tab; matches the Fall 2023 All-Community Grade Report</t>
  </si>
  <si>
    <t xml:space="preserve">UNL All-Community Grade Reports, Spring 2025 and Fall 2025 (prior-term columns)</t>
  </si>
  <si>
    <t xml:space="preserve">UNL All-Community Grade Report, Spring 2025</t>
  </si>
  <si>
    <t xml:space="preserve">UNL All-Community Grade Report, Fall 2025; All Greek as printed is higher than both Greek men and Greek women, so UNL likely misprinted it</t>
  </si>
  <si>
    <t xml:space="preserve">UNL All-Community Grade Report, Spring 2026; All Greek as printed is higher than both Greek men and Greek women, so UNL likely misprinted it</t>
  </si>
  <si>
    <t xml:space="preserve">Orange cells: semesters where the UNL all-campus numbers are not in this repo. They come from the FSL All-Community Academic Report (fsl.unl.edu); type them in and every chart and gap column updates.</t>
  </si>
  <si>
    <t xml:space="preserve">IFC avg chapter size</t>
  </si>
  <si>
    <t xml:space="preserve">AE List.xlsx, Cleaned tab, column K (user's own records)</t>
  </si>
  <si>
    <t xml:space="preserve">Semester (in order)</t>
  </si>
  <si>
    <t xml:space="preserve">IFC chapters</t>
  </si>
  <si>
    <t xml:space="preserve">Setting</t>
  </si>
  <si>
    <t xml:space="preserve">Latest semester to report</t>
  </si>
  <si>
    <t xml:space="preserve">Min. chapters before IFC stats show</t>
  </si>
  <si>
    <t xml:space="preserve">Add future semesters to column A and new chapters to column D. Matrices read the chapter list from column D.</t>
  </si>
  <si>
    <t xml:space="preserve">Review of the old recruitment score and GPA math</t>
  </si>
  <si>
    <t xml:space="preserve">Where</t>
  </si>
  <si>
    <t xml:space="preserve">What was off, and what v2 does instead</t>
  </si>
  <si>
    <t xml:space="preserve">AE List.xlsx, Cleaned tab: Expected Rush (cols A-B)</t>
  </si>
  <si>
    <t xml:space="preserve">It divides our new members by our own historical fall or spring average. So 100 means 'normal for Theta Xi', and most of that history is 2010-2017, when we had 23 to 48 men. A class can look fine against our past and still be far behind the other houses. v2 divides by the average IFC house in the same year instead.</t>
  </si>
  <si>
    <t xml:space="preserve">Replacement Rush Index (col C)</t>
  </si>
  <si>
    <t xml:space="preserve">The formula is (new / actives) / (average new / average actives). That is a ratio of ratios. It tells you whether our pledge-to-active ratio beat our historical ratio, but it never uses how many men actually left, so it can read above 100 in a year we shrank. v2 estimates departures directly (last Fall's roster + the year's new members - this Fall's roster) and divides new members by that.</t>
  </si>
  <si>
    <t xml:space="preserve">Spring weighting (D39 = 0.25, cols F, G and J)</t>
  </si>
  <si>
    <t xml:space="preserve">The 0.25 / 0.75 split was typed in by hand. Because col A already normalizes fall and spring separately, the weighting works as a weighted average, but the weight itself is arbitrary. The yearly 'Grand Rush' also appears twice with different math: col J is weighted, while col N is an unweighted average of cols I and L. v2 needs no weight because every house is compared within the same year, and spring classes are small for everyone. Your calendar-year grouping (Spring + Fall of the same year) was right, and v2 keeps it.</t>
  </si>
  <si>
    <t xml:space="preserve">Averages (rows 32-34)</t>
  </si>
  <si>
    <t xml:space="preserve">B32 averages rows 3:30, but C32, D32 and E32 stop at row 29, so Spring 2024 is left out. The fall average (D33) covers 14 falls and the spring average (D34) 14 springs, but D32 covers 27 semesters (14 falls, 13 springs). That is why the note says 9.1 x 2 does not equal 14.1 + 3.8.</t>
  </si>
  <si>
    <t xml:space="preserve">GPA block (cols M-S)</t>
  </si>
  <si>
    <t xml:space="preserve">'IFC avg GPA' (col N) is really the Greek-men GPA from the UNL tab of GPA Data.xlsx, not an IFC figure. 'TX / IFC avg GPA' (col R) is typed in rather than calculated on every row except the last. Col O multiplies by 100 and col Q does not, so the two '% change' columns use different units. v2 builds the IFC average from every chapter's reported GPA, weighted by members.</t>
  </si>
  <si>
    <t xml:space="preserve">Member counts</t>
  </si>
  <si>
    <t xml:space="preserve">Several semesters in this tab disagree with UNL's report for the same term: Fall 2019 (77 vs 86 members), Fall 2020 (81 vs 78 members, 20 vs 28 new members), Spring 2023 (68 vs 71) and Spring 2024 (58 vs 48). v2 uses the UNL report everywhere and keeps the old value in the Chapter Data notes.</t>
  </si>
  <si>
    <t xml:space="preserve">AE List.xlsx, Disgusting tab: Fall 2024 projection (BD3-BD9)</t>
  </si>
  <si>
    <t xml:space="preserve">The projection subtracts drops and graduates from the fall class but leaves out the spring class (about +5). The drop figure (BD5) is a per-class average but is used as a chapter-wide loss. It also mixes full class sizes with Fall 2023 'still in' counts. In the history block, the 2022-2023 rush-index cells (AZ92-AZ94) show reference errors.</t>
  </si>
  <si>
    <t xml:space="preserve">GPA Data.xlsx, UNL tab: statistics</t>
  </si>
  <si>
    <t xml:space="preserve">The STDEV row (31) reads rows 1:27, so it includes the header and leaves out Fall 2023 and Spring 2024. The 'paired' t-test lines semesters up by position (Spring 17 with Fall 21, and so on), which is not a real pairing; the unequal-variance test in row 51 is the one to use. In a few semesters, All Non-Greek is a plain average of men and women, which ignores that there are more women. Fall 10 'All Greek' equals 'Greek Male' (3.117), which is probably a typo.</t>
  </si>
  <si>
    <t xml:space="preserve">Scholarship workbooks (2022-2023)</t>
  </si>
  <si>
    <t xml:space="preserve">The biweekly grade-check summaries have range errors. The averages skip row 2. In Autumn 2022, the Fall 2021 class range (rows 36:52) overlaps the Spring 2021 range (rows 35:40). In Fall 2023, the summary block is shifted one row, so 'Active' shows the chapter average and 'Official' shows a reference error. These files track individual members, so they stay as they are and are not merged into this workbook.</t>
  </si>
</sst>
</file>

<file path=xl/styles.xml><?xml version="1.0" encoding="utf-8"?>
<styleSheet xmlns="http://schemas.openxmlformats.org/spreadsheetml/2006/main">
  <numFmts count="11">
    <numFmt numFmtId="164" formatCode="General"/>
    <numFmt numFmtId="165" formatCode="0.000"/>
    <numFmt numFmtId="166" formatCode="0"/>
    <numFmt numFmtId="167" formatCode="0.0"/>
    <numFmt numFmtId="168" formatCode="0%"/>
    <numFmt numFmtId="169" formatCode="\+0%;\-0%;0%"/>
    <numFmt numFmtId="170" formatCode="0.0%"/>
    <numFmt numFmtId="171" formatCode="\+0.000;\-0.000;0.000"/>
    <numFmt numFmtId="172" formatCode="\+0.00;\-0.00;0.00"/>
    <numFmt numFmtId="173" formatCode="0.00"/>
    <numFmt numFmtId="174" formatCode="\+0.0;\-0.0;0.0"/>
  </numFmts>
  <fonts count="13">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b val="true"/>
      <sz val="10"/>
      <name val="Arial"/>
      <family val="0"/>
      <charset val="1"/>
    </font>
    <font>
      <sz val="10"/>
      <name val="Arial"/>
      <family val="0"/>
      <charset val="1"/>
    </font>
    <font>
      <sz val="10"/>
      <color rgb="FF0000FF"/>
      <name val="Arial"/>
      <family val="0"/>
      <charset val="1"/>
    </font>
    <font>
      <sz val="10"/>
      <color rgb="FF008000"/>
      <name val="Arial"/>
      <family val="0"/>
      <charset val="1"/>
    </font>
    <font>
      <i val="true"/>
      <sz val="9"/>
      <color rgb="FF555555"/>
      <name val="Arial"/>
      <family val="0"/>
      <charset val="1"/>
    </font>
    <font>
      <b val="true"/>
      <sz val="10"/>
      <color rgb="FFFFFFFF"/>
      <name val="Arial"/>
      <family val="0"/>
      <charset val="1"/>
    </font>
    <font>
      <b val="true"/>
      <sz val="18"/>
      <color rgb="FF000000"/>
      <name val="Calibri"/>
      <family val="2"/>
    </font>
    <font>
      <sz val="10"/>
      <color rgb="FF000000"/>
      <name val="Calibri"/>
      <family val="2"/>
    </font>
  </fonts>
  <fills count="7">
    <fill>
      <patternFill patternType="none"/>
    </fill>
    <fill>
      <patternFill patternType="gray125"/>
    </fill>
    <fill>
      <patternFill patternType="solid">
        <fgColor rgb="FFD9E1F2"/>
        <bgColor rgb="FFD9D9D9"/>
      </patternFill>
    </fill>
    <fill>
      <patternFill patternType="solid">
        <fgColor rgb="FFFFFF00"/>
        <bgColor rgb="FFFFFF00"/>
      </patternFill>
    </fill>
    <fill>
      <patternFill patternType="solid">
        <fgColor rgb="FFFCE4D6"/>
        <bgColor rgb="FFFFF2CC"/>
      </patternFill>
    </fill>
    <fill>
      <patternFill patternType="solid">
        <fgColor rgb="FFFFF2CC"/>
        <bgColor rgb="FFFCE4D6"/>
      </patternFill>
    </fill>
    <fill>
      <patternFill patternType="solid">
        <fgColor rgb="FF1F3864"/>
        <bgColor rgb="FF33339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4" fontId="6" fillId="4" borderId="0" xfId="0" applyFont="true" applyBorder="false" applyAlignment="false" applyProtection="false">
      <alignment horizontal="general" vertical="bottom" textRotation="0" wrapText="false" indent="0" shrinkToFit="false"/>
      <protection locked="true" hidden="false"/>
    </xf>
    <xf numFmtId="164" fontId="5" fillId="5"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10" fillId="6" borderId="1" xfId="0" applyFont="true" applyBorder="true" applyAlignment="true" applyProtection="false">
      <alignment horizontal="center" vertical="center" textRotation="0" wrapText="tru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8" fontId="8" fillId="0" borderId="0" xfId="0" applyFont="true" applyBorder="false" applyAlignment="false" applyProtection="false">
      <alignment horizontal="general" vertical="bottom"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69" fontId="8" fillId="0" borderId="0" xfId="0" applyFont="true" applyBorder="false" applyAlignment="false" applyProtection="false">
      <alignment horizontal="general" vertical="bottom" textRotation="0" wrapText="false" indent="0" shrinkToFit="false"/>
      <protection locked="true" hidden="false"/>
    </xf>
    <xf numFmtId="170" fontId="8" fillId="0" borderId="0" xfId="0" applyFont="true" applyBorder="false" applyAlignment="false" applyProtection="false">
      <alignment horizontal="general" vertical="bottom" textRotation="0" wrapText="false" indent="0" shrinkToFit="false"/>
      <protection locked="true" hidden="false"/>
    </xf>
    <xf numFmtId="171" fontId="6"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10" fillId="6" borderId="0" xfId="0" applyFont="true" applyBorder="true" applyAlignment="true" applyProtection="false">
      <alignment horizontal="center" vertical="center" textRotation="0" wrapText="tru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7" fontId="6" fillId="0" borderId="0" xfId="0" applyFont="true" applyBorder="false" applyAlignment="false" applyProtection="false">
      <alignment horizontal="general" vertical="bottom" textRotation="0" wrapText="false" indent="0" shrinkToFit="false"/>
      <protection locked="true" hidden="false"/>
    </xf>
    <xf numFmtId="170" fontId="6" fillId="0" borderId="0" xfId="0" applyFont="true" applyBorder="false" applyAlignment="false" applyProtection="false">
      <alignment horizontal="general" vertical="bottom" textRotation="0" wrapText="false" indent="0" shrinkToFit="false"/>
      <protection locked="true" hidden="false"/>
    </xf>
    <xf numFmtId="168" fontId="6" fillId="0" borderId="0" xfId="0" applyFont="true" applyBorder="false" applyAlignment="false" applyProtection="false">
      <alignment horizontal="general" vertical="bottom" textRotation="0" wrapText="false" indent="0" shrinkToFit="false"/>
      <protection locked="true" hidden="false"/>
    </xf>
    <xf numFmtId="164" fontId="8" fillId="3" borderId="0" xfId="0" applyFont="true" applyBorder="false" applyAlignment="false" applyProtection="false">
      <alignment horizontal="general" vertical="bottom" textRotation="0" wrapText="false" indent="0" shrinkToFit="false"/>
      <protection locked="true" hidden="false"/>
    </xf>
    <xf numFmtId="168" fontId="7" fillId="3" borderId="0" xfId="0" applyFont="true" applyBorder="false" applyAlignment="false" applyProtection="false">
      <alignment horizontal="general" vertical="bottom" textRotation="0" wrapText="false" indent="0" shrinkToFit="false"/>
      <protection locked="true" hidden="false"/>
    </xf>
    <xf numFmtId="173" fontId="6" fillId="0" borderId="0" xfId="0" applyFont="true" applyBorder="false" applyAlignment="false" applyProtection="false">
      <alignment horizontal="general" vertical="bottom" textRotation="0" wrapText="false" indent="0" shrinkToFit="false"/>
      <protection locked="true" hidden="false"/>
    </xf>
    <xf numFmtId="169" fontId="6" fillId="0" borderId="0" xfId="0" applyFont="true" applyBorder="false" applyAlignment="false" applyProtection="false">
      <alignment horizontal="general" vertical="bottom" textRotation="0" wrapText="false" indent="0" shrinkToFit="false"/>
      <protection locked="true" hidden="false"/>
    </xf>
    <xf numFmtId="174" fontId="6" fillId="0" borderId="0" xfId="0" applyFont="true" applyBorder="false" applyAlignment="false" applyProtection="false">
      <alignment horizontal="general" vertical="bottom" textRotation="0" wrapText="false" indent="0" shrinkToFit="false"/>
      <protection locked="true" hidden="false"/>
    </xf>
    <xf numFmtId="166" fontId="6" fillId="2" borderId="0" xfId="0" applyFont="true" applyBorder="false" applyAlignment="false" applyProtection="false">
      <alignment horizontal="general" vertical="bottom" textRotation="0" wrapText="false" indent="0" shrinkToFit="false"/>
      <protection locked="true" hidden="false"/>
    </xf>
    <xf numFmtId="165" fontId="6" fillId="2" borderId="0" xfId="0" applyFont="true" applyBorder="false" applyAlignment="false" applyProtection="false">
      <alignment horizontal="general" vertical="bottom" textRotation="0" wrapText="false" indent="0" shrinkToFit="false"/>
      <protection locked="true" hidden="false"/>
    </xf>
    <xf numFmtId="168" fontId="6" fillId="2" borderId="0" xfId="0" applyFont="true" applyBorder="false" applyAlignment="false" applyProtection="false">
      <alignment horizontal="general" vertical="bottom" textRotation="0" wrapText="false" indent="0" shrinkToFit="false"/>
      <protection locked="true" hidden="false"/>
    </xf>
    <xf numFmtId="171" fontId="6" fillId="2" borderId="0" xfId="0" applyFont="true" applyBorder="false" applyAlignment="false" applyProtection="false">
      <alignment horizontal="general" vertical="bottom" textRotation="0" wrapText="false" indent="0" shrinkToFit="false"/>
      <protection locked="true" hidden="false"/>
    </xf>
    <xf numFmtId="167" fontId="6" fillId="2" borderId="0" xfId="0" applyFont="true" applyBorder="false" applyAlignment="false" applyProtection="false">
      <alignment horizontal="general" vertical="bottom" textRotation="0" wrapText="false" indent="0" shrinkToFit="false"/>
      <protection locked="true" hidden="false"/>
    </xf>
    <xf numFmtId="170" fontId="6" fillId="2"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8" fontId="5"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8" fontId="7" fillId="0" borderId="0" xfId="0" applyFont="true" applyBorder="false" applyAlignment="false" applyProtection="false">
      <alignment horizontal="general" vertical="bottom" textRotation="0" wrapText="false" indent="0" shrinkToFit="false"/>
      <protection locked="true" hidden="false"/>
    </xf>
    <xf numFmtId="165" fontId="7" fillId="4" borderId="0" xfId="0" applyFont="true" applyBorder="false" applyAlignment="false" applyProtection="false">
      <alignment horizontal="general"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ont>
        <name val="Arial"/>
        <charset val="1"/>
        <family val="0"/>
        <color rgb="FFC00000"/>
      </font>
    </dxf>
    <dxf>
      <font>
        <name val="Arial"/>
        <charset val="1"/>
        <family val="0"/>
        <color rgb="FF008000"/>
      </font>
    </dxf>
    <dxf>
      <font>
        <name val="Arial"/>
        <charset val="1"/>
        <family val="0"/>
        <b val="1"/>
      </font>
      <fill>
        <patternFill>
          <bgColor rgb="FFFFF2CC"/>
        </patternFill>
      </fill>
    </dxf>
    <dxf>
      <fill>
        <patternFill patternType="solid">
          <fgColor rgb="FF1F3864"/>
          <bgColor rgb="FF000000"/>
        </patternFill>
      </fill>
    </dxf>
    <dxf>
      <fill>
        <patternFill patternType="solid">
          <bgColor rgb="FF000000"/>
        </patternFill>
      </fill>
    </dxf>
    <dxf>
      <fill>
        <patternFill patternType="solid">
          <fgColor rgb="FF0000FF"/>
          <bgColor rgb="FF000000"/>
        </patternFill>
      </fill>
    </dxf>
    <dxf>
      <fill>
        <patternFill patternType="solid">
          <fgColor rgb="FFFFFFFF"/>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78787"/>
      <rgbColor rgb="FF9999FF"/>
      <rgbColor rgb="FFC0504D"/>
      <rgbColor rgb="FFFFF2CC"/>
      <rgbColor rgb="FFD9E1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E4D6"/>
      <rgbColor rgb="FF3366FF"/>
      <rgbColor rgb="FF33CCCC"/>
      <rgbColor rgb="FF9BBB59"/>
      <rgbColor rgb="FFFFCC00"/>
      <rgbColor rgb="FFFF9900"/>
      <rgbColor rgb="FFFF6600"/>
      <rgbColor rgb="FF4F81BD"/>
      <rgbColor rgb="FF969696"/>
      <rgbColor rgb="FF1F3864"/>
      <rgbColor rgb="FF339966"/>
      <rgbColor rgb="FF003300"/>
      <rgbColor rgb="FF333300"/>
      <rgbColor rgb="FF993300"/>
      <rgbColor rgb="FF993366"/>
      <rgbColor rgb="FF333399"/>
      <rgbColor rgb="FF55555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Our GPA minus the IFC average (member weighted)</a:t>
            </a:r>
          </a:p>
        </c:rich>
      </c:tx>
      <c:overlay val="0"/>
      <c:spPr>
        <a:noFill/>
        <a:ln w="0">
          <a:noFill/>
        </a:ln>
      </c:spPr>
    </c:title>
    <c:autoTitleDeleted val="0"/>
    <c:plotArea>
      <c:barChart>
        <c:barDir val="col"/>
        <c:grouping val="clustered"/>
        <c:varyColors val="0"/>
        <c:ser>
          <c:idx val="0"/>
          <c:order val="0"/>
          <c:tx>
            <c:strRef>
              <c:f>'TX vs IFC'!G4</c:f>
              <c:strCache>
                <c:ptCount val="1"/>
                <c:pt idx="0">
                  <c:v>Gap vs IFC avg</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'TX vs IFC'!$A$5:$A$20</c:f>
              <c:strCache>
                <c:ptCount val="16"/>
                <c:pt idx="0">
                  <c:v>Fall 2018</c:v>
                </c:pt>
                <c:pt idx="1">
                  <c:v>Spring 2019</c:v>
                </c:pt>
                <c:pt idx="2">
                  <c:v>Fall 2019</c:v>
                </c:pt>
                <c:pt idx="3">
                  <c:v>Spring 2020</c:v>
                </c:pt>
                <c:pt idx="4">
                  <c:v>Fall 2020</c:v>
                </c:pt>
                <c:pt idx="5">
                  <c:v>Spring 2021</c:v>
                </c:pt>
                <c:pt idx="6">
                  <c:v>Fall 2021</c:v>
                </c:pt>
                <c:pt idx="7">
                  <c:v>Spring 2022</c:v>
                </c:pt>
                <c:pt idx="8">
                  <c:v>Fall 2022</c:v>
                </c:pt>
                <c:pt idx="9">
                  <c:v>Spring 2023</c:v>
                </c:pt>
                <c:pt idx="10">
                  <c:v>Fall 2023</c:v>
                </c:pt>
                <c:pt idx="11">
                  <c:v>Spring 2024</c:v>
                </c:pt>
                <c:pt idx="12">
                  <c:v>Fall 2024</c:v>
                </c:pt>
                <c:pt idx="13">
                  <c:v>Spring 2025</c:v>
                </c:pt>
                <c:pt idx="14">
                  <c:v>Fall 2025</c:v>
                </c:pt>
                <c:pt idx="15">
                  <c:v>Spring 2026</c:v>
                </c:pt>
              </c:strCache>
            </c:strRef>
          </c:cat>
          <c:val>
            <c:numRef>
              <c:f>'TX vs IFC'!$G$5:$G$20</c:f>
              <c:numCache>
                <c:formatCode>\+0.000;\-0.000;0.000</c:formatCode>
                <c:ptCount val="16"/>
                <c:pt idx="0">
                  <c:v>-0.423778184034126</c:v>
                </c:pt>
                <c:pt idx="1">
                  <c:v>-0.247991222570533</c:v>
                </c:pt>
                <c:pt idx="2">
                  <c:v>-0.324051030927835</c:v>
                </c:pt>
                <c:pt idx="4">
                  <c:v>-0.242904530744337</c:v>
                </c:pt>
                <c:pt idx="5">
                  <c:v>-0.0489272930648768</c:v>
                </c:pt>
                <c:pt idx="6">
                  <c:v>-0.0570221716884598</c:v>
                </c:pt>
                <c:pt idx="7">
                  <c:v>0.00968436406067674</c:v>
                </c:pt>
                <c:pt idx="8">
                  <c:v>-0.184225589225589</c:v>
                </c:pt>
                <c:pt idx="9">
                  <c:v>-0.233900177200236</c:v>
                </c:pt>
                <c:pt idx="10">
                  <c:v>-0.284675331858407</c:v>
                </c:pt>
                <c:pt idx="11">
                  <c:v>-0.0207106310403637</c:v>
                </c:pt>
                <c:pt idx="12">
                  <c:v>-0.146103684210526</c:v>
                </c:pt>
                <c:pt idx="13">
                  <c:v>-0.321154091392136</c:v>
                </c:pt>
                <c:pt idx="14">
                  <c:v>-0.294553535353536</c:v>
                </c:pt>
                <c:pt idx="15">
                  <c:v>-0.228975512528474</c:v>
                </c:pt>
              </c:numCache>
            </c:numRef>
          </c:val>
        </c:ser>
        <c:gapWidth val="150"/>
        <c:overlap val="0"/>
        <c:axId val="76577050"/>
        <c:axId val="91000144"/>
      </c:barChart>
      <c:catAx>
        <c:axId val="76577050"/>
        <c:scaling>
          <c:orientation val="minMax"/>
        </c:scaling>
        <c:delete val="0"/>
        <c:axPos val="b"/>
        <c:numFmt formatCode="General" sourceLinked="1"/>
        <c:majorTickMark val="none"/>
        <c:minorTickMark val="none"/>
        <c:tickLblPos val="low"/>
        <c:spPr>
          <a:ln w="9360">
            <a:solidFill>
              <a:srgbClr val="878787"/>
            </a:solidFill>
            <a:round/>
          </a:ln>
        </c:spPr>
        <c:txPr>
          <a:bodyPr/>
          <a:lstStyle/>
          <a:p>
            <a:pPr>
              <a:defRPr b="0" sz="1000" spc="-1" strike="noStrike">
                <a:solidFill>
                  <a:srgbClr val="000000"/>
                </a:solidFill>
                <a:latin typeface="Calibri"/>
              </a:defRPr>
            </a:pPr>
          </a:p>
        </c:txPr>
        <c:crossAx val="91000144"/>
        <c:crosses val="autoZero"/>
        <c:auto val="1"/>
        <c:lblAlgn val="ctr"/>
        <c:lblOffset val="100"/>
        <c:noMultiLvlLbl val="0"/>
      </c:catAx>
      <c:valAx>
        <c:axId val="91000144"/>
        <c:scaling>
          <c:orientation val="minMax"/>
        </c:scaling>
        <c:delete val="0"/>
        <c:axPos val="l"/>
        <c:majorGridlines>
          <c:spPr>
            <a:ln w="9360">
              <a:solidFill>
                <a:srgbClr val="878787"/>
              </a:solidFill>
              <a:round/>
            </a:ln>
          </c:spPr>
        </c:majorGridlines>
        <c:numFmt formatCode="\+0.00;\-0.00;0.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6577050"/>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New members: ours vs the average IFC house</a:t>
            </a:r>
          </a:p>
        </c:rich>
      </c:tx>
      <c:overlay val="0"/>
      <c:spPr>
        <a:noFill/>
        <a:ln w="0">
          <a:noFill/>
        </a:ln>
      </c:spPr>
    </c:title>
    <c:autoTitleDeleted val="0"/>
    <c:plotArea>
      <c:barChart>
        <c:barDir val="col"/>
        <c:grouping val="clustered"/>
        <c:varyColors val="0"/>
        <c:ser>
          <c:idx val="0"/>
          <c:order val="0"/>
          <c:tx>
            <c:strRef>
              <c:f>'TX vs IFC'!O4</c:f>
              <c:strCache>
                <c:ptCount val="1"/>
                <c:pt idx="0">
                  <c:v>Our new members</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'TX vs IFC'!$A$5:$A$20</c:f>
              <c:strCache>
                <c:ptCount val="16"/>
                <c:pt idx="0">
                  <c:v>Fall 2018</c:v>
                </c:pt>
                <c:pt idx="1">
                  <c:v>Spring 2019</c:v>
                </c:pt>
                <c:pt idx="2">
                  <c:v>Fall 2019</c:v>
                </c:pt>
                <c:pt idx="3">
                  <c:v>Spring 2020</c:v>
                </c:pt>
                <c:pt idx="4">
                  <c:v>Fall 2020</c:v>
                </c:pt>
                <c:pt idx="5">
                  <c:v>Spring 2021</c:v>
                </c:pt>
                <c:pt idx="6">
                  <c:v>Fall 2021</c:v>
                </c:pt>
                <c:pt idx="7">
                  <c:v>Spring 2022</c:v>
                </c:pt>
                <c:pt idx="8">
                  <c:v>Fall 2022</c:v>
                </c:pt>
                <c:pt idx="9">
                  <c:v>Spring 2023</c:v>
                </c:pt>
                <c:pt idx="10">
                  <c:v>Fall 2023</c:v>
                </c:pt>
                <c:pt idx="11">
                  <c:v>Spring 2024</c:v>
                </c:pt>
                <c:pt idx="12">
                  <c:v>Fall 2024</c:v>
                </c:pt>
                <c:pt idx="13">
                  <c:v>Spring 2025</c:v>
                </c:pt>
                <c:pt idx="14">
                  <c:v>Fall 2025</c:v>
                </c:pt>
                <c:pt idx="15">
                  <c:v>Spring 2026</c:v>
                </c:pt>
              </c:strCache>
            </c:strRef>
          </c:cat>
          <c:val>
            <c:numRef>
              <c:f>'TX vs IFC'!$O$5:$O$20</c:f>
              <c:numCache>
                <c:formatCode>0</c:formatCode>
                <c:ptCount val="16"/>
                <c:pt idx="0">
                  <c:v>22</c:v>
                </c:pt>
                <c:pt idx="1">
                  <c:v>9</c:v>
                </c:pt>
                <c:pt idx="2">
                  <c:v>25</c:v>
                </c:pt>
                <c:pt idx="4">
                  <c:v>28</c:v>
                </c:pt>
                <c:pt idx="5">
                  <c:v>10</c:v>
                </c:pt>
                <c:pt idx="6">
                  <c:v>14</c:v>
                </c:pt>
                <c:pt idx="8">
                  <c:v>17</c:v>
                </c:pt>
                <c:pt idx="9">
                  <c:v>6</c:v>
                </c:pt>
                <c:pt idx="11">
                  <c:v>5</c:v>
                </c:pt>
                <c:pt idx="12">
                  <c:v>12</c:v>
                </c:pt>
                <c:pt idx="13">
                  <c:v>3</c:v>
                </c:pt>
                <c:pt idx="14">
                  <c:v>12</c:v>
                </c:pt>
                <c:pt idx="15">
                  <c:v>6</c:v>
                </c:pt>
              </c:numCache>
            </c:numRef>
          </c:val>
        </c:ser>
        <c:ser>
          <c:idx val="1"/>
          <c:order val="1"/>
          <c:tx>
            <c:strRef>
              <c:f>'TX vs IFC'!P4</c:f>
              <c:strCache>
                <c:ptCount val="1"/>
                <c:pt idx="0">
                  <c:v>IFC avg new members</c:v>
                </c:pt>
              </c:strCache>
            </c:strRef>
          </c:tx>
          <c:spPr>
            <a:solidFill>
              <a:srgbClr val="c0504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'TX vs IFC'!$A$5:$A$20</c:f>
              <c:strCache>
                <c:ptCount val="16"/>
                <c:pt idx="0">
                  <c:v>Fall 2018</c:v>
                </c:pt>
                <c:pt idx="1">
                  <c:v>Spring 2019</c:v>
                </c:pt>
                <c:pt idx="2">
                  <c:v>Fall 2019</c:v>
                </c:pt>
                <c:pt idx="3">
                  <c:v>Spring 2020</c:v>
                </c:pt>
                <c:pt idx="4">
                  <c:v>Fall 2020</c:v>
                </c:pt>
                <c:pt idx="5">
                  <c:v>Spring 2021</c:v>
                </c:pt>
                <c:pt idx="6">
                  <c:v>Fall 2021</c:v>
                </c:pt>
                <c:pt idx="7">
                  <c:v>Spring 2022</c:v>
                </c:pt>
                <c:pt idx="8">
                  <c:v>Fall 2022</c:v>
                </c:pt>
                <c:pt idx="9">
                  <c:v>Spring 2023</c:v>
                </c:pt>
                <c:pt idx="10">
                  <c:v>Fall 2023</c:v>
                </c:pt>
                <c:pt idx="11">
                  <c:v>Spring 2024</c:v>
                </c:pt>
                <c:pt idx="12">
                  <c:v>Fall 2024</c:v>
                </c:pt>
                <c:pt idx="13">
                  <c:v>Spring 2025</c:v>
                </c:pt>
                <c:pt idx="14">
                  <c:v>Fall 2025</c:v>
                </c:pt>
                <c:pt idx="15">
                  <c:v>Spring 2026</c:v>
                </c:pt>
              </c:strCache>
            </c:strRef>
          </c:cat>
          <c:val>
            <c:numRef>
              <c:f>'TX vs IFC'!$P$5:$P$20</c:f>
              <c:numCache>
                <c:formatCode>0.0</c:formatCode>
                <c:ptCount val="16"/>
                <c:pt idx="0">
                  <c:v>19.44</c:v>
                </c:pt>
                <c:pt idx="1">
                  <c:v>2.72</c:v>
                </c:pt>
                <c:pt idx="2">
                  <c:v>21</c:v>
                </c:pt>
                <c:pt idx="4">
                  <c:v>21</c:v>
                </c:pt>
                <c:pt idx="5">
                  <c:v>3.34615384615385</c:v>
                </c:pt>
                <c:pt idx="6">
                  <c:v>21</c:v>
                </c:pt>
                <c:pt idx="8">
                  <c:v>19.7916666666667</c:v>
                </c:pt>
                <c:pt idx="9">
                  <c:v>5.94117647058824</c:v>
                </c:pt>
                <c:pt idx="11">
                  <c:v>3.8</c:v>
                </c:pt>
                <c:pt idx="12">
                  <c:v>21.2692307692308</c:v>
                </c:pt>
                <c:pt idx="13">
                  <c:v>4.79166666666667</c:v>
                </c:pt>
                <c:pt idx="14">
                  <c:v>22.04</c:v>
                </c:pt>
                <c:pt idx="15">
                  <c:v>4.1304347826087</c:v>
                </c:pt>
              </c:numCache>
            </c:numRef>
          </c:val>
        </c:ser>
        <c:gapWidth val="150"/>
        <c:overlap val="0"/>
        <c:axId val="45011507"/>
        <c:axId val="95498365"/>
      </c:barChart>
      <c:catAx>
        <c:axId val="45011507"/>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5498365"/>
        <c:crosses val="autoZero"/>
        <c:auto val="1"/>
        <c:lblAlgn val="ctr"/>
        <c:lblOffset val="100"/>
        <c:noMultiLvlLbl val="0"/>
      </c:catAx>
      <c:valAx>
        <c:axId val="95498365"/>
        <c:scaling>
          <c:orientation val="minMax"/>
        </c:scaling>
        <c:delete val="0"/>
        <c:axPos val="l"/>
        <c:majorGridlines>
          <c:spPr>
            <a:ln w="9360">
              <a:solidFill>
                <a:srgbClr val="878787"/>
              </a:solidFill>
              <a:round/>
            </a:ln>
          </c:spPr>
        </c:majorGridlines>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5011507"/>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Chapter size: ours vs the median IFC house</a:t>
            </a:r>
          </a:p>
        </c:rich>
      </c:tx>
      <c:overlay val="0"/>
      <c:spPr>
        <a:noFill/>
        <a:ln w="0">
          <a:noFill/>
        </a:ln>
      </c:spPr>
    </c:title>
    <c:autoTitleDeleted val="0"/>
    <c:plotArea>
      <c:barChart>
        <c:barDir val="col"/>
        <c:grouping val="clustered"/>
        <c:varyColors val="0"/>
        <c:ser>
          <c:idx val="0"/>
          <c:order val="0"/>
          <c:tx>
            <c:strRef>
              <c:f>'TX vs IFC'!K4</c:f>
              <c:strCache>
                <c:ptCount val="1"/>
                <c:pt idx="0">
                  <c:v>Our members</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'TX vs IFC'!$A$5:$A$20</c:f>
              <c:strCache>
                <c:ptCount val="16"/>
                <c:pt idx="0">
                  <c:v>Fall 2018</c:v>
                </c:pt>
                <c:pt idx="1">
                  <c:v>Spring 2019</c:v>
                </c:pt>
                <c:pt idx="2">
                  <c:v>Fall 2019</c:v>
                </c:pt>
                <c:pt idx="3">
                  <c:v>Spring 2020</c:v>
                </c:pt>
                <c:pt idx="4">
                  <c:v>Fall 2020</c:v>
                </c:pt>
                <c:pt idx="5">
                  <c:v>Spring 2021</c:v>
                </c:pt>
                <c:pt idx="6">
                  <c:v>Fall 2021</c:v>
                </c:pt>
                <c:pt idx="7">
                  <c:v>Spring 2022</c:v>
                </c:pt>
                <c:pt idx="8">
                  <c:v>Fall 2022</c:v>
                </c:pt>
                <c:pt idx="9">
                  <c:v>Spring 2023</c:v>
                </c:pt>
                <c:pt idx="10">
                  <c:v>Fall 2023</c:v>
                </c:pt>
                <c:pt idx="11">
                  <c:v>Spring 2024</c:v>
                </c:pt>
                <c:pt idx="12">
                  <c:v>Fall 2024</c:v>
                </c:pt>
                <c:pt idx="13">
                  <c:v>Spring 2025</c:v>
                </c:pt>
                <c:pt idx="14">
                  <c:v>Fall 2025</c:v>
                </c:pt>
                <c:pt idx="15">
                  <c:v>Spring 2026</c:v>
                </c:pt>
              </c:strCache>
            </c:strRef>
          </c:cat>
          <c:val>
            <c:numRef>
              <c:f>'TX vs IFC'!$K$5:$K$20</c:f>
              <c:numCache>
                <c:formatCode>0</c:formatCode>
                <c:ptCount val="16"/>
                <c:pt idx="0">
                  <c:v>62</c:v>
                </c:pt>
                <c:pt idx="1">
                  <c:v>64</c:v>
                </c:pt>
                <c:pt idx="2">
                  <c:v>86</c:v>
                </c:pt>
                <c:pt idx="3">
                  <c:v>73</c:v>
                </c:pt>
                <c:pt idx="4">
                  <c:v>78</c:v>
                </c:pt>
                <c:pt idx="5">
                  <c:v>74</c:v>
                </c:pt>
                <c:pt idx="6">
                  <c:v>74</c:v>
                </c:pt>
                <c:pt idx="7">
                  <c:v>68</c:v>
                </c:pt>
                <c:pt idx="8">
                  <c:v>71</c:v>
                </c:pt>
                <c:pt idx="9">
                  <c:v>71</c:v>
                </c:pt>
                <c:pt idx="10">
                  <c:v>60</c:v>
                </c:pt>
                <c:pt idx="11">
                  <c:v>48</c:v>
                </c:pt>
                <c:pt idx="12">
                  <c:v>48</c:v>
                </c:pt>
                <c:pt idx="13">
                  <c:v>48</c:v>
                </c:pt>
                <c:pt idx="14">
                  <c:v>44</c:v>
                </c:pt>
                <c:pt idx="15">
                  <c:v>43</c:v>
                </c:pt>
              </c:numCache>
            </c:numRef>
          </c:val>
        </c:ser>
        <c:ser>
          <c:idx val="1"/>
          <c:order val="1"/>
          <c:tx>
            <c:strRef>
              <c:f>'TX vs IFC'!L4</c:f>
              <c:strCache>
                <c:ptCount val="1"/>
                <c:pt idx="0">
                  <c:v>IFC median size</c:v>
                </c:pt>
              </c:strCache>
            </c:strRef>
          </c:tx>
          <c:spPr>
            <a:solidFill>
              <a:srgbClr val="c0504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'TX vs IFC'!$A$5:$A$20</c:f>
              <c:strCache>
                <c:ptCount val="16"/>
                <c:pt idx="0">
                  <c:v>Fall 2018</c:v>
                </c:pt>
                <c:pt idx="1">
                  <c:v>Spring 2019</c:v>
                </c:pt>
                <c:pt idx="2">
                  <c:v>Fall 2019</c:v>
                </c:pt>
                <c:pt idx="3">
                  <c:v>Spring 2020</c:v>
                </c:pt>
                <c:pt idx="4">
                  <c:v>Fall 2020</c:v>
                </c:pt>
                <c:pt idx="5">
                  <c:v>Spring 2021</c:v>
                </c:pt>
                <c:pt idx="6">
                  <c:v>Fall 2021</c:v>
                </c:pt>
                <c:pt idx="7">
                  <c:v>Spring 2022</c:v>
                </c:pt>
                <c:pt idx="8">
                  <c:v>Fall 2022</c:v>
                </c:pt>
                <c:pt idx="9">
                  <c:v>Spring 2023</c:v>
                </c:pt>
                <c:pt idx="10">
                  <c:v>Fall 2023</c:v>
                </c:pt>
                <c:pt idx="11">
                  <c:v>Spring 2024</c:v>
                </c:pt>
                <c:pt idx="12">
                  <c:v>Fall 2024</c:v>
                </c:pt>
                <c:pt idx="13">
                  <c:v>Spring 2025</c:v>
                </c:pt>
                <c:pt idx="14">
                  <c:v>Fall 2025</c:v>
                </c:pt>
                <c:pt idx="15">
                  <c:v>Spring 2026</c:v>
                </c:pt>
              </c:strCache>
            </c:strRef>
          </c:cat>
          <c:val>
            <c:numRef>
              <c:f>'TX vs IFC'!$L$5:$L$20</c:f>
              <c:numCache>
                <c:formatCode>0.0</c:formatCode>
                <c:ptCount val="16"/>
                <c:pt idx="0">
                  <c:v>62</c:v>
                </c:pt>
                <c:pt idx="1">
                  <c:v>64</c:v>
                </c:pt>
                <c:pt idx="2">
                  <c:v>83</c:v>
                </c:pt>
                <c:pt idx="3">
                  <c:v>75.5</c:v>
                </c:pt>
                <c:pt idx="4">
                  <c:v>77.5</c:v>
                </c:pt>
                <c:pt idx="5">
                  <c:v>74</c:v>
                </c:pt>
                <c:pt idx="6">
                  <c:v>74</c:v>
                </c:pt>
                <c:pt idx="7">
                  <c:v>68</c:v>
                </c:pt>
                <c:pt idx="8">
                  <c:v>77</c:v>
                </c:pt>
                <c:pt idx="9">
                  <c:v>71</c:v>
                </c:pt>
                <c:pt idx="10">
                  <c:v>66</c:v>
                </c:pt>
                <c:pt idx="11">
                  <c:v>68</c:v>
                </c:pt>
                <c:pt idx="12">
                  <c:v>66.5</c:v>
                </c:pt>
                <c:pt idx="13">
                  <c:v>83</c:v>
                </c:pt>
                <c:pt idx="14">
                  <c:v>87</c:v>
                </c:pt>
                <c:pt idx="15">
                  <c:v>78</c:v>
                </c:pt>
              </c:numCache>
            </c:numRef>
          </c:val>
        </c:ser>
        <c:gapWidth val="150"/>
        <c:overlap val="0"/>
        <c:axId val="11277282"/>
        <c:axId val="50272204"/>
      </c:barChart>
      <c:catAx>
        <c:axId val="11277282"/>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0272204"/>
        <c:crosses val="autoZero"/>
        <c:auto val="1"/>
        <c:lblAlgn val="ctr"/>
        <c:lblOffset val="100"/>
        <c:noMultiLvlLbl val="0"/>
      </c:catAx>
      <c:valAx>
        <c:axId val="50272204"/>
        <c:scaling>
          <c:orientation val="minMax"/>
        </c:scaling>
        <c:delete val="0"/>
        <c:axPos val="l"/>
        <c:majorGridlines>
          <c:spPr>
            <a:ln w="9360">
              <a:solidFill>
                <a:srgbClr val="878787"/>
              </a:solidFill>
              <a:round/>
            </a:ln>
          </c:spPr>
        </c:majorGridlines>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1277282"/>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GPA: ours vs the IFC average</a:t>
            </a:r>
          </a:p>
        </c:rich>
      </c:tx>
      <c:overlay val="0"/>
      <c:spPr>
        <a:noFill/>
        <a:ln w="0">
          <a:noFill/>
        </a:ln>
      </c:spPr>
    </c:title>
    <c:autoTitleDeleted val="0"/>
    <c:plotArea>
      <c:barChart>
        <c:barDir val="col"/>
        <c:grouping val="clustered"/>
        <c:varyColors val="0"/>
        <c:ser>
          <c:idx val="0"/>
          <c:order val="0"/>
          <c:tx>
            <c:strRef>
              <c:f>'TX vs IFC'!B4</c:f>
              <c:strCache>
                <c:ptCount val="1"/>
                <c:pt idx="0">
                  <c:v>Our GPA</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'TX vs IFC'!$A$5:$A$20</c:f>
              <c:strCache>
                <c:ptCount val="16"/>
                <c:pt idx="0">
                  <c:v>Fall 2018</c:v>
                </c:pt>
                <c:pt idx="1">
                  <c:v>Spring 2019</c:v>
                </c:pt>
                <c:pt idx="2">
                  <c:v>Fall 2019</c:v>
                </c:pt>
                <c:pt idx="3">
                  <c:v>Spring 2020</c:v>
                </c:pt>
                <c:pt idx="4">
                  <c:v>Fall 2020</c:v>
                </c:pt>
                <c:pt idx="5">
                  <c:v>Spring 2021</c:v>
                </c:pt>
                <c:pt idx="6">
                  <c:v>Fall 2021</c:v>
                </c:pt>
                <c:pt idx="7">
                  <c:v>Spring 2022</c:v>
                </c:pt>
                <c:pt idx="8">
                  <c:v>Fall 2022</c:v>
                </c:pt>
                <c:pt idx="9">
                  <c:v>Spring 2023</c:v>
                </c:pt>
                <c:pt idx="10">
                  <c:v>Fall 2023</c:v>
                </c:pt>
                <c:pt idx="11">
                  <c:v>Spring 2024</c:v>
                </c:pt>
                <c:pt idx="12">
                  <c:v>Fall 2024</c:v>
                </c:pt>
                <c:pt idx="13">
                  <c:v>Spring 2025</c:v>
                </c:pt>
                <c:pt idx="14">
                  <c:v>Fall 2025</c:v>
                </c:pt>
                <c:pt idx="15">
                  <c:v>Spring 2026</c:v>
                </c:pt>
              </c:strCache>
            </c:strRef>
          </c:cat>
          <c:val>
            <c:numRef>
              <c:f>'TX vs IFC'!$B$5:$B$20</c:f>
              <c:numCache>
                <c:formatCode>0.000</c:formatCode>
                <c:ptCount val="16"/>
                <c:pt idx="0">
                  <c:v>2.733</c:v>
                </c:pt>
                <c:pt idx="1">
                  <c:v>2.919</c:v>
                </c:pt>
                <c:pt idx="2">
                  <c:v>2.819</c:v>
                </c:pt>
                <c:pt idx="4">
                  <c:v>2.957</c:v>
                </c:pt>
                <c:pt idx="5">
                  <c:v>3.267</c:v>
                </c:pt>
                <c:pt idx="6">
                  <c:v>3.167</c:v>
                </c:pt>
                <c:pt idx="7">
                  <c:v>3.316</c:v>
                </c:pt>
                <c:pt idx="8">
                  <c:v>3.096</c:v>
                </c:pt>
                <c:pt idx="9">
                  <c:v>3.121</c:v>
                </c:pt>
                <c:pt idx="10">
                  <c:v>2.997</c:v>
                </c:pt>
                <c:pt idx="11">
                  <c:v>3.321</c:v>
                </c:pt>
                <c:pt idx="12">
                  <c:v>3.216</c:v>
                </c:pt>
                <c:pt idx="13">
                  <c:v>3.053</c:v>
                </c:pt>
                <c:pt idx="14">
                  <c:v>3.033</c:v>
                </c:pt>
                <c:pt idx="15">
                  <c:v>3.163</c:v>
                </c:pt>
              </c:numCache>
            </c:numRef>
          </c:val>
        </c:ser>
        <c:ser>
          <c:idx val="1"/>
          <c:order val="1"/>
          <c:tx>
            <c:strRef>
              <c:f>'TX vs IFC'!C4</c:f>
              <c:strCache>
                <c:ptCount val="1"/>
                <c:pt idx="0">
                  <c:v>IFC avg (member wtd)</c:v>
                </c:pt>
              </c:strCache>
            </c:strRef>
          </c:tx>
          <c:spPr>
            <a:solidFill>
              <a:srgbClr val="c0504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'TX vs IFC'!$A$5:$A$20</c:f>
              <c:strCache>
                <c:ptCount val="16"/>
                <c:pt idx="0">
                  <c:v>Fall 2018</c:v>
                </c:pt>
                <c:pt idx="1">
                  <c:v>Spring 2019</c:v>
                </c:pt>
                <c:pt idx="2">
                  <c:v>Fall 2019</c:v>
                </c:pt>
                <c:pt idx="3">
                  <c:v>Spring 2020</c:v>
                </c:pt>
                <c:pt idx="4">
                  <c:v>Fall 2020</c:v>
                </c:pt>
                <c:pt idx="5">
                  <c:v>Spring 2021</c:v>
                </c:pt>
                <c:pt idx="6">
                  <c:v>Fall 2021</c:v>
                </c:pt>
                <c:pt idx="7">
                  <c:v>Spring 2022</c:v>
                </c:pt>
                <c:pt idx="8">
                  <c:v>Fall 2022</c:v>
                </c:pt>
                <c:pt idx="9">
                  <c:v>Spring 2023</c:v>
                </c:pt>
                <c:pt idx="10">
                  <c:v>Fall 2023</c:v>
                </c:pt>
                <c:pt idx="11">
                  <c:v>Spring 2024</c:v>
                </c:pt>
                <c:pt idx="12">
                  <c:v>Fall 2024</c:v>
                </c:pt>
                <c:pt idx="13">
                  <c:v>Spring 2025</c:v>
                </c:pt>
                <c:pt idx="14">
                  <c:v>Fall 2025</c:v>
                </c:pt>
                <c:pt idx="15">
                  <c:v>Spring 2026</c:v>
                </c:pt>
              </c:strCache>
            </c:strRef>
          </c:cat>
          <c:val>
            <c:numRef>
              <c:f>'TX vs IFC'!$C$5:$C$20</c:f>
              <c:numCache>
                <c:formatCode>0.000</c:formatCode>
                <c:ptCount val="16"/>
                <c:pt idx="0">
                  <c:v>3.15677818403413</c:v>
                </c:pt>
                <c:pt idx="1">
                  <c:v>3.16699122257053</c:v>
                </c:pt>
                <c:pt idx="2">
                  <c:v>3.14305103092784</c:v>
                </c:pt>
                <c:pt idx="4">
                  <c:v>3.19990453074434</c:v>
                </c:pt>
                <c:pt idx="5">
                  <c:v>3.31592729306488</c:v>
                </c:pt>
                <c:pt idx="6">
                  <c:v>3.22402217168846</c:v>
                </c:pt>
                <c:pt idx="7">
                  <c:v>3.30631563593932</c:v>
                </c:pt>
                <c:pt idx="8">
                  <c:v>3.28022558922559</c:v>
                </c:pt>
                <c:pt idx="9">
                  <c:v>3.35490017720024</c:v>
                </c:pt>
                <c:pt idx="10">
                  <c:v>3.28167533185841</c:v>
                </c:pt>
                <c:pt idx="11">
                  <c:v>3.34171063104036</c:v>
                </c:pt>
                <c:pt idx="12">
                  <c:v>3.36210368421053</c:v>
                </c:pt>
                <c:pt idx="13">
                  <c:v>3.37415409139214</c:v>
                </c:pt>
                <c:pt idx="14">
                  <c:v>3.32755353535354</c:v>
                </c:pt>
                <c:pt idx="15">
                  <c:v>3.39197551252847</c:v>
                </c:pt>
              </c:numCache>
            </c:numRef>
          </c:val>
        </c:ser>
        <c:gapWidth val="150"/>
        <c:overlap val="0"/>
        <c:axId val="4837604"/>
        <c:axId val="47634721"/>
      </c:barChart>
      <c:catAx>
        <c:axId val="4837604"/>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7634721"/>
        <c:crosses val="autoZero"/>
        <c:auto val="1"/>
        <c:lblAlgn val="ctr"/>
        <c:lblOffset val="100"/>
        <c:noMultiLvlLbl val="0"/>
      </c:catAx>
      <c:valAx>
        <c:axId val="47634721"/>
        <c:scaling>
          <c:orientation val="minMax"/>
          <c:max val="3.6"/>
          <c:min val="2.6"/>
        </c:scaling>
        <c:delete val="0"/>
        <c:axPos val="l"/>
        <c:majorGridlines>
          <c:spPr>
            <a:ln w="9360">
              <a:solidFill>
                <a:srgbClr val="878787"/>
              </a:solidFill>
              <a:round/>
            </a:ln>
          </c:spPr>
        </c:majorGridlines>
        <c:numFmt formatCode="0.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837604"/>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Recruitment indexes by year (100 = benchmark)</a:t>
            </a:r>
          </a:p>
        </c:rich>
      </c:tx>
      <c:overlay val="0"/>
      <c:spPr>
        <a:noFill/>
        <a:ln w="0">
          <a:noFill/>
        </a:ln>
      </c:spPr>
    </c:title>
    <c:autoTitleDeleted val="0"/>
    <c:plotArea>
      <c:barChart>
        <c:barDir val="col"/>
        <c:grouping val="clustered"/>
        <c:varyColors val="0"/>
        <c:ser>
          <c:idx val="0"/>
          <c:order val="0"/>
          <c:tx>
            <c:strRef>
              <c:f>'Recruitment Index'!D4</c:f>
              <c:strCache>
                <c:ptCount val="1"/>
                <c:pt idx="0">
                  <c:v>Recruiting index</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'Recruitment Index'!$A$5:$A$11</c:f>
              <c:strCache>
                <c:ptCount val="7"/>
                <c:pt idx="0">
                  <c:v>2019</c:v>
                </c:pt>
                <c:pt idx="1">
                  <c:v>2020</c:v>
                </c:pt>
                <c:pt idx="2">
                  <c:v>2021</c:v>
                </c:pt>
                <c:pt idx="3">
                  <c:v>2022</c:v>
                </c:pt>
                <c:pt idx="4">
                  <c:v>2023</c:v>
                </c:pt>
                <c:pt idx="5">
                  <c:v>2024</c:v>
                </c:pt>
                <c:pt idx="6">
                  <c:v>2025</c:v>
                </c:pt>
              </c:strCache>
            </c:strRef>
          </c:cat>
          <c:val>
            <c:numRef>
              <c:f>'Recruitment Index'!$D$5:$D$11</c:f>
              <c:numCache>
                <c:formatCode>0</c:formatCode>
                <c:ptCount val="7"/>
                <c:pt idx="0">
                  <c:v>143.338954468803</c:v>
                </c:pt>
                <c:pt idx="2">
                  <c:v>98.5781990521327</c:v>
                </c:pt>
                <c:pt idx="5">
                  <c:v>67.8122123350721</c:v>
                </c:pt>
                <c:pt idx="6">
                  <c:v>55.9040934219517</c:v>
                </c:pt>
              </c:numCache>
            </c:numRef>
          </c:val>
        </c:ser>
        <c:ser>
          <c:idx val="1"/>
          <c:order val="1"/>
          <c:tx>
            <c:strRef>
              <c:f>'Recruitment Index'!E4</c:f>
              <c:strCache>
                <c:ptCount val="1"/>
                <c:pt idx="0">
                  <c:v>Size-adjusted recruiting index</c:v>
                </c:pt>
              </c:strCache>
            </c:strRef>
          </c:tx>
          <c:spPr>
            <a:solidFill>
              <a:srgbClr val="c0504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'Recruitment Index'!$A$5:$A$11</c:f>
              <c:strCache>
                <c:ptCount val="7"/>
                <c:pt idx="0">
                  <c:v>2019</c:v>
                </c:pt>
                <c:pt idx="1">
                  <c:v>2020</c:v>
                </c:pt>
                <c:pt idx="2">
                  <c:v>2021</c:v>
                </c:pt>
                <c:pt idx="3">
                  <c:v>2022</c:v>
                </c:pt>
                <c:pt idx="4">
                  <c:v>2023</c:v>
                </c:pt>
                <c:pt idx="5">
                  <c:v>2024</c:v>
                </c:pt>
                <c:pt idx="6">
                  <c:v>2025</c:v>
                </c:pt>
              </c:strCache>
            </c:strRef>
          </c:cat>
          <c:val>
            <c:numRef>
              <c:f>'Recruitment Index'!$E$5:$E$11</c:f>
              <c:numCache>
                <c:formatCode>0</c:formatCode>
                <c:ptCount val="7"/>
                <c:pt idx="0">
                  <c:v>141.717043434087</c:v>
                </c:pt>
                <c:pt idx="2">
                  <c:v>94.1679235796883</c:v>
                </c:pt>
                <c:pt idx="5">
                  <c:v>79.0534979423868</c:v>
                </c:pt>
                <c:pt idx="6">
                  <c:v>89.3393393393394</c:v>
                </c:pt>
              </c:numCache>
            </c:numRef>
          </c:val>
        </c:ser>
        <c:ser>
          <c:idx val="2"/>
          <c:order val="2"/>
          <c:tx>
            <c:strRef>
              <c:f>'Recruitment Index'!F4</c:f>
              <c:strCache>
                <c:ptCount val="1"/>
                <c:pt idx="0">
                  <c:v>Replacement index</c:v>
                </c:pt>
              </c:strCache>
            </c:strRef>
          </c:tx>
          <c:spPr>
            <a:solidFill>
              <a:srgbClr val="9bbb59"/>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'Recruitment Index'!$A$5:$A$11</c:f>
              <c:strCache>
                <c:ptCount val="7"/>
                <c:pt idx="0">
                  <c:v>2019</c:v>
                </c:pt>
                <c:pt idx="1">
                  <c:v>2020</c:v>
                </c:pt>
                <c:pt idx="2">
                  <c:v>2021</c:v>
                </c:pt>
                <c:pt idx="3">
                  <c:v>2022</c:v>
                </c:pt>
                <c:pt idx="4">
                  <c:v>2023</c:v>
                </c:pt>
                <c:pt idx="5">
                  <c:v>2024</c:v>
                </c:pt>
                <c:pt idx="6">
                  <c:v>2025</c:v>
                </c:pt>
              </c:strCache>
            </c:strRef>
          </c:cat>
          <c:val>
            <c:numRef>
              <c:f>'Recruitment Index'!$F$5:$F$11</c:f>
              <c:numCache>
                <c:formatCode>0</c:formatCode>
                <c:ptCount val="7"/>
                <c:pt idx="0">
                  <c:v>340</c:v>
                </c:pt>
                <c:pt idx="2">
                  <c:v>85.7142857142857</c:v>
                </c:pt>
                <c:pt idx="5">
                  <c:v>58.6206896551724</c:v>
                </c:pt>
                <c:pt idx="6">
                  <c:v>78.9473684210526</c:v>
                </c:pt>
              </c:numCache>
            </c:numRef>
          </c:val>
        </c:ser>
        <c:gapWidth val="150"/>
        <c:overlap val="0"/>
        <c:axId val="70785132"/>
        <c:axId val="52565166"/>
      </c:barChart>
      <c:catAx>
        <c:axId val="70785132"/>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2565166"/>
        <c:crosses val="autoZero"/>
        <c:auto val="1"/>
        <c:lblAlgn val="ctr"/>
        <c:lblOffset val="100"/>
        <c:noMultiLvlLbl val="0"/>
      </c:catAx>
      <c:valAx>
        <c:axId val="52565166"/>
        <c:scaling>
          <c:orientation val="minMax"/>
        </c:scaling>
        <c:delete val="0"/>
        <c:axPos val="l"/>
        <c:majorGridlines>
          <c:spPr>
            <a:ln w="9360">
              <a:solidFill>
                <a:srgbClr val="878787"/>
              </a:solidFill>
              <a:round/>
            </a:ln>
          </c:spPr>
        </c:majorGridlines>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0785132"/>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Our GPA minus the Greek men GPA, since 2010</a:t>
            </a:r>
          </a:p>
        </c:rich>
      </c:tx>
      <c:overlay val="0"/>
      <c:spPr>
        <a:noFill/>
        <a:ln w="0">
          <a:noFill/>
        </a:ln>
      </c:spPr>
    </c:title>
    <c:autoTitleDeleted val="0"/>
    <c:plotArea>
      <c:barChart>
        <c:barDir val="col"/>
        <c:grouping val="clustered"/>
        <c:varyColors val="0"/>
        <c:ser>
          <c:idx val="0"/>
          <c:order val="0"/>
          <c:tx>
            <c:strRef>
              <c:f>'TX History'!E4</c:f>
              <c:strCache>
                <c:ptCount val="1"/>
                <c:pt idx="0">
                  <c:v>Gap vs Greek men</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'TX History'!$A$5:$A$36</c:f>
              <c:strCache>
                <c:ptCount val="32"/>
                <c:pt idx="0">
                  <c:v>Fall 2010</c:v>
                </c:pt>
                <c:pt idx="1">
                  <c:v>Spring 2011</c:v>
                </c:pt>
                <c:pt idx="2">
                  <c:v>Fall 2011</c:v>
                </c:pt>
                <c:pt idx="3">
                  <c:v>Spring 2012</c:v>
                </c:pt>
                <c:pt idx="4">
                  <c:v>Fall 2012</c:v>
                </c:pt>
                <c:pt idx="5">
                  <c:v>Spring 2013</c:v>
                </c:pt>
                <c:pt idx="6">
                  <c:v>Fall 2013</c:v>
                </c:pt>
                <c:pt idx="7">
                  <c:v>Spring 2014</c:v>
                </c:pt>
                <c:pt idx="8">
                  <c:v>Fall 2014</c:v>
                </c:pt>
                <c:pt idx="9">
                  <c:v>Spring 2015</c:v>
                </c:pt>
                <c:pt idx="10">
                  <c:v>Fall 2015</c:v>
                </c:pt>
                <c:pt idx="11">
                  <c:v>Spring 2016</c:v>
                </c:pt>
                <c:pt idx="12">
                  <c:v>Fall 2016</c:v>
                </c:pt>
                <c:pt idx="13">
                  <c:v>Spring 2017</c:v>
                </c:pt>
                <c:pt idx="14">
                  <c:v>Fall 2017</c:v>
                </c:pt>
                <c:pt idx="15">
                  <c:v>Spring 2018</c:v>
                </c:pt>
                <c:pt idx="16">
                  <c:v>Fall 2018</c:v>
                </c:pt>
                <c:pt idx="17">
                  <c:v>Spring 2019</c:v>
                </c:pt>
                <c:pt idx="18">
                  <c:v>Fall 2019</c:v>
                </c:pt>
                <c:pt idx="19">
                  <c:v>Spring 2020</c:v>
                </c:pt>
                <c:pt idx="20">
                  <c:v>Fall 2020</c:v>
                </c:pt>
                <c:pt idx="21">
                  <c:v>Spring 2021</c:v>
                </c:pt>
                <c:pt idx="22">
                  <c:v>Fall 2021</c:v>
                </c:pt>
                <c:pt idx="23">
                  <c:v>Spring 2022</c:v>
                </c:pt>
                <c:pt idx="24">
                  <c:v>Fall 2022</c:v>
                </c:pt>
                <c:pt idx="25">
                  <c:v>Spring 2023</c:v>
                </c:pt>
                <c:pt idx="26">
                  <c:v>Fall 2023</c:v>
                </c:pt>
                <c:pt idx="27">
                  <c:v>Spring 2024</c:v>
                </c:pt>
                <c:pt idx="28">
                  <c:v>Fall 2024</c:v>
                </c:pt>
                <c:pt idx="29">
                  <c:v>Spring 2025</c:v>
                </c:pt>
                <c:pt idx="30">
                  <c:v>Fall 2025</c:v>
                </c:pt>
                <c:pt idx="31">
                  <c:v>Spring 2026</c:v>
                </c:pt>
              </c:strCache>
            </c:strRef>
          </c:cat>
          <c:val>
            <c:numRef>
              <c:f>'TX History'!$E$5:$E$36</c:f>
              <c:numCache>
                <c:formatCode>\+0.000;\-0.000;0.000</c:formatCode>
                <c:ptCount val="32"/>
                <c:pt idx="0">
                  <c:v>-0.227</c:v>
                </c:pt>
                <c:pt idx="1">
                  <c:v>-0.256</c:v>
                </c:pt>
                <c:pt idx="2">
                  <c:v>-0.421</c:v>
                </c:pt>
                <c:pt idx="3">
                  <c:v>-0.177</c:v>
                </c:pt>
                <c:pt idx="4">
                  <c:v>-0.297</c:v>
                </c:pt>
                <c:pt idx="5">
                  <c:v>-0.383</c:v>
                </c:pt>
                <c:pt idx="6">
                  <c:v>-0.375</c:v>
                </c:pt>
                <c:pt idx="7">
                  <c:v>0.02</c:v>
                </c:pt>
                <c:pt idx="8">
                  <c:v>-0.275</c:v>
                </c:pt>
                <c:pt idx="9">
                  <c:v>-0.108</c:v>
                </c:pt>
                <c:pt idx="10">
                  <c:v>-0.627</c:v>
                </c:pt>
                <c:pt idx="11">
                  <c:v>-0.258</c:v>
                </c:pt>
                <c:pt idx="12">
                  <c:v>-0.43</c:v>
                </c:pt>
                <c:pt idx="13">
                  <c:v>-0.164</c:v>
                </c:pt>
                <c:pt idx="14">
                  <c:v>-0.0779999999999999</c:v>
                </c:pt>
                <c:pt idx="15">
                  <c:v>-0.234</c:v>
                </c:pt>
                <c:pt idx="16">
                  <c:v>-0.416</c:v>
                </c:pt>
                <c:pt idx="17">
                  <c:v>-0.235</c:v>
                </c:pt>
                <c:pt idx="18">
                  <c:v>-0.314</c:v>
                </c:pt>
                <c:pt idx="20">
                  <c:v>-0.256</c:v>
                </c:pt>
                <c:pt idx="21">
                  <c:v>-0.04</c:v>
                </c:pt>
                <c:pt idx="22">
                  <c:v>-0.0540000000000003</c:v>
                </c:pt>
                <c:pt idx="23">
                  <c:v>0.0259999999999998</c:v>
                </c:pt>
                <c:pt idx="24">
                  <c:v>-0.169</c:v>
                </c:pt>
                <c:pt idx="25">
                  <c:v>-0.216</c:v>
                </c:pt>
                <c:pt idx="26">
                  <c:v>-0.26</c:v>
                </c:pt>
                <c:pt idx="27">
                  <c:v>-0.00699999999999967</c:v>
                </c:pt>
                <c:pt idx="28">
                  <c:v>-0.134</c:v>
                </c:pt>
                <c:pt idx="29">
                  <c:v>-0.314</c:v>
                </c:pt>
                <c:pt idx="30">
                  <c:v>-0.283</c:v>
                </c:pt>
                <c:pt idx="31">
                  <c:v>-0.221</c:v>
                </c:pt>
              </c:numCache>
            </c:numRef>
          </c:val>
        </c:ser>
        <c:gapWidth val="150"/>
        <c:overlap val="0"/>
        <c:axId val="28852894"/>
        <c:axId val="70223802"/>
      </c:barChart>
      <c:catAx>
        <c:axId val="28852894"/>
        <c:scaling>
          <c:orientation val="minMax"/>
        </c:scaling>
        <c:delete val="0"/>
        <c:axPos val="b"/>
        <c:numFmt formatCode="General" sourceLinked="1"/>
        <c:majorTickMark val="none"/>
        <c:minorTickMark val="none"/>
        <c:tickLblPos val="low"/>
        <c:spPr>
          <a:ln w="9360">
            <a:solidFill>
              <a:srgbClr val="878787"/>
            </a:solidFill>
            <a:round/>
          </a:ln>
        </c:spPr>
        <c:txPr>
          <a:bodyPr/>
          <a:lstStyle/>
          <a:p>
            <a:pPr>
              <a:defRPr b="0" sz="1000" spc="-1" strike="noStrike">
                <a:solidFill>
                  <a:srgbClr val="000000"/>
                </a:solidFill>
                <a:latin typeface="Calibri"/>
              </a:defRPr>
            </a:pPr>
          </a:p>
        </c:txPr>
        <c:crossAx val="70223802"/>
        <c:crosses val="autoZero"/>
        <c:auto val="1"/>
        <c:lblAlgn val="ctr"/>
        <c:lblOffset val="100"/>
        <c:noMultiLvlLbl val="0"/>
      </c:catAx>
      <c:valAx>
        <c:axId val="70223802"/>
        <c:scaling>
          <c:orientation val="minMax"/>
        </c:scaling>
        <c:delete val="0"/>
        <c:axPos val="l"/>
        <c:majorGridlines>
          <c:spPr>
            <a:ln w="9360">
              <a:solidFill>
                <a:srgbClr val="878787"/>
              </a:solidFill>
              <a:round/>
            </a:ln>
          </c:spPr>
        </c:majorGridlines>
        <c:numFmt formatCode="\+0.00;\-0.00;0.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8852894"/>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Our members and new members since 2010</a:t>
            </a:r>
          </a:p>
        </c:rich>
      </c:tx>
      <c:overlay val="0"/>
      <c:spPr>
        <a:noFill/>
        <a:ln w="0">
          <a:noFill/>
        </a:ln>
      </c:spPr>
    </c:title>
    <c:autoTitleDeleted val="0"/>
    <c:plotArea>
      <c:barChart>
        <c:barDir val="col"/>
        <c:grouping val="clustered"/>
        <c:varyColors val="0"/>
        <c:ser>
          <c:idx val="0"/>
          <c:order val="0"/>
          <c:tx>
            <c:strRef>
              <c:f>'TX History'!G4</c:f>
              <c:strCache>
                <c:ptCount val="1"/>
                <c:pt idx="0">
                  <c:v>Our members</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'TX History'!$A$5:$A$36</c:f>
              <c:strCache>
                <c:ptCount val="32"/>
                <c:pt idx="0">
                  <c:v>Fall 2010</c:v>
                </c:pt>
                <c:pt idx="1">
                  <c:v>Spring 2011</c:v>
                </c:pt>
                <c:pt idx="2">
                  <c:v>Fall 2011</c:v>
                </c:pt>
                <c:pt idx="3">
                  <c:v>Spring 2012</c:v>
                </c:pt>
                <c:pt idx="4">
                  <c:v>Fall 2012</c:v>
                </c:pt>
                <c:pt idx="5">
                  <c:v>Spring 2013</c:v>
                </c:pt>
                <c:pt idx="6">
                  <c:v>Fall 2013</c:v>
                </c:pt>
                <c:pt idx="7">
                  <c:v>Spring 2014</c:v>
                </c:pt>
                <c:pt idx="8">
                  <c:v>Fall 2014</c:v>
                </c:pt>
                <c:pt idx="9">
                  <c:v>Spring 2015</c:v>
                </c:pt>
                <c:pt idx="10">
                  <c:v>Fall 2015</c:v>
                </c:pt>
                <c:pt idx="11">
                  <c:v>Spring 2016</c:v>
                </c:pt>
                <c:pt idx="12">
                  <c:v>Fall 2016</c:v>
                </c:pt>
                <c:pt idx="13">
                  <c:v>Spring 2017</c:v>
                </c:pt>
                <c:pt idx="14">
                  <c:v>Fall 2017</c:v>
                </c:pt>
                <c:pt idx="15">
                  <c:v>Spring 2018</c:v>
                </c:pt>
                <c:pt idx="16">
                  <c:v>Fall 2018</c:v>
                </c:pt>
                <c:pt idx="17">
                  <c:v>Spring 2019</c:v>
                </c:pt>
                <c:pt idx="18">
                  <c:v>Fall 2019</c:v>
                </c:pt>
                <c:pt idx="19">
                  <c:v>Spring 2020</c:v>
                </c:pt>
                <c:pt idx="20">
                  <c:v>Fall 2020</c:v>
                </c:pt>
                <c:pt idx="21">
                  <c:v>Spring 2021</c:v>
                </c:pt>
                <c:pt idx="22">
                  <c:v>Fall 2021</c:v>
                </c:pt>
                <c:pt idx="23">
                  <c:v>Spring 2022</c:v>
                </c:pt>
                <c:pt idx="24">
                  <c:v>Fall 2022</c:v>
                </c:pt>
                <c:pt idx="25">
                  <c:v>Spring 2023</c:v>
                </c:pt>
                <c:pt idx="26">
                  <c:v>Fall 2023</c:v>
                </c:pt>
                <c:pt idx="27">
                  <c:v>Spring 2024</c:v>
                </c:pt>
                <c:pt idx="28">
                  <c:v>Fall 2024</c:v>
                </c:pt>
                <c:pt idx="29">
                  <c:v>Spring 2025</c:v>
                </c:pt>
                <c:pt idx="30">
                  <c:v>Fall 2025</c:v>
                </c:pt>
                <c:pt idx="31">
                  <c:v>Spring 2026</c:v>
                </c:pt>
              </c:strCache>
            </c:strRef>
          </c:cat>
          <c:val>
            <c:numRef>
              <c:f>'TX History'!$G$5:$G$36</c:f>
              <c:numCache>
                <c:formatCode>0</c:formatCode>
                <c:ptCount val="32"/>
                <c:pt idx="0">
                  <c:v>40</c:v>
                </c:pt>
                <c:pt idx="1">
                  <c:v>32</c:v>
                </c:pt>
                <c:pt idx="2">
                  <c:v>37</c:v>
                </c:pt>
                <c:pt idx="3">
                  <c:v>32</c:v>
                </c:pt>
                <c:pt idx="4">
                  <c:v>36</c:v>
                </c:pt>
                <c:pt idx="5">
                  <c:v>27</c:v>
                </c:pt>
                <c:pt idx="6">
                  <c:v>29</c:v>
                </c:pt>
                <c:pt idx="7">
                  <c:v>23</c:v>
                </c:pt>
                <c:pt idx="8">
                  <c:v>24</c:v>
                </c:pt>
                <c:pt idx="9">
                  <c:v>23</c:v>
                </c:pt>
                <c:pt idx="10">
                  <c:v>34</c:v>
                </c:pt>
                <c:pt idx="11">
                  <c:v>33</c:v>
                </c:pt>
                <c:pt idx="12">
                  <c:v>38</c:v>
                </c:pt>
                <c:pt idx="13">
                  <c:v>42</c:v>
                </c:pt>
                <c:pt idx="14">
                  <c:v>43</c:v>
                </c:pt>
                <c:pt idx="15">
                  <c:v>48</c:v>
                </c:pt>
                <c:pt idx="16">
                  <c:v>62</c:v>
                </c:pt>
                <c:pt idx="17">
                  <c:v>64</c:v>
                </c:pt>
                <c:pt idx="18">
                  <c:v>86</c:v>
                </c:pt>
                <c:pt idx="19">
                  <c:v>73</c:v>
                </c:pt>
                <c:pt idx="20">
                  <c:v>78</c:v>
                </c:pt>
                <c:pt idx="21">
                  <c:v>74</c:v>
                </c:pt>
                <c:pt idx="22">
                  <c:v>74</c:v>
                </c:pt>
                <c:pt idx="23">
                  <c:v>68</c:v>
                </c:pt>
                <c:pt idx="24">
                  <c:v>71</c:v>
                </c:pt>
                <c:pt idx="25">
                  <c:v>71</c:v>
                </c:pt>
                <c:pt idx="26">
                  <c:v>60</c:v>
                </c:pt>
                <c:pt idx="27">
                  <c:v>48</c:v>
                </c:pt>
                <c:pt idx="28">
                  <c:v>48</c:v>
                </c:pt>
                <c:pt idx="29">
                  <c:v>48</c:v>
                </c:pt>
                <c:pt idx="30">
                  <c:v>44</c:v>
                </c:pt>
                <c:pt idx="31">
                  <c:v>43</c:v>
                </c:pt>
              </c:numCache>
            </c:numRef>
          </c:val>
        </c:ser>
        <c:ser>
          <c:idx val="1"/>
          <c:order val="1"/>
          <c:tx>
            <c:strRef>
              <c:f>'TX History'!H4</c:f>
              <c:strCache>
                <c:ptCount val="1"/>
                <c:pt idx="0">
                  <c:v>Our new members</c:v>
                </c:pt>
              </c:strCache>
            </c:strRef>
          </c:tx>
          <c:spPr>
            <a:solidFill>
              <a:srgbClr val="c0504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'TX History'!$A$5:$A$36</c:f>
              <c:strCache>
                <c:ptCount val="32"/>
                <c:pt idx="0">
                  <c:v>Fall 2010</c:v>
                </c:pt>
                <c:pt idx="1">
                  <c:v>Spring 2011</c:v>
                </c:pt>
                <c:pt idx="2">
                  <c:v>Fall 2011</c:v>
                </c:pt>
                <c:pt idx="3">
                  <c:v>Spring 2012</c:v>
                </c:pt>
                <c:pt idx="4">
                  <c:v>Fall 2012</c:v>
                </c:pt>
                <c:pt idx="5">
                  <c:v>Spring 2013</c:v>
                </c:pt>
                <c:pt idx="6">
                  <c:v>Fall 2013</c:v>
                </c:pt>
                <c:pt idx="7">
                  <c:v>Spring 2014</c:v>
                </c:pt>
                <c:pt idx="8">
                  <c:v>Fall 2014</c:v>
                </c:pt>
                <c:pt idx="9">
                  <c:v>Spring 2015</c:v>
                </c:pt>
                <c:pt idx="10">
                  <c:v>Fall 2015</c:v>
                </c:pt>
                <c:pt idx="11">
                  <c:v>Spring 2016</c:v>
                </c:pt>
                <c:pt idx="12">
                  <c:v>Fall 2016</c:v>
                </c:pt>
                <c:pt idx="13">
                  <c:v>Spring 2017</c:v>
                </c:pt>
                <c:pt idx="14">
                  <c:v>Fall 2017</c:v>
                </c:pt>
                <c:pt idx="15">
                  <c:v>Spring 2018</c:v>
                </c:pt>
                <c:pt idx="16">
                  <c:v>Fall 2018</c:v>
                </c:pt>
                <c:pt idx="17">
                  <c:v>Spring 2019</c:v>
                </c:pt>
                <c:pt idx="18">
                  <c:v>Fall 2019</c:v>
                </c:pt>
                <c:pt idx="19">
                  <c:v>Spring 2020</c:v>
                </c:pt>
                <c:pt idx="20">
                  <c:v>Fall 2020</c:v>
                </c:pt>
                <c:pt idx="21">
                  <c:v>Spring 2021</c:v>
                </c:pt>
                <c:pt idx="22">
                  <c:v>Fall 2021</c:v>
                </c:pt>
                <c:pt idx="23">
                  <c:v>Spring 2022</c:v>
                </c:pt>
                <c:pt idx="24">
                  <c:v>Fall 2022</c:v>
                </c:pt>
                <c:pt idx="25">
                  <c:v>Spring 2023</c:v>
                </c:pt>
                <c:pt idx="26">
                  <c:v>Fall 2023</c:v>
                </c:pt>
                <c:pt idx="27">
                  <c:v>Spring 2024</c:v>
                </c:pt>
                <c:pt idx="28">
                  <c:v>Fall 2024</c:v>
                </c:pt>
                <c:pt idx="29">
                  <c:v>Spring 2025</c:v>
                </c:pt>
                <c:pt idx="30">
                  <c:v>Fall 2025</c:v>
                </c:pt>
                <c:pt idx="31">
                  <c:v>Spring 2026</c:v>
                </c:pt>
              </c:strCache>
            </c:strRef>
          </c:cat>
          <c:val>
            <c:numRef>
              <c:f>'TX History'!$H$5:$H$36</c:f>
              <c:numCache>
                <c:formatCode>0</c:formatCode>
                <c:ptCount val="32"/>
                <c:pt idx="0">
                  <c:v>18</c:v>
                </c:pt>
                <c:pt idx="1">
                  <c:v>1</c:v>
                </c:pt>
                <c:pt idx="2">
                  <c:v>14</c:v>
                </c:pt>
                <c:pt idx="3">
                  <c:v>0</c:v>
                </c:pt>
                <c:pt idx="4">
                  <c:v>7</c:v>
                </c:pt>
                <c:pt idx="5">
                  <c:v>2</c:v>
                </c:pt>
                <c:pt idx="6">
                  <c:v>10</c:v>
                </c:pt>
                <c:pt idx="7">
                  <c:v>0</c:v>
                </c:pt>
                <c:pt idx="8">
                  <c:v>6</c:v>
                </c:pt>
                <c:pt idx="9">
                  <c:v>4</c:v>
                </c:pt>
                <c:pt idx="10">
                  <c:v>14</c:v>
                </c:pt>
                <c:pt idx="11">
                  <c:v>2</c:v>
                </c:pt>
                <c:pt idx="12">
                  <c:v>12</c:v>
                </c:pt>
                <c:pt idx="13">
                  <c:v>5</c:v>
                </c:pt>
                <c:pt idx="14">
                  <c:v>10</c:v>
                </c:pt>
                <c:pt idx="15">
                  <c:v>1</c:v>
                </c:pt>
                <c:pt idx="16">
                  <c:v>22</c:v>
                </c:pt>
                <c:pt idx="17">
                  <c:v>9</c:v>
                </c:pt>
                <c:pt idx="18">
                  <c:v>25</c:v>
                </c:pt>
                <c:pt idx="20">
                  <c:v>28</c:v>
                </c:pt>
                <c:pt idx="21">
                  <c:v>10</c:v>
                </c:pt>
                <c:pt idx="22">
                  <c:v>14</c:v>
                </c:pt>
                <c:pt idx="24">
                  <c:v>17</c:v>
                </c:pt>
                <c:pt idx="25">
                  <c:v>6</c:v>
                </c:pt>
                <c:pt idx="27">
                  <c:v>5</c:v>
                </c:pt>
                <c:pt idx="28">
                  <c:v>12</c:v>
                </c:pt>
                <c:pt idx="29">
                  <c:v>3</c:v>
                </c:pt>
                <c:pt idx="30">
                  <c:v>12</c:v>
                </c:pt>
                <c:pt idx="31">
                  <c:v>6</c:v>
                </c:pt>
              </c:numCache>
            </c:numRef>
          </c:val>
        </c:ser>
        <c:gapWidth val="150"/>
        <c:overlap val="0"/>
        <c:axId val="85444345"/>
        <c:axId val="35674653"/>
      </c:barChart>
      <c:catAx>
        <c:axId val="85444345"/>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5674653"/>
        <c:crosses val="autoZero"/>
        <c:auto val="1"/>
        <c:lblAlgn val="ctr"/>
        <c:lblOffset val="100"/>
        <c:noMultiLvlLbl val="0"/>
      </c:catAx>
      <c:valAx>
        <c:axId val="35674653"/>
        <c:scaling>
          <c:orientation val="minMax"/>
        </c:scaling>
        <c:delete val="0"/>
        <c:axPos val="l"/>
        <c:majorGridlines>
          <c:spPr>
            <a:ln w="9360">
              <a:solidFill>
                <a:srgbClr val="878787"/>
              </a:solidFill>
              <a:round/>
            </a:ln>
          </c:spPr>
        </c:majorGridlines>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5444345"/>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
</Relationships>
</file>

<file path=xl/drawings/_rels/drawing2.xml.rels><?xml version="1.0" encoding="UTF-8"?>
<Relationships xmlns="http://schemas.openxmlformats.org/package/2006/relationships"><Relationship Id="rId1" Type="http://schemas.openxmlformats.org/officeDocument/2006/relationships/chart" Target="../charts/chart5.xml"/>
</Relationships>
</file>

<file path=xl/drawings/_rels/drawing3.xml.rels><?xml version="1.0" encoding="UTF-8"?>
<Relationships xmlns="http://schemas.openxmlformats.org/package/2006/relationships"><Relationship Id="rId1" Type="http://schemas.openxmlformats.org/officeDocument/2006/relationships/chart" Target="../charts/chart6.xml"/><Relationship Id="rId2" Type="http://schemas.openxmlformats.org/officeDocument/2006/relationships/chart" Target="../charts/chart7.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25</xdr:row>
      <xdr:rowOff>160560</xdr:rowOff>
    </xdr:from>
    <xdr:to>
      <xdr:col>8</xdr:col>
      <xdr:colOff>434520</xdr:colOff>
      <xdr:row>40</xdr:row>
      <xdr:rowOff>182520</xdr:rowOff>
    </xdr:to>
    <xdr:graphicFrame>
      <xdr:nvGraphicFramePr>
        <xdr:cNvPr id="0" name="Chart 1"/>
        <xdr:cNvGraphicFramePr/>
      </xdr:nvGraphicFramePr>
      <xdr:xfrm>
        <a:off x="0" y="5495760"/>
        <a:ext cx="647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0</xdr:colOff>
      <xdr:row>25</xdr:row>
      <xdr:rowOff>160560</xdr:rowOff>
    </xdr:from>
    <xdr:to>
      <xdr:col>19</xdr:col>
      <xdr:colOff>523080</xdr:colOff>
      <xdr:row>40</xdr:row>
      <xdr:rowOff>182520</xdr:rowOff>
    </xdr:to>
    <xdr:graphicFrame>
      <xdr:nvGraphicFramePr>
        <xdr:cNvPr id="1" name="Chart 2"/>
        <xdr:cNvGraphicFramePr/>
      </xdr:nvGraphicFramePr>
      <xdr:xfrm>
        <a:off x="7645320" y="5495760"/>
        <a:ext cx="6479640" cy="287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42</xdr:row>
      <xdr:rowOff>160560</xdr:rowOff>
    </xdr:from>
    <xdr:to>
      <xdr:col>8</xdr:col>
      <xdr:colOff>434520</xdr:colOff>
      <xdr:row>57</xdr:row>
      <xdr:rowOff>182520</xdr:rowOff>
    </xdr:to>
    <xdr:graphicFrame>
      <xdr:nvGraphicFramePr>
        <xdr:cNvPr id="2" name="Chart 3"/>
        <xdr:cNvGraphicFramePr/>
      </xdr:nvGraphicFramePr>
      <xdr:xfrm>
        <a:off x="0" y="8734320"/>
        <a:ext cx="6479640" cy="287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11</xdr:col>
      <xdr:colOff>0</xdr:colOff>
      <xdr:row>42</xdr:row>
      <xdr:rowOff>160560</xdr:rowOff>
    </xdr:from>
    <xdr:to>
      <xdr:col>19</xdr:col>
      <xdr:colOff>523080</xdr:colOff>
      <xdr:row>57</xdr:row>
      <xdr:rowOff>182520</xdr:rowOff>
    </xdr:to>
    <xdr:graphicFrame>
      <xdr:nvGraphicFramePr>
        <xdr:cNvPr id="3" name="Chart 4"/>
        <xdr:cNvGraphicFramePr/>
      </xdr:nvGraphicFramePr>
      <xdr:xfrm>
        <a:off x="7645320" y="8734320"/>
        <a:ext cx="6479640" cy="2879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23</xdr:row>
      <xdr:rowOff>160560</xdr:rowOff>
    </xdr:from>
    <xdr:to>
      <xdr:col>10</xdr:col>
      <xdr:colOff>354240</xdr:colOff>
      <xdr:row>38</xdr:row>
      <xdr:rowOff>182880</xdr:rowOff>
    </xdr:to>
    <xdr:graphicFrame>
      <xdr:nvGraphicFramePr>
        <xdr:cNvPr id="4" name="Chart 1"/>
        <xdr:cNvGraphicFramePr/>
      </xdr:nvGraphicFramePr>
      <xdr:xfrm>
        <a:off x="2755800" y="5114880"/>
        <a:ext cx="719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11</xdr:col>
      <xdr:colOff>0</xdr:colOff>
      <xdr:row>2</xdr:row>
      <xdr:rowOff>160920</xdr:rowOff>
    </xdr:from>
    <xdr:to>
      <xdr:col>20</xdr:col>
      <xdr:colOff>370440</xdr:colOff>
      <xdr:row>15</xdr:row>
      <xdr:rowOff>182880</xdr:rowOff>
    </xdr:to>
    <xdr:graphicFrame>
      <xdr:nvGraphicFramePr>
        <xdr:cNvPr id="5" name="Chart 1"/>
        <xdr:cNvGraphicFramePr/>
      </xdr:nvGraphicFramePr>
      <xdr:xfrm>
        <a:off x="9204480" y="571680"/>
        <a:ext cx="719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0</xdr:colOff>
      <xdr:row>19</xdr:row>
      <xdr:rowOff>160920</xdr:rowOff>
    </xdr:from>
    <xdr:to>
      <xdr:col>20</xdr:col>
      <xdr:colOff>370440</xdr:colOff>
      <xdr:row>34</xdr:row>
      <xdr:rowOff>182880</xdr:rowOff>
    </xdr:to>
    <xdr:graphicFrame>
      <xdr:nvGraphicFramePr>
        <xdr:cNvPr id="6" name="Chart 2"/>
        <xdr:cNvGraphicFramePr/>
      </xdr:nvGraphicFramePr>
      <xdr:xfrm>
        <a:off x="9204480" y="4191120"/>
        <a:ext cx="7199640" cy="287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_rels/sheet9.xml.rels><?xml version="1.0" encoding="UTF-8"?>
<Relationships xmlns="http://schemas.openxmlformats.org/package/2006/relationships"><Relationship Id="rId1" Type="http://schemas.openxmlformats.org/officeDocument/2006/relationships/drawing" Target="../drawings/drawing3.xml"/>
</Relationships>
</file>

<file path=xl/worksheets/_rels/sheet10.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4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4"/>
    <col collapsed="false" customWidth="true" hidden="false" outlineLevel="0" max="2" min="2" style="0" width="110"/>
  </cols>
  <sheetData>
    <row r="1" customFormat="false" ht="17.35" hidden="false" customHeight="false" outlineLevel="0" collapsed="false">
      <c r="A1" s="1" t="s">
        <v>0</v>
      </c>
    </row>
    <row r="3" customFormat="false" ht="15" hidden="false" customHeight="false" outlineLevel="0" collapsed="false">
      <c r="A3" s="2" t="s">
        <v>1</v>
      </c>
      <c r="B3" s="3"/>
    </row>
    <row r="4" customFormat="false" ht="45" hidden="false" customHeight="true" outlineLevel="0" collapsed="false">
      <c r="A4" s="4" t="s">
        <v>2</v>
      </c>
      <c r="B4" s="5" t="s">
        <v>3</v>
      </c>
    </row>
    <row r="5" customFormat="false" ht="15" hidden="false" customHeight="true" outlineLevel="0" collapsed="false">
      <c r="A5" s="4" t="s">
        <v>4</v>
      </c>
      <c r="B5" s="5" t="s">
        <v>5</v>
      </c>
    </row>
    <row r="7" customFormat="false" ht="15" hidden="false" customHeight="false" outlineLevel="0" collapsed="false">
      <c r="A7" s="2" t="s">
        <v>6</v>
      </c>
      <c r="B7" s="3"/>
    </row>
    <row r="8" customFormat="false" ht="15" hidden="false" customHeight="true" outlineLevel="0" collapsed="false">
      <c r="A8" s="4" t="s">
        <v>7</v>
      </c>
      <c r="B8" s="5" t="s">
        <v>8</v>
      </c>
    </row>
    <row r="9" customFormat="false" ht="15" hidden="false" customHeight="true" outlineLevel="0" collapsed="false">
      <c r="A9" s="4" t="s">
        <v>9</v>
      </c>
      <c r="B9" s="5" t="s">
        <v>10</v>
      </c>
    </row>
    <row r="10" customFormat="false" ht="30" hidden="false" customHeight="true" outlineLevel="0" collapsed="false">
      <c r="A10" s="4" t="s">
        <v>11</v>
      </c>
      <c r="B10" s="5" t="s">
        <v>12</v>
      </c>
    </row>
    <row r="11" customFormat="false" ht="30" hidden="false" customHeight="true" outlineLevel="0" collapsed="false">
      <c r="A11" s="4" t="s">
        <v>13</v>
      </c>
      <c r="B11" s="5" t="s">
        <v>14</v>
      </c>
    </row>
    <row r="12" customFormat="false" ht="15" hidden="false" customHeight="true" outlineLevel="0" collapsed="false">
      <c r="A12" s="4" t="s">
        <v>15</v>
      </c>
      <c r="B12" s="5" t="s">
        <v>16</v>
      </c>
    </row>
    <row r="13" customFormat="false" ht="15" hidden="false" customHeight="true" outlineLevel="0" collapsed="false">
      <c r="A13" s="4" t="s">
        <v>17</v>
      </c>
      <c r="B13" s="5" t="s">
        <v>18</v>
      </c>
    </row>
    <row r="14" customFormat="false" ht="15" hidden="false" customHeight="true" outlineLevel="0" collapsed="false">
      <c r="A14" s="4" t="s">
        <v>19</v>
      </c>
      <c r="B14" s="5" t="s">
        <v>20</v>
      </c>
    </row>
    <row r="15" customFormat="false" ht="15" hidden="false" customHeight="true" outlineLevel="0" collapsed="false">
      <c r="A15" s="4" t="s">
        <v>21</v>
      </c>
      <c r="B15" s="5" t="s">
        <v>22</v>
      </c>
    </row>
    <row r="16" customFormat="false" ht="15" hidden="false" customHeight="true" outlineLevel="0" collapsed="false">
      <c r="A16" s="4" t="s">
        <v>23</v>
      </c>
      <c r="B16" s="5" t="s">
        <v>24</v>
      </c>
    </row>
    <row r="17" customFormat="false" ht="15" hidden="false" customHeight="true" outlineLevel="0" collapsed="false">
      <c r="A17" s="4" t="s">
        <v>25</v>
      </c>
      <c r="B17" s="5" t="s">
        <v>26</v>
      </c>
    </row>
    <row r="18" customFormat="false" ht="15" hidden="false" customHeight="true" outlineLevel="0" collapsed="false">
      <c r="A18" s="4" t="s">
        <v>27</v>
      </c>
      <c r="B18" s="5" t="s">
        <v>28</v>
      </c>
    </row>
    <row r="20" customFormat="false" ht="15" hidden="false" customHeight="false" outlineLevel="0" collapsed="false">
      <c r="A20" s="2" t="s">
        <v>29</v>
      </c>
      <c r="B20" s="3"/>
    </row>
    <row r="21" customFormat="false" ht="45" hidden="false" customHeight="true" outlineLevel="0" collapsed="false">
      <c r="A21" s="4" t="s">
        <v>30</v>
      </c>
      <c r="B21" s="5" t="s">
        <v>31</v>
      </c>
    </row>
    <row r="22" customFormat="false" ht="30" hidden="false" customHeight="true" outlineLevel="0" collapsed="false">
      <c r="A22" s="4" t="s">
        <v>32</v>
      </c>
      <c r="B22" s="5" t="s">
        <v>33</v>
      </c>
    </row>
    <row r="23" customFormat="false" ht="30" hidden="false" customHeight="true" outlineLevel="0" collapsed="false">
      <c r="A23" s="4" t="s">
        <v>34</v>
      </c>
      <c r="B23" s="5" t="s">
        <v>35</v>
      </c>
    </row>
    <row r="24" customFormat="false" ht="30" hidden="false" customHeight="true" outlineLevel="0" collapsed="false">
      <c r="A24" s="4" t="s">
        <v>36</v>
      </c>
      <c r="B24" s="5" t="s">
        <v>37</v>
      </c>
    </row>
    <row r="25" customFormat="false" ht="30" hidden="false" customHeight="true" outlineLevel="0" collapsed="false">
      <c r="A25" s="4" t="s">
        <v>38</v>
      </c>
      <c r="B25" s="5" t="s">
        <v>39</v>
      </c>
    </row>
    <row r="27" customFormat="false" ht="15" hidden="false" customHeight="false" outlineLevel="0" collapsed="false">
      <c r="A27" s="2" t="s">
        <v>40</v>
      </c>
      <c r="B27" s="3"/>
    </row>
    <row r="28" customFormat="false" ht="30" hidden="false" customHeight="true" outlineLevel="0" collapsed="false">
      <c r="A28" s="4" t="s">
        <v>41</v>
      </c>
      <c r="B28" s="5" t="s">
        <v>42</v>
      </c>
    </row>
    <row r="29" customFormat="false" ht="30" hidden="false" customHeight="true" outlineLevel="0" collapsed="false">
      <c r="A29" s="4" t="s">
        <v>43</v>
      </c>
      <c r="B29" s="5" t="s">
        <v>44</v>
      </c>
    </row>
    <row r="30" customFormat="false" ht="30" hidden="false" customHeight="true" outlineLevel="0" collapsed="false">
      <c r="A30" s="4" t="s">
        <v>45</v>
      </c>
      <c r="B30" s="5" t="s">
        <v>46</v>
      </c>
    </row>
    <row r="31" customFormat="false" ht="15" hidden="false" customHeight="true" outlineLevel="0" collapsed="false">
      <c r="A31" s="4" t="s">
        <v>47</v>
      </c>
      <c r="B31" s="5" t="s">
        <v>48</v>
      </c>
    </row>
    <row r="32" customFormat="false" ht="15" hidden="false" customHeight="true" outlineLevel="0" collapsed="false">
      <c r="A32" s="4" t="s">
        <v>49</v>
      </c>
      <c r="B32" s="5" t="s">
        <v>50</v>
      </c>
    </row>
    <row r="34" customFormat="false" ht="15" hidden="false" customHeight="false" outlineLevel="0" collapsed="false">
      <c r="A34" s="2" t="s">
        <v>51</v>
      </c>
      <c r="B34" s="3"/>
    </row>
    <row r="35" customFormat="false" ht="30" hidden="false" customHeight="true" outlineLevel="0" collapsed="false">
      <c r="A35" s="4" t="s">
        <v>52</v>
      </c>
      <c r="B35" s="5" t="s">
        <v>53</v>
      </c>
    </row>
    <row r="36" customFormat="false" ht="30" hidden="false" customHeight="true" outlineLevel="0" collapsed="false">
      <c r="A36" s="4" t="s">
        <v>54</v>
      </c>
      <c r="B36" s="5" t="s">
        <v>55</v>
      </c>
    </row>
    <row r="37" customFormat="false" ht="30" hidden="false" customHeight="true" outlineLevel="0" collapsed="false">
      <c r="A37" s="4" t="s">
        <v>56</v>
      </c>
      <c r="B37" s="5" t="s">
        <v>57</v>
      </c>
    </row>
    <row r="38" customFormat="false" ht="30" hidden="false" customHeight="true" outlineLevel="0" collapsed="false">
      <c r="A38" s="4" t="s">
        <v>58</v>
      </c>
      <c r="B38" s="5" t="s">
        <v>59</v>
      </c>
    </row>
    <row r="40" customFormat="false" ht="15" hidden="false" customHeight="false" outlineLevel="0" collapsed="false">
      <c r="A40" s="2" t="s">
        <v>60</v>
      </c>
      <c r="B40" s="3"/>
    </row>
    <row r="41" customFormat="false" ht="15" hidden="false" customHeight="false" outlineLevel="0" collapsed="false">
      <c r="A41" s="6" t="s">
        <v>61</v>
      </c>
      <c r="B41" s="7" t="s">
        <v>62</v>
      </c>
    </row>
    <row r="42" customFormat="false" ht="15" hidden="false" customHeight="false" outlineLevel="0" collapsed="false">
      <c r="A42" s="7" t="s">
        <v>63</v>
      </c>
      <c r="B42" s="7" t="s">
        <v>64</v>
      </c>
    </row>
    <row r="43" customFormat="false" ht="15" hidden="false" customHeight="false" outlineLevel="0" collapsed="false">
      <c r="A43" s="8" t="s">
        <v>65</v>
      </c>
      <c r="B43" s="7" t="s">
        <v>66</v>
      </c>
    </row>
    <row r="44" customFormat="false" ht="15" hidden="false" customHeight="false" outlineLevel="0" collapsed="false">
      <c r="A44" s="9" t="s">
        <v>67</v>
      </c>
      <c r="B44" s="7" t="s">
        <v>68</v>
      </c>
    </row>
    <row r="45" customFormat="false" ht="15" hidden="false" customHeight="false" outlineLevel="0" collapsed="false">
      <c r="A45" s="10" t="s">
        <v>69</v>
      </c>
      <c r="B45" s="7" t="s">
        <v>70</v>
      </c>
    </row>
    <row r="46" customFormat="false" ht="15" hidden="false" customHeight="false" outlineLevel="0" collapsed="false">
      <c r="A46" s="11" t="s">
        <v>71</v>
      </c>
      <c r="B46" s="7" t="s">
        <v>72</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4"/>
    <col collapsed="false" customWidth="true" hidden="false" outlineLevel="0" max="5" min="2" style="0" width="16"/>
  </cols>
  <sheetData>
    <row r="1" customFormat="false" ht="17.35" hidden="false" customHeight="false" outlineLevel="0" collapsed="false">
      <c r="A1" s="1" t="str">
        <f aca="false">OurChapter&amp;" at UNL: GPA and recruitment compared with the other IFC houses"</f>
        <v>Theta Xi at UNL: GPA and recruitment compared with the other IFC houses</v>
      </c>
    </row>
    <row r="2" customFormat="false" ht="15" hidden="false" customHeight="false" outlineLevel="0" collapsed="false">
      <c r="A2" s="12" t="s">
        <v>73</v>
      </c>
    </row>
    <row r="4" customFormat="false" ht="15" hidden="false" customHeight="false" outlineLevel="0" collapsed="false">
      <c r="A4" s="13" t="s">
        <v>74</v>
      </c>
      <c r="B4" s="8" t="str">
        <f aca="false">LatestTerm</f>
        <v>Spring 2026</v>
      </c>
    </row>
    <row r="5" customFormat="false" ht="15" hidden="false" customHeight="false" outlineLevel="0" collapsed="false">
      <c r="A5" s="13" t="s">
        <v>75</v>
      </c>
      <c r="B5" s="9" t="n">
        <v>2025</v>
      </c>
      <c r="C5" s="12" t="s">
        <v>76</v>
      </c>
    </row>
    <row r="7" customFormat="false" ht="15" hidden="false" customHeight="false" outlineLevel="0" collapsed="false">
      <c r="A7" s="14" t="s">
        <v>74</v>
      </c>
      <c r="B7" s="14" t="s">
        <v>77</v>
      </c>
      <c r="C7" s="14" t="s">
        <v>78</v>
      </c>
      <c r="D7" s="14" t="s">
        <v>79</v>
      </c>
      <c r="E7" s="14" t="s">
        <v>80</v>
      </c>
    </row>
    <row r="8" customFormat="false" ht="15" hidden="false" customHeight="false" outlineLevel="0" collapsed="false">
      <c r="A8" s="7" t="s">
        <v>81</v>
      </c>
      <c r="B8" s="15" t="n">
        <f aca="false">IFERROR(INDEX('TX vs IFC'!$B$5:$B$24,MATCH(LatestTerm,'TX vs IFC'!$A$5:$A$24,0)),"")</f>
        <v>3.163</v>
      </c>
      <c r="C8" s="15" t="n">
        <f aca="false">IFERROR(INDEX('TX vs IFC'!$C$5:$C$24,MATCH(LatestTerm,'TX vs IFC'!$A$5:$A$24,0)),"")</f>
        <v>3.39197551252847</v>
      </c>
      <c r="D8" s="16" t="n">
        <f aca="false">IFERROR(INDEX('TX vs IFC'!$H$5:$H$24,MATCH(LatestTerm,'TX vs IFC'!$A$5:$A$24,0)),"")</f>
        <v>17</v>
      </c>
      <c r="E8" s="16" t="n">
        <f aca="false">IFERROR(INDEX('TX vs IFC'!$I$5:$I$24,MATCH(LatestTerm,'TX vs IFC'!$A$5:$A$24,0)),"")</f>
        <v>23</v>
      </c>
    </row>
    <row r="9" customFormat="false" ht="15" hidden="false" customHeight="false" outlineLevel="0" collapsed="false">
      <c r="A9" s="7" t="s">
        <v>82</v>
      </c>
      <c r="B9" s="16" t="n">
        <f aca="false">IFERROR(INDEX('TX vs IFC'!$K$5:$K$24,MATCH(LatestTerm,'TX vs IFC'!$A$5:$A$24,0)),"")</f>
        <v>43</v>
      </c>
      <c r="C9" s="16" t="n">
        <f aca="false">IFERROR(INDEX('TX vs IFC'!$L$5:$L$24,MATCH(LatestTerm,'TX vs IFC'!$A$5:$A$24,0)),"")</f>
        <v>78</v>
      </c>
      <c r="D9" s="16" t="n">
        <f aca="false">IFERROR(INDEX('TX vs IFC'!$M$5:$M$24,MATCH(LatestTerm,'TX vs IFC'!$A$5:$A$24,0)),"")</f>
        <v>14</v>
      </c>
      <c r="E9" s="16" t="n">
        <f aca="false">IFERROR(INDEX('TX vs IFC'!$I$5:$I$24,MATCH(LatestTerm,'TX vs IFC'!$A$5:$A$24,0)),"")</f>
        <v>23</v>
      </c>
    </row>
    <row r="10" customFormat="false" ht="15" hidden="false" customHeight="false" outlineLevel="0" collapsed="false">
      <c r="A10" s="7" t="s">
        <v>83</v>
      </c>
      <c r="B10" s="17" t="n">
        <f aca="false">IFERROR(INDEX('TX vs IFC'!$O$5:$O$24,MATCH(LatestTerm,'TX vs IFC'!$A$5:$A$24,0)),"")</f>
        <v>6</v>
      </c>
      <c r="C10" s="17" t="n">
        <f aca="false">IFERROR(INDEX('TX vs IFC'!$P$5:$P$24,MATCH(LatestTerm,'TX vs IFC'!$A$5:$A$24,0)),"")</f>
        <v>4.1304347826087</v>
      </c>
      <c r="D10" s="16" t="n">
        <f aca="false">IFERROR(INDEX('TX vs IFC'!$R$5:$R$24,MATCH(LatestTerm,'TX vs IFC'!$A$5:$A$24,0)),"")</f>
        <v>5</v>
      </c>
      <c r="E10" s="16" t="n">
        <f aca="false">IFERROR(INDEX('TX vs IFC'!$I$5:$I$24,MATCH(LatestTerm,'TX vs IFC'!$A$5:$A$24,0)),"")</f>
        <v>23</v>
      </c>
    </row>
    <row r="11" customFormat="false" ht="15" hidden="false" customHeight="false" outlineLevel="0" collapsed="false">
      <c r="A11" s="7" t="s">
        <v>84</v>
      </c>
      <c r="B11" s="18" t="n">
        <f aca="false">IFERROR(INDEX('TX vs IFC'!$U$5:$U$24,MATCH(LatestTerm,'TX vs IFC'!$A$5:$A$24,0)),"")</f>
        <v>1</v>
      </c>
      <c r="C11" s="18" t="n">
        <f aca="false">IFERROR(INDEX('TX vs IFC'!$V$5:$V$24,MATCH(LatestTerm,'TX vs IFC'!$A$5:$A$24,0)),"")</f>
        <v>1</v>
      </c>
    </row>
    <row r="13" customFormat="false" ht="15" hidden="false" customHeight="false" outlineLevel="0" collapsed="false">
      <c r="A13" s="14" t="s">
        <v>85</v>
      </c>
      <c r="B13" s="14" t="s">
        <v>77</v>
      </c>
      <c r="C13" s="14" t="s">
        <v>86</v>
      </c>
      <c r="D13" s="14"/>
      <c r="E13" s="14"/>
    </row>
    <row r="14" customFormat="false" ht="15" hidden="false" customHeight="false" outlineLevel="0" collapsed="false">
      <c r="A14" s="7" t="s">
        <v>87</v>
      </c>
      <c r="B14" s="17" t="n">
        <f aca="false">IFERROR(INDEX('Recruitment Index'!$I$5:$I$14,MATCH($B$5,'Recruitment Index'!$A$5:$A$14,0)),"")</f>
        <v>15</v>
      </c>
      <c r="C14" s="17" t="n">
        <f aca="false">IFERROR(INDEX('Recruitment Index'!$J$5:$J$14,MATCH($B$5,'Recruitment Index'!$A$5:$A$14,0)),"")</f>
        <v>26.8316666666667</v>
      </c>
    </row>
    <row r="15" customFormat="false" ht="15" hidden="false" customHeight="false" outlineLevel="0" collapsed="false">
      <c r="A15" s="7" t="s">
        <v>88</v>
      </c>
      <c r="B15" s="16" t="n">
        <f aca="false">IFERROR(INDEX('Recruitment Index'!$D$5:$D$14,MATCH($B$5,'Recruitment Index'!$A$5:$A$14,0)),"")</f>
        <v>55.9040934219517</v>
      </c>
      <c r="C15" s="19" t="n">
        <v>100</v>
      </c>
    </row>
    <row r="16" customFormat="false" ht="15" hidden="false" customHeight="false" outlineLevel="0" collapsed="false">
      <c r="A16" s="7" t="s">
        <v>89</v>
      </c>
      <c r="B16" s="16" t="n">
        <f aca="false">IFERROR(INDEX('Recruitment Index'!$E$5:$E$14,MATCH($B$5,'Recruitment Index'!$A$5:$A$14,0)),"")</f>
        <v>89.3393393393394</v>
      </c>
      <c r="C16" s="19" t="n">
        <v>100</v>
      </c>
    </row>
    <row r="17" customFormat="false" ht="15" hidden="false" customHeight="false" outlineLevel="0" collapsed="false">
      <c r="A17" s="7" t="s">
        <v>90</v>
      </c>
      <c r="B17" s="16" t="n">
        <f aca="false">IFERROR(INDEX('Recruitment Index'!$F$5:$F$14,MATCH($B$5,'Recruitment Index'!$A$5:$A$14,0)),"")</f>
        <v>78.9473684210526</v>
      </c>
      <c r="C17" s="19" t="n">
        <v>100</v>
      </c>
    </row>
    <row r="18" customFormat="false" ht="15" hidden="false" customHeight="false" outlineLevel="0" collapsed="false">
      <c r="A18" s="7" t="s">
        <v>91</v>
      </c>
      <c r="B18" s="20" t="n">
        <f aca="false">IFERROR(INDEX('Recruitment Index'!$O$5:$O$14,MATCH($B$5,'Recruitment Index'!$A$5:$A$14,0)),"")</f>
        <v>-0.0833333333333334</v>
      </c>
      <c r="C18" s="20" t="n">
        <f aca="false">IFERROR(INDEX('Recruitment Index'!$T$5:$T$14,MATCH($B$5,'Recruitment Index'!$A$5:$A$14,0)),"")</f>
        <v>0.0399159663865547</v>
      </c>
    </row>
    <row r="19" customFormat="false" ht="15" hidden="false" customHeight="false" outlineLevel="0" collapsed="false">
      <c r="A19" s="7" t="s">
        <v>92</v>
      </c>
      <c r="B19" s="21" t="n">
        <f aca="false">IFERROR(INDEX('Recruitment Index'!$K$5:$K$14,MATCH($B$5,'Recruitment Index'!$A$5:$A$14,0)),"")</f>
        <v>0.0225225225225225</v>
      </c>
      <c r="C19" s="21" t="n">
        <f aca="false">IFERROR(1/INDEX('New Members Matrix'!$B$39:$U$39,MATCH("Fall "&amp;$B$5,'New Members Matrix'!$B$2:$U$2,0)),"")</f>
        <v>0.04</v>
      </c>
      <c r="D19" s="12" t="s">
        <v>93</v>
      </c>
    </row>
    <row r="21" customFormat="false" ht="15" hidden="false" customHeight="false" outlineLevel="0" collapsed="false">
      <c r="A21" s="14" t="s">
        <v>94</v>
      </c>
      <c r="B21" s="14" t="s">
        <v>95</v>
      </c>
      <c r="C21" s="14" t="s">
        <v>96</v>
      </c>
      <c r="D21" s="14"/>
      <c r="E21" s="14"/>
    </row>
    <row r="22" customFormat="false" ht="15" hidden="false" customHeight="false" outlineLevel="0" collapsed="false">
      <c r="A22" s="7" t="s">
        <v>97</v>
      </c>
      <c r="B22" s="16" t="n">
        <f aca="false">IFERROR(INDEX('Combined Score'!$Q$10:$Q$44,MATCH(OurChapter,'Combined Score'!$A$10:$A$44,0)),"")</f>
        <v>18</v>
      </c>
      <c r="C22" s="16" t="n">
        <f aca="false">COUNT('Combined Score'!$O$10:$O$44)</f>
        <v>23</v>
      </c>
    </row>
    <row r="23" customFormat="false" ht="15" hidden="false" customHeight="false" outlineLevel="0" collapsed="false">
      <c r="A23" s="7" t="s">
        <v>98</v>
      </c>
      <c r="B23" s="16" t="n">
        <f aca="false">IFERROR(INDEX('Combined Score'!$R$10:$R$44,MATCH(OurChapter,'Combined Score'!$A$10:$A$44,0)),"")</f>
        <v>20</v>
      </c>
      <c r="C23" s="16" t="n">
        <f aca="false">COUNT('Combined Score'!$O$10:$O$44)</f>
        <v>23</v>
      </c>
    </row>
    <row r="24" customFormat="false" ht="15" hidden="false" customHeight="false" outlineLevel="0" collapsed="false">
      <c r="A24" s="7" t="s">
        <v>99</v>
      </c>
      <c r="B24" s="16" t="n">
        <f aca="false">IFERROR(INDEX('Combined Score'!$P$10:$P$44,MATCH(OurChapter,'Combined Score'!$A$10:$A$44,0)),"")</f>
        <v>20</v>
      </c>
      <c r="C24" s="16" t="n">
        <f aca="false">COUNT('Combined Score'!$O$10:$O$44)</f>
        <v>23</v>
      </c>
    </row>
    <row r="25" customFormat="false" ht="15" hidden="false" customHeight="false" outlineLevel="0" collapsed="false">
      <c r="A25" s="7" t="s">
        <v>100</v>
      </c>
      <c r="B25" s="8" t="str">
        <f aca="false">'Combined Score'!B3&amp;" to "&amp;'Combined Score'!B4</f>
        <v>Spring 2024 to Spring 2026</v>
      </c>
    </row>
    <row r="27" customFormat="false" ht="15" hidden="false" customHeight="false" outlineLevel="0" collapsed="false">
      <c r="A27" s="14" t="s">
        <v>101</v>
      </c>
      <c r="B27" s="14" t="s">
        <v>102</v>
      </c>
      <c r="C27" s="14"/>
      <c r="D27" s="14"/>
      <c r="E27" s="14"/>
    </row>
    <row r="28" customFormat="false" ht="15" hidden="false" customHeight="false" outlineLevel="0" collapsed="false">
      <c r="A28" s="7" t="s">
        <v>103</v>
      </c>
      <c r="B28" s="22" t="n">
        <f aca="false">IF(OR(B8="",C8=""),"",C8-B8)</f>
        <v>0.228975512528474</v>
      </c>
    </row>
    <row r="29" customFormat="false" ht="15" hidden="false" customHeight="false" outlineLevel="0" collapsed="false">
      <c r="A29" s="7" t="s">
        <v>104</v>
      </c>
      <c r="B29" s="19" t="n">
        <f aca="false">IFERROR(MAX(0,ROUNDUP(IFERROR(INDEX('Recruitment Index'!$J$5:$J$14,MATCH($B$5,'Recruitment Index'!$A$5:$A$14,0)),"")-INDEX('New Members Matrix'!$B$43:$U$43,MATCH("Spring "&amp;($B$5+1),'New Members Matrix'!$B$2:$U$2,0)),0)),"")</f>
        <v>21</v>
      </c>
      <c r="C29" s="12" t="str">
        <f aca="false">"(the " &amp; $B$5 &amp; " IFC average per house, minus our Spring " &amp; ($B$5+1) &amp; " new members)"</f>
        <v>(the 2025 IFC average per house, minus our Spring 2026 new members)</v>
      </c>
    </row>
    <row r="30" customFormat="false" ht="15" hidden="false" customHeight="false" outlineLevel="0" collapsed="false">
      <c r="A30" s="7" t="s">
        <v>105</v>
      </c>
      <c r="B30" s="19" t="n">
        <f aca="false">IFERROR(MAX(0,IFERROR(INDEX('Recruitment Index'!$N$5:$N$14,MATCH($B$5,'Recruitment Index'!$A$5:$A$14,0)),"")-INDEX('New Members Matrix'!$B$43:$U$43,MATCH("Spring "&amp;($B$5+1),'New Members Matrix'!$B$2:$U$2,0))),"")</f>
        <v>13</v>
      </c>
      <c r="C30" s="12" t="s">
        <v>106</v>
      </c>
    </row>
    <row r="32" customFormat="false" ht="17.35" hidden="false" customHeight="false" outlineLevel="0" collapsed="false">
      <c r="A32" s="1" t="s">
        <v>107</v>
      </c>
    </row>
    <row r="33" customFormat="false" ht="45" hidden="false" customHeight="true" outlineLevel="0" collapsed="false">
      <c r="A33" s="23" t="s">
        <v>108</v>
      </c>
      <c r="B33" s="23"/>
      <c r="C33" s="23"/>
      <c r="D33" s="23"/>
      <c r="E33" s="23"/>
    </row>
    <row r="34" customFormat="false" ht="60" hidden="false" customHeight="true" outlineLevel="0" collapsed="false">
      <c r="A34" s="23" t="s">
        <v>109</v>
      </c>
      <c r="B34" s="23"/>
      <c r="C34" s="23"/>
      <c r="D34" s="23"/>
      <c r="E34" s="23"/>
    </row>
    <row r="35" customFormat="false" ht="45" hidden="false" customHeight="true" outlineLevel="0" collapsed="false">
      <c r="A35" s="23" t="s">
        <v>110</v>
      </c>
      <c r="B35" s="23"/>
      <c r="C35" s="23"/>
      <c r="D35" s="23"/>
      <c r="E35" s="23"/>
    </row>
    <row r="36" customFormat="false" ht="60" hidden="false" customHeight="true" outlineLevel="0" collapsed="false">
      <c r="A36" s="23" t="s">
        <v>111</v>
      </c>
      <c r="B36" s="23"/>
      <c r="C36" s="23"/>
      <c r="D36" s="23"/>
      <c r="E36" s="23"/>
    </row>
    <row r="37" customFormat="false" ht="75" hidden="false" customHeight="true" outlineLevel="0" collapsed="false">
      <c r="A37" s="23" t="s">
        <v>112</v>
      </c>
      <c r="B37" s="23"/>
      <c r="C37" s="23"/>
      <c r="D37" s="23"/>
      <c r="E37" s="23"/>
    </row>
    <row r="38" customFormat="false" ht="45" hidden="false" customHeight="true" outlineLevel="0" collapsed="false">
      <c r="A38" s="23" t="s">
        <v>113</v>
      </c>
      <c r="B38" s="23"/>
      <c r="C38" s="23"/>
      <c r="D38" s="23"/>
      <c r="E38" s="23"/>
    </row>
    <row r="39" customFormat="false" ht="60" hidden="false" customHeight="true" outlineLevel="0" collapsed="false">
      <c r="A39" s="23" t="s">
        <v>114</v>
      </c>
      <c r="B39" s="23"/>
      <c r="C39" s="23"/>
      <c r="D39" s="23"/>
      <c r="E39" s="23"/>
    </row>
    <row r="40" customFormat="false" ht="60" hidden="false" customHeight="true" outlineLevel="0" collapsed="false">
      <c r="A40" s="23" t="s">
        <v>115</v>
      </c>
      <c r="B40" s="23"/>
      <c r="C40" s="23"/>
      <c r="D40" s="23"/>
      <c r="E40" s="23"/>
    </row>
    <row r="41" customFormat="false" ht="60" hidden="false" customHeight="true" outlineLevel="0" collapsed="false">
      <c r="A41" s="23" t="s">
        <v>116</v>
      </c>
      <c r="B41" s="23"/>
      <c r="C41" s="23"/>
      <c r="D41" s="23"/>
      <c r="E41" s="23"/>
    </row>
    <row r="42" customFormat="false" ht="60" hidden="false" customHeight="true" outlineLevel="0" collapsed="false">
      <c r="A42" s="23" t="s">
        <v>117</v>
      </c>
      <c r="B42" s="23"/>
      <c r="C42" s="23"/>
      <c r="D42" s="23"/>
      <c r="E42" s="23"/>
    </row>
    <row r="43" customFormat="false" ht="75" hidden="false" customHeight="true" outlineLevel="0" collapsed="false">
      <c r="A43" s="23" t="s">
        <v>118</v>
      </c>
      <c r="B43" s="23"/>
      <c r="C43" s="23"/>
      <c r="D43" s="23"/>
      <c r="E43" s="23"/>
    </row>
  </sheetData>
  <mergeCells count="11">
    <mergeCell ref="A33:E33"/>
    <mergeCell ref="A34:E34"/>
    <mergeCell ref="A35:E35"/>
    <mergeCell ref="A36:E36"/>
    <mergeCell ref="A37:E37"/>
    <mergeCell ref="A38:E38"/>
    <mergeCell ref="A39:E39"/>
    <mergeCell ref="A40:E40"/>
    <mergeCell ref="A41:E41"/>
    <mergeCell ref="A42:E42"/>
    <mergeCell ref="A43:E43"/>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V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12"/>
    <col collapsed="false" customWidth="true" hidden="false" outlineLevel="0" max="2" min="2" style="0" width="8"/>
    <col collapsed="false" customWidth="true" hidden="false" outlineLevel="0" max="3" min="3" style="0" width="9"/>
    <col collapsed="false" customWidth="true" hidden="false" outlineLevel="0" max="7" min="4" style="0" width="8"/>
    <col collapsed="false" customWidth="true" hidden="false" outlineLevel="0" max="8" min="8" style="0" width="7"/>
    <col collapsed="false" customWidth="true" hidden="false" outlineLevel="0" max="9" min="9" style="0" width="8"/>
    <col collapsed="false" customWidth="true" hidden="false" outlineLevel="0" max="10" min="10" style="0" width="2"/>
    <col collapsed="false" customWidth="true" hidden="false" outlineLevel="0" max="12" min="11" style="0" width="8"/>
    <col collapsed="false" customWidth="true" hidden="false" outlineLevel="0" max="13" min="13" style="0" width="7"/>
    <col collapsed="false" customWidth="true" hidden="false" outlineLevel="0" max="14" min="14" style="0" width="9"/>
    <col collapsed="false" customWidth="true" hidden="false" outlineLevel="0" max="15" min="15" style="0" width="8"/>
    <col collapsed="false" customWidth="true" hidden="false" outlineLevel="0" max="17" min="16" style="0" width="9"/>
    <col collapsed="false" customWidth="true" hidden="false" outlineLevel="0" max="18" min="18" style="0" width="8"/>
    <col collapsed="false" customWidth="true" hidden="false" outlineLevel="0" max="22" min="19" style="0" width="9"/>
  </cols>
  <sheetData>
    <row r="1" customFormat="false" ht="17.35" hidden="false" customHeight="false" outlineLevel="0" collapsed="false">
      <c r="A1" s="1" t="str">
        <f aca="false">OurChapter&amp;" vs. the IFC, semester by semester"</f>
        <v>Theta Xi vs. the IFC, semester by semester</v>
      </c>
    </row>
    <row r="2" customFormat="false" ht="15" hidden="false" customHeight="false" outlineLevel="0" collapsed="false">
      <c r="A2" s="12" t="s">
        <v>119</v>
      </c>
    </row>
    <row r="3" customFormat="false" ht="15" hidden="false" customHeight="true" outlineLevel="0" collapsed="false">
      <c r="B3" s="24" t="s">
        <v>41</v>
      </c>
      <c r="C3" s="24"/>
      <c r="D3" s="24"/>
      <c r="E3" s="24"/>
      <c r="F3" s="24"/>
      <c r="G3" s="24"/>
      <c r="H3" s="24"/>
      <c r="I3" s="24"/>
      <c r="K3" s="24" t="s">
        <v>120</v>
      </c>
      <c r="L3" s="24"/>
      <c r="M3" s="24"/>
      <c r="N3" s="24"/>
      <c r="O3" s="24" t="s">
        <v>121</v>
      </c>
      <c r="P3" s="24"/>
      <c r="Q3" s="24"/>
      <c r="R3" s="24"/>
      <c r="S3" s="24"/>
      <c r="T3" s="24" t="s">
        <v>122</v>
      </c>
      <c r="U3" s="24"/>
      <c r="V3" s="24"/>
    </row>
    <row r="4" customFormat="false" ht="57.75" hidden="false" customHeight="true" outlineLevel="0" collapsed="false">
      <c r="A4" s="14" t="s">
        <v>123</v>
      </c>
      <c r="B4" s="14" t="s">
        <v>124</v>
      </c>
      <c r="C4" s="14" t="s">
        <v>125</v>
      </c>
      <c r="D4" s="14" t="s">
        <v>126</v>
      </c>
      <c r="E4" s="14" t="s">
        <v>127</v>
      </c>
      <c r="F4" s="14" t="s">
        <v>128</v>
      </c>
      <c r="G4" s="14" t="s">
        <v>129</v>
      </c>
      <c r="H4" s="14" t="s">
        <v>130</v>
      </c>
      <c r="I4" s="14" t="s">
        <v>131</v>
      </c>
      <c r="J4" s="14"/>
      <c r="K4" s="14" t="s">
        <v>132</v>
      </c>
      <c r="L4" s="14" t="s">
        <v>133</v>
      </c>
      <c r="M4" s="14" t="s">
        <v>134</v>
      </c>
      <c r="N4" s="14" t="s">
        <v>135</v>
      </c>
      <c r="O4" s="14" t="s">
        <v>136</v>
      </c>
      <c r="P4" s="14" t="s">
        <v>137</v>
      </c>
      <c r="Q4" s="14" t="s">
        <v>138</v>
      </c>
      <c r="R4" s="14" t="s">
        <v>139</v>
      </c>
      <c r="S4" s="14" t="s">
        <v>140</v>
      </c>
      <c r="T4" s="14" t="s">
        <v>141</v>
      </c>
      <c r="U4" s="14" t="s">
        <v>142</v>
      </c>
      <c r="V4" s="14" t="s">
        <v>143</v>
      </c>
    </row>
    <row r="5" customFormat="false" ht="15" hidden="false" customHeight="false" outlineLevel="0" collapsed="false">
      <c r="A5" s="8" t="s">
        <v>144</v>
      </c>
      <c r="B5" s="25" t="n">
        <f aca="false">IF(IFERROR(INDEX('GPA Matrix'!$B$43:$U$43,MATCH($A5,'GPA Matrix'!$B$2:$U$2,0)),"")="","",IFERROR(INDEX('GPA Matrix'!$B$43:$U$43,MATCH($A5,'GPA Matrix'!$B$2:$U$2,0)),""))</f>
        <v>2.733</v>
      </c>
      <c r="C5" s="25" t="n">
        <f aca="false">IF(IFERROR(INDEX('GPA Matrix'!$B$40:$U$40,MATCH($A5,'GPA Matrix'!$B$2:$U$2,0)),"")="","",IFERROR(INDEX('GPA Matrix'!$B$40:$U$40,MATCH($A5,'GPA Matrix'!$B$2:$U$2,0)),""))</f>
        <v>3.15677818403413</v>
      </c>
      <c r="D5" s="25" t="n">
        <f aca="false">IF(IFERROR(INDEX('GPA Matrix'!$B$41:$U$41,MATCH($A5,'GPA Matrix'!$B$2:$U$2,0)),"")="","",IFERROR(INDEX('GPA Matrix'!$B$41:$U$41,MATCH($A5,'GPA Matrix'!$B$2:$U$2,0)),""))</f>
        <v>3.074</v>
      </c>
      <c r="E5" s="25" t="n">
        <f aca="false">IFERROR(IF(INDEX('Campus Stats'!$C$2:$C$37,MATCH($A5,'Campus Stats'!$A$2:$A$37,0))="","",INDEX('Campus Stats'!$C$2:$C$37,MATCH($A5,'Campus Stats'!$A$2:$A$37,0))),"")</f>
        <v>2.976</v>
      </c>
      <c r="F5" s="25" t="n">
        <f aca="false">IFERROR(IF(INDEX('Campus Stats'!$F$2:$F$37,MATCH($A5,'Campus Stats'!$A$2:$A$37,0))="","",INDEX('Campus Stats'!$F$2:$F$37,MATCH($A5,'Campus Stats'!$A$2:$A$37,0))),"")</f>
        <v>3.149</v>
      </c>
      <c r="G5" s="22" t="n">
        <f aca="false">IF(OR(B5="",C5=""),"",B5-C5)</f>
        <v>-0.423778184034126</v>
      </c>
      <c r="H5" s="19" t="n">
        <f aca="false">IF(IFERROR(INDEX('GPA Matrix'!$B$44:$U$44,MATCH($A5,'GPA Matrix'!$B$2:$U$2,0)),"")="","",IFERROR(INDEX('GPA Matrix'!$B$44:$U$44,MATCH($A5,'GPA Matrix'!$B$2:$U$2,0)),""))</f>
        <v>23</v>
      </c>
      <c r="I5" s="19" t="n">
        <f aca="false">IF(H5="","",IFERROR(INDEX('GPA Matrix'!$B$39:$U$39,MATCH($A5,'GPA Matrix'!$B$2:$U$2,0)),""))</f>
        <v>25</v>
      </c>
      <c r="K5" s="19" t="n">
        <f aca="false">IF(IFERROR(INDEX('Members Matrix'!$B$43:$U$43,MATCH($A5,'Members Matrix'!$B$2:$U$2,0)),"")="","",IFERROR(INDEX('Members Matrix'!$B$43:$U$43,MATCH($A5,'Members Matrix'!$B$2:$U$2,0)),""))</f>
        <v>62</v>
      </c>
      <c r="L5" s="26" t="n">
        <f aca="false">IF(IFERROR(INDEX('Members Matrix'!$B$42:$U$42,MATCH($A5,'Members Matrix'!$B$2:$U$2,0)),"")="","",IFERROR(INDEX('Members Matrix'!$B$42:$U$42,MATCH($A5,'Members Matrix'!$B$2:$U$2,0)),""))</f>
        <v>62</v>
      </c>
      <c r="M5" s="19" t="n">
        <f aca="false">IF(IFERROR(INDEX('Members Matrix'!$B$44:$U$44,MATCH($A5,'Members Matrix'!$B$2:$U$2,0)),"")="","",IFERROR(INDEX('Members Matrix'!$B$44:$U$44,MATCH($A5,'Members Matrix'!$B$2:$U$2,0)),""))</f>
        <v>13</v>
      </c>
      <c r="N5" s="19" t="n">
        <f aca="false">IF(IFERROR(INDEX('Members Matrix'!$B$45:$U$45,MATCH($A5,'Members Matrix'!$B$2:$U$2,0)),"")="","",IFERROR(INDEX('Members Matrix'!$B$45:$U$45,MATCH($A5,'Members Matrix'!$B$2:$U$2,0)),""))</f>
        <v>100</v>
      </c>
      <c r="O5" s="19" t="n">
        <f aca="false">IF(IFERROR(INDEX('New Members Matrix'!$B$43:$U$43,MATCH($A5,'New Members Matrix'!$B$2:$U$2,0)),"")="","",IFERROR(INDEX('New Members Matrix'!$B$43:$U$43,MATCH($A5,'New Members Matrix'!$B$2:$U$2,0)),""))</f>
        <v>22</v>
      </c>
      <c r="P5" s="26" t="n">
        <f aca="false">IF(IFERROR(INDEX('New Members Matrix'!$B$41:$U$41,MATCH($A5,'New Members Matrix'!$B$2:$U$2,0)),"")="","",IFERROR(INDEX('New Members Matrix'!$B$41:$U$41,MATCH($A5,'New Members Matrix'!$B$2:$U$2,0)),""))</f>
        <v>19.44</v>
      </c>
      <c r="Q5" s="26" t="n">
        <f aca="false">IF(IFERROR(INDEX('New Members Matrix'!$B$42:$U$42,MATCH($A5,'New Members Matrix'!$B$2:$U$2,0)),"")="","",IFERROR(INDEX('New Members Matrix'!$B$42:$U$42,MATCH($A5,'New Members Matrix'!$B$2:$U$2,0)),""))</f>
        <v>22</v>
      </c>
      <c r="R5" s="19" t="n">
        <f aca="false">IF(IFERROR(INDEX('New Members Matrix'!$B$44:$U$44,MATCH($A5,'New Members Matrix'!$B$2:$U$2,0)),"")="","",IFERROR(INDEX('New Members Matrix'!$B$44:$U$44,MATCH($A5,'New Members Matrix'!$B$2:$U$2,0)),""))</f>
        <v>13</v>
      </c>
      <c r="S5" s="27" t="n">
        <f aca="false">IF(IFERROR(INDEX('New Members Matrix'!$B$45:$U$45,MATCH($A5,'New Members Matrix'!$B$2:$U$2,0)),"")="","",IFERROR(INDEX('New Members Matrix'!$B$45:$U$45,MATCH($A5,'New Members Matrix'!$B$2:$U$2,0)),""))</f>
        <v>0.0452674897119342</v>
      </c>
      <c r="T5" s="28" t="str">
        <f aca="false">IFERROR(IF(COUNTIFS('Chapter Data'!$A$2:$A$2500,$A5,'Chapter Data'!$D$2:$D$2500,OurChapter,'Chapter Data'!$J$2:$J$2500,"&lt;&gt;")=0,"",SUMIFS('Chapter Data'!$J$2:$J$2500,'Chapter Data'!$A$2:$A$2500,$A5,'Chapter Data'!$D$2:$D$2500,OurChapter)),"")</f>
        <v/>
      </c>
      <c r="U5" s="28" t="str">
        <f aca="false">IFERROR(IF(COUNTIFS('Chapter Data'!$A$2:$A$2500,$A5,'Chapter Data'!$D$2:$D$2500,OurChapter,'Chapter Data'!$K$2:$K$2500,"&lt;&gt;")=0,"",SUMIFS('Chapter Data'!$K$2:$K$2500,'Chapter Data'!$A$2:$A$2500,$A5,'Chapter Data'!$D$2:$D$2500,OurChapter)),"")</f>
        <v/>
      </c>
      <c r="V5" s="28" t="str">
        <f aca="false" t="array" ref="V5:V5">IF(COUNTIFS('Chapter Data'!$A$2:$A$2500,$A5,'Chapter Data'!$C$2:$C$2500,"IFC",'Chapter Data'!$K$2:$K$2500,"&gt;=0")&lt;MinChapters,"",MEDIAN(IF(('Chapter Data'!$A$2:$A$2500=$A5)*('Chapter Data'!$C$2:$C$2500="IFC")*ISNUMBER('Chapter Data'!$K$2:$K$2500),'Chapter Data'!$K$2:$K$2500)))</f>
        <v/>
      </c>
    </row>
    <row r="6" customFormat="false" ht="15" hidden="false" customHeight="false" outlineLevel="0" collapsed="false">
      <c r="A6" s="8" t="s">
        <v>145</v>
      </c>
      <c r="B6" s="25" t="n">
        <f aca="false">IF(IFERROR(INDEX('GPA Matrix'!$B$43:$U$43,MATCH($A6,'GPA Matrix'!$B$2:$U$2,0)),"")="","",IFERROR(INDEX('GPA Matrix'!$B$43:$U$43,MATCH($A6,'GPA Matrix'!$B$2:$U$2,0)),""))</f>
        <v>2.919</v>
      </c>
      <c r="C6" s="25" t="n">
        <f aca="false">IF(IFERROR(INDEX('GPA Matrix'!$B$40:$U$40,MATCH($A6,'GPA Matrix'!$B$2:$U$2,0)),"")="","",IFERROR(INDEX('GPA Matrix'!$B$40:$U$40,MATCH($A6,'GPA Matrix'!$B$2:$U$2,0)),""))</f>
        <v>3.16699122257053</v>
      </c>
      <c r="D6" s="25" t="n">
        <f aca="false">IF(IFERROR(INDEX('GPA Matrix'!$B$41:$U$41,MATCH($A6,'GPA Matrix'!$B$2:$U$2,0)),"")="","",IFERROR(INDEX('GPA Matrix'!$B$41:$U$41,MATCH($A6,'GPA Matrix'!$B$2:$U$2,0)),""))</f>
        <v>3.06</v>
      </c>
      <c r="E6" s="25" t="n">
        <f aca="false">IFERROR(IF(INDEX('Campus Stats'!$C$2:$C$37,MATCH($A6,'Campus Stats'!$A$2:$A$37,0))="","",INDEX('Campus Stats'!$C$2:$C$37,MATCH($A6,'Campus Stats'!$A$2:$A$37,0))),"")</f>
        <v>3.012</v>
      </c>
      <c r="F6" s="25" t="n">
        <f aca="false">IFERROR(IF(INDEX('Campus Stats'!$F$2:$F$37,MATCH($A6,'Campus Stats'!$A$2:$A$37,0))="","",INDEX('Campus Stats'!$F$2:$F$37,MATCH($A6,'Campus Stats'!$A$2:$A$37,0))),"")</f>
        <v>3.154</v>
      </c>
      <c r="G6" s="22" t="n">
        <f aca="false">IF(OR(B6="",C6=""),"",B6-C6)</f>
        <v>-0.247991222570533</v>
      </c>
      <c r="H6" s="19" t="n">
        <f aca="false">IF(IFERROR(INDEX('GPA Matrix'!$B$44:$U$44,MATCH($A6,'GPA Matrix'!$B$2:$U$2,0)),"")="","",IFERROR(INDEX('GPA Matrix'!$B$44:$U$44,MATCH($A6,'GPA Matrix'!$B$2:$U$2,0)),""))</f>
        <v>21</v>
      </c>
      <c r="I6" s="19" t="n">
        <f aca="false">IF(H6="","",IFERROR(INDEX('GPA Matrix'!$B$39:$U$39,MATCH($A6,'GPA Matrix'!$B$2:$U$2,0)),""))</f>
        <v>24</v>
      </c>
      <c r="K6" s="19" t="n">
        <f aca="false">IF(IFERROR(INDEX('Members Matrix'!$B$43:$U$43,MATCH($A6,'Members Matrix'!$B$2:$U$2,0)),"")="","",IFERROR(INDEX('Members Matrix'!$B$43:$U$43,MATCH($A6,'Members Matrix'!$B$2:$U$2,0)),""))</f>
        <v>64</v>
      </c>
      <c r="L6" s="26" t="n">
        <f aca="false">IF(IFERROR(INDEX('Members Matrix'!$B$42:$U$42,MATCH($A6,'Members Matrix'!$B$2:$U$2,0)),"")="","",IFERROR(INDEX('Members Matrix'!$B$42:$U$42,MATCH($A6,'Members Matrix'!$B$2:$U$2,0)),""))</f>
        <v>64</v>
      </c>
      <c r="M6" s="19" t="n">
        <f aca="false">IF(IFERROR(INDEX('Members Matrix'!$B$44:$U$44,MATCH($A6,'Members Matrix'!$B$2:$U$2,0)),"")="","",IFERROR(INDEX('Members Matrix'!$B$44:$U$44,MATCH($A6,'Members Matrix'!$B$2:$U$2,0)),""))</f>
        <v>13</v>
      </c>
      <c r="N6" s="19" t="n">
        <f aca="false">IF(IFERROR(INDEX('Members Matrix'!$B$45:$U$45,MATCH($A6,'Members Matrix'!$B$2:$U$2,0)),"")="","",IFERROR(INDEX('Members Matrix'!$B$45:$U$45,MATCH($A6,'Members Matrix'!$B$2:$U$2,0)),""))</f>
        <v>100</v>
      </c>
      <c r="O6" s="19" t="n">
        <f aca="false">IF(IFERROR(INDEX('New Members Matrix'!$B$43:$U$43,MATCH($A6,'New Members Matrix'!$B$2:$U$2,0)),"")="","",IFERROR(INDEX('New Members Matrix'!$B$43:$U$43,MATCH($A6,'New Members Matrix'!$B$2:$U$2,0)),""))</f>
        <v>9</v>
      </c>
      <c r="P6" s="26" t="n">
        <f aca="false">IF(IFERROR(INDEX('New Members Matrix'!$B$41:$U$41,MATCH($A6,'New Members Matrix'!$B$2:$U$2,0)),"")="","",IFERROR(INDEX('New Members Matrix'!$B$41:$U$41,MATCH($A6,'New Members Matrix'!$B$2:$U$2,0)),""))</f>
        <v>2.72</v>
      </c>
      <c r="Q6" s="26" t="n">
        <f aca="false">IF(IFERROR(INDEX('New Members Matrix'!$B$42:$U$42,MATCH($A6,'New Members Matrix'!$B$2:$U$2,0)),"")="","",IFERROR(INDEX('New Members Matrix'!$B$42:$U$42,MATCH($A6,'New Members Matrix'!$B$2:$U$2,0)),""))</f>
        <v>1</v>
      </c>
      <c r="R6" s="19" t="n">
        <f aca="false">IF(IFERROR(INDEX('New Members Matrix'!$B$44:$U$44,MATCH($A6,'New Members Matrix'!$B$2:$U$2,0)),"")="","",IFERROR(INDEX('New Members Matrix'!$B$44:$U$44,MATCH($A6,'New Members Matrix'!$B$2:$U$2,0)),""))</f>
        <v>3</v>
      </c>
      <c r="S6" s="27" t="n">
        <f aca="false">IF(IFERROR(INDEX('New Members Matrix'!$B$45:$U$45,MATCH($A6,'New Members Matrix'!$B$2:$U$2,0)),"")="","",IFERROR(INDEX('New Members Matrix'!$B$45:$U$45,MATCH($A6,'New Members Matrix'!$B$2:$U$2,0)),""))</f>
        <v>0.132352941176471</v>
      </c>
      <c r="T6" s="28" t="str">
        <f aca="false">IFERROR(IF(COUNTIFS('Chapter Data'!$A$2:$A$2500,$A6,'Chapter Data'!$D$2:$D$2500,OurChapter,'Chapter Data'!$J$2:$J$2500,"&lt;&gt;")=0,"",SUMIFS('Chapter Data'!$J$2:$J$2500,'Chapter Data'!$A$2:$A$2500,$A6,'Chapter Data'!$D$2:$D$2500,OurChapter)),"")</f>
        <v/>
      </c>
      <c r="U6" s="28" t="str">
        <f aca="false">IFERROR(IF(COUNTIFS('Chapter Data'!$A$2:$A$2500,$A6,'Chapter Data'!$D$2:$D$2500,OurChapter,'Chapter Data'!$K$2:$K$2500,"&lt;&gt;")=0,"",SUMIFS('Chapter Data'!$K$2:$K$2500,'Chapter Data'!$A$2:$A$2500,$A6,'Chapter Data'!$D$2:$D$2500,OurChapter)),"")</f>
        <v/>
      </c>
      <c r="V6" s="28" t="str">
        <f aca="false" t="array" ref="V6:V6">IF(COUNTIFS('Chapter Data'!$A$2:$A$2500,$A6,'Chapter Data'!$C$2:$C$2500,"IFC",'Chapter Data'!$K$2:$K$2500,"&gt;=0")&lt;MinChapters,"",MEDIAN(IF(('Chapter Data'!$A$2:$A$2500=$A6)*('Chapter Data'!$C$2:$C$2500="IFC")*ISNUMBER('Chapter Data'!$K$2:$K$2500),'Chapter Data'!$K$2:$K$2500)))</f>
        <v/>
      </c>
    </row>
    <row r="7" customFormat="false" ht="15" hidden="false" customHeight="false" outlineLevel="0" collapsed="false">
      <c r="A7" s="8" t="s">
        <v>146</v>
      </c>
      <c r="B7" s="25" t="n">
        <f aca="false">IF(IFERROR(INDEX('GPA Matrix'!$B$43:$U$43,MATCH($A7,'GPA Matrix'!$B$2:$U$2,0)),"")="","",IFERROR(INDEX('GPA Matrix'!$B$43:$U$43,MATCH($A7,'GPA Matrix'!$B$2:$U$2,0)),""))</f>
        <v>2.819</v>
      </c>
      <c r="C7" s="25" t="n">
        <f aca="false">IF(IFERROR(INDEX('GPA Matrix'!$B$40:$U$40,MATCH($A7,'GPA Matrix'!$B$2:$U$2,0)),"")="","",IFERROR(INDEX('GPA Matrix'!$B$40:$U$40,MATCH($A7,'GPA Matrix'!$B$2:$U$2,0)),""))</f>
        <v>3.14305103092784</v>
      </c>
      <c r="D7" s="25" t="n">
        <f aca="false">IF(IFERROR(INDEX('GPA Matrix'!$B$41:$U$41,MATCH($A7,'GPA Matrix'!$B$2:$U$2,0)),"")="","",IFERROR(INDEX('GPA Matrix'!$B$41:$U$41,MATCH($A7,'GPA Matrix'!$B$2:$U$2,0)),""))</f>
        <v>3.084</v>
      </c>
      <c r="E7" s="25" t="n">
        <f aca="false">IFERROR(IF(INDEX('Campus Stats'!$C$2:$C$37,MATCH($A7,'Campus Stats'!$A$2:$A$37,0))="","",INDEX('Campus Stats'!$C$2:$C$37,MATCH($A7,'Campus Stats'!$A$2:$A$37,0))),"")</f>
        <v>3.032</v>
      </c>
      <c r="F7" s="25" t="n">
        <f aca="false">IFERROR(IF(INDEX('Campus Stats'!$F$2:$F$37,MATCH($A7,'Campus Stats'!$A$2:$A$37,0))="","",INDEX('Campus Stats'!$F$2:$F$37,MATCH($A7,'Campus Stats'!$A$2:$A$37,0))),"")</f>
        <v>3.133</v>
      </c>
      <c r="G7" s="22" t="n">
        <f aca="false">IF(OR(B7="",C7=""),"",B7-C7)</f>
        <v>-0.324051030927835</v>
      </c>
      <c r="H7" s="19" t="n">
        <f aca="false">IF(IFERROR(INDEX('GPA Matrix'!$B$44:$U$44,MATCH($A7,'GPA Matrix'!$B$2:$U$2,0)),"")="","",IFERROR(INDEX('GPA Matrix'!$B$44:$U$44,MATCH($A7,'GPA Matrix'!$B$2:$U$2,0)),""))</f>
        <v>24</v>
      </c>
      <c r="I7" s="19" t="n">
        <f aca="false">IF(H7="","",IFERROR(INDEX('GPA Matrix'!$B$39:$U$39,MATCH($A7,'GPA Matrix'!$B$2:$U$2,0)),""))</f>
        <v>27</v>
      </c>
      <c r="K7" s="19" t="n">
        <f aca="false">IF(IFERROR(INDEX('Members Matrix'!$B$43:$U$43,MATCH($A7,'Members Matrix'!$B$2:$U$2,0)),"")="","",IFERROR(INDEX('Members Matrix'!$B$43:$U$43,MATCH($A7,'Members Matrix'!$B$2:$U$2,0)),""))</f>
        <v>86</v>
      </c>
      <c r="L7" s="26" t="n">
        <f aca="false">IF(IFERROR(INDEX('Members Matrix'!$B$42:$U$42,MATCH($A7,'Members Matrix'!$B$2:$U$2,0)),"")="","",IFERROR(INDEX('Members Matrix'!$B$42:$U$42,MATCH($A7,'Members Matrix'!$B$2:$U$2,0)),""))</f>
        <v>83</v>
      </c>
      <c r="M7" s="19" t="n">
        <f aca="false">IF(IFERROR(INDEX('Members Matrix'!$B$44:$U$44,MATCH($A7,'Members Matrix'!$B$2:$U$2,0)),"")="","",IFERROR(INDEX('Members Matrix'!$B$44:$U$44,MATCH($A7,'Members Matrix'!$B$2:$U$2,0)),""))</f>
        <v>12</v>
      </c>
      <c r="N7" s="19" t="n">
        <f aca="false">IF(IFERROR(INDEX('Members Matrix'!$B$45:$U$45,MATCH($A7,'Members Matrix'!$B$2:$U$2,0)),"")="","",IFERROR(INDEX('Members Matrix'!$B$45:$U$45,MATCH($A7,'Members Matrix'!$B$2:$U$2,0)),""))</f>
        <v>103.614457831325</v>
      </c>
      <c r="O7" s="19" t="n">
        <f aca="false">IF(IFERROR(INDEX('New Members Matrix'!$B$43:$U$43,MATCH($A7,'New Members Matrix'!$B$2:$U$2,0)),"")="","",IFERROR(INDEX('New Members Matrix'!$B$43:$U$43,MATCH($A7,'New Members Matrix'!$B$2:$U$2,0)),""))</f>
        <v>25</v>
      </c>
      <c r="P7" s="26" t="n">
        <f aca="false">IF(IFERROR(INDEX('New Members Matrix'!$B$41:$U$41,MATCH($A7,'New Members Matrix'!$B$2:$U$2,0)),"")="","",IFERROR(INDEX('New Members Matrix'!$B$41:$U$41,MATCH($A7,'New Members Matrix'!$B$2:$U$2,0)),""))</f>
        <v>21</v>
      </c>
      <c r="Q7" s="26" t="n">
        <f aca="false">IF(IFERROR(INDEX('New Members Matrix'!$B$42:$U$42,MATCH($A7,'New Members Matrix'!$B$2:$U$2,0)),"")="","",IFERROR(INDEX('New Members Matrix'!$B$42:$U$42,MATCH($A7,'New Members Matrix'!$B$2:$U$2,0)),""))</f>
        <v>25</v>
      </c>
      <c r="R7" s="19" t="n">
        <f aca="false">IF(IFERROR(INDEX('New Members Matrix'!$B$44:$U$44,MATCH($A7,'New Members Matrix'!$B$2:$U$2,0)),"")="","",IFERROR(INDEX('New Members Matrix'!$B$44:$U$44,MATCH($A7,'New Members Matrix'!$B$2:$U$2,0)),""))</f>
        <v>14</v>
      </c>
      <c r="S7" s="27" t="n">
        <f aca="false">IF(IFERROR(INDEX('New Members Matrix'!$B$45:$U$45,MATCH($A7,'New Members Matrix'!$B$2:$U$2,0)),"")="","",IFERROR(INDEX('New Members Matrix'!$B$45:$U$45,MATCH($A7,'New Members Matrix'!$B$2:$U$2,0)),""))</f>
        <v>0.0440917107583774</v>
      </c>
      <c r="T7" s="28" t="str">
        <f aca="false">IFERROR(IF(COUNTIFS('Chapter Data'!$A$2:$A$2500,$A7,'Chapter Data'!$D$2:$D$2500,OurChapter,'Chapter Data'!$J$2:$J$2500,"&lt;&gt;")=0,"",SUMIFS('Chapter Data'!$J$2:$J$2500,'Chapter Data'!$A$2:$A$2500,$A7,'Chapter Data'!$D$2:$D$2500,OurChapter)),"")</f>
        <v/>
      </c>
      <c r="U7" s="28" t="str">
        <f aca="false">IFERROR(IF(COUNTIFS('Chapter Data'!$A$2:$A$2500,$A7,'Chapter Data'!$D$2:$D$2500,OurChapter,'Chapter Data'!$K$2:$K$2500,"&lt;&gt;")=0,"",SUMIFS('Chapter Data'!$K$2:$K$2500,'Chapter Data'!$A$2:$A$2500,$A7,'Chapter Data'!$D$2:$D$2500,OurChapter)),"")</f>
        <v/>
      </c>
      <c r="V7" s="28" t="str">
        <f aca="false" t="array" ref="V7:V7">IF(COUNTIFS('Chapter Data'!$A$2:$A$2500,$A7,'Chapter Data'!$C$2:$C$2500,"IFC",'Chapter Data'!$K$2:$K$2500,"&gt;=0")&lt;MinChapters,"",MEDIAN(IF(('Chapter Data'!$A$2:$A$2500=$A7)*('Chapter Data'!$C$2:$C$2500="IFC")*ISNUMBER('Chapter Data'!$K$2:$K$2500),'Chapter Data'!$K$2:$K$2500)))</f>
        <v/>
      </c>
    </row>
    <row r="8" customFormat="false" ht="15" hidden="false" customHeight="false" outlineLevel="0" collapsed="false">
      <c r="A8" s="8" t="s">
        <v>147</v>
      </c>
      <c r="B8" s="25" t="str">
        <f aca="false">IF(IFERROR(INDEX('GPA Matrix'!$B$43:$U$43,MATCH($A8,'GPA Matrix'!$B$2:$U$2,0)),"")="","",IFERROR(INDEX('GPA Matrix'!$B$43:$U$43,MATCH($A8,'GPA Matrix'!$B$2:$U$2,0)),""))</f>
        <v/>
      </c>
      <c r="C8" s="25" t="str">
        <f aca="false">IF(IFERROR(INDEX('GPA Matrix'!$B$40:$U$40,MATCH($A8,'GPA Matrix'!$B$2:$U$2,0)),"")="","",IFERROR(INDEX('GPA Matrix'!$B$40:$U$40,MATCH($A8,'GPA Matrix'!$B$2:$U$2,0)),""))</f>
        <v/>
      </c>
      <c r="D8" s="25" t="str">
        <f aca="false">IF(IFERROR(INDEX('GPA Matrix'!$B$41:$U$41,MATCH($A8,'GPA Matrix'!$B$2:$U$2,0)),"")="","",IFERROR(INDEX('GPA Matrix'!$B$41:$U$41,MATCH($A8,'GPA Matrix'!$B$2:$U$2,0)),""))</f>
        <v/>
      </c>
      <c r="E8" s="25" t="n">
        <f aca="false">IFERROR(IF(INDEX('Campus Stats'!$C$2:$C$37,MATCH($A8,'Campus Stats'!$A$2:$A$37,0))="","",INDEX('Campus Stats'!$C$2:$C$37,MATCH($A8,'Campus Stats'!$A$2:$A$37,0))),"")</f>
        <v>3.365</v>
      </c>
      <c r="F8" s="25" t="n">
        <f aca="false">IFERROR(IF(INDEX('Campus Stats'!$F$2:$F$37,MATCH($A8,'Campus Stats'!$A$2:$A$37,0))="","",INDEX('Campus Stats'!$F$2:$F$37,MATCH($A8,'Campus Stats'!$A$2:$A$37,0))),"")</f>
        <v>3.439</v>
      </c>
      <c r="G8" s="22" t="str">
        <f aca="false">IF(OR(B8="",C8=""),"",B8-C8)</f>
        <v/>
      </c>
      <c r="H8" s="19" t="str">
        <f aca="false">IF(IFERROR(INDEX('GPA Matrix'!$B$44:$U$44,MATCH($A8,'GPA Matrix'!$B$2:$U$2,0)),"")="","",IFERROR(INDEX('GPA Matrix'!$B$44:$U$44,MATCH($A8,'GPA Matrix'!$B$2:$U$2,0)),""))</f>
        <v/>
      </c>
      <c r="I8" s="19" t="str">
        <f aca="false">IF(H8="","",IFERROR(INDEX('GPA Matrix'!$B$39:$U$39,MATCH($A8,'GPA Matrix'!$B$2:$U$2,0)),""))</f>
        <v/>
      </c>
      <c r="K8" s="19" t="n">
        <f aca="false">IF(IFERROR(INDEX('Members Matrix'!$B$43:$U$43,MATCH($A8,'Members Matrix'!$B$2:$U$2,0)),"")="","",IFERROR(INDEX('Members Matrix'!$B$43:$U$43,MATCH($A8,'Members Matrix'!$B$2:$U$2,0)),""))</f>
        <v>73</v>
      </c>
      <c r="L8" s="26" t="n">
        <f aca="false">IF(IFERROR(INDEX('Members Matrix'!$B$42:$U$42,MATCH($A8,'Members Matrix'!$B$2:$U$2,0)),"")="","",IFERROR(INDEX('Members Matrix'!$B$42:$U$42,MATCH($A8,'Members Matrix'!$B$2:$U$2,0)),""))</f>
        <v>75.5</v>
      </c>
      <c r="M8" s="19" t="n">
        <f aca="false">IF(IFERROR(INDEX('Members Matrix'!$B$44:$U$44,MATCH($A8,'Members Matrix'!$B$2:$U$2,0)),"")="","",IFERROR(INDEX('Members Matrix'!$B$44:$U$44,MATCH($A8,'Members Matrix'!$B$2:$U$2,0)),""))</f>
        <v>15</v>
      </c>
      <c r="N8" s="19" t="n">
        <f aca="false">IF(IFERROR(INDEX('Members Matrix'!$B$45:$U$45,MATCH($A8,'Members Matrix'!$B$2:$U$2,0)),"")="","",IFERROR(INDEX('Members Matrix'!$B$45:$U$45,MATCH($A8,'Members Matrix'!$B$2:$U$2,0)),""))</f>
        <v>96.6887417218543</v>
      </c>
      <c r="O8" s="19" t="str">
        <f aca="false">IF(IFERROR(INDEX('New Members Matrix'!$B$43:$U$43,MATCH($A8,'New Members Matrix'!$B$2:$U$2,0)),"")="","",IFERROR(INDEX('New Members Matrix'!$B$43:$U$43,MATCH($A8,'New Members Matrix'!$B$2:$U$2,0)),""))</f>
        <v/>
      </c>
      <c r="P8" s="26" t="str">
        <f aca="false">IF(IFERROR(INDEX('New Members Matrix'!$B$41:$U$41,MATCH($A8,'New Members Matrix'!$B$2:$U$2,0)),"")="","",IFERROR(INDEX('New Members Matrix'!$B$41:$U$41,MATCH($A8,'New Members Matrix'!$B$2:$U$2,0)),""))</f>
        <v/>
      </c>
      <c r="Q8" s="26" t="str">
        <f aca="false">IF(IFERROR(INDEX('New Members Matrix'!$B$42:$U$42,MATCH($A8,'New Members Matrix'!$B$2:$U$2,0)),"")="","",IFERROR(INDEX('New Members Matrix'!$B$42:$U$42,MATCH($A8,'New Members Matrix'!$B$2:$U$2,0)),""))</f>
        <v/>
      </c>
      <c r="R8" s="19" t="str">
        <f aca="false">IF(IFERROR(INDEX('New Members Matrix'!$B$44:$U$44,MATCH($A8,'New Members Matrix'!$B$2:$U$2,0)),"")="","",IFERROR(INDEX('New Members Matrix'!$B$44:$U$44,MATCH($A8,'New Members Matrix'!$B$2:$U$2,0)),""))</f>
        <v/>
      </c>
      <c r="S8" s="27" t="str">
        <f aca="false">IF(IFERROR(INDEX('New Members Matrix'!$B$45:$U$45,MATCH($A8,'New Members Matrix'!$B$2:$U$2,0)),"")="","",IFERROR(INDEX('New Members Matrix'!$B$45:$U$45,MATCH($A8,'New Members Matrix'!$B$2:$U$2,0)),""))</f>
        <v/>
      </c>
      <c r="T8" s="28" t="str">
        <f aca="false">IFERROR(IF(COUNTIFS('Chapter Data'!$A$2:$A$2500,$A8,'Chapter Data'!$D$2:$D$2500,OurChapter,'Chapter Data'!$J$2:$J$2500,"&lt;&gt;")=0,"",SUMIFS('Chapter Data'!$J$2:$J$2500,'Chapter Data'!$A$2:$A$2500,$A8,'Chapter Data'!$D$2:$D$2500,OurChapter)),"")</f>
        <v/>
      </c>
      <c r="U8" s="28" t="str">
        <f aca="false">IFERROR(IF(COUNTIFS('Chapter Data'!$A$2:$A$2500,$A8,'Chapter Data'!$D$2:$D$2500,OurChapter,'Chapter Data'!$K$2:$K$2500,"&lt;&gt;")=0,"",SUMIFS('Chapter Data'!$K$2:$K$2500,'Chapter Data'!$A$2:$A$2500,$A8,'Chapter Data'!$D$2:$D$2500,OurChapter)),"")</f>
        <v/>
      </c>
      <c r="V8" s="28" t="str">
        <f aca="false" t="array" ref="V8:V8">IF(COUNTIFS('Chapter Data'!$A$2:$A$2500,$A8,'Chapter Data'!$C$2:$C$2500,"IFC",'Chapter Data'!$K$2:$K$2500,"&gt;=0")&lt;MinChapters,"",MEDIAN(IF(('Chapter Data'!$A$2:$A$2500=$A8)*('Chapter Data'!$C$2:$C$2500="IFC")*ISNUMBER('Chapter Data'!$K$2:$K$2500),'Chapter Data'!$K$2:$K$2500)))</f>
        <v/>
      </c>
    </row>
    <row r="9" customFormat="false" ht="15" hidden="false" customHeight="false" outlineLevel="0" collapsed="false">
      <c r="A9" s="8" t="s">
        <v>148</v>
      </c>
      <c r="B9" s="25" t="n">
        <f aca="false">IF(IFERROR(INDEX('GPA Matrix'!$B$43:$U$43,MATCH($A9,'GPA Matrix'!$B$2:$U$2,0)),"")="","",IFERROR(INDEX('GPA Matrix'!$B$43:$U$43,MATCH($A9,'GPA Matrix'!$B$2:$U$2,0)),""))</f>
        <v>2.957</v>
      </c>
      <c r="C9" s="25" t="n">
        <f aca="false">IF(IFERROR(INDEX('GPA Matrix'!$B$40:$U$40,MATCH($A9,'GPA Matrix'!$B$2:$U$2,0)),"")="","",IFERROR(INDEX('GPA Matrix'!$B$40:$U$40,MATCH($A9,'GPA Matrix'!$B$2:$U$2,0)),""))</f>
        <v>3.19990453074434</v>
      </c>
      <c r="D9" s="25" t="n">
        <f aca="false">IF(IFERROR(INDEX('GPA Matrix'!$B$41:$U$41,MATCH($A9,'GPA Matrix'!$B$2:$U$2,0)),"")="","",IFERROR(INDEX('GPA Matrix'!$B$41:$U$41,MATCH($A9,'GPA Matrix'!$B$2:$U$2,0)),""))</f>
        <v>3.223</v>
      </c>
      <c r="E9" s="25" t="n">
        <f aca="false">IFERROR(IF(INDEX('Campus Stats'!$C$2:$C$37,MATCH($A9,'Campus Stats'!$A$2:$A$37,0))="","",INDEX('Campus Stats'!$C$2:$C$37,MATCH($A9,'Campus Stats'!$A$2:$A$37,0))),"")</f>
        <v>3.032</v>
      </c>
      <c r="F9" s="25" t="n">
        <f aca="false">IFERROR(IF(INDEX('Campus Stats'!$F$2:$F$37,MATCH($A9,'Campus Stats'!$A$2:$A$37,0))="","",INDEX('Campus Stats'!$F$2:$F$37,MATCH($A9,'Campus Stats'!$A$2:$A$37,0))),"")</f>
        <v>3.213</v>
      </c>
      <c r="G9" s="22" t="n">
        <f aca="false">IF(OR(B9="",C9=""),"",B9-C9)</f>
        <v>-0.242904530744337</v>
      </c>
      <c r="H9" s="19" t="n">
        <f aca="false">IF(IFERROR(INDEX('GPA Matrix'!$B$44:$U$44,MATCH($A9,'GPA Matrix'!$B$2:$U$2,0)),"")="","",IFERROR(INDEX('GPA Matrix'!$B$44:$U$44,MATCH($A9,'GPA Matrix'!$B$2:$U$2,0)),""))</f>
        <v>20</v>
      </c>
      <c r="I9" s="19" t="n">
        <f aca="false">IF(H9="","",IFERROR(INDEX('GPA Matrix'!$B$39:$U$39,MATCH($A9,'GPA Matrix'!$B$2:$U$2,0)),""))</f>
        <v>24</v>
      </c>
      <c r="K9" s="19" t="n">
        <f aca="false">IF(IFERROR(INDEX('Members Matrix'!$B$43:$U$43,MATCH($A9,'Members Matrix'!$B$2:$U$2,0)),"")="","",IFERROR(INDEX('Members Matrix'!$B$43:$U$43,MATCH($A9,'Members Matrix'!$B$2:$U$2,0)),""))</f>
        <v>78</v>
      </c>
      <c r="L9" s="26" t="n">
        <f aca="false">IF(IFERROR(INDEX('Members Matrix'!$B$42:$U$42,MATCH($A9,'Members Matrix'!$B$2:$U$2,0)),"")="","",IFERROR(INDEX('Members Matrix'!$B$42:$U$42,MATCH($A9,'Members Matrix'!$B$2:$U$2,0)),""))</f>
        <v>77.5</v>
      </c>
      <c r="M9" s="19" t="n">
        <f aca="false">IF(IFERROR(INDEX('Members Matrix'!$B$44:$U$44,MATCH($A9,'Members Matrix'!$B$2:$U$2,0)),"")="","",IFERROR(INDEX('Members Matrix'!$B$44:$U$44,MATCH($A9,'Members Matrix'!$B$2:$U$2,0)),""))</f>
        <v>13</v>
      </c>
      <c r="N9" s="19" t="n">
        <f aca="false">IF(IFERROR(INDEX('Members Matrix'!$B$45:$U$45,MATCH($A9,'Members Matrix'!$B$2:$U$2,0)),"")="","",IFERROR(INDEX('Members Matrix'!$B$45:$U$45,MATCH($A9,'Members Matrix'!$B$2:$U$2,0)),""))</f>
        <v>100.645161290323</v>
      </c>
      <c r="O9" s="19" t="n">
        <f aca="false">IF(IFERROR(INDEX('New Members Matrix'!$B$43:$U$43,MATCH($A9,'New Members Matrix'!$B$2:$U$2,0)),"")="","",IFERROR(INDEX('New Members Matrix'!$B$43:$U$43,MATCH($A9,'New Members Matrix'!$B$2:$U$2,0)),""))</f>
        <v>28</v>
      </c>
      <c r="P9" s="26" t="n">
        <f aca="false">IF(IFERROR(INDEX('New Members Matrix'!$B$41:$U$41,MATCH($A9,'New Members Matrix'!$B$2:$U$2,0)),"")="","",IFERROR(INDEX('New Members Matrix'!$B$41:$U$41,MATCH($A9,'New Members Matrix'!$B$2:$U$2,0)),""))</f>
        <v>21</v>
      </c>
      <c r="Q9" s="26" t="n">
        <f aca="false">IF(IFERROR(INDEX('New Members Matrix'!$B$42:$U$42,MATCH($A9,'New Members Matrix'!$B$2:$U$2,0)),"")="","",IFERROR(INDEX('New Members Matrix'!$B$42:$U$42,MATCH($A9,'New Members Matrix'!$B$2:$U$2,0)),""))</f>
        <v>24</v>
      </c>
      <c r="R9" s="19" t="n">
        <f aca="false">IF(IFERROR(INDEX('New Members Matrix'!$B$44:$U$44,MATCH($A9,'New Members Matrix'!$B$2:$U$2,0)),"")="","",IFERROR(INDEX('New Members Matrix'!$B$44:$U$44,MATCH($A9,'New Members Matrix'!$B$2:$U$2,0)),""))</f>
        <v>9</v>
      </c>
      <c r="S9" s="27" t="n">
        <f aca="false">IF(IFERROR(INDEX('New Members Matrix'!$B$45:$U$45,MATCH($A9,'New Members Matrix'!$B$2:$U$2,0)),"")="","",IFERROR(INDEX('New Members Matrix'!$B$45:$U$45,MATCH($A9,'New Members Matrix'!$B$2:$U$2,0)),""))</f>
        <v>0.0512820512820513</v>
      </c>
      <c r="T9" s="28" t="str">
        <f aca="false">IFERROR(IF(COUNTIFS('Chapter Data'!$A$2:$A$2500,$A9,'Chapter Data'!$D$2:$D$2500,OurChapter,'Chapter Data'!$J$2:$J$2500,"&lt;&gt;")=0,"",SUMIFS('Chapter Data'!$J$2:$J$2500,'Chapter Data'!$A$2:$A$2500,$A9,'Chapter Data'!$D$2:$D$2500,OurChapter)),"")</f>
        <v/>
      </c>
      <c r="U9" s="28" t="str">
        <f aca="false">IFERROR(IF(COUNTIFS('Chapter Data'!$A$2:$A$2500,$A9,'Chapter Data'!$D$2:$D$2500,OurChapter,'Chapter Data'!$K$2:$K$2500,"&lt;&gt;")=0,"",SUMIFS('Chapter Data'!$K$2:$K$2500,'Chapter Data'!$A$2:$A$2500,$A9,'Chapter Data'!$D$2:$D$2500,OurChapter)),"")</f>
        <v/>
      </c>
      <c r="V9" s="28" t="str">
        <f aca="false" t="array" ref="V9:V9">IF(COUNTIFS('Chapter Data'!$A$2:$A$2500,$A9,'Chapter Data'!$C$2:$C$2500,"IFC",'Chapter Data'!$K$2:$K$2500,"&gt;=0")&lt;MinChapters,"",MEDIAN(IF(('Chapter Data'!$A$2:$A$2500=$A9)*('Chapter Data'!$C$2:$C$2500="IFC")*ISNUMBER('Chapter Data'!$K$2:$K$2500),'Chapter Data'!$K$2:$K$2500)))</f>
        <v/>
      </c>
    </row>
    <row r="10" customFormat="false" ht="15" hidden="false" customHeight="false" outlineLevel="0" collapsed="false">
      <c r="A10" s="8" t="s">
        <v>149</v>
      </c>
      <c r="B10" s="25" t="n">
        <f aca="false">IF(IFERROR(INDEX('GPA Matrix'!$B$43:$U$43,MATCH($A10,'GPA Matrix'!$B$2:$U$2,0)),"")="","",IFERROR(INDEX('GPA Matrix'!$B$43:$U$43,MATCH($A10,'GPA Matrix'!$B$2:$U$2,0)),""))</f>
        <v>3.267</v>
      </c>
      <c r="C10" s="25" t="n">
        <f aca="false">IF(IFERROR(INDEX('GPA Matrix'!$B$40:$U$40,MATCH($A10,'GPA Matrix'!$B$2:$U$2,0)),"")="","",IFERROR(INDEX('GPA Matrix'!$B$40:$U$40,MATCH($A10,'GPA Matrix'!$B$2:$U$2,0)),""))</f>
        <v>3.31592729306488</v>
      </c>
      <c r="D10" s="25" t="n">
        <f aca="false">IF(IFERROR(INDEX('GPA Matrix'!$B$41:$U$41,MATCH($A10,'GPA Matrix'!$B$2:$U$2,0)),"")="","",IFERROR(INDEX('GPA Matrix'!$B$41:$U$41,MATCH($A10,'GPA Matrix'!$B$2:$U$2,0)),""))</f>
        <v>3.311</v>
      </c>
      <c r="E10" s="25" t="n">
        <f aca="false">IFERROR(IF(INDEX('Campus Stats'!$C$2:$C$37,MATCH($A10,'Campus Stats'!$A$2:$A$37,0))="","",INDEX('Campus Stats'!$C$2:$C$37,MATCH($A10,'Campus Stats'!$A$2:$A$37,0))),"")</f>
        <v>3.187</v>
      </c>
      <c r="F10" s="25" t="n">
        <f aca="false">IFERROR(IF(INDEX('Campus Stats'!$F$2:$F$37,MATCH($A10,'Campus Stats'!$A$2:$A$37,0))="","",INDEX('Campus Stats'!$F$2:$F$37,MATCH($A10,'Campus Stats'!$A$2:$A$37,0))),"")</f>
        <v>3.307</v>
      </c>
      <c r="G10" s="22" t="n">
        <f aca="false">IF(OR(B10="",C10=""),"",B10-C10)</f>
        <v>-0.0489272930648768</v>
      </c>
      <c r="H10" s="19" t="n">
        <f aca="false">IF(IFERROR(INDEX('GPA Matrix'!$B$44:$U$44,MATCH($A10,'GPA Matrix'!$B$2:$U$2,0)),"")="","",IFERROR(INDEX('GPA Matrix'!$B$44:$U$44,MATCH($A10,'GPA Matrix'!$B$2:$U$2,0)),""))</f>
        <v>15</v>
      </c>
      <c r="I10" s="19" t="n">
        <f aca="false">IF(H10="","",IFERROR(INDEX('GPA Matrix'!$B$39:$U$39,MATCH($A10,'GPA Matrix'!$B$2:$U$2,0)),""))</f>
        <v>26</v>
      </c>
      <c r="K10" s="19" t="n">
        <f aca="false">IF(IFERROR(INDEX('Members Matrix'!$B$43:$U$43,MATCH($A10,'Members Matrix'!$B$2:$U$2,0)),"")="","",IFERROR(INDEX('Members Matrix'!$B$43:$U$43,MATCH($A10,'Members Matrix'!$B$2:$U$2,0)),""))</f>
        <v>74</v>
      </c>
      <c r="L10" s="26" t="n">
        <f aca="false">IF(IFERROR(INDEX('Members Matrix'!$B$42:$U$42,MATCH($A10,'Members Matrix'!$B$2:$U$2,0)),"")="","",IFERROR(INDEX('Members Matrix'!$B$42:$U$42,MATCH($A10,'Members Matrix'!$B$2:$U$2,0)),""))</f>
        <v>74</v>
      </c>
      <c r="M10" s="19" t="n">
        <f aca="false">IF(IFERROR(INDEX('Members Matrix'!$B$44:$U$44,MATCH($A10,'Members Matrix'!$B$2:$U$2,0)),"")="","",IFERROR(INDEX('Members Matrix'!$B$44:$U$44,MATCH($A10,'Members Matrix'!$B$2:$U$2,0)),""))</f>
        <v>12</v>
      </c>
      <c r="N10" s="19" t="n">
        <f aca="false">IF(IFERROR(INDEX('Members Matrix'!$B$45:$U$45,MATCH($A10,'Members Matrix'!$B$2:$U$2,0)),"")="","",IFERROR(INDEX('Members Matrix'!$B$45:$U$45,MATCH($A10,'Members Matrix'!$B$2:$U$2,0)),""))</f>
        <v>100</v>
      </c>
      <c r="O10" s="19" t="n">
        <f aca="false">IF(IFERROR(INDEX('New Members Matrix'!$B$43:$U$43,MATCH($A10,'New Members Matrix'!$B$2:$U$2,0)),"")="","",IFERROR(INDEX('New Members Matrix'!$B$43:$U$43,MATCH($A10,'New Members Matrix'!$B$2:$U$2,0)),""))</f>
        <v>10</v>
      </c>
      <c r="P10" s="26" t="n">
        <f aca="false">IF(IFERROR(INDEX('New Members Matrix'!$B$41:$U$41,MATCH($A10,'New Members Matrix'!$B$2:$U$2,0)),"")="","",IFERROR(INDEX('New Members Matrix'!$B$41:$U$41,MATCH($A10,'New Members Matrix'!$B$2:$U$2,0)),""))</f>
        <v>3.34615384615385</v>
      </c>
      <c r="Q10" s="26" t="n">
        <f aca="false">IF(IFERROR(INDEX('New Members Matrix'!$B$42:$U$42,MATCH($A10,'New Members Matrix'!$B$2:$U$2,0)),"")="","",IFERROR(INDEX('New Members Matrix'!$B$42:$U$42,MATCH($A10,'New Members Matrix'!$B$2:$U$2,0)),""))</f>
        <v>2</v>
      </c>
      <c r="R10" s="19" t="n">
        <f aca="false">IF(IFERROR(INDEX('New Members Matrix'!$B$44:$U$44,MATCH($A10,'New Members Matrix'!$B$2:$U$2,0)),"")="","",IFERROR(INDEX('New Members Matrix'!$B$44:$U$44,MATCH($A10,'New Members Matrix'!$B$2:$U$2,0)),""))</f>
        <v>2</v>
      </c>
      <c r="S10" s="27" t="n">
        <f aca="false">IF(IFERROR(INDEX('New Members Matrix'!$B$45:$U$45,MATCH($A10,'New Members Matrix'!$B$2:$U$2,0)),"")="","",IFERROR(INDEX('New Members Matrix'!$B$45:$U$45,MATCH($A10,'New Members Matrix'!$B$2:$U$2,0)),""))</f>
        <v>0.114942528735632</v>
      </c>
      <c r="T10" s="28" t="str">
        <f aca="false">IFERROR(IF(COUNTIFS('Chapter Data'!$A$2:$A$2500,$A10,'Chapter Data'!$D$2:$D$2500,OurChapter,'Chapter Data'!$J$2:$J$2500,"&lt;&gt;")=0,"",SUMIFS('Chapter Data'!$J$2:$J$2500,'Chapter Data'!$A$2:$A$2500,$A10,'Chapter Data'!$D$2:$D$2500,OurChapter)),"")</f>
        <v/>
      </c>
      <c r="U10" s="28" t="str">
        <f aca="false">IFERROR(IF(COUNTIFS('Chapter Data'!$A$2:$A$2500,$A10,'Chapter Data'!$D$2:$D$2500,OurChapter,'Chapter Data'!$K$2:$K$2500,"&lt;&gt;")=0,"",SUMIFS('Chapter Data'!$K$2:$K$2500,'Chapter Data'!$A$2:$A$2500,$A10,'Chapter Data'!$D$2:$D$2500,OurChapter)),"")</f>
        <v/>
      </c>
      <c r="V10" s="28" t="str">
        <f aca="false" t="array" ref="V10:V10">IF(COUNTIFS('Chapter Data'!$A$2:$A$2500,$A10,'Chapter Data'!$C$2:$C$2500,"IFC",'Chapter Data'!$K$2:$K$2500,"&gt;=0")&lt;MinChapters,"",MEDIAN(IF(('Chapter Data'!$A$2:$A$2500=$A10)*('Chapter Data'!$C$2:$C$2500="IFC")*ISNUMBER('Chapter Data'!$K$2:$K$2500),'Chapter Data'!$K$2:$K$2500)))</f>
        <v/>
      </c>
    </row>
    <row r="11" customFormat="false" ht="15" hidden="false" customHeight="false" outlineLevel="0" collapsed="false">
      <c r="A11" s="8" t="s">
        <v>150</v>
      </c>
      <c r="B11" s="25" t="n">
        <f aca="false">IF(IFERROR(INDEX('GPA Matrix'!$B$43:$U$43,MATCH($A11,'GPA Matrix'!$B$2:$U$2,0)),"")="","",IFERROR(INDEX('GPA Matrix'!$B$43:$U$43,MATCH($A11,'GPA Matrix'!$B$2:$U$2,0)),""))</f>
        <v>3.167</v>
      </c>
      <c r="C11" s="25" t="n">
        <f aca="false">IF(IFERROR(INDEX('GPA Matrix'!$B$40:$U$40,MATCH($A11,'GPA Matrix'!$B$2:$U$2,0)),"")="","",IFERROR(INDEX('GPA Matrix'!$B$40:$U$40,MATCH($A11,'GPA Matrix'!$B$2:$U$2,0)),""))</f>
        <v>3.22402217168846</v>
      </c>
      <c r="D11" s="25" t="n">
        <f aca="false">IF(IFERROR(INDEX('GPA Matrix'!$B$41:$U$41,MATCH($A11,'GPA Matrix'!$B$2:$U$2,0)),"")="","",IFERROR(INDEX('GPA Matrix'!$B$41:$U$41,MATCH($A11,'GPA Matrix'!$B$2:$U$2,0)),""))</f>
        <v>3.183</v>
      </c>
      <c r="E11" s="25" t="n">
        <f aca="false">IFERROR(IF(INDEX('Campus Stats'!$C$2:$C$37,MATCH($A11,'Campus Stats'!$A$2:$A$37,0))="","",INDEX('Campus Stats'!$C$2:$C$37,MATCH($A11,'Campus Stats'!$A$2:$A$37,0))),"")</f>
        <v>3.084</v>
      </c>
      <c r="F11" s="25" t="n">
        <f aca="false">IFERROR(IF(INDEX('Campus Stats'!$F$2:$F$37,MATCH($A11,'Campus Stats'!$A$2:$A$37,0))="","",INDEX('Campus Stats'!$F$2:$F$37,MATCH($A11,'Campus Stats'!$A$2:$A$37,0))),"")</f>
        <v>3.221</v>
      </c>
      <c r="G11" s="22" t="n">
        <f aca="false">IF(OR(B11="",C11=""),"",B11-C11)</f>
        <v>-0.0570221716884598</v>
      </c>
      <c r="H11" s="19" t="n">
        <f aca="false">IF(IFERROR(INDEX('GPA Matrix'!$B$44:$U$44,MATCH($A11,'GPA Matrix'!$B$2:$U$2,0)),"")="","",IFERROR(INDEX('GPA Matrix'!$B$44:$U$44,MATCH($A11,'GPA Matrix'!$B$2:$U$2,0)),""))</f>
        <v>14</v>
      </c>
      <c r="I11" s="19" t="n">
        <f aca="false">IF(H11="","",IFERROR(INDEX('GPA Matrix'!$B$39:$U$39,MATCH($A11,'GPA Matrix'!$B$2:$U$2,0)),""))</f>
        <v>25</v>
      </c>
      <c r="K11" s="19" t="n">
        <f aca="false">IF(IFERROR(INDEX('Members Matrix'!$B$43:$U$43,MATCH($A11,'Members Matrix'!$B$2:$U$2,0)),"")="","",IFERROR(INDEX('Members Matrix'!$B$43:$U$43,MATCH($A11,'Members Matrix'!$B$2:$U$2,0)),""))</f>
        <v>74</v>
      </c>
      <c r="L11" s="26" t="n">
        <f aca="false">IF(IFERROR(INDEX('Members Matrix'!$B$42:$U$42,MATCH($A11,'Members Matrix'!$B$2:$U$2,0)),"")="","",IFERROR(INDEX('Members Matrix'!$B$42:$U$42,MATCH($A11,'Members Matrix'!$B$2:$U$2,0)),""))</f>
        <v>74</v>
      </c>
      <c r="M11" s="19" t="n">
        <f aca="false">IF(IFERROR(INDEX('Members Matrix'!$B$44:$U$44,MATCH($A11,'Members Matrix'!$B$2:$U$2,0)),"")="","",IFERROR(INDEX('Members Matrix'!$B$44:$U$44,MATCH($A11,'Members Matrix'!$B$2:$U$2,0)),""))</f>
        <v>13</v>
      </c>
      <c r="N11" s="19" t="n">
        <f aca="false">IF(IFERROR(INDEX('Members Matrix'!$B$45:$U$45,MATCH($A11,'Members Matrix'!$B$2:$U$2,0)),"")="","",IFERROR(INDEX('Members Matrix'!$B$45:$U$45,MATCH($A11,'Members Matrix'!$B$2:$U$2,0)),""))</f>
        <v>100</v>
      </c>
      <c r="O11" s="19" t="n">
        <f aca="false">IF(IFERROR(INDEX('New Members Matrix'!$B$43:$U$43,MATCH($A11,'New Members Matrix'!$B$2:$U$2,0)),"")="","",IFERROR(INDEX('New Members Matrix'!$B$43:$U$43,MATCH($A11,'New Members Matrix'!$B$2:$U$2,0)),""))</f>
        <v>14</v>
      </c>
      <c r="P11" s="26" t="n">
        <f aca="false">IF(IFERROR(INDEX('New Members Matrix'!$B$41:$U$41,MATCH($A11,'New Members Matrix'!$B$2:$U$2,0)),"")="","",IFERROR(INDEX('New Members Matrix'!$B$41:$U$41,MATCH($A11,'New Members Matrix'!$B$2:$U$2,0)),""))</f>
        <v>21</v>
      </c>
      <c r="Q11" s="26" t="n">
        <f aca="false">IF(IFERROR(INDEX('New Members Matrix'!$B$42:$U$42,MATCH($A11,'New Members Matrix'!$B$2:$U$2,0)),"")="","",IFERROR(INDEX('New Members Matrix'!$B$42:$U$42,MATCH($A11,'New Members Matrix'!$B$2:$U$2,0)),""))</f>
        <v>20</v>
      </c>
      <c r="R11" s="19" t="n">
        <f aca="false">IF(IFERROR(INDEX('New Members Matrix'!$B$44:$U$44,MATCH($A11,'New Members Matrix'!$B$2:$U$2,0)),"")="","",IFERROR(INDEX('New Members Matrix'!$B$44:$U$44,MATCH($A11,'New Members Matrix'!$B$2:$U$2,0)),""))</f>
        <v>16</v>
      </c>
      <c r="S11" s="27" t="n">
        <f aca="false">IF(IFERROR(INDEX('New Members Matrix'!$B$45:$U$45,MATCH($A11,'New Members Matrix'!$B$2:$U$2,0)),"")="","",IFERROR(INDEX('New Members Matrix'!$B$45:$U$45,MATCH($A11,'New Members Matrix'!$B$2:$U$2,0)),""))</f>
        <v>0.0266666666666667</v>
      </c>
      <c r="T11" s="28" t="str">
        <f aca="false">IFERROR(IF(COUNTIFS('Chapter Data'!$A$2:$A$2500,$A11,'Chapter Data'!$D$2:$D$2500,OurChapter,'Chapter Data'!$J$2:$J$2500,"&lt;&gt;")=0,"",SUMIFS('Chapter Data'!$J$2:$J$2500,'Chapter Data'!$A$2:$A$2500,$A11,'Chapter Data'!$D$2:$D$2500,OurChapter)),"")</f>
        <v/>
      </c>
      <c r="U11" s="28" t="str">
        <f aca="false">IFERROR(IF(COUNTIFS('Chapter Data'!$A$2:$A$2500,$A11,'Chapter Data'!$D$2:$D$2500,OurChapter,'Chapter Data'!$K$2:$K$2500,"&lt;&gt;")=0,"",SUMIFS('Chapter Data'!$K$2:$K$2500,'Chapter Data'!$A$2:$A$2500,$A11,'Chapter Data'!$D$2:$D$2500,OurChapter)),"")</f>
        <v/>
      </c>
      <c r="V11" s="28" t="str">
        <f aca="false" t="array" ref="V11:V11">IF(COUNTIFS('Chapter Data'!$A$2:$A$2500,$A11,'Chapter Data'!$C$2:$C$2500,"IFC",'Chapter Data'!$K$2:$K$2500,"&gt;=0")&lt;MinChapters,"",MEDIAN(IF(('Chapter Data'!$A$2:$A$2500=$A11)*('Chapter Data'!$C$2:$C$2500="IFC")*ISNUMBER('Chapter Data'!$K$2:$K$2500),'Chapter Data'!$K$2:$K$2500)))</f>
        <v/>
      </c>
    </row>
    <row r="12" customFormat="false" ht="15" hidden="false" customHeight="false" outlineLevel="0" collapsed="false">
      <c r="A12" s="8" t="s">
        <v>151</v>
      </c>
      <c r="B12" s="25" t="n">
        <f aca="false">IF(IFERROR(INDEX('GPA Matrix'!$B$43:$U$43,MATCH($A12,'GPA Matrix'!$B$2:$U$2,0)),"")="","",IFERROR(INDEX('GPA Matrix'!$B$43:$U$43,MATCH($A12,'GPA Matrix'!$B$2:$U$2,0)),""))</f>
        <v>3.316</v>
      </c>
      <c r="C12" s="25" t="n">
        <f aca="false">IF(IFERROR(INDEX('GPA Matrix'!$B$40:$U$40,MATCH($A12,'GPA Matrix'!$B$2:$U$2,0)),"")="","",IFERROR(INDEX('GPA Matrix'!$B$40:$U$40,MATCH($A12,'GPA Matrix'!$B$2:$U$2,0)),""))</f>
        <v>3.30631563593932</v>
      </c>
      <c r="D12" s="25" t="n">
        <f aca="false">IF(IFERROR(INDEX('GPA Matrix'!$B$41:$U$41,MATCH($A12,'GPA Matrix'!$B$2:$U$2,0)),"")="","",IFERROR(INDEX('GPA Matrix'!$B$41:$U$41,MATCH($A12,'GPA Matrix'!$B$2:$U$2,0)),""))</f>
        <v>3.266</v>
      </c>
      <c r="E12" s="25" t="n">
        <f aca="false">IFERROR(IF(INDEX('Campus Stats'!$C$2:$C$37,MATCH($A12,'Campus Stats'!$A$2:$A$37,0))="","",INDEX('Campus Stats'!$C$2:$C$37,MATCH($A12,'Campus Stats'!$A$2:$A$37,0))),"")</f>
        <v>3.161</v>
      </c>
      <c r="F12" s="25" t="n">
        <f aca="false">IFERROR(IF(INDEX('Campus Stats'!$F$2:$F$37,MATCH($A12,'Campus Stats'!$A$2:$A$37,0))="","",INDEX('Campus Stats'!$F$2:$F$37,MATCH($A12,'Campus Stats'!$A$2:$A$37,0))),"")</f>
        <v>3.29</v>
      </c>
      <c r="G12" s="22" t="n">
        <f aca="false">IF(OR(B12="",C12=""),"",B12-C12)</f>
        <v>0.00968436406067674</v>
      </c>
      <c r="H12" s="19" t="n">
        <f aca="false">IF(IFERROR(INDEX('GPA Matrix'!$B$44:$U$44,MATCH($A12,'GPA Matrix'!$B$2:$U$2,0)),"")="","",IFERROR(INDEX('GPA Matrix'!$B$44:$U$44,MATCH($A12,'GPA Matrix'!$B$2:$U$2,0)),""))</f>
        <v>10</v>
      </c>
      <c r="I12" s="19" t="n">
        <f aca="false">IF(H12="","",IFERROR(INDEX('GPA Matrix'!$B$39:$U$39,MATCH($A12,'GPA Matrix'!$B$2:$U$2,0)),""))</f>
        <v>25</v>
      </c>
      <c r="K12" s="19" t="n">
        <f aca="false">IF(IFERROR(INDEX('Members Matrix'!$B$43:$U$43,MATCH($A12,'Members Matrix'!$B$2:$U$2,0)),"")="","",IFERROR(INDEX('Members Matrix'!$B$43:$U$43,MATCH($A12,'Members Matrix'!$B$2:$U$2,0)),""))</f>
        <v>68</v>
      </c>
      <c r="L12" s="26" t="n">
        <f aca="false">IF(IFERROR(INDEX('Members Matrix'!$B$42:$U$42,MATCH($A12,'Members Matrix'!$B$2:$U$2,0)),"")="","",IFERROR(INDEX('Members Matrix'!$B$42:$U$42,MATCH($A12,'Members Matrix'!$B$2:$U$2,0)),""))</f>
        <v>68</v>
      </c>
      <c r="M12" s="19" t="n">
        <f aca="false">IF(IFERROR(INDEX('Members Matrix'!$B$44:$U$44,MATCH($A12,'Members Matrix'!$B$2:$U$2,0)),"")="","",IFERROR(INDEX('Members Matrix'!$B$44:$U$44,MATCH($A12,'Members Matrix'!$B$2:$U$2,0)),""))</f>
        <v>13</v>
      </c>
      <c r="N12" s="19" t="n">
        <f aca="false">IF(IFERROR(INDEX('Members Matrix'!$B$45:$U$45,MATCH($A12,'Members Matrix'!$B$2:$U$2,0)),"")="","",IFERROR(INDEX('Members Matrix'!$B$45:$U$45,MATCH($A12,'Members Matrix'!$B$2:$U$2,0)),""))</f>
        <v>100</v>
      </c>
      <c r="O12" s="19" t="str">
        <f aca="false">IF(IFERROR(INDEX('New Members Matrix'!$B$43:$U$43,MATCH($A12,'New Members Matrix'!$B$2:$U$2,0)),"")="","",IFERROR(INDEX('New Members Matrix'!$B$43:$U$43,MATCH($A12,'New Members Matrix'!$B$2:$U$2,0)),""))</f>
        <v/>
      </c>
      <c r="P12" s="26" t="str">
        <f aca="false">IF(IFERROR(INDEX('New Members Matrix'!$B$41:$U$41,MATCH($A12,'New Members Matrix'!$B$2:$U$2,0)),"")="","",IFERROR(INDEX('New Members Matrix'!$B$41:$U$41,MATCH($A12,'New Members Matrix'!$B$2:$U$2,0)),""))</f>
        <v/>
      </c>
      <c r="Q12" s="26" t="str">
        <f aca="false">IF(IFERROR(INDEX('New Members Matrix'!$B$42:$U$42,MATCH($A12,'New Members Matrix'!$B$2:$U$2,0)),"")="","",IFERROR(INDEX('New Members Matrix'!$B$42:$U$42,MATCH($A12,'New Members Matrix'!$B$2:$U$2,0)),""))</f>
        <v/>
      </c>
      <c r="R12" s="19" t="str">
        <f aca="false">IF(IFERROR(INDEX('New Members Matrix'!$B$44:$U$44,MATCH($A12,'New Members Matrix'!$B$2:$U$2,0)),"")="","",IFERROR(INDEX('New Members Matrix'!$B$44:$U$44,MATCH($A12,'New Members Matrix'!$B$2:$U$2,0)),""))</f>
        <v/>
      </c>
      <c r="S12" s="27" t="str">
        <f aca="false">IF(IFERROR(INDEX('New Members Matrix'!$B$45:$U$45,MATCH($A12,'New Members Matrix'!$B$2:$U$2,0)),"")="","",IFERROR(INDEX('New Members Matrix'!$B$45:$U$45,MATCH($A12,'New Members Matrix'!$B$2:$U$2,0)),""))</f>
        <v/>
      </c>
      <c r="T12" s="28" t="str">
        <f aca="false">IFERROR(IF(COUNTIFS('Chapter Data'!$A$2:$A$2500,$A12,'Chapter Data'!$D$2:$D$2500,OurChapter,'Chapter Data'!$J$2:$J$2500,"&lt;&gt;")=0,"",SUMIFS('Chapter Data'!$J$2:$J$2500,'Chapter Data'!$A$2:$A$2500,$A12,'Chapter Data'!$D$2:$D$2500,OurChapter)),"")</f>
        <v/>
      </c>
      <c r="U12" s="28" t="str">
        <f aca="false">IFERROR(IF(COUNTIFS('Chapter Data'!$A$2:$A$2500,$A12,'Chapter Data'!$D$2:$D$2500,OurChapter,'Chapter Data'!$K$2:$K$2500,"&lt;&gt;")=0,"",SUMIFS('Chapter Data'!$K$2:$K$2500,'Chapter Data'!$A$2:$A$2500,$A12,'Chapter Data'!$D$2:$D$2500,OurChapter)),"")</f>
        <v/>
      </c>
      <c r="V12" s="28" t="str">
        <f aca="false" t="array" ref="V12:V12">IF(COUNTIFS('Chapter Data'!$A$2:$A$2500,$A12,'Chapter Data'!$C$2:$C$2500,"IFC",'Chapter Data'!$K$2:$K$2500,"&gt;=0")&lt;MinChapters,"",MEDIAN(IF(('Chapter Data'!$A$2:$A$2500=$A12)*('Chapter Data'!$C$2:$C$2500="IFC")*ISNUMBER('Chapter Data'!$K$2:$K$2500),'Chapter Data'!$K$2:$K$2500)))</f>
        <v/>
      </c>
    </row>
    <row r="13" customFormat="false" ht="15" hidden="false" customHeight="false" outlineLevel="0" collapsed="false">
      <c r="A13" s="8" t="s">
        <v>152</v>
      </c>
      <c r="B13" s="25" t="n">
        <f aca="false">IF(IFERROR(INDEX('GPA Matrix'!$B$43:$U$43,MATCH($A13,'GPA Matrix'!$B$2:$U$2,0)),"")="","",IFERROR(INDEX('GPA Matrix'!$B$43:$U$43,MATCH($A13,'GPA Matrix'!$B$2:$U$2,0)),""))</f>
        <v>3.096</v>
      </c>
      <c r="C13" s="25" t="n">
        <f aca="false">IF(IFERROR(INDEX('GPA Matrix'!$B$40:$U$40,MATCH($A13,'GPA Matrix'!$B$2:$U$2,0)),"")="","",IFERROR(INDEX('GPA Matrix'!$B$40:$U$40,MATCH($A13,'GPA Matrix'!$B$2:$U$2,0)),""))</f>
        <v>3.28022558922559</v>
      </c>
      <c r="D13" s="25" t="n">
        <f aca="false">IF(IFERROR(INDEX('GPA Matrix'!$B$41:$U$41,MATCH($A13,'GPA Matrix'!$B$2:$U$2,0)),"")="","",IFERROR(INDEX('GPA Matrix'!$B$41:$U$41,MATCH($A13,'GPA Matrix'!$B$2:$U$2,0)),""))</f>
        <v>3.2415</v>
      </c>
      <c r="E13" s="25" t="n">
        <f aca="false">IFERROR(IF(INDEX('Campus Stats'!$C$2:$C$37,MATCH($A13,'Campus Stats'!$A$2:$A$37,0))="","",INDEX('Campus Stats'!$C$2:$C$37,MATCH($A13,'Campus Stats'!$A$2:$A$37,0))),"")</f>
        <v>3.131</v>
      </c>
      <c r="F13" s="25" t="n">
        <f aca="false">IFERROR(IF(INDEX('Campus Stats'!$F$2:$F$37,MATCH($A13,'Campus Stats'!$A$2:$A$37,0))="","",INDEX('Campus Stats'!$F$2:$F$37,MATCH($A13,'Campus Stats'!$A$2:$A$37,0))),"")</f>
        <v>3.265</v>
      </c>
      <c r="G13" s="22" t="n">
        <f aca="false">IF(OR(B13="",C13=""),"",B13-C13)</f>
        <v>-0.184225589225589</v>
      </c>
      <c r="H13" s="19" t="n">
        <f aca="false">IF(IFERROR(INDEX('GPA Matrix'!$B$44:$U$44,MATCH($A13,'GPA Matrix'!$B$2:$U$2,0)),"")="","",IFERROR(INDEX('GPA Matrix'!$B$44:$U$44,MATCH($A13,'GPA Matrix'!$B$2:$U$2,0)),""))</f>
        <v>18</v>
      </c>
      <c r="I13" s="19" t="n">
        <f aca="false">IF(H13="","",IFERROR(INDEX('GPA Matrix'!$B$39:$U$39,MATCH($A13,'GPA Matrix'!$B$2:$U$2,0)),""))</f>
        <v>24</v>
      </c>
      <c r="K13" s="19" t="n">
        <f aca="false">IF(IFERROR(INDEX('Members Matrix'!$B$43:$U$43,MATCH($A13,'Members Matrix'!$B$2:$U$2,0)),"")="","",IFERROR(INDEX('Members Matrix'!$B$43:$U$43,MATCH($A13,'Members Matrix'!$B$2:$U$2,0)),""))</f>
        <v>71</v>
      </c>
      <c r="L13" s="26" t="n">
        <f aca="false">IF(IFERROR(INDEX('Members Matrix'!$B$42:$U$42,MATCH($A13,'Members Matrix'!$B$2:$U$2,0)),"")="","",IFERROR(INDEX('Members Matrix'!$B$42:$U$42,MATCH($A13,'Members Matrix'!$B$2:$U$2,0)),""))</f>
        <v>77</v>
      </c>
      <c r="M13" s="19" t="n">
        <f aca="false">IF(IFERROR(INDEX('Members Matrix'!$B$44:$U$44,MATCH($A13,'Members Matrix'!$B$2:$U$2,0)),"")="","",IFERROR(INDEX('Members Matrix'!$B$44:$U$44,MATCH($A13,'Members Matrix'!$B$2:$U$2,0)),""))</f>
        <v>13</v>
      </c>
      <c r="N13" s="19" t="n">
        <f aca="false">IF(IFERROR(INDEX('Members Matrix'!$B$45:$U$45,MATCH($A13,'Members Matrix'!$B$2:$U$2,0)),"")="","",IFERROR(INDEX('Members Matrix'!$B$45:$U$45,MATCH($A13,'Members Matrix'!$B$2:$U$2,0)),""))</f>
        <v>92.2077922077922</v>
      </c>
      <c r="O13" s="19" t="n">
        <f aca="false">IF(IFERROR(INDEX('New Members Matrix'!$B$43:$U$43,MATCH($A13,'New Members Matrix'!$B$2:$U$2,0)),"")="","",IFERROR(INDEX('New Members Matrix'!$B$43:$U$43,MATCH($A13,'New Members Matrix'!$B$2:$U$2,0)),""))</f>
        <v>17</v>
      </c>
      <c r="P13" s="26" t="n">
        <f aca="false">IF(IFERROR(INDEX('New Members Matrix'!$B$41:$U$41,MATCH($A13,'New Members Matrix'!$B$2:$U$2,0)),"")="","",IFERROR(INDEX('New Members Matrix'!$B$41:$U$41,MATCH($A13,'New Members Matrix'!$B$2:$U$2,0)),""))</f>
        <v>19.7916666666667</v>
      </c>
      <c r="Q13" s="26" t="n">
        <f aca="false">IF(IFERROR(INDEX('New Members Matrix'!$B$42:$U$42,MATCH($A13,'New Members Matrix'!$B$2:$U$2,0)),"")="","",IFERROR(INDEX('New Members Matrix'!$B$42:$U$42,MATCH($A13,'New Members Matrix'!$B$2:$U$2,0)),""))</f>
        <v>21.5</v>
      </c>
      <c r="R13" s="19" t="n">
        <f aca="false">IF(IFERROR(INDEX('New Members Matrix'!$B$44:$U$44,MATCH($A13,'New Members Matrix'!$B$2:$U$2,0)),"")="","",IFERROR(INDEX('New Members Matrix'!$B$44:$U$44,MATCH($A13,'New Members Matrix'!$B$2:$U$2,0)),""))</f>
        <v>14</v>
      </c>
      <c r="S13" s="27" t="n">
        <f aca="false">IF(IFERROR(INDEX('New Members Matrix'!$B$45:$U$45,MATCH($A13,'New Members Matrix'!$B$2:$U$2,0)),"")="","",IFERROR(INDEX('New Members Matrix'!$B$45:$U$45,MATCH($A13,'New Members Matrix'!$B$2:$U$2,0)),""))</f>
        <v>0.0357894736842105</v>
      </c>
      <c r="T13" s="28" t="str">
        <f aca="false">IFERROR(IF(COUNTIFS('Chapter Data'!$A$2:$A$2500,$A13,'Chapter Data'!$D$2:$D$2500,OurChapter,'Chapter Data'!$J$2:$J$2500,"&lt;&gt;")=0,"",SUMIFS('Chapter Data'!$J$2:$J$2500,'Chapter Data'!$A$2:$A$2500,$A13,'Chapter Data'!$D$2:$D$2500,OurChapter)),"")</f>
        <v/>
      </c>
      <c r="U13" s="28" t="str">
        <f aca="false">IFERROR(IF(COUNTIFS('Chapter Data'!$A$2:$A$2500,$A13,'Chapter Data'!$D$2:$D$2500,OurChapter,'Chapter Data'!$K$2:$K$2500,"&lt;&gt;")=0,"",SUMIFS('Chapter Data'!$K$2:$K$2500,'Chapter Data'!$A$2:$A$2500,$A13,'Chapter Data'!$D$2:$D$2500,OurChapter)),"")</f>
        <v/>
      </c>
      <c r="V13" s="28" t="str">
        <f aca="false" t="array" ref="V13:V13">IF(COUNTIFS('Chapter Data'!$A$2:$A$2500,$A13,'Chapter Data'!$C$2:$C$2500,"IFC",'Chapter Data'!$K$2:$K$2500,"&gt;=0")&lt;MinChapters,"",MEDIAN(IF(('Chapter Data'!$A$2:$A$2500=$A13)*('Chapter Data'!$C$2:$C$2500="IFC")*ISNUMBER('Chapter Data'!$K$2:$K$2500),'Chapter Data'!$K$2:$K$2500)))</f>
        <v/>
      </c>
    </row>
    <row r="14" customFormat="false" ht="15" hidden="false" customHeight="false" outlineLevel="0" collapsed="false">
      <c r="A14" s="8" t="s">
        <v>153</v>
      </c>
      <c r="B14" s="25" t="n">
        <f aca="false">IF(IFERROR(INDEX('GPA Matrix'!$B$43:$U$43,MATCH($A14,'GPA Matrix'!$B$2:$U$2,0)),"")="","",IFERROR(INDEX('GPA Matrix'!$B$43:$U$43,MATCH($A14,'GPA Matrix'!$B$2:$U$2,0)),""))</f>
        <v>3.121</v>
      </c>
      <c r="C14" s="25" t="n">
        <f aca="false">IF(IFERROR(INDEX('GPA Matrix'!$B$40:$U$40,MATCH($A14,'GPA Matrix'!$B$2:$U$2,0)),"")="","",IFERROR(INDEX('GPA Matrix'!$B$40:$U$40,MATCH($A14,'GPA Matrix'!$B$2:$U$2,0)),""))</f>
        <v>3.35490017720024</v>
      </c>
      <c r="D14" s="25" t="n">
        <f aca="false">IF(IFERROR(INDEX('GPA Matrix'!$B$41:$U$41,MATCH($A14,'GPA Matrix'!$B$2:$U$2,0)),"")="","",IFERROR(INDEX('GPA Matrix'!$B$41:$U$41,MATCH($A14,'GPA Matrix'!$B$2:$U$2,0)),""))</f>
        <v>3.287</v>
      </c>
      <c r="E14" s="25" t="n">
        <f aca="false">IFERROR(IF(INDEX('Campus Stats'!$C$2:$C$37,MATCH($A14,'Campus Stats'!$A$2:$A$37,0))="","",INDEX('Campus Stats'!$C$2:$C$37,MATCH($A14,'Campus Stats'!$A$2:$A$37,0))),"")</f>
        <v>3.198</v>
      </c>
      <c r="F14" s="25" t="n">
        <f aca="false">IFERROR(IF(INDEX('Campus Stats'!$F$2:$F$37,MATCH($A14,'Campus Stats'!$A$2:$A$37,0))="","",INDEX('Campus Stats'!$F$2:$F$37,MATCH($A14,'Campus Stats'!$A$2:$A$37,0))),"")</f>
        <v>3.337</v>
      </c>
      <c r="G14" s="22" t="n">
        <f aca="false">IF(OR(B14="",C14=""),"",B14-C14)</f>
        <v>-0.233900177200236</v>
      </c>
      <c r="H14" s="19" t="n">
        <f aca="false">IF(IFERROR(INDEX('GPA Matrix'!$B$44:$U$44,MATCH($A14,'GPA Matrix'!$B$2:$U$2,0)),"")="","",IFERROR(INDEX('GPA Matrix'!$B$44:$U$44,MATCH($A14,'GPA Matrix'!$B$2:$U$2,0)),""))</f>
        <v>19</v>
      </c>
      <c r="I14" s="19" t="n">
        <f aca="false">IF(H14="","",IFERROR(INDEX('GPA Matrix'!$B$39:$U$39,MATCH($A14,'GPA Matrix'!$B$2:$U$2,0)),""))</f>
        <v>25</v>
      </c>
      <c r="K14" s="19" t="n">
        <f aca="false">IF(IFERROR(INDEX('Members Matrix'!$B$43:$U$43,MATCH($A14,'Members Matrix'!$B$2:$U$2,0)),"")="","",IFERROR(INDEX('Members Matrix'!$B$43:$U$43,MATCH($A14,'Members Matrix'!$B$2:$U$2,0)),""))</f>
        <v>71</v>
      </c>
      <c r="L14" s="26" t="n">
        <f aca="false">IF(IFERROR(INDEX('Members Matrix'!$B$42:$U$42,MATCH($A14,'Members Matrix'!$B$2:$U$2,0)),"")="","",IFERROR(INDEX('Members Matrix'!$B$42:$U$42,MATCH($A14,'Members Matrix'!$B$2:$U$2,0)),""))</f>
        <v>71</v>
      </c>
      <c r="M14" s="19" t="n">
        <f aca="false">IF(IFERROR(INDEX('Members Matrix'!$B$44:$U$44,MATCH($A14,'Members Matrix'!$B$2:$U$2,0)),"")="","",IFERROR(INDEX('Members Matrix'!$B$44:$U$44,MATCH($A14,'Members Matrix'!$B$2:$U$2,0)),""))</f>
        <v>13</v>
      </c>
      <c r="N14" s="19" t="n">
        <f aca="false">IF(IFERROR(INDEX('Members Matrix'!$B$45:$U$45,MATCH($A14,'Members Matrix'!$B$2:$U$2,0)),"")="","",IFERROR(INDEX('Members Matrix'!$B$45:$U$45,MATCH($A14,'Members Matrix'!$B$2:$U$2,0)),""))</f>
        <v>100</v>
      </c>
      <c r="O14" s="19" t="n">
        <f aca="false">IF(IFERROR(INDEX('New Members Matrix'!$B$43:$U$43,MATCH($A14,'New Members Matrix'!$B$2:$U$2,0)),"")="","",IFERROR(INDEX('New Members Matrix'!$B$43:$U$43,MATCH($A14,'New Members Matrix'!$B$2:$U$2,0)),""))</f>
        <v>6</v>
      </c>
      <c r="P14" s="26" t="n">
        <f aca="false">IF(IFERROR(INDEX('New Members Matrix'!$B$41:$U$41,MATCH($A14,'New Members Matrix'!$B$2:$U$2,0)),"")="","",IFERROR(INDEX('New Members Matrix'!$B$41:$U$41,MATCH($A14,'New Members Matrix'!$B$2:$U$2,0)),""))</f>
        <v>5.94117647058824</v>
      </c>
      <c r="Q14" s="26" t="n">
        <f aca="false">IF(IFERROR(INDEX('New Members Matrix'!$B$42:$U$42,MATCH($A14,'New Members Matrix'!$B$2:$U$2,0)),"")="","",IFERROR(INDEX('New Members Matrix'!$B$42:$U$42,MATCH($A14,'New Members Matrix'!$B$2:$U$2,0)),""))</f>
        <v>5</v>
      </c>
      <c r="R14" s="19" t="n">
        <f aca="false">IF(IFERROR(INDEX('New Members Matrix'!$B$44:$U$44,MATCH($A14,'New Members Matrix'!$B$2:$U$2,0)),"")="","",IFERROR(INDEX('New Members Matrix'!$B$44:$U$44,MATCH($A14,'New Members Matrix'!$B$2:$U$2,0)),""))</f>
        <v>6</v>
      </c>
      <c r="S14" s="27" t="n">
        <f aca="false">IF(IFERROR(INDEX('New Members Matrix'!$B$45:$U$45,MATCH($A14,'New Members Matrix'!$B$2:$U$2,0)),"")="","",IFERROR(INDEX('New Members Matrix'!$B$45:$U$45,MATCH($A14,'New Members Matrix'!$B$2:$U$2,0)),""))</f>
        <v>0.0594059405940594</v>
      </c>
      <c r="T14" s="28" t="str">
        <f aca="false">IFERROR(IF(COUNTIFS('Chapter Data'!$A$2:$A$2500,$A14,'Chapter Data'!$D$2:$D$2500,OurChapter,'Chapter Data'!$J$2:$J$2500,"&lt;&gt;")=0,"",SUMIFS('Chapter Data'!$J$2:$J$2500,'Chapter Data'!$A$2:$A$2500,$A14,'Chapter Data'!$D$2:$D$2500,OurChapter)),"")</f>
        <v/>
      </c>
      <c r="U14" s="28" t="str">
        <f aca="false">IFERROR(IF(COUNTIFS('Chapter Data'!$A$2:$A$2500,$A14,'Chapter Data'!$D$2:$D$2500,OurChapter,'Chapter Data'!$K$2:$K$2500,"&lt;&gt;")=0,"",SUMIFS('Chapter Data'!$K$2:$K$2500,'Chapter Data'!$A$2:$A$2500,$A14,'Chapter Data'!$D$2:$D$2500,OurChapter)),"")</f>
        <v/>
      </c>
      <c r="V14" s="28" t="str">
        <f aca="false" t="array" ref="V14:V14">IF(COUNTIFS('Chapter Data'!$A$2:$A$2500,$A14,'Chapter Data'!$C$2:$C$2500,"IFC",'Chapter Data'!$K$2:$K$2500,"&gt;=0")&lt;MinChapters,"",MEDIAN(IF(('Chapter Data'!$A$2:$A$2500=$A14)*('Chapter Data'!$C$2:$C$2500="IFC")*ISNUMBER('Chapter Data'!$K$2:$K$2500),'Chapter Data'!$K$2:$K$2500)))</f>
        <v/>
      </c>
    </row>
    <row r="15" customFormat="false" ht="15" hidden="false" customHeight="false" outlineLevel="0" collapsed="false">
      <c r="A15" s="8" t="s">
        <v>154</v>
      </c>
      <c r="B15" s="25" t="n">
        <f aca="false">IF(IFERROR(INDEX('GPA Matrix'!$B$43:$U$43,MATCH($A15,'GPA Matrix'!$B$2:$U$2,0)),"")="","",IFERROR(INDEX('GPA Matrix'!$B$43:$U$43,MATCH($A15,'GPA Matrix'!$B$2:$U$2,0)),""))</f>
        <v>2.997</v>
      </c>
      <c r="C15" s="25" t="n">
        <f aca="false">IF(IFERROR(INDEX('GPA Matrix'!$B$40:$U$40,MATCH($A15,'GPA Matrix'!$B$2:$U$2,0)),"")="","",IFERROR(INDEX('GPA Matrix'!$B$40:$U$40,MATCH($A15,'GPA Matrix'!$B$2:$U$2,0)),""))</f>
        <v>3.28167533185841</v>
      </c>
      <c r="D15" s="25" t="n">
        <f aca="false">IF(IFERROR(INDEX('GPA Matrix'!$B$41:$U$41,MATCH($A15,'GPA Matrix'!$B$2:$U$2,0)),"")="","",IFERROR(INDEX('GPA Matrix'!$B$41:$U$41,MATCH($A15,'GPA Matrix'!$B$2:$U$2,0)),""))</f>
        <v>3.199</v>
      </c>
      <c r="E15" s="25" t="n">
        <f aca="false">IFERROR(IF(INDEX('Campus Stats'!$C$2:$C$37,MATCH($A15,'Campus Stats'!$A$2:$A$37,0))="","",INDEX('Campus Stats'!$C$2:$C$37,MATCH($A15,'Campus Stats'!$A$2:$A$37,0))),"")</f>
        <v>3.132</v>
      </c>
      <c r="F15" s="25" t="n">
        <f aca="false">IFERROR(IF(INDEX('Campus Stats'!$F$2:$F$37,MATCH($A15,'Campus Stats'!$A$2:$A$37,0))="","",INDEX('Campus Stats'!$F$2:$F$37,MATCH($A15,'Campus Stats'!$A$2:$A$37,0))),"")</f>
        <v>3.257</v>
      </c>
      <c r="G15" s="22" t="n">
        <f aca="false">IF(OR(B15="",C15=""),"",B15-C15)</f>
        <v>-0.284675331858407</v>
      </c>
      <c r="H15" s="19" t="n">
        <f aca="false">IF(IFERROR(INDEX('GPA Matrix'!$B$44:$U$44,MATCH($A15,'GPA Matrix'!$B$2:$U$2,0)),"")="","",IFERROR(INDEX('GPA Matrix'!$B$44:$U$44,MATCH($A15,'GPA Matrix'!$B$2:$U$2,0)),""))</f>
        <v>19</v>
      </c>
      <c r="I15" s="19" t="n">
        <f aca="false">IF(H15="","",IFERROR(INDEX('GPA Matrix'!$B$39:$U$39,MATCH($A15,'GPA Matrix'!$B$2:$U$2,0)),""))</f>
        <v>25</v>
      </c>
      <c r="K15" s="19" t="n">
        <f aca="false">IF(IFERROR(INDEX('Members Matrix'!$B$43:$U$43,MATCH($A15,'Members Matrix'!$B$2:$U$2,0)),"")="","",IFERROR(INDEX('Members Matrix'!$B$43:$U$43,MATCH($A15,'Members Matrix'!$B$2:$U$2,0)),""))</f>
        <v>60</v>
      </c>
      <c r="L15" s="26" t="n">
        <f aca="false">IF(IFERROR(INDEX('Members Matrix'!$B$42:$U$42,MATCH($A15,'Members Matrix'!$B$2:$U$2,0)),"")="","",IFERROR(INDEX('Members Matrix'!$B$42:$U$42,MATCH($A15,'Members Matrix'!$B$2:$U$2,0)),""))</f>
        <v>66</v>
      </c>
      <c r="M15" s="19" t="n">
        <f aca="false">IF(IFERROR(INDEX('Members Matrix'!$B$44:$U$44,MATCH($A15,'Members Matrix'!$B$2:$U$2,0)),"")="","",IFERROR(INDEX('Members Matrix'!$B$44:$U$44,MATCH($A15,'Members Matrix'!$B$2:$U$2,0)),""))</f>
        <v>15</v>
      </c>
      <c r="N15" s="19" t="n">
        <f aca="false">IF(IFERROR(INDEX('Members Matrix'!$B$45:$U$45,MATCH($A15,'Members Matrix'!$B$2:$U$2,0)),"")="","",IFERROR(INDEX('Members Matrix'!$B$45:$U$45,MATCH($A15,'Members Matrix'!$B$2:$U$2,0)),""))</f>
        <v>90.9090909090909</v>
      </c>
      <c r="O15" s="19" t="str">
        <f aca="false">IF(IFERROR(INDEX('New Members Matrix'!$B$43:$U$43,MATCH($A15,'New Members Matrix'!$B$2:$U$2,0)),"")="","",IFERROR(INDEX('New Members Matrix'!$B$43:$U$43,MATCH($A15,'New Members Matrix'!$B$2:$U$2,0)),""))</f>
        <v/>
      </c>
      <c r="P15" s="26" t="str">
        <f aca="false">IF(IFERROR(INDEX('New Members Matrix'!$B$41:$U$41,MATCH($A15,'New Members Matrix'!$B$2:$U$2,0)),"")="","",IFERROR(INDEX('New Members Matrix'!$B$41:$U$41,MATCH($A15,'New Members Matrix'!$B$2:$U$2,0)),""))</f>
        <v/>
      </c>
      <c r="Q15" s="26" t="str">
        <f aca="false">IF(IFERROR(INDEX('New Members Matrix'!$B$42:$U$42,MATCH($A15,'New Members Matrix'!$B$2:$U$2,0)),"")="","",IFERROR(INDEX('New Members Matrix'!$B$42:$U$42,MATCH($A15,'New Members Matrix'!$B$2:$U$2,0)),""))</f>
        <v/>
      </c>
      <c r="R15" s="19" t="str">
        <f aca="false">IF(IFERROR(INDEX('New Members Matrix'!$B$44:$U$44,MATCH($A15,'New Members Matrix'!$B$2:$U$2,0)),"")="","",IFERROR(INDEX('New Members Matrix'!$B$44:$U$44,MATCH($A15,'New Members Matrix'!$B$2:$U$2,0)),""))</f>
        <v/>
      </c>
      <c r="S15" s="27" t="str">
        <f aca="false">IF(IFERROR(INDEX('New Members Matrix'!$B$45:$U$45,MATCH($A15,'New Members Matrix'!$B$2:$U$2,0)),"")="","",IFERROR(INDEX('New Members Matrix'!$B$45:$U$45,MATCH($A15,'New Members Matrix'!$B$2:$U$2,0)),""))</f>
        <v/>
      </c>
      <c r="T15" s="28" t="str">
        <f aca="false">IFERROR(IF(COUNTIFS('Chapter Data'!$A$2:$A$2500,$A15,'Chapter Data'!$D$2:$D$2500,OurChapter,'Chapter Data'!$J$2:$J$2500,"&lt;&gt;")=0,"",SUMIFS('Chapter Data'!$J$2:$J$2500,'Chapter Data'!$A$2:$A$2500,$A15,'Chapter Data'!$D$2:$D$2500,OurChapter)),"")</f>
        <v/>
      </c>
      <c r="U15" s="28" t="str">
        <f aca="false">IFERROR(IF(COUNTIFS('Chapter Data'!$A$2:$A$2500,$A15,'Chapter Data'!$D$2:$D$2500,OurChapter,'Chapter Data'!$K$2:$K$2500,"&lt;&gt;")=0,"",SUMIFS('Chapter Data'!$K$2:$K$2500,'Chapter Data'!$A$2:$A$2500,$A15,'Chapter Data'!$D$2:$D$2500,OurChapter)),"")</f>
        <v/>
      </c>
      <c r="V15" s="28" t="str">
        <f aca="false" t="array" ref="V15:V15">IF(COUNTIFS('Chapter Data'!$A$2:$A$2500,$A15,'Chapter Data'!$C$2:$C$2500,"IFC",'Chapter Data'!$K$2:$K$2500,"&gt;=0")&lt;MinChapters,"",MEDIAN(IF(('Chapter Data'!$A$2:$A$2500=$A15)*('Chapter Data'!$C$2:$C$2500="IFC")*ISNUMBER('Chapter Data'!$K$2:$K$2500),'Chapter Data'!$K$2:$K$2500)))</f>
        <v/>
      </c>
    </row>
    <row r="16" customFormat="false" ht="15" hidden="false" customHeight="false" outlineLevel="0" collapsed="false">
      <c r="A16" s="8" t="s">
        <v>155</v>
      </c>
      <c r="B16" s="25" t="n">
        <f aca="false">IF(IFERROR(INDEX('GPA Matrix'!$B$43:$U$43,MATCH($A16,'GPA Matrix'!$B$2:$U$2,0)),"")="","",IFERROR(INDEX('GPA Matrix'!$B$43:$U$43,MATCH($A16,'GPA Matrix'!$B$2:$U$2,0)),""))</f>
        <v>3.321</v>
      </c>
      <c r="C16" s="25" t="n">
        <f aca="false">IF(IFERROR(INDEX('GPA Matrix'!$B$40:$U$40,MATCH($A16,'GPA Matrix'!$B$2:$U$2,0)),"")="","",IFERROR(INDEX('GPA Matrix'!$B$40:$U$40,MATCH($A16,'GPA Matrix'!$B$2:$U$2,0)),""))</f>
        <v>3.34171063104036</v>
      </c>
      <c r="D16" s="25" t="n">
        <f aca="false">IF(IFERROR(INDEX('GPA Matrix'!$B$41:$U$41,MATCH($A16,'GPA Matrix'!$B$2:$U$2,0)),"")="","",IFERROR(INDEX('GPA Matrix'!$B$41:$U$41,MATCH($A16,'GPA Matrix'!$B$2:$U$2,0)),""))</f>
        <v>3.313</v>
      </c>
      <c r="E16" s="25" t="n">
        <f aca="false">IFERROR(IF(INDEX('Campus Stats'!$C$2:$C$37,MATCH($A16,'Campus Stats'!$A$2:$A$37,0))="","",INDEX('Campus Stats'!$C$2:$C$37,MATCH($A16,'Campus Stats'!$A$2:$A$37,0))),"")</f>
        <v>3.208</v>
      </c>
      <c r="F16" s="25" t="n">
        <f aca="false">IFERROR(IF(INDEX('Campus Stats'!$F$2:$F$37,MATCH($A16,'Campus Stats'!$A$2:$A$37,0))="","",INDEX('Campus Stats'!$F$2:$F$37,MATCH($A16,'Campus Stats'!$A$2:$A$37,0))),"")</f>
        <v>3.328</v>
      </c>
      <c r="G16" s="22" t="n">
        <f aca="false">IF(OR(B16="",C16=""),"",B16-C16)</f>
        <v>-0.0207106310403637</v>
      </c>
      <c r="H16" s="19" t="n">
        <f aca="false">IF(IFERROR(INDEX('GPA Matrix'!$B$44:$U$44,MATCH($A16,'GPA Matrix'!$B$2:$U$2,0)),"")="","",IFERROR(INDEX('GPA Matrix'!$B$44:$U$44,MATCH($A16,'GPA Matrix'!$B$2:$U$2,0)),""))</f>
        <v>11</v>
      </c>
      <c r="I16" s="19" t="n">
        <f aca="false">IF(H16="","",IFERROR(INDEX('GPA Matrix'!$B$39:$U$39,MATCH($A16,'GPA Matrix'!$B$2:$U$2,0)),""))</f>
        <v>25</v>
      </c>
      <c r="K16" s="19" t="n">
        <f aca="false">IF(IFERROR(INDEX('Members Matrix'!$B$43:$U$43,MATCH($A16,'Members Matrix'!$B$2:$U$2,0)),"")="","",IFERROR(INDEX('Members Matrix'!$B$43:$U$43,MATCH($A16,'Members Matrix'!$B$2:$U$2,0)),""))</f>
        <v>48</v>
      </c>
      <c r="L16" s="26" t="n">
        <f aca="false">IF(IFERROR(INDEX('Members Matrix'!$B$42:$U$42,MATCH($A16,'Members Matrix'!$B$2:$U$2,0)),"")="","",IFERROR(INDEX('Members Matrix'!$B$42:$U$42,MATCH($A16,'Members Matrix'!$B$2:$U$2,0)),""))</f>
        <v>68</v>
      </c>
      <c r="M16" s="19" t="n">
        <f aca="false">IF(IFERROR(INDEX('Members Matrix'!$B$44:$U$44,MATCH($A16,'Members Matrix'!$B$2:$U$2,0)),"")="","",IFERROR(INDEX('Members Matrix'!$B$44:$U$44,MATCH($A16,'Members Matrix'!$B$2:$U$2,0)),""))</f>
        <v>15</v>
      </c>
      <c r="N16" s="19" t="n">
        <f aca="false">IF(IFERROR(INDEX('Members Matrix'!$B$45:$U$45,MATCH($A16,'Members Matrix'!$B$2:$U$2,0)),"")="","",IFERROR(INDEX('Members Matrix'!$B$45:$U$45,MATCH($A16,'Members Matrix'!$B$2:$U$2,0)),""))</f>
        <v>70.5882352941177</v>
      </c>
      <c r="O16" s="19" t="n">
        <f aca="false">IF(IFERROR(INDEX('New Members Matrix'!$B$43:$U$43,MATCH($A16,'New Members Matrix'!$B$2:$U$2,0)),"")="","",IFERROR(INDEX('New Members Matrix'!$B$43:$U$43,MATCH($A16,'New Members Matrix'!$B$2:$U$2,0)),""))</f>
        <v>5</v>
      </c>
      <c r="P16" s="26" t="n">
        <f aca="false">IF(IFERROR(INDEX('New Members Matrix'!$B$41:$U$41,MATCH($A16,'New Members Matrix'!$B$2:$U$2,0)),"")="","",IFERROR(INDEX('New Members Matrix'!$B$41:$U$41,MATCH($A16,'New Members Matrix'!$B$2:$U$2,0)),""))</f>
        <v>3.8</v>
      </c>
      <c r="Q16" s="26" t="n">
        <f aca="false">IF(IFERROR(INDEX('New Members Matrix'!$B$42:$U$42,MATCH($A16,'New Members Matrix'!$B$2:$U$2,0)),"")="","",IFERROR(INDEX('New Members Matrix'!$B$42:$U$42,MATCH($A16,'New Members Matrix'!$B$2:$U$2,0)),""))</f>
        <v>3</v>
      </c>
      <c r="R16" s="19" t="n">
        <f aca="false">IF(IFERROR(INDEX('New Members Matrix'!$B$44:$U$44,MATCH($A16,'New Members Matrix'!$B$2:$U$2,0)),"")="","",IFERROR(INDEX('New Members Matrix'!$B$44:$U$44,MATCH($A16,'New Members Matrix'!$B$2:$U$2,0)),""))</f>
        <v>5</v>
      </c>
      <c r="S16" s="27" t="n">
        <f aca="false">IF(IFERROR(INDEX('New Members Matrix'!$B$45:$U$45,MATCH($A16,'New Members Matrix'!$B$2:$U$2,0)),"")="","",IFERROR(INDEX('New Members Matrix'!$B$45:$U$45,MATCH($A16,'New Members Matrix'!$B$2:$U$2,0)),""))</f>
        <v>0.0526315789473684</v>
      </c>
      <c r="T16" s="28" t="str">
        <f aca="false">IFERROR(IF(COUNTIFS('Chapter Data'!$A$2:$A$2500,$A16,'Chapter Data'!$D$2:$D$2500,OurChapter,'Chapter Data'!$J$2:$J$2500,"&lt;&gt;")=0,"",SUMIFS('Chapter Data'!$J$2:$J$2500,'Chapter Data'!$A$2:$A$2500,$A16,'Chapter Data'!$D$2:$D$2500,OurChapter)),"")</f>
        <v/>
      </c>
      <c r="U16" s="28" t="str">
        <f aca="false">IFERROR(IF(COUNTIFS('Chapter Data'!$A$2:$A$2500,$A16,'Chapter Data'!$D$2:$D$2500,OurChapter,'Chapter Data'!$K$2:$K$2500,"&lt;&gt;")=0,"",SUMIFS('Chapter Data'!$K$2:$K$2500,'Chapter Data'!$A$2:$A$2500,$A16,'Chapter Data'!$D$2:$D$2500,OurChapter)),"")</f>
        <v/>
      </c>
      <c r="V16" s="28" t="str">
        <f aca="false" t="array" ref="V16:V16">IF(COUNTIFS('Chapter Data'!$A$2:$A$2500,$A16,'Chapter Data'!$C$2:$C$2500,"IFC",'Chapter Data'!$K$2:$K$2500,"&gt;=0")&lt;MinChapters,"",MEDIAN(IF(('Chapter Data'!$A$2:$A$2500=$A16)*('Chapter Data'!$C$2:$C$2500="IFC")*ISNUMBER('Chapter Data'!$K$2:$K$2500),'Chapter Data'!$K$2:$K$2500)))</f>
        <v/>
      </c>
    </row>
    <row r="17" customFormat="false" ht="15" hidden="false" customHeight="false" outlineLevel="0" collapsed="false">
      <c r="A17" s="8" t="s">
        <v>156</v>
      </c>
      <c r="B17" s="25" t="n">
        <f aca="false">IF(IFERROR(INDEX('GPA Matrix'!$B$43:$U$43,MATCH($A17,'GPA Matrix'!$B$2:$U$2,0)),"")="","",IFERROR(INDEX('GPA Matrix'!$B$43:$U$43,MATCH($A17,'GPA Matrix'!$B$2:$U$2,0)),""))</f>
        <v>3.216</v>
      </c>
      <c r="C17" s="25" t="n">
        <f aca="false">IF(IFERROR(INDEX('GPA Matrix'!$B$40:$U$40,MATCH($A17,'GPA Matrix'!$B$2:$U$2,0)),"")="","",IFERROR(INDEX('GPA Matrix'!$B$40:$U$40,MATCH($A17,'GPA Matrix'!$B$2:$U$2,0)),""))</f>
        <v>3.36210368421053</v>
      </c>
      <c r="D17" s="25" t="n">
        <f aca="false">IF(IFERROR(INDEX('GPA Matrix'!$B$41:$U$41,MATCH($A17,'GPA Matrix'!$B$2:$U$2,0)),"")="","",IFERROR(INDEX('GPA Matrix'!$B$41:$U$41,MATCH($A17,'GPA Matrix'!$B$2:$U$2,0)),""))</f>
        <v>3.271</v>
      </c>
      <c r="E17" s="25" t="n">
        <f aca="false">IFERROR(IF(INDEX('Campus Stats'!$C$2:$C$37,MATCH($A17,'Campus Stats'!$A$2:$A$37,0))="","",INDEX('Campus Stats'!$C$2:$C$37,MATCH($A17,'Campus Stats'!$A$2:$A$37,0))),"")</f>
        <v>3.187</v>
      </c>
      <c r="F17" s="25" t="n">
        <f aca="false">IFERROR(IF(INDEX('Campus Stats'!$F$2:$F$37,MATCH($A17,'Campus Stats'!$A$2:$A$37,0))="","",INDEX('Campus Stats'!$F$2:$F$37,MATCH($A17,'Campus Stats'!$A$2:$A$37,0))),"")</f>
        <v>3.35</v>
      </c>
      <c r="G17" s="22" t="n">
        <f aca="false">IF(OR(B17="",C17=""),"",B17-C17)</f>
        <v>-0.146103684210526</v>
      </c>
      <c r="H17" s="19" t="n">
        <f aca="false">IF(IFERROR(INDEX('GPA Matrix'!$B$44:$U$44,MATCH($A17,'GPA Matrix'!$B$2:$U$2,0)),"")="","",IFERROR(INDEX('GPA Matrix'!$B$44:$U$44,MATCH($A17,'GPA Matrix'!$B$2:$U$2,0)),""))</f>
        <v>16</v>
      </c>
      <c r="I17" s="19" t="n">
        <f aca="false">IF(H17="","",IFERROR(INDEX('GPA Matrix'!$B$39:$U$39,MATCH($A17,'GPA Matrix'!$B$2:$U$2,0)),""))</f>
        <v>25</v>
      </c>
      <c r="K17" s="19" t="n">
        <f aca="false">IF(IFERROR(INDEX('Members Matrix'!$B$43:$U$43,MATCH($A17,'Members Matrix'!$B$2:$U$2,0)),"")="","",IFERROR(INDEX('Members Matrix'!$B$43:$U$43,MATCH($A17,'Members Matrix'!$B$2:$U$2,0)),""))</f>
        <v>48</v>
      </c>
      <c r="L17" s="26" t="n">
        <f aca="false">IF(IFERROR(INDEX('Members Matrix'!$B$42:$U$42,MATCH($A17,'Members Matrix'!$B$2:$U$2,0)),"")="","",IFERROR(INDEX('Members Matrix'!$B$42:$U$42,MATCH($A17,'Members Matrix'!$B$2:$U$2,0)),""))</f>
        <v>66.5</v>
      </c>
      <c r="M17" s="19" t="n">
        <f aca="false">IF(IFERROR(INDEX('Members Matrix'!$B$44:$U$44,MATCH($A17,'Members Matrix'!$B$2:$U$2,0)),"")="","",IFERROR(INDEX('Members Matrix'!$B$44:$U$44,MATCH($A17,'Members Matrix'!$B$2:$U$2,0)),""))</f>
        <v>16</v>
      </c>
      <c r="N17" s="19" t="n">
        <f aca="false">IF(IFERROR(INDEX('Members Matrix'!$B$45:$U$45,MATCH($A17,'Members Matrix'!$B$2:$U$2,0)),"")="","",IFERROR(INDEX('Members Matrix'!$B$45:$U$45,MATCH($A17,'Members Matrix'!$B$2:$U$2,0)),""))</f>
        <v>72.1804511278196</v>
      </c>
      <c r="O17" s="19" t="n">
        <f aca="false">IF(IFERROR(INDEX('New Members Matrix'!$B$43:$U$43,MATCH($A17,'New Members Matrix'!$B$2:$U$2,0)),"")="","",IFERROR(INDEX('New Members Matrix'!$B$43:$U$43,MATCH($A17,'New Members Matrix'!$B$2:$U$2,0)),""))</f>
        <v>12</v>
      </c>
      <c r="P17" s="26" t="n">
        <f aca="false">IF(IFERROR(INDEX('New Members Matrix'!$B$41:$U$41,MATCH($A17,'New Members Matrix'!$B$2:$U$2,0)),"")="","",IFERROR(INDEX('New Members Matrix'!$B$41:$U$41,MATCH($A17,'New Members Matrix'!$B$2:$U$2,0)),""))</f>
        <v>21.2692307692308</v>
      </c>
      <c r="Q17" s="26" t="n">
        <f aca="false">IF(IFERROR(INDEX('New Members Matrix'!$B$42:$U$42,MATCH($A17,'New Members Matrix'!$B$2:$U$2,0)),"")="","",IFERROR(INDEX('New Members Matrix'!$B$42:$U$42,MATCH($A17,'New Members Matrix'!$B$2:$U$2,0)),""))</f>
        <v>25.5</v>
      </c>
      <c r="R17" s="19" t="n">
        <f aca="false">IF(IFERROR(INDEX('New Members Matrix'!$B$44:$U$44,MATCH($A17,'New Members Matrix'!$B$2:$U$2,0)),"")="","",IFERROR(INDEX('New Members Matrix'!$B$44:$U$44,MATCH($A17,'New Members Matrix'!$B$2:$U$2,0)),""))</f>
        <v>16</v>
      </c>
      <c r="S17" s="27" t="n">
        <f aca="false">IF(IFERROR(INDEX('New Members Matrix'!$B$45:$U$45,MATCH($A17,'New Members Matrix'!$B$2:$U$2,0)),"")="","",IFERROR(INDEX('New Members Matrix'!$B$45:$U$45,MATCH($A17,'New Members Matrix'!$B$2:$U$2,0)),""))</f>
        <v>0.0216998191681736</v>
      </c>
      <c r="T17" s="28" t="n">
        <f aca="false">IFERROR(IF(COUNTIFS('Chapter Data'!$A$2:$A$2500,$A17,'Chapter Data'!$D$2:$D$2500,OurChapter,'Chapter Data'!$J$2:$J$2500,"&lt;&gt;")=0,"",SUMIFS('Chapter Data'!$J$2:$J$2500,'Chapter Data'!$A$2:$A$2500,$A17,'Chapter Data'!$D$2:$D$2500,OurChapter)),"")</f>
        <v>0.9</v>
      </c>
      <c r="U17" s="28" t="n">
        <f aca="false">IFERROR(IF(COUNTIFS('Chapter Data'!$A$2:$A$2500,$A17,'Chapter Data'!$D$2:$D$2500,OurChapter,'Chapter Data'!$K$2:$K$2500,"&lt;&gt;")=0,"",SUMIFS('Chapter Data'!$K$2:$K$2500,'Chapter Data'!$A$2:$A$2500,$A17,'Chapter Data'!$D$2:$D$2500,OurChapter)),"")</f>
        <v>1</v>
      </c>
      <c r="V17" s="28" t="n">
        <f aca="false" t="array" ref="V17:V17">IF(COUNTIFS('Chapter Data'!$A$2:$A$2500,$A17,'Chapter Data'!$C$2:$C$2500,"IFC",'Chapter Data'!$K$2:$K$2500,"&gt;=0")&lt;MinChapters,"",MEDIAN(IF(('Chapter Data'!$A$2:$A$2500=$A17)*('Chapter Data'!$C$2:$C$2500="IFC")*ISNUMBER('Chapter Data'!$K$2:$K$2500),'Chapter Data'!$K$2:$K$2500)))</f>
        <v>0.92</v>
      </c>
    </row>
    <row r="18" customFormat="false" ht="15" hidden="false" customHeight="false" outlineLevel="0" collapsed="false">
      <c r="A18" s="8" t="s">
        <v>157</v>
      </c>
      <c r="B18" s="25" t="n">
        <f aca="false">IF(IFERROR(INDEX('GPA Matrix'!$B$43:$U$43,MATCH($A18,'GPA Matrix'!$B$2:$U$2,0)),"")="","",IFERROR(INDEX('GPA Matrix'!$B$43:$U$43,MATCH($A18,'GPA Matrix'!$B$2:$U$2,0)),""))</f>
        <v>3.053</v>
      </c>
      <c r="C18" s="25" t="n">
        <f aca="false">IF(IFERROR(INDEX('GPA Matrix'!$B$40:$U$40,MATCH($A18,'GPA Matrix'!$B$2:$U$2,0)),"")="","",IFERROR(INDEX('GPA Matrix'!$B$40:$U$40,MATCH($A18,'GPA Matrix'!$B$2:$U$2,0)),""))</f>
        <v>3.37415409139214</v>
      </c>
      <c r="D18" s="25" t="n">
        <f aca="false">IF(IFERROR(INDEX('GPA Matrix'!$B$41:$U$41,MATCH($A18,'GPA Matrix'!$B$2:$U$2,0)),"")="","",IFERROR(INDEX('GPA Matrix'!$B$41:$U$41,MATCH($A18,'GPA Matrix'!$B$2:$U$2,0)),""))</f>
        <v>3.326</v>
      </c>
      <c r="E18" s="25" t="n">
        <f aca="false">IFERROR(IF(INDEX('Campus Stats'!$C$2:$C$37,MATCH($A18,'Campus Stats'!$A$2:$A$37,0))="","",INDEX('Campus Stats'!$C$2:$C$37,MATCH($A18,'Campus Stats'!$A$2:$A$37,0))),"")</f>
        <v>3.22</v>
      </c>
      <c r="F18" s="25" t="n">
        <f aca="false">IFERROR(IF(INDEX('Campus Stats'!$F$2:$F$37,MATCH($A18,'Campus Stats'!$A$2:$A$37,0))="","",INDEX('Campus Stats'!$F$2:$F$37,MATCH($A18,'Campus Stats'!$A$2:$A$37,0))),"")</f>
        <v>3.367</v>
      </c>
      <c r="G18" s="22" t="n">
        <f aca="false">IF(OR(B18="",C18=""),"",B18-C18)</f>
        <v>-0.321154091392136</v>
      </c>
      <c r="H18" s="19" t="n">
        <f aca="false">IF(IFERROR(INDEX('GPA Matrix'!$B$44:$U$44,MATCH($A18,'GPA Matrix'!$B$2:$U$2,0)),"")="","",IFERROR(INDEX('GPA Matrix'!$B$44:$U$44,MATCH($A18,'GPA Matrix'!$B$2:$U$2,0)),""))</f>
        <v>20</v>
      </c>
      <c r="I18" s="19" t="n">
        <f aca="false">IF(H18="","",IFERROR(INDEX('GPA Matrix'!$B$39:$U$39,MATCH($A18,'GPA Matrix'!$B$2:$U$2,0)),""))</f>
        <v>24</v>
      </c>
      <c r="K18" s="19" t="n">
        <f aca="false">IF(IFERROR(INDEX('Members Matrix'!$B$43:$U$43,MATCH($A18,'Members Matrix'!$B$2:$U$2,0)),"")="","",IFERROR(INDEX('Members Matrix'!$B$43:$U$43,MATCH($A18,'Members Matrix'!$B$2:$U$2,0)),""))</f>
        <v>48</v>
      </c>
      <c r="L18" s="26" t="n">
        <f aca="false">IF(IFERROR(INDEX('Members Matrix'!$B$42:$U$42,MATCH($A18,'Members Matrix'!$B$2:$U$2,0)),"")="","",IFERROR(INDEX('Members Matrix'!$B$42:$U$42,MATCH($A18,'Members Matrix'!$B$2:$U$2,0)),""))</f>
        <v>83</v>
      </c>
      <c r="M18" s="19" t="n">
        <f aca="false">IF(IFERROR(INDEX('Members Matrix'!$B$44:$U$44,MATCH($A18,'Members Matrix'!$B$2:$U$2,0)),"")="","",IFERROR(INDEX('Members Matrix'!$B$44:$U$44,MATCH($A18,'Members Matrix'!$B$2:$U$2,0)),""))</f>
        <v>16</v>
      </c>
      <c r="N18" s="19" t="n">
        <f aca="false">IF(IFERROR(INDEX('Members Matrix'!$B$45:$U$45,MATCH($A18,'Members Matrix'!$B$2:$U$2,0)),"")="","",IFERROR(INDEX('Members Matrix'!$B$45:$U$45,MATCH($A18,'Members Matrix'!$B$2:$U$2,0)),""))</f>
        <v>57.8313253012048</v>
      </c>
      <c r="O18" s="19" t="n">
        <f aca="false">IF(IFERROR(INDEX('New Members Matrix'!$B$43:$U$43,MATCH($A18,'New Members Matrix'!$B$2:$U$2,0)),"")="","",IFERROR(INDEX('New Members Matrix'!$B$43:$U$43,MATCH($A18,'New Members Matrix'!$B$2:$U$2,0)),""))</f>
        <v>3</v>
      </c>
      <c r="P18" s="26" t="n">
        <f aca="false">IF(IFERROR(INDEX('New Members Matrix'!$B$41:$U$41,MATCH($A18,'New Members Matrix'!$B$2:$U$2,0)),"")="","",IFERROR(INDEX('New Members Matrix'!$B$41:$U$41,MATCH($A18,'New Members Matrix'!$B$2:$U$2,0)),""))</f>
        <v>4.79166666666667</v>
      </c>
      <c r="Q18" s="26" t="n">
        <f aca="false">IF(IFERROR(INDEX('New Members Matrix'!$B$42:$U$42,MATCH($A18,'New Members Matrix'!$B$2:$U$2,0)),"")="","",IFERROR(INDEX('New Members Matrix'!$B$42:$U$42,MATCH($A18,'New Members Matrix'!$B$2:$U$2,0)),""))</f>
        <v>4</v>
      </c>
      <c r="R18" s="19" t="n">
        <f aca="false">IF(IFERROR(INDEX('New Members Matrix'!$B$44:$U$44,MATCH($A18,'New Members Matrix'!$B$2:$U$2,0)),"")="","",IFERROR(INDEX('New Members Matrix'!$B$44:$U$44,MATCH($A18,'New Members Matrix'!$B$2:$U$2,0)),""))</f>
        <v>16</v>
      </c>
      <c r="S18" s="27" t="n">
        <f aca="false">IF(IFERROR(INDEX('New Members Matrix'!$B$45:$U$45,MATCH($A18,'New Members Matrix'!$B$2:$U$2,0)),"")="","",IFERROR(INDEX('New Members Matrix'!$B$45:$U$45,MATCH($A18,'New Members Matrix'!$B$2:$U$2,0)),""))</f>
        <v>0.0260869565217391</v>
      </c>
      <c r="T18" s="28" t="n">
        <f aca="false">IFERROR(IF(COUNTIFS('Chapter Data'!$A$2:$A$2500,$A18,'Chapter Data'!$D$2:$D$2500,OurChapter,'Chapter Data'!$J$2:$J$2500,"&lt;&gt;")=0,"",SUMIFS('Chapter Data'!$J$2:$J$2500,'Chapter Data'!$A$2:$A$2500,$A18,'Chapter Data'!$D$2:$D$2500,OurChapter)),"")</f>
        <v>0.98</v>
      </c>
      <c r="U18" s="28" t="n">
        <f aca="false">IFERROR(IF(COUNTIFS('Chapter Data'!$A$2:$A$2500,$A18,'Chapter Data'!$D$2:$D$2500,OurChapter,'Chapter Data'!$K$2:$K$2500,"&lt;&gt;")=0,"",SUMIFS('Chapter Data'!$K$2:$K$2500,'Chapter Data'!$A$2:$A$2500,$A18,'Chapter Data'!$D$2:$D$2500,OurChapter)),"")</f>
        <v>0.75</v>
      </c>
      <c r="V18" s="28" t="n">
        <f aca="false" t="array" ref="V18:V18">IF(COUNTIFS('Chapter Data'!$A$2:$A$2500,$A18,'Chapter Data'!$C$2:$C$2500,"IFC",'Chapter Data'!$K$2:$K$2500,"&gt;=0")&lt;MinChapters,"",MEDIAN(IF(('Chapter Data'!$A$2:$A$2500=$A18)*('Chapter Data'!$C$2:$C$2500="IFC")*ISNUMBER('Chapter Data'!$K$2:$K$2500),'Chapter Data'!$K$2:$K$2500)))</f>
        <v>0.87</v>
      </c>
    </row>
    <row r="19" customFormat="false" ht="15" hidden="false" customHeight="false" outlineLevel="0" collapsed="false">
      <c r="A19" s="8" t="s">
        <v>158</v>
      </c>
      <c r="B19" s="25" t="n">
        <f aca="false">IF(IFERROR(INDEX('GPA Matrix'!$B$43:$U$43,MATCH($A19,'GPA Matrix'!$B$2:$U$2,0)),"")="","",IFERROR(INDEX('GPA Matrix'!$B$43:$U$43,MATCH($A19,'GPA Matrix'!$B$2:$U$2,0)),""))</f>
        <v>3.033</v>
      </c>
      <c r="C19" s="25" t="n">
        <f aca="false">IF(IFERROR(INDEX('GPA Matrix'!$B$40:$U$40,MATCH($A19,'GPA Matrix'!$B$2:$U$2,0)),"")="","",IFERROR(INDEX('GPA Matrix'!$B$40:$U$40,MATCH($A19,'GPA Matrix'!$B$2:$U$2,0)),""))</f>
        <v>3.32755353535354</v>
      </c>
      <c r="D19" s="25" t="n">
        <f aca="false">IF(IFERROR(INDEX('GPA Matrix'!$B$41:$U$41,MATCH($A19,'GPA Matrix'!$B$2:$U$2,0)),"")="","",IFERROR(INDEX('GPA Matrix'!$B$41:$U$41,MATCH($A19,'GPA Matrix'!$B$2:$U$2,0)),""))</f>
        <v>3.286</v>
      </c>
      <c r="E19" s="25" t="n">
        <f aca="false">IFERROR(IF(INDEX('Campus Stats'!$C$2:$C$37,MATCH($A19,'Campus Stats'!$A$2:$A$37,0))="","",INDEX('Campus Stats'!$C$2:$C$37,MATCH($A19,'Campus Stats'!$A$2:$A$37,0))),"")</f>
        <v>3.196</v>
      </c>
      <c r="F19" s="25" t="n">
        <f aca="false">IFERROR(IF(INDEX('Campus Stats'!$F$2:$F$37,MATCH($A19,'Campus Stats'!$A$2:$A$37,0))="","",INDEX('Campus Stats'!$F$2:$F$37,MATCH($A19,'Campus Stats'!$A$2:$A$37,0))),"")</f>
        <v>3.316</v>
      </c>
      <c r="G19" s="22" t="n">
        <f aca="false">IF(OR(B19="",C19=""),"",B19-C19)</f>
        <v>-0.294553535353536</v>
      </c>
      <c r="H19" s="19" t="n">
        <f aca="false">IF(IFERROR(INDEX('GPA Matrix'!$B$44:$U$44,MATCH($A19,'GPA Matrix'!$B$2:$U$2,0)),"")="","",IFERROR(INDEX('GPA Matrix'!$B$44:$U$44,MATCH($A19,'GPA Matrix'!$B$2:$U$2,0)),""))</f>
        <v>19</v>
      </c>
      <c r="I19" s="19" t="n">
        <f aca="false">IF(H19="","",IFERROR(INDEX('GPA Matrix'!$B$39:$U$39,MATCH($A19,'GPA Matrix'!$B$2:$U$2,0)),""))</f>
        <v>25</v>
      </c>
      <c r="K19" s="19" t="n">
        <f aca="false">IF(IFERROR(INDEX('Members Matrix'!$B$43:$U$43,MATCH($A19,'Members Matrix'!$B$2:$U$2,0)),"")="","",IFERROR(INDEX('Members Matrix'!$B$43:$U$43,MATCH($A19,'Members Matrix'!$B$2:$U$2,0)),""))</f>
        <v>44</v>
      </c>
      <c r="L19" s="26" t="n">
        <f aca="false">IF(IFERROR(INDEX('Members Matrix'!$B$42:$U$42,MATCH($A19,'Members Matrix'!$B$2:$U$2,0)),"")="","",IFERROR(INDEX('Members Matrix'!$B$42:$U$42,MATCH($A19,'Members Matrix'!$B$2:$U$2,0)),""))</f>
        <v>87</v>
      </c>
      <c r="M19" s="19" t="n">
        <f aca="false">IF(IFERROR(INDEX('Members Matrix'!$B$44:$U$44,MATCH($A19,'Members Matrix'!$B$2:$U$2,0)),"")="","",IFERROR(INDEX('Members Matrix'!$B$44:$U$44,MATCH($A19,'Members Matrix'!$B$2:$U$2,0)),""))</f>
        <v>15</v>
      </c>
      <c r="N19" s="19" t="n">
        <f aca="false">IF(IFERROR(INDEX('Members Matrix'!$B$45:$U$45,MATCH($A19,'Members Matrix'!$B$2:$U$2,0)),"")="","",IFERROR(INDEX('Members Matrix'!$B$45:$U$45,MATCH($A19,'Members Matrix'!$B$2:$U$2,0)),""))</f>
        <v>50.5747126436782</v>
      </c>
      <c r="O19" s="19" t="n">
        <f aca="false">IF(IFERROR(INDEX('New Members Matrix'!$B$43:$U$43,MATCH($A19,'New Members Matrix'!$B$2:$U$2,0)),"")="","",IFERROR(INDEX('New Members Matrix'!$B$43:$U$43,MATCH($A19,'New Members Matrix'!$B$2:$U$2,0)),""))</f>
        <v>12</v>
      </c>
      <c r="P19" s="26" t="n">
        <f aca="false">IF(IFERROR(INDEX('New Members Matrix'!$B$41:$U$41,MATCH($A19,'New Members Matrix'!$B$2:$U$2,0)),"")="","",IFERROR(INDEX('New Members Matrix'!$B$41:$U$41,MATCH($A19,'New Members Matrix'!$B$2:$U$2,0)),""))</f>
        <v>22.04</v>
      </c>
      <c r="Q19" s="26" t="n">
        <f aca="false">IF(IFERROR(INDEX('New Members Matrix'!$B$42:$U$42,MATCH($A19,'New Members Matrix'!$B$2:$U$2,0)),"")="","",IFERROR(INDEX('New Members Matrix'!$B$42:$U$42,MATCH($A19,'New Members Matrix'!$B$2:$U$2,0)),""))</f>
        <v>25</v>
      </c>
      <c r="R19" s="19" t="n">
        <f aca="false">IF(IFERROR(INDEX('New Members Matrix'!$B$44:$U$44,MATCH($A19,'New Members Matrix'!$B$2:$U$2,0)),"")="","",IFERROR(INDEX('New Members Matrix'!$B$44:$U$44,MATCH($A19,'New Members Matrix'!$B$2:$U$2,0)),""))</f>
        <v>17</v>
      </c>
      <c r="S19" s="27" t="n">
        <f aca="false">IF(IFERROR(INDEX('New Members Matrix'!$B$45:$U$45,MATCH($A19,'New Members Matrix'!$B$2:$U$2,0)),"")="","",IFERROR(INDEX('New Members Matrix'!$B$45:$U$45,MATCH($A19,'New Members Matrix'!$B$2:$U$2,0)),""))</f>
        <v>0.0217785843920145</v>
      </c>
      <c r="T19" s="28" t="n">
        <f aca="false">IFERROR(IF(COUNTIFS('Chapter Data'!$A$2:$A$2500,$A19,'Chapter Data'!$D$2:$D$2500,OurChapter,'Chapter Data'!$J$2:$J$2500,"&lt;&gt;")=0,"",SUMIFS('Chapter Data'!$J$2:$J$2500,'Chapter Data'!$A$2:$A$2500,$A19,'Chapter Data'!$D$2:$D$2500,OurChapter)),"")</f>
        <v>0.94</v>
      </c>
      <c r="U19" s="28" t="n">
        <f aca="false">IFERROR(IF(COUNTIFS('Chapter Data'!$A$2:$A$2500,$A19,'Chapter Data'!$D$2:$D$2500,OurChapter,'Chapter Data'!$K$2:$K$2500,"&lt;&gt;")=0,"",SUMIFS('Chapter Data'!$K$2:$K$2500,'Chapter Data'!$A$2:$A$2500,$A19,'Chapter Data'!$D$2:$D$2500,OurChapter)),"")</f>
        <v>0.92</v>
      </c>
      <c r="V19" s="28" t="n">
        <f aca="false" t="array" ref="V19:V19">IF(COUNTIFS('Chapter Data'!$A$2:$A$2500,$A19,'Chapter Data'!$C$2:$C$2500,"IFC",'Chapter Data'!$K$2:$K$2500,"&gt;=0")&lt;MinChapters,"",MEDIAN(IF(('Chapter Data'!$A$2:$A$2500=$A19)*('Chapter Data'!$C$2:$C$2500="IFC")*ISNUMBER('Chapter Data'!$K$2:$K$2500),'Chapter Data'!$K$2:$K$2500)))</f>
        <v>0.94</v>
      </c>
    </row>
    <row r="20" customFormat="false" ht="15" hidden="false" customHeight="false" outlineLevel="0" collapsed="false">
      <c r="A20" s="8" t="s">
        <v>159</v>
      </c>
      <c r="B20" s="25" t="n">
        <f aca="false">IF(IFERROR(INDEX('GPA Matrix'!$B$43:$U$43,MATCH($A20,'GPA Matrix'!$B$2:$U$2,0)),"")="","",IFERROR(INDEX('GPA Matrix'!$B$43:$U$43,MATCH($A20,'GPA Matrix'!$B$2:$U$2,0)),""))</f>
        <v>3.163</v>
      </c>
      <c r="C20" s="25" t="n">
        <f aca="false">IF(IFERROR(INDEX('GPA Matrix'!$B$40:$U$40,MATCH($A20,'GPA Matrix'!$B$2:$U$2,0)),"")="","",IFERROR(INDEX('GPA Matrix'!$B$40:$U$40,MATCH($A20,'GPA Matrix'!$B$2:$U$2,0)),""))</f>
        <v>3.39197551252847</v>
      </c>
      <c r="D20" s="25" t="n">
        <f aca="false">IF(IFERROR(INDEX('GPA Matrix'!$B$41:$U$41,MATCH($A20,'GPA Matrix'!$B$2:$U$2,0)),"")="","",IFERROR(INDEX('GPA Matrix'!$B$41:$U$41,MATCH($A20,'GPA Matrix'!$B$2:$U$2,0)),""))</f>
        <v>3.351</v>
      </c>
      <c r="E20" s="25" t="n">
        <f aca="false">IFERROR(IF(INDEX('Campus Stats'!$C$2:$C$37,MATCH($A20,'Campus Stats'!$A$2:$A$37,0))="","",INDEX('Campus Stats'!$C$2:$C$37,MATCH($A20,'Campus Stats'!$A$2:$A$37,0))),"")</f>
        <v>3.226</v>
      </c>
      <c r="F20" s="25" t="n">
        <f aca="false">IFERROR(IF(INDEX('Campus Stats'!$F$2:$F$37,MATCH($A20,'Campus Stats'!$A$2:$A$37,0))="","",INDEX('Campus Stats'!$F$2:$F$37,MATCH($A20,'Campus Stats'!$A$2:$A$37,0))),"")</f>
        <v>3.384</v>
      </c>
      <c r="G20" s="22" t="n">
        <f aca="false">IF(OR(B20="",C20=""),"",B20-C20)</f>
        <v>-0.228975512528474</v>
      </c>
      <c r="H20" s="19" t="n">
        <f aca="false">IF(IFERROR(INDEX('GPA Matrix'!$B$44:$U$44,MATCH($A20,'GPA Matrix'!$B$2:$U$2,0)),"")="","",IFERROR(INDEX('GPA Matrix'!$B$44:$U$44,MATCH($A20,'GPA Matrix'!$B$2:$U$2,0)),""))</f>
        <v>17</v>
      </c>
      <c r="I20" s="19" t="n">
        <f aca="false">IF(H20="","",IFERROR(INDEX('GPA Matrix'!$B$39:$U$39,MATCH($A20,'GPA Matrix'!$B$2:$U$2,0)),""))</f>
        <v>23</v>
      </c>
      <c r="K20" s="19" t="n">
        <f aca="false">IF(IFERROR(INDEX('Members Matrix'!$B$43:$U$43,MATCH($A20,'Members Matrix'!$B$2:$U$2,0)),"")="","",IFERROR(INDEX('Members Matrix'!$B$43:$U$43,MATCH($A20,'Members Matrix'!$B$2:$U$2,0)),""))</f>
        <v>43</v>
      </c>
      <c r="L20" s="26" t="n">
        <f aca="false">IF(IFERROR(INDEX('Members Matrix'!$B$42:$U$42,MATCH($A20,'Members Matrix'!$B$2:$U$2,0)),"")="","",IFERROR(INDEX('Members Matrix'!$B$42:$U$42,MATCH($A20,'Members Matrix'!$B$2:$U$2,0)),""))</f>
        <v>78</v>
      </c>
      <c r="M20" s="19" t="n">
        <f aca="false">IF(IFERROR(INDEX('Members Matrix'!$B$44:$U$44,MATCH($A20,'Members Matrix'!$B$2:$U$2,0)),"")="","",IFERROR(INDEX('Members Matrix'!$B$44:$U$44,MATCH($A20,'Members Matrix'!$B$2:$U$2,0)),""))</f>
        <v>14</v>
      </c>
      <c r="N20" s="19" t="n">
        <f aca="false">IF(IFERROR(INDEX('Members Matrix'!$B$45:$U$45,MATCH($A20,'Members Matrix'!$B$2:$U$2,0)),"")="","",IFERROR(INDEX('Members Matrix'!$B$45:$U$45,MATCH($A20,'Members Matrix'!$B$2:$U$2,0)),""))</f>
        <v>55.1282051282051</v>
      </c>
      <c r="O20" s="19" t="n">
        <f aca="false">IF(IFERROR(INDEX('New Members Matrix'!$B$43:$U$43,MATCH($A20,'New Members Matrix'!$B$2:$U$2,0)),"")="","",IFERROR(INDEX('New Members Matrix'!$B$43:$U$43,MATCH($A20,'New Members Matrix'!$B$2:$U$2,0)),""))</f>
        <v>6</v>
      </c>
      <c r="P20" s="26" t="n">
        <f aca="false">IF(IFERROR(INDEX('New Members Matrix'!$B$41:$U$41,MATCH($A20,'New Members Matrix'!$B$2:$U$2,0)),"")="","",IFERROR(INDEX('New Members Matrix'!$B$41:$U$41,MATCH($A20,'New Members Matrix'!$B$2:$U$2,0)),""))</f>
        <v>4.1304347826087</v>
      </c>
      <c r="Q20" s="26" t="n">
        <f aca="false">IF(IFERROR(INDEX('New Members Matrix'!$B$42:$U$42,MATCH($A20,'New Members Matrix'!$B$2:$U$2,0)),"")="","",IFERROR(INDEX('New Members Matrix'!$B$42:$U$42,MATCH($A20,'New Members Matrix'!$B$2:$U$2,0)),""))</f>
        <v>4</v>
      </c>
      <c r="R20" s="19" t="n">
        <f aca="false">IF(IFERROR(INDEX('New Members Matrix'!$B$44:$U$44,MATCH($A20,'New Members Matrix'!$B$2:$U$2,0)),"")="","",IFERROR(INDEX('New Members Matrix'!$B$44:$U$44,MATCH($A20,'New Members Matrix'!$B$2:$U$2,0)),""))</f>
        <v>5</v>
      </c>
      <c r="S20" s="27" t="n">
        <f aca="false">IF(IFERROR(INDEX('New Members Matrix'!$B$45:$U$45,MATCH($A20,'New Members Matrix'!$B$2:$U$2,0)),"")="","",IFERROR(INDEX('New Members Matrix'!$B$45:$U$45,MATCH($A20,'New Members Matrix'!$B$2:$U$2,0)),""))</f>
        <v>0.0631578947368421</v>
      </c>
      <c r="T20" s="28" t="n">
        <f aca="false">IFERROR(IF(COUNTIFS('Chapter Data'!$A$2:$A$2500,$A20,'Chapter Data'!$D$2:$D$2500,OurChapter,'Chapter Data'!$J$2:$J$2500,"&lt;&gt;")=0,"",SUMIFS('Chapter Data'!$J$2:$J$2500,'Chapter Data'!$A$2:$A$2500,$A20,'Chapter Data'!$D$2:$D$2500,OurChapter)),"")</f>
        <v>0.95</v>
      </c>
      <c r="U20" s="28" t="n">
        <f aca="false">IFERROR(IF(COUNTIFS('Chapter Data'!$A$2:$A$2500,$A20,'Chapter Data'!$D$2:$D$2500,OurChapter,'Chapter Data'!$K$2:$K$2500,"&lt;&gt;")=0,"",SUMIFS('Chapter Data'!$K$2:$K$2500,'Chapter Data'!$A$2:$A$2500,$A20,'Chapter Data'!$D$2:$D$2500,OurChapter)),"")</f>
        <v>1</v>
      </c>
      <c r="V20" s="28" t="n">
        <f aca="false" t="array" ref="V20:V20">IF(COUNTIFS('Chapter Data'!$A$2:$A$2500,$A20,'Chapter Data'!$C$2:$C$2500,"IFC",'Chapter Data'!$K$2:$K$2500,"&gt;=0")&lt;MinChapters,"",MEDIAN(IF(('Chapter Data'!$A$2:$A$2500=$A20)*('Chapter Data'!$C$2:$C$2500="IFC")*ISNUMBER('Chapter Data'!$K$2:$K$2500),'Chapter Data'!$K$2:$K$2500)))</f>
        <v>1</v>
      </c>
    </row>
    <row r="21" customFormat="false" ht="15" hidden="false" customHeight="false" outlineLevel="0" collapsed="false">
      <c r="A21" s="8" t="s">
        <v>160</v>
      </c>
      <c r="B21" s="25" t="str">
        <f aca="false">IF(IFERROR(INDEX('GPA Matrix'!$B$43:$U$43,MATCH($A21,'GPA Matrix'!$B$2:$U$2,0)),"")="","",IFERROR(INDEX('GPA Matrix'!$B$43:$U$43,MATCH($A21,'GPA Matrix'!$B$2:$U$2,0)),""))</f>
        <v/>
      </c>
      <c r="C21" s="25" t="str">
        <f aca="false">IF(IFERROR(INDEX('GPA Matrix'!$B$40:$U$40,MATCH($A21,'GPA Matrix'!$B$2:$U$2,0)),"")="","",IFERROR(INDEX('GPA Matrix'!$B$40:$U$40,MATCH($A21,'GPA Matrix'!$B$2:$U$2,0)),""))</f>
        <v/>
      </c>
      <c r="D21" s="25" t="str">
        <f aca="false">IF(IFERROR(INDEX('GPA Matrix'!$B$41:$U$41,MATCH($A21,'GPA Matrix'!$B$2:$U$2,0)),"")="","",IFERROR(INDEX('GPA Matrix'!$B$41:$U$41,MATCH($A21,'GPA Matrix'!$B$2:$U$2,0)),""))</f>
        <v/>
      </c>
      <c r="E21" s="25" t="str">
        <f aca="false">IFERROR(IF(INDEX('Campus Stats'!$C$2:$C$37,MATCH($A21,'Campus Stats'!$A$2:$A$37,0))="","",INDEX('Campus Stats'!$C$2:$C$37,MATCH($A21,'Campus Stats'!$A$2:$A$37,0))),"")</f>
        <v/>
      </c>
      <c r="F21" s="25" t="str">
        <f aca="false">IFERROR(IF(INDEX('Campus Stats'!$F$2:$F$37,MATCH($A21,'Campus Stats'!$A$2:$A$37,0))="","",INDEX('Campus Stats'!$F$2:$F$37,MATCH($A21,'Campus Stats'!$A$2:$A$37,0))),"")</f>
        <v/>
      </c>
      <c r="G21" s="22" t="str">
        <f aca="false">IF(OR(B21="",C21=""),"",B21-C21)</f>
        <v/>
      </c>
      <c r="H21" s="19" t="str">
        <f aca="false">IF(IFERROR(INDEX('GPA Matrix'!$B$44:$U$44,MATCH($A21,'GPA Matrix'!$B$2:$U$2,0)),"")="","",IFERROR(INDEX('GPA Matrix'!$B$44:$U$44,MATCH($A21,'GPA Matrix'!$B$2:$U$2,0)),""))</f>
        <v/>
      </c>
      <c r="I21" s="19" t="str">
        <f aca="false">IF(H21="","",IFERROR(INDEX('GPA Matrix'!$B$39:$U$39,MATCH($A21,'GPA Matrix'!$B$2:$U$2,0)),""))</f>
        <v/>
      </c>
      <c r="K21" s="19" t="str">
        <f aca="false">IF(IFERROR(INDEX('Members Matrix'!$B$43:$U$43,MATCH($A21,'Members Matrix'!$B$2:$U$2,0)),"")="","",IFERROR(INDEX('Members Matrix'!$B$43:$U$43,MATCH($A21,'Members Matrix'!$B$2:$U$2,0)),""))</f>
        <v/>
      </c>
      <c r="L21" s="26" t="str">
        <f aca="false">IF(IFERROR(INDEX('Members Matrix'!$B$42:$U$42,MATCH($A21,'Members Matrix'!$B$2:$U$2,0)),"")="","",IFERROR(INDEX('Members Matrix'!$B$42:$U$42,MATCH($A21,'Members Matrix'!$B$2:$U$2,0)),""))</f>
        <v/>
      </c>
      <c r="M21" s="19" t="str">
        <f aca="false">IF(IFERROR(INDEX('Members Matrix'!$B$44:$U$44,MATCH($A21,'Members Matrix'!$B$2:$U$2,0)),"")="","",IFERROR(INDEX('Members Matrix'!$B$44:$U$44,MATCH($A21,'Members Matrix'!$B$2:$U$2,0)),""))</f>
        <v/>
      </c>
      <c r="N21" s="19" t="str">
        <f aca="false">IF(IFERROR(INDEX('Members Matrix'!$B$45:$U$45,MATCH($A21,'Members Matrix'!$B$2:$U$2,0)),"")="","",IFERROR(INDEX('Members Matrix'!$B$45:$U$45,MATCH($A21,'Members Matrix'!$B$2:$U$2,0)),""))</f>
        <v/>
      </c>
      <c r="O21" s="19" t="str">
        <f aca="false">IF(IFERROR(INDEX('New Members Matrix'!$B$43:$U$43,MATCH($A21,'New Members Matrix'!$B$2:$U$2,0)),"")="","",IFERROR(INDEX('New Members Matrix'!$B$43:$U$43,MATCH($A21,'New Members Matrix'!$B$2:$U$2,0)),""))</f>
        <v/>
      </c>
      <c r="P21" s="26" t="str">
        <f aca="false">IF(IFERROR(INDEX('New Members Matrix'!$B$41:$U$41,MATCH($A21,'New Members Matrix'!$B$2:$U$2,0)),"")="","",IFERROR(INDEX('New Members Matrix'!$B$41:$U$41,MATCH($A21,'New Members Matrix'!$B$2:$U$2,0)),""))</f>
        <v/>
      </c>
      <c r="Q21" s="26" t="str">
        <f aca="false">IF(IFERROR(INDEX('New Members Matrix'!$B$42:$U$42,MATCH($A21,'New Members Matrix'!$B$2:$U$2,0)),"")="","",IFERROR(INDEX('New Members Matrix'!$B$42:$U$42,MATCH($A21,'New Members Matrix'!$B$2:$U$2,0)),""))</f>
        <v/>
      </c>
      <c r="R21" s="19" t="str">
        <f aca="false">IF(IFERROR(INDEX('New Members Matrix'!$B$44:$U$44,MATCH($A21,'New Members Matrix'!$B$2:$U$2,0)),"")="","",IFERROR(INDEX('New Members Matrix'!$B$44:$U$44,MATCH($A21,'New Members Matrix'!$B$2:$U$2,0)),""))</f>
        <v/>
      </c>
      <c r="S21" s="27" t="str">
        <f aca="false">IF(IFERROR(INDEX('New Members Matrix'!$B$45:$U$45,MATCH($A21,'New Members Matrix'!$B$2:$U$2,0)),"")="","",IFERROR(INDEX('New Members Matrix'!$B$45:$U$45,MATCH($A21,'New Members Matrix'!$B$2:$U$2,0)),""))</f>
        <v/>
      </c>
      <c r="T21" s="28" t="str">
        <f aca="false">IFERROR(IF(COUNTIFS('Chapter Data'!$A$2:$A$2500,$A21,'Chapter Data'!$D$2:$D$2500,OurChapter,'Chapter Data'!$J$2:$J$2500,"&lt;&gt;")=0,"",SUMIFS('Chapter Data'!$J$2:$J$2500,'Chapter Data'!$A$2:$A$2500,$A21,'Chapter Data'!$D$2:$D$2500,OurChapter)),"")</f>
        <v/>
      </c>
      <c r="U21" s="28" t="str">
        <f aca="false">IFERROR(IF(COUNTIFS('Chapter Data'!$A$2:$A$2500,$A21,'Chapter Data'!$D$2:$D$2500,OurChapter,'Chapter Data'!$K$2:$K$2500,"&lt;&gt;")=0,"",SUMIFS('Chapter Data'!$K$2:$K$2500,'Chapter Data'!$A$2:$A$2500,$A21,'Chapter Data'!$D$2:$D$2500,OurChapter)),"")</f>
        <v/>
      </c>
      <c r="V21" s="28" t="str">
        <f aca="false" t="array" ref="V21:V21">IF(COUNTIFS('Chapter Data'!$A$2:$A$2500,$A21,'Chapter Data'!$C$2:$C$2500,"IFC",'Chapter Data'!$K$2:$K$2500,"&gt;=0")&lt;MinChapters,"",MEDIAN(IF(('Chapter Data'!$A$2:$A$2500=$A21)*('Chapter Data'!$C$2:$C$2500="IFC")*ISNUMBER('Chapter Data'!$K$2:$K$2500),'Chapter Data'!$K$2:$K$2500)))</f>
        <v/>
      </c>
    </row>
    <row r="22" customFormat="false" ht="15" hidden="false" customHeight="false" outlineLevel="0" collapsed="false">
      <c r="A22" s="8" t="s">
        <v>161</v>
      </c>
      <c r="B22" s="25" t="str">
        <f aca="false">IF(IFERROR(INDEX('GPA Matrix'!$B$43:$U$43,MATCH($A22,'GPA Matrix'!$B$2:$U$2,0)),"")="","",IFERROR(INDEX('GPA Matrix'!$B$43:$U$43,MATCH($A22,'GPA Matrix'!$B$2:$U$2,0)),""))</f>
        <v/>
      </c>
      <c r="C22" s="25" t="str">
        <f aca="false">IF(IFERROR(INDEX('GPA Matrix'!$B$40:$U$40,MATCH($A22,'GPA Matrix'!$B$2:$U$2,0)),"")="","",IFERROR(INDEX('GPA Matrix'!$B$40:$U$40,MATCH($A22,'GPA Matrix'!$B$2:$U$2,0)),""))</f>
        <v/>
      </c>
      <c r="D22" s="25" t="str">
        <f aca="false">IF(IFERROR(INDEX('GPA Matrix'!$B$41:$U$41,MATCH($A22,'GPA Matrix'!$B$2:$U$2,0)),"")="","",IFERROR(INDEX('GPA Matrix'!$B$41:$U$41,MATCH($A22,'GPA Matrix'!$B$2:$U$2,0)),""))</f>
        <v/>
      </c>
      <c r="E22" s="25" t="str">
        <f aca="false">IFERROR(IF(INDEX('Campus Stats'!$C$2:$C$37,MATCH($A22,'Campus Stats'!$A$2:$A$37,0))="","",INDEX('Campus Stats'!$C$2:$C$37,MATCH($A22,'Campus Stats'!$A$2:$A$37,0))),"")</f>
        <v/>
      </c>
      <c r="F22" s="25" t="str">
        <f aca="false">IFERROR(IF(INDEX('Campus Stats'!$F$2:$F$37,MATCH($A22,'Campus Stats'!$A$2:$A$37,0))="","",INDEX('Campus Stats'!$F$2:$F$37,MATCH($A22,'Campus Stats'!$A$2:$A$37,0))),"")</f>
        <v/>
      </c>
      <c r="G22" s="22" t="str">
        <f aca="false">IF(OR(B22="",C22=""),"",B22-C22)</f>
        <v/>
      </c>
      <c r="H22" s="19" t="str">
        <f aca="false">IF(IFERROR(INDEX('GPA Matrix'!$B$44:$U$44,MATCH($A22,'GPA Matrix'!$B$2:$U$2,0)),"")="","",IFERROR(INDEX('GPA Matrix'!$B$44:$U$44,MATCH($A22,'GPA Matrix'!$B$2:$U$2,0)),""))</f>
        <v/>
      </c>
      <c r="I22" s="19" t="str">
        <f aca="false">IF(H22="","",IFERROR(INDEX('GPA Matrix'!$B$39:$U$39,MATCH($A22,'GPA Matrix'!$B$2:$U$2,0)),""))</f>
        <v/>
      </c>
      <c r="K22" s="19" t="str">
        <f aca="false">IF(IFERROR(INDEX('Members Matrix'!$B$43:$U$43,MATCH($A22,'Members Matrix'!$B$2:$U$2,0)),"")="","",IFERROR(INDEX('Members Matrix'!$B$43:$U$43,MATCH($A22,'Members Matrix'!$B$2:$U$2,0)),""))</f>
        <v/>
      </c>
      <c r="L22" s="26" t="str">
        <f aca="false">IF(IFERROR(INDEX('Members Matrix'!$B$42:$U$42,MATCH($A22,'Members Matrix'!$B$2:$U$2,0)),"")="","",IFERROR(INDEX('Members Matrix'!$B$42:$U$42,MATCH($A22,'Members Matrix'!$B$2:$U$2,0)),""))</f>
        <v/>
      </c>
      <c r="M22" s="19" t="str">
        <f aca="false">IF(IFERROR(INDEX('Members Matrix'!$B$44:$U$44,MATCH($A22,'Members Matrix'!$B$2:$U$2,0)),"")="","",IFERROR(INDEX('Members Matrix'!$B$44:$U$44,MATCH($A22,'Members Matrix'!$B$2:$U$2,0)),""))</f>
        <v/>
      </c>
      <c r="N22" s="19" t="str">
        <f aca="false">IF(IFERROR(INDEX('Members Matrix'!$B$45:$U$45,MATCH($A22,'Members Matrix'!$B$2:$U$2,0)),"")="","",IFERROR(INDEX('Members Matrix'!$B$45:$U$45,MATCH($A22,'Members Matrix'!$B$2:$U$2,0)),""))</f>
        <v/>
      </c>
      <c r="O22" s="19" t="str">
        <f aca="false">IF(IFERROR(INDEX('New Members Matrix'!$B$43:$U$43,MATCH($A22,'New Members Matrix'!$B$2:$U$2,0)),"")="","",IFERROR(INDEX('New Members Matrix'!$B$43:$U$43,MATCH($A22,'New Members Matrix'!$B$2:$U$2,0)),""))</f>
        <v/>
      </c>
      <c r="P22" s="26" t="str">
        <f aca="false">IF(IFERROR(INDEX('New Members Matrix'!$B$41:$U$41,MATCH($A22,'New Members Matrix'!$B$2:$U$2,0)),"")="","",IFERROR(INDEX('New Members Matrix'!$B$41:$U$41,MATCH($A22,'New Members Matrix'!$B$2:$U$2,0)),""))</f>
        <v/>
      </c>
      <c r="Q22" s="26" t="str">
        <f aca="false">IF(IFERROR(INDEX('New Members Matrix'!$B$42:$U$42,MATCH($A22,'New Members Matrix'!$B$2:$U$2,0)),"")="","",IFERROR(INDEX('New Members Matrix'!$B$42:$U$42,MATCH($A22,'New Members Matrix'!$B$2:$U$2,0)),""))</f>
        <v/>
      </c>
      <c r="R22" s="19" t="str">
        <f aca="false">IF(IFERROR(INDEX('New Members Matrix'!$B$44:$U$44,MATCH($A22,'New Members Matrix'!$B$2:$U$2,0)),"")="","",IFERROR(INDEX('New Members Matrix'!$B$44:$U$44,MATCH($A22,'New Members Matrix'!$B$2:$U$2,0)),""))</f>
        <v/>
      </c>
      <c r="S22" s="27" t="str">
        <f aca="false">IF(IFERROR(INDEX('New Members Matrix'!$B$45:$U$45,MATCH($A22,'New Members Matrix'!$B$2:$U$2,0)),"")="","",IFERROR(INDEX('New Members Matrix'!$B$45:$U$45,MATCH($A22,'New Members Matrix'!$B$2:$U$2,0)),""))</f>
        <v/>
      </c>
      <c r="T22" s="28" t="str">
        <f aca="false">IFERROR(IF(COUNTIFS('Chapter Data'!$A$2:$A$2500,$A22,'Chapter Data'!$D$2:$D$2500,OurChapter,'Chapter Data'!$J$2:$J$2500,"&lt;&gt;")=0,"",SUMIFS('Chapter Data'!$J$2:$J$2500,'Chapter Data'!$A$2:$A$2500,$A22,'Chapter Data'!$D$2:$D$2500,OurChapter)),"")</f>
        <v/>
      </c>
      <c r="U22" s="28" t="str">
        <f aca="false">IFERROR(IF(COUNTIFS('Chapter Data'!$A$2:$A$2500,$A22,'Chapter Data'!$D$2:$D$2500,OurChapter,'Chapter Data'!$K$2:$K$2500,"&lt;&gt;")=0,"",SUMIFS('Chapter Data'!$K$2:$K$2500,'Chapter Data'!$A$2:$A$2500,$A22,'Chapter Data'!$D$2:$D$2500,OurChapter)),"")</f>
        <v/>
      </c>
      <c r="V22" s="28" t="str">
        <f aca="false" t="array" ref="V22:V22">IF(COUNTIFS('Chapter Data'!$A$2:$A$2500,$A22,'Chapter Data'!$C$2:$C$2500,"IFC",'Chapter Data'!$K$2:$K$2500,"&gt;=0")&lt;MinChapters,"",MEDIAN(IF(('Chapter Data'!$A$2:$A$2500=$A22)*('Chapter Data'!$C$2:$C$2500="IFC")*ISNUMBER('Chapter Data'!$K$2:$K$2500),'Chapter Data'!$K$2:$K$2500)))</f>
        <v/>
      </c>
    </row>
    <row r="23" customFormat="false" ht="15" hidden="false" customHeight="false" outlineLevel="0" collapsed="false">
      <c r="A23" s="8" t="s">
        <v>162</v>
      </c>
      <c r="B23" s="25" t="str">
        <f aca="false">IF(IFERROR(INDEX('GPA Matrix'!$B$43:$U$43,MATCH($A23,'GPA Matrix'!$B$2:$U$2,0)),"")="","",IFERROR(INDEX('GPA Matrix'!$B$43:$U$43,MATCH($A23,'GPA Matrix'!$B$2:$U$2,0)),""))</f>
        <v/>
      </c>
      <c r="C23" s="25" t="str">
        <f aca="false">IF(IFERROR(INDEX('GPA Matrix'!$B$40:$U$40,MATCH($A23,'GPA Matrix'!$B$2:$U$2,0)),"")="","",IFERROR(INDEX('GPA Matrix'!$B$40:$U$40,MATCH($A23,'GPA Matrix'!$B$2:$U$2,0)),""))</f>
        <v/>
      </c>
      <c r="D23" s="25" t="str">
        <f aca="false">IF(IFERROR(INDEX('GPA Matrix'!$B$41:$U$41,MATCH($A23,'GPA Matrix'!$B$2:$U$2,0)),"")="","",IFERROR(INDEX('GPA Matrix'!$B$41:$U$41,MATCH($A23,'GPA Matrix'!$B$2:$U$2,0)),""))</f>
        <v/>
      </c>
      <c r="E23" s="25" t="str">
        <f aca="false">IFERROR(IF(INDEX('Campus Stats'!$C$2:$C$37,MATCH($A23,'Campus Stats'!$A$2:$A$37,0))="","",INDEX('Campus Stats'!$C$2:$C$37,MATCH($A23,'Campus Stats'!$A$2:$A$37,0))),"")</f>
        <v/>
      </c>
      <c r="F23" s="25" t="str">
        <f aca="false">IFERROR(IF(INDEX('Campus Stats'!$F$2:$F$37,MATCH($A23,'Campus Stats'!$A$2:$A$37,0))="","",INDEX('Campus Stats'!$F$2:$F$37,MATCH($A23,'Campus Stats'!$A$2:$A$37,0))),"")</f>
        <v/>
      </c>
      <c r="G23" s="22" t="str">
        <f aca="false">IF(OR(B23="",C23=""),"",B23-C23)</f>
        <v/>
      </c>
      <c r="H23" s="19" t="str">
        <f aca="false">IF(IFERROR(INDEX('GPA Matrix'!$B$44:$U$44,MATCH($A23,'GPA Matrix'!$B$2:$U$2,0)),"")="","",IFERROR(INDEX('GPA Matrix'!$B$44:$U$44,MATCH($A23,'GPA Matrix'!$B$2:$U$2,0)),""))</f>
        <v/>
      </c>
      <c r="I23" s="19" t="str">
        <f aca="false">IF(H23="","",IFERROR(INDEX('GPA Matrix'!$B$39:$U$39,MATCH($A23,'GPA Matrix'!$B$2:$U$2,0)),""))</f>
        <v/>
      </c>
      <c r="K23" s="19" t="str">
        <f aca="false">IF(IFERROR(INDEX('Members Matrix'!$B$43:$U$43,MATCH($A23,'Members Matrix'!$B$2:$U$2,0)),"")="","",IFERROR(INDEX('Members Matrix'!$B$43:$U$43,MATCH($A23,'Members Matrix'!$B$2:$U$2,0)),""))</f>
        <v/>
      </c>
      <c r="L23" s="26" t="str">
        <f aca="false">IF(IFERROR(INDEX('Members Matrix'!$B$42:$U$42,MATCH($A23,'Members Matrix'!$B$2:$U$2,0)),"")="","",IFERROR(INDEX('Members Matrix'!$B$42:$U$42,MATCH($A23,'Members Matrix'!$B$2:$U$2,0)),""))</f>
        <v/>
      </c>
      <c r="M23" s="19" t="str">
        <f aca="false">IF(IFERROR(INDEX('Members Matrix'!$B$44:$U$44,MATCH($A23,'Members Matrix'!$B$2:$U$2,0)),"")="","",IFERROR(INDEX('Members Matrix'!$B$44:$U$44,MATCH($A23,'Members Matrix'!$B$2:$U$2,0)),""))</f>
        <v/>
      </c>
      <c r="N23" s="19" t="str">
        <f aca="false">IF(IFERROR(INDEX('Members Matrix'!$B$45:$U$45,MATCH($A23,'Members Matrix'!$B$2:$U$2,0)),"")="","",IFERROR(INDEX('Members Matrix'!$B$45:$U$45,MATCH($A23,'Members Matrix'!$B$2:$U$2,0)),""))</f>
        <v/>
      </c>
      <c r="O23" s="19" t="str">
        <f aca="false">IF(IFERROR(INDEX('New Members Matrix'!$B$43:$U$43,MATCH($A23,'New Members Matrix'!$B$2:$U$2,0)),"")="","",IFERROR(INDEX('New Members Matrix'!$B$43:$U$43,MATCH($A23,'New Members Matrix'!$B$2:$U$2,0)),""))</f>
        <v/>
      </c>
      <c r="P23" s="26" t="str">
        <f aca="false">IF(IFERROR(INDEX('New Members Matrix'!$B$41:$U$41,MATCH($A23,'New Members Matrix'!$B$2:$U$2,0)),"")="","",IFERROR(INDEX('New Members Matrix'!$B$41:$U$41,MATCH($A23,'New Members Matrix'!$B$2:$U$2,0)),""))</f>
        <v/>
      </c>
      <c r="Q23" s="26" t="str">
        <f aca="false">IF(IFERROR(INDEX('New Members Matrix'!$B$42:$U$42,MATCH($A23,'New Members Matrix'!$B$2:$U$2,0)),"")="","",IFERROR(INDEX('New Members Matrix'!$B$42:$U$42,MATCH($A23,'New Members Matrix'!$B$2:$U$2,0)),""))</f>
        <v/>
      </c>
      <c r="R23" s="19" t="str">
        <f aca="false">IF(IFERROR(INDEX('New Members Matrix'!$B$44:$U$44,MATCH($A23,'New Members Matrix'!$B$2:$U$2,0)),"")="","",IFERROR(INDEX('New Members Matrix'!$B$44:$U$44,MATCH($A23,'New Members Matrix'!$B$2:$U$2,0)),""))</f>
        <v/>
      </c>
      <c r="S23" s="27" t="str">
        <f aca="false">IF(IFERROR(INDEX('New Members Matrix'!$B$45:$U$45,MATCH($A23,'New Members Matrix'!$B$2:$U$2,0)),"")="","",IFERROR(INDEX('New Members Matrix'!$B$45:$U$45,MATCH($A23,'New Members Matrix'!$B$2:$U$2,0)),""))</f>
        <v/>
      </c>
      <c r="T23" s="28" t="str">
        <f aca="false">IFERROR(IF(COUNTIFS('Chapter Data'!$A$2:$A$2500,$A23,'Chapter Data'!$D$2:$D$2500,OurChapter,'Chapter Data'!$J$2:$J$2500,"&lt;&gt;")=0,"",SUMIFS('Chapter Data'!$J$2:$J$2500,'Chapter Data'!$A$2:$A$2500,$A23,'Chapter Data'!$D$2:$D$2500,OurChapter)),"")</f>
        <v/>
      </c>
      <c r="U23" s="28" t="str">
        <f aca="false">IFERROR(IF(COUNTIFS('Chapter Data'!$A$2:$A$2500,$A23,'Chapter Data'!$D$2:$D$2500,OurChapter,'Chapter Data'!$K$2:$K$2500,"&lt;&gt;")=0,"",SUMIFS('Chapter Data'!$K$2:$K$2500,'Chapter Data'!$A$2:$A$2500,$A23,'Chapter Data'!$D$2:$D$2500,OurChapter)),"")</f>
        <v/>
      </c>
      <c r="V23" s="28" t="str">
        <f aca="false" t="array" ref="V23:V23">IF(COUNTIFS('Chapter Data'!$A$2:$A$2500,$A23,'Chapter Data'!$C$2:$C$2500,"IFC",'Chapter Data'!$K$2:$K$2500,"&gt;=0")&lt;MinChapters,"",MEDIAN(IF(('Chapter Data'!$A$2:$A$2500=$A23)*('Chapter Data'!$C$2:$C$2500="IFC")*ISNUMBER('Chapter Data'!$K$2:$K$2500),'Chapter Data'!$K$2:$K$2500)))</f>
        <v/>
      </c>
    </row>
    <row r="24" customFormat="false" ht="15" hidden="false" customHeight="false" outlineLevel="0" collapsed="false">
      <c r="A24" s="8" t="s">
        <v>163</v>
      </c>
      <c r="B24" s="25" t="str">
        <f aca="false">IF(IFERROR(INDEX('GPA Matrix'!$B$43:$U$43,MATCH($A24,'GPA Matrix'!$B$2:$U$2,0)),"")="","",IFERROR(INDEX('GPA Matrix'!$B$43:$U$43,MATCH($A24,'GPA Matrix'!$B$2:$U$2,0)),""))</f>
        <v/>
      </c>
      <c r="C24" s="25" t="str">
        <f aca="false">IF(IFERROR(INDEX('GPA Matrix'!$B$40:$U$40,MATCH($A24,'GPA Matrix'!$B$2:$U$2,0)),"")="","",IFERROR(INDEX('GPA Matrix'!$B$40:$U$40,MATCH($A24,'GPA Matrix'!$B$2:$U$2,0)),""))</f>
        <v/>
      </c>
      <c r="D24" s="25" t="str">
        <f aca="false">IF(IFERROR(INDEX('GPA Matrix'!$B$41:$U$41,MATCH($A24,'GPA Matrix'!$B$2:$U$2,0)),"")="","",IFERROR(INDEX('GPA Matrix'!$B$41:$U$41,MATCH($A24,'GPA Matrix'!$B$2:$U$2,0)),""))</f>
        <v/>
      </c>
      <c r="E24" s="25" t="str">
        <f aca="false">IFERROR(IF(INDEX('Campus Stats'!$C$2:$C$37,MATCH($A24,'Campus Stats'!$A$2:$A$37,0))="","",INDEX('Campus Stats'!$C$2:$C$37,MATCH($A24,'Campus Stats'!$A$2:$A$37,0))),"")</f>
        <v/>
      </c>
      <c r="F24" s="25" t="str">
        <f aca="false">IFERROR(IF(INDEX('Campus Stats'!$F$2:$F$37,MATCH($A24,'Campus Stats'!$A$2:$A$37,0))="","",INDEX('Campus Stats'!$F$2:$F$37,MATCH($A24,'Campus Stats'!$A$2:$A$37,0))),"")</f>
        <v/>
      </c>
      <c r="G24" s="22" t="str">
        <f aca="false">IF(OR(B24="",C24=""),"",B24-C24)</f>
        <v/>
      </c>
      <c r="H24" s="19" t="str">
        <f aca="false">IF(IFERROR(INDEX('GPA Matrix'!$B$44:$U$44,MATCH($A24,'GPA Matrix'!$B$2:$U$2,0)),"")="","",IFERROR(INDEX('GPA Matrix'!$B$44:$U$44,MATCH($A24,'GPA Matrix'!$B$2:$U$2,0)),""))</f>
        <v/>
      </c>
      <c r="I24" s="19" t="str">
        <f aca="false">IF(H24="","",IFERROR(INDEX('GPA Matrix'!$B$39:$U$39,MATCH($A24,'GPA Matrix'!$B$2:$U$2,0)),""))</f>
        <v/>
      </c>
      <c r="K24" s="19" t="str">
        <f aca="false">IF(IFERROR(INDEX('Members Matrix'!$B$43:$U$43,MATCH($A24,'Members Matrix'!$B$2:$U$2,0)),"")="","",IFERROR(INDEX('Members Matrix'!$B$43:$U$43,MATCH($A24,'Members Matrix'!$B$2:$U$2,0)),""))</f>
        <v/>
      </c>
      <c r="L24" s="26" t="str">
        <f aca="false">IF(IFERROR(INDEX('Members Matrix'!$B$42:$U$42,MATCH($A24,'Members Matrix'!$B$2:$U$2,0)),"")="","",IFERROR(INDEX('Members Matrix'!$B$42:$U$42,MATCH($A24,'Members Matrix'!$B$2:$U$2,0)),""))</f>
        <v/>
      </c>
      <c r="M24" s="19" t="str">
        <f aca="false">IF(IFERROR(INDEX('Members Matrix'!$B$44:$U$44,MATCH($A24,'Members Matrix'!$B$2:$U$2,0)),"")="","",IFERROR(INDEX('Members Matrix'!$B$44:$U$44,MATCH($A24,'Members Matrix'!$B$2:$U$2,0)),""))</f>
        <v/>
      </c>
      <c r="N24" s="19" t="str">
        <f aca="false">IF(IFERROR(INDEX('Members Matrix'!$B$45:$U$45,MATCH($A24,'Members Matrix'!$B$2:$U$2,0)),"")="","",IFERROR(INDEX('Members Matrix'!$B$45:$U$45,MATCH($A24,'Members Matrix'!$B$2:$U$2,0)),""))</f>
        <v/>
      </c>
      <c r="O24" s="19" t="str">
        <f aca="false">IF(IFERROR(INDEX('New Members Matrix'!$B$43:$U$43,MATCH($A24,'New Members Matrix'!$B$2:$U$2,0)),"")="","",IFERROR(INDEX('New Members Matrix'!$B$43:$U$43,MATCH($A24,'New Members Matrix'!$B$2:$U$2,0)),""))</f>
        <v/>
      </c>
      <c r="P24" s="26" t="str">
        <f aca="false">IF(IFERROR(INDEX('New Members Matrix'!$B$41:$U$41,MATCH($A24,'New Members Matrix'!$B$2:$U$2,0)),"")="","",IFERROR(INDEX('New Members Matrix'!$B$41:$U$41,MATCH($A24,'New Members Matrix'!$B$2:$U$2,0)),""))</f>
        <v/>
      </c>
      <c r="Q24" s="26" t="str">
        <f aca="false">IF(IFERROR(INDEX('New Members Matrix'!$B$42:$U$42,MATCH($A24,'New Members Matrix'!$B$2:$U$2,0)),"")="","",IFERROR(INDEX('New Members Matrix'!$B$42:$U$42,MATCH($A24,'New Members Matrix'!$B$2:$U$2,0)),""))</f>
        <v/>
      </c>
      <c r="R24" s="19" t="str">
        <f aca="false">IF(IFERROR(INDEX('New Members Matrix'!$B$44:$U$44,MATCH($A24,'New Members Matrix'!$B$2:$U$2,0)),"")="","",IFERROR(INDEX('New Members Matrix'!$B$44:$U$44,MATCH($A24,'New Members Matrix'!$B$2:$U$2,0)),""))</f>
        <v/>
      </c>
      <c r="S24" s="27" t="str">
        <f aca="false">IF(IFERROR(INDEX('New Members Matrix'!$B$45:$U$45,MATCH($A24,'New Members Matrix'!$B$2:$U$2,0)),"")="","",IFERROR(INDEX('New Members Matrix'!$B$45:$U$45,MATCH($A24,'New Members Matrix'!$B$2:$U$2,0)),""))</f>
        <v/>
      </c>
      <c r="T24" s="28" t="str">
        <f aca="false">IFERROR(IF(COUNTIFS('Chapter Data'!$A$2:$A$2500,$A24,'Chapter Data'!$D$2:$D$2500,OurChapter,'Chapter Data'!$J$2:$J$2500,"&lt;&gt;")=0,"",SUMIFS('Chapter Data'!$J$2:$J$2500,'Chapter Data'!$A$2:$A$2500,$A24,'Chapter Data'!$D$2:$D$2500,OurChapter)),"")</f>
        <v/>
      </c>
      <c r="U24" s="28" t="str">
        <f aca="false">IFERROR(IF(COUNTIFS('Chapter Data'!$A$2:$A$2500,$A24,'Chapter Data'!$D$2:$D$2500,OurChapter,'Chapter Data'!$K$2:$K$2500,"&lt;&gt;")=0,"",SUMIFS('Chapter Data'!$K$2:$K$2500,'Chapter Data'!$A$2:$A$2500,$A24,'Chapter Data'!$D$2:$D$2500,OurChapter)),"")</f>
        <v/>
      </c>
      <c r="V24" s="28" t="str">
        <f aca="false" t="array" ref="V24:V24">IF(COUNTIFS('Chapter Data'!$A$2:$A$2500,$A24,'Chapter Data'!$C$2:$C$2500,"IFC",'Chapter Data'!$K$2:$K$2500,"&gt;=0")&lt;MinChapters,"",MEDIAN(IF(('Chapter Data'!$A$2:$A$2500=$A24)*('Chapter Data'!$C$2:$C$2500="IFC")*ISNUMBER('Chapter Data'!$K$2:$K$2500),'Chapter Data'!$K$2:$K$2500)))</f>
        <v/>
      </c>
    </row>
    <row r="25" customFormat="false" ht="15" hidden="false" customHeight="false" outlineLevel="0" collapsed="false">
      <c r="A25" s="12" t="s">
        <v>164</v>
      </c>
    </row>
    <row r="26" customFormat="false" ht="15" hidden="false" customHeight="false" outlineLevel="0" collapsed="false">
      <c r="A26" s="12" t="s">
        <v>165</v>
      </c>
    </row>
  </sheetData>
  <mergeCells count="4">
    <mergeCell ref="B3:I3"/>
    <mergeCell ref="K3:N3"/>
    <mergeCell ref="O3:S3"/>
    <mergeCell ref="T3:V3"/>
  </mergeCells>
  <conditionalFormatting sqref="G5:G24">
    <cfRule type="cellIs" priority="2" operator="lessThan" aboveAverage="0" equalAverage="0" bottom="0" percent="0" rank="0" text="" dxfId="0">
      <formula>0</formula>
    </cfRule>
    <cfRule type="cellIs" priority="3" operator="greaterThan" aboveAverage="0" equalAverage="0" bottom="0" percent="0" rank="0" text="" dxfId="1">
      <formula>0</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R4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9" topLeftCell="B10" activePane="bottomRight" state="frozen"/>
      <selection pane="topLeft" activeCell="A1" activeCellId="0" sqref="A1"/>
      <selection pane="topRight" activeCell="B1" activeCellId="0" sqref="B1"/>
      <selection pane="bottomLeft" activeCell="A10" activeCellId="0" sqref="A10"/>
      <selection pane="bottomRight" activeCell="A1" activeCellId="0" sqref="A1"/>
    </sheetView>
  </sheetViews>
  <sheetFormatPr defaultColWidth="8.5390625" defaultRowHeight="15" zeroHeight="false" outlineLevelRow="0" outlineLevelCol="0"/>
  <cols>
    <col collapsed="false" customWidth="true" hidden="false" outlineLevel="0" max="1" min="1" style="0" width="24"/>
    <col collapsed="false" customWidth="true" hidden="false" outlineLevel="0" max="18" min="2" style="0" width="10"/>
  </cols>
  <sheetData>
    <row r="1" customFormat="false" ht="17.35" hidden="false" customHeight="false" outlineLevel="0" collapsed="false">
      <c r="A1" s="1" t="s">
        <v>166</v>
      </c>
    </row>
    <row r="2" customFormat="false" ht="15" hidden="false" customHeight="false" outlineLevel="0" collapsed="false">
      <c r="A2" s="12" t="s">
        <v>167</v>
      </c>
    </row>
    <row r="3" customFormat="false" ht="15" hidden="false" customHeight="false" outlineLevel="0" collapsed="false">
      <c r="A3" s="13" t="s">
        <v>168</v>
      </c>
      <c r="B3" s="9" t="s">
        <v>155</v>
      </c>
      <c r="C3" s="7" t="n">
        <f aca="false">MATCH(B3,Lists!$A$2:$A$37,0)</f>
        <v>28</v>
      </c>
      <c r="D3" s="12" t="s">
        <v>169</v>
      </c>
    </row>
    <row r="4" customFormat="false" ht="15" hidden="false" customHeight="false" outlineLevel="0" collapsed="false">
      <c r="A4" s="13" t="s">
        <v>170</v>
      </c>
      <c r="B4" s="29" t="str">
        <f aca="false">LatestTerm</f>
        <v>Spring 2026</v>
      </c>
      <c r="C4" s="7" t="n">
        <f aca="false">MATCH(B4,Lists!$A$2:$A$37,0)</f>
        <v>32</v>
      </c>
    </row>
    <row r="5" customFormat="false" ht="15" hidden="false" customHeight="false" outlineLevel="0" collapsed="false">
      <c r="A5" s="13" t="s">
        <v>171</v>
      </c>
      <c r="B5" s="30" t="n">
        <v>0.5</v>
      </c>
    </row>
    <row r="6" customFormat="false" ht="15" hidden="false" customHeight="false" outlineLevel="0" collapsed="false">
      <c r="A6" s="13" t="s">
        <v>172</v>
      </c>
      <c r="B6" s="28" t="n">
        <f aca="false">1-B5</f>
        <v>0.5</v>
      </c>
    </row>
    <row r="7" customFormat="false" ht="15" hidden="false" customHeight="false" outlineLevel="0" collapsed="false">
      <c r="A7" s="12" t="s">
        <v>173</v>
      </c>
    </row>
    <row r="9" customFormat="false" ht="45" hidden="false" customHeight="true" outlineLevel="0" collapsed="false">
      <c r="A9" s="14" t="s">
        <v>174</v>
      </c>
      <c r="B9" s="14" t="s">
        <v>175</v>
      </c>
      <c r="C9" s="14" t="s">
        <v>176</v>
      </c>
      <c r="D9" s="14" t="s">
        <v>177</v>
      </c>
      <c r="E9" s="14" t="s">
        <v>178</v>
      </c>
      <c r="F9" s="14" t="s">
        <v>179</v>
      </c>
      <c r="G9" s="14" t="s">
        <v>180</v>
      </c>
      <c r="H9" s="14" t="s">
        <v>181</v>
      </c>
      <c r="I9" s="14" t="s">
        <v>182</v>
      </c>
      <c r="J9" s="14" t="s">
        <v>183</v>
      </c>
      <c r="K9" s="14" t="s">
        <v>184</v>
      </c>
      <c r="L9" s="14" t="s">
        <v>185</v>
      </c>
      <c r="M9" s="14" t="s">
        <v>186</v>
      </c>
      <c r="N9" s="14" t="s">
        <v>187</v>
      </c>
      <c r="O9" s="14" t="s">
        <v>188</v>
      </c>
      <c r="P9" s="14" t="s">
        <v>99</v>
      </c>
      <c r="Q9" s="14" t="s">
        <v>97</v>
      </c>
      <c r="R9" s="14" t="s">
        <v>98</v>
      </c>
    </row>
    <row r="10" customFormat="false" ht="15" hidden="false" customHeight="false" outlineLevel="0" collapsed="false">
      <c r="A10" s="8" t="str">
        <f aca="false">IF(Lists!$D$2="","",Lists!$D$2)</f>
        <v>Acacia</v>
      </c>
      <c r="B10" s="25" t="n">
        <f aca="false">IF($G10="","",IF(COUNTIFS('Chapter Data'!$D$2:$D$2500,$A10,'Chapter Data'!$G$2:$G$2500,"&gt;0",'Chapter Data'!$B$2:$B$2500,"&gt;="&amp;$C$3,'Chapter Data'!$B$2:$B$2500,"&lt;="&amp;$C$4)=0,"",AVERAGEIFS('Chapter Data'!$G$2:$G$2500,'Chapter Data'!$D$2:$D$2500,$A10,'Chapter Data'!$G$2:$G$2500,"&gt;0",'Chapter Data'!$B$2:$B$2500,"&gt;="&amp;$C$3,'Chapter Data'!$B$2:$B$2500,"&lt;="&amp;$C$4)))</f>
        <v>3.2586</v>
      </c>
      <c r="C10" s="26" t="n">
        <f aca="false">IF($G10="","",IF(COUNTIFS('Chapter Data'!$D$2:$D$2500,$A10,'Chapter Data'!$E$2:$E$2500,"&gt;0",'Chapter Data'!$B$2:$B$2500,"&gt;="&amp;$C$3,'Chapter Data'!$B$2:$B$2500,"&lt;="&amp;$C$4)=0,"",AVERAGEIFS('Chapter Data'!$E$2:$E$2500,'Chapter Data'!$D$2:$D$2500,$A10,'Chapter Data'!$E$2:$E$2500,"&gt;0",'Chapter Data'!$B$2:$B$2500,"&gt;="&amp;$C$3,'Chapter Data'!$B$2:$B$2500,"&lt;="&amp;$C$4)))</f>
        <v>35.4</v>
      </c>
      <c r="D10" s="26" t="n">
        <f aca="false">IF($G10="","",IF(COUNTIFS('Chapter Data'!$D$2:$D$2500,$A10,'Chapter Data'!$F$2:$F$2500,"&gt;=0",'Chapter Data'!$B$2:$B$2500,"&gt;="&amp;$C$3,'Chapter Data'!$B$2:$B$2500,"&lt;="&amp;$C$4)=0,"",AVERAGEIFS('Chapter Data'!$F$2:$F$2500,'Chapter Data'!$D$2:$D$2500,$A10,'Chapter Data'!$F$2:$F$2500,"&gt;=0",'Chapter Data'!$B$2:$B$2500,"&gt;="&amp;$C$3,'Chapter Data'!$B$2:$B$2500,"&lt;="&amp;$C$4)))</f>
        <v>5</v>
      </c>
      <c r="E10" s="31" t="n">
        <f aca="false">IF(OR(C10="",D10=""),"",D10/C10)</f>
        <v>0.141242937853107</v>
      </c>
      <c r="F10" s="19" t="n">
        <f aca="false">IF($G10="","",IF(COUNTIFS('Chapter Data'!$D$2:$D$2500,$A10,'Chapter Data'!$A$2:$A$2500,$B$3,'Chapter Data'!$E$2:$E$2500,"&gt;0")=0,"",SUMIFS('Chapter Data'!$E$2:$E$2500,'Chapter Data'!$D$2:$D$2500,$A10,'Chapter Data'!$A$2:$A$2500,$B$3)))</f>
        <v>37</v>
      </c>
      <c r="G10" s="19" t="n">
        <f aca="false">IF($A10="","",IF(COUNTIFS('Chapter Data'!$D$2:$D$2500,$A10,'Chapter Data'!$A$2:$A$2500,$B$4,'Chapter Data'!$E$2:$E$2500,"&gt;0")=0,"",SUMIFS('Chapter Data'!$E$2:$E$2500,'Chapter Data'!$D$2:$D$2500,$A10,'Chapter Data'!$A$2:$A$2500,$B$4)))</f>
        <v>33</v>
      </c>
      <c r="H10" s="32" t="n">
        <f aca="false">IF(OR(F10="",G10=""),"",G10/F10-1)</f>
        <v>-0.108108108108108</v>
      </c>
      <c r="I10" s="28" t="n">
        <f aca="false">IF($G10="","",IF(COUNTIFS('Chapter Data'!$D$2:$D$2500,$A10,'Chapter Data'!$K$2:$K$2500,"&gt;=0",'Chapter Data'!$B$2:$B$2500,"&gt;="&amp;$C$3,'Chapter Data'!$B$2:$B$2500,"&lt;="&amp;$C$4)=0,"",AVERAGEIFS('Chapter Data'!$K$2:$K$2500,'Chapter Data'!$D$2:$D$2500,$A10,'Chapter Data'!$K$2:$K$2500,"&gt;=0",'Chapter Data'!$B$2:$B$2500,"&gt;="&amp;$C$3,'Chapter Data'!$B$2:$B$2500,"&lt;="&amp;$C$4)))</f>
        <v>0.6025</v>
      </c>
      <c r="J10" s="28" t="n">
        <f aca="false">IF(B10="","",PERCENTRANK($B$10:$B$44,B10))</f>
        <v>0.409</v>
      </c>
      <c r="K10" s="28" t="n">
        <f aca="false">IF(D10="","",PERCENTRANK($D$10:$D$44,D10))</f>
        <v>0.136</v>
      </c>
      <c r="L10" s="28" t="n">
        <f aca="false">IF(E10="","",PERCENTRANK($E$10:$E$44,E10))</f>
        <v>0.409</v>
      </c>
      <c r="M10" s="28" t="n">
        <f aca="false">IF(H10="","",PERCENTRANK($H$10:$H$44,H10))</f>
        <v>0.05</v>
      </c>
      <c r="N10" s="28" t="n">
        <f aca="false">IF(COUNT(K10:M10)=0,"",AVERAGE(K10:M10))</f>
        <v>0.198333333333333</v>
      </c>
      <c r="O10" s="28" t="n">
        <f aca="false">IF(OR(J10="",N10=""),"",$B$5*J10+$B$6*N10)</f>
        <v>0.303666666666667</v>
      </c>
      <c r="P10" s="19" t="n">
        <f aca="false">IF(O10="","",COUNTIF($O$10:$O$44,"&gt;"&amp;O10)+1)</f>
        <v>19</v>
      </c>
      <c r="Q10" s="19" t="n">
        <f aca="false">IF(B10="","",COUNTIF($B$10:$B$44,"&gt;"&amp;B10)+1)</f>
        <v>14</v>
      </c>
      <c r="R10" s="19" t="n">
        <f aca="false">IF(N10="","",COUNTIF($N$10:$N$44,"&gt;"&amp;N10)+1)</f>
        <v>22</v>
      </c>
    </row>
    <row r="11" customFormat="false" ht="15" hidden="false" customHeight="false" outlineLevel="0" collapsed="false">
      <c r="A11" s="8" t="str">
        <f aca="false">IF(Lists!$D$3="","",Lists!$D$3)</f>
        <v>Alpha Gamma Nu</v>
      </c>
      <c r="B11" s="25" t="str">
        <f aca="false">IF($G11="","",IF(COUNTIFS('Chapter Data'!$D$2:$D$2500,$A11,'Chapter Data'!$G$2:$G$2500,"&gt;0",'Chapter Data'!$B$2:$B$2500,"&gt;="&amp;$C$3,'Chapter Data'!$B$2:$B$2500,"&lt;="&amp;$C$4)=0,"",AVERAGEIFS('Chapter Data'!$G$2:$G$2500,'Chapter Data'!$D$2:$D$2500,$A11,'Chapter Data'!$G$2:$G$2500,"&gt;0",'Chapter Data'!$B$2:$B$2500,"&gt;="&amp;$C$3,'Chapter Data'!$B$2:$B$2500,"&lt;="&amp;$C$4)))</f>
        <v/>
      </c>
      <c r="C11" s="26" t="str">
        <f aca="false">IF($G11="","",IF(COUNTIFS('Chapter Data'!$D$2:$D$2500,$A11,'Chapter Data'!$E$2:$E$2500,"&gt;0",'Chapter Data'!$B$2:$B$2500,"&gt;="&amp;$C$3,'Chapter Data'!$B$2:$B$2500,"&lt;="&amp;$C$4)=0,"",AVERAGEIFS('Chapter Data'!$E$2:$E$2500,'Chapter Data'!$D$2:$D$2500,$A11,'Chapter Data'!$E$2:$E$2500,"&gt;0",'Chapter Data'!$B$2:$B$2500,"&gt;="&amp;$C$3,'Chapter Data'!$B$2:$B$2500,"&lt;="&amp;$C$4)))</f>
        <v/>
      </c>
      <c r="D11" s="26" t="str">
        <f aca="false">IF($G11="","",IF(COUNTIFS('Chapter Data'!$D$2:$D$2500,$A11,'Chapter Data'!$F$2:$F$2500,"&gt;=0",'Chapter Data'!$B$2:$B$2500,"&gt;="&amp;$C$3,'Chapter Data'!$B$2:$B$2500,"&lt;="&amp;$C$4)=0,"",AVERAGEIFS('Chapter Data'!$F$2:$F$2500,'Chapter Data'!$D$2:$D$2500,$A11,'Chapter Data'!$F$2:$F$2500,"&gt;=0",'Chapter Data'!$B$2:$B$2500,"&gt;="&amp;$C$3,'Chapter Data'!$B$2:$B$2500,"&lt;="&amp;$C$4)))</f>
        <v/>
      </c>
      <c r="E11" s="31" t="str">
        <f aca="false">IF(OR(C11="",D11=""),"",D11/C11)</f>
        <v/>
      </c>
      <c r="F11" s="19" t="str">
        <f aca="false">IF($G11="","",IF(COUNTIFS('Chapter Data'!$D$2:$D$2500,$A11,'Chapter Data'!$A$2:$A$2500,$B$3,'Chapter Data'!$E$2:$E$2500,"&gt;0")=0,"",SUMIFS('Chapter Data'!$E$2:$E$2500,'Chapter Data'!$D$2:$D$2500,$A11,'Chapter Data'!$A$2:$A$2500,$B$3)))</f>
        <v/>
      </c>
      <c r="G11" s="19" t="str">
        <f aca="false">IF($A11="","",IF(COUNTIFS('Chapter Data'!$D$2:$D$2500,$A11,'Chapter Data'!$A$2:$A$2500,$B$4,'Chapter Data'!$E$2:$E$2500,"&gt;0")=0,"",SUMIFS('Chapter Data'!$E$2:$E$2500,'Chapter Data'!$D$2:$D$2500,$A11,'Chapter Data'!$A$2:$A$2500,$B$4)))</f>
        <v/>
      </c>
      <c r="H11" s="32" t="str">
        <f aca="false">IF(OR(F11="",G11=""),"",G11/F11-1)</f>
        <v/>
      </c>
      <c r="I11" s="28" t="str">
        <f aca="false">IF($G11="","",IF(COUNTIFS('Chapter Data'!$D$2:$D$2500,$A11,'Chapter Data'!$K$2:$K$2500,"&gt;=0",'Chapter Data'!$B$2:$B$2500,"&gt;="&amp;$C$3,'Chapter Data'!$B$2:$B$2500,"&lt;="&amp;$C$4)=0,"",AVERAGEIFS('Chapter Data'!$K$2:$K$2500,'Chapter Data'!$D$2:$D$2500,$A11,'Chapter Data'!$K$2:$K$2500,"&gt;=0",'Chapter Data'!$B$2:$B$2500,"&gt;="&amp;$C$3,'Chapter Data'!$B$2:$B$2500,"&lt;="&amp;$C$4)))</f>
        <v/>
      </c>
      <c r="J11" s="28" t="str">
        <f aca="false">IF(B11="","",PERCENTRANK($B$10:$B$44,B11))</f>
        <v/>
      </c>
      <c r="K11" s="28" t="str">
        <f aca="false">IF(D11="","",PERCENTRANK($D$10:$D$44,D11))</f>
        <v/>
      </c>
      <c r="L11" s="28" t="str">
        <f aca="false">IF(E11="","",PERCENTRANK($E$10:$E$44,E11))</f>
        <v/>
      </c>
      <c r="M11" s="28" t="str">
        <f aca="false">IF(H11="","",PERCENTRANK($H$10:$H$44,H11))</f>
        <v/>
      </c>
      <c r="N11" s="28" t="str">
        <f aca="false">IF(COUNT(K11:M11)=0,"",AVERAGE(K11:M11))</f>
        <v/>
      </c>
      <c r="O11" s="28" t="str">
        <f aca="false">IF(OR(J11="",N11=""),"",$B$5*J11+$B$6*N11)</f>
        <v/>
      </c>
      <c r="P11" s="19" t="str">
        <f aca="false">IF(O11="","",COUNTIF($O$10:$O$44,"&gt;"&amp;O11)+1)</f>
        <v/>
      </c>
      <c r="Q11" s="19" t="str">
        <f aca="false">IF(B11="","",COUNTIF($B$10:$B$44,"&gt;"&amp;B11)+1)</f>
        <v/>
      </c>
      <c r="R11" s="19" t="str">
        <f aca="false">IF(N11="","",COUNTIF($N$10:$N$44,"&gt;"&amp;N11)+1)</f>
        <v/>
      </c>
    </row>
    <row r="12" customFormat="false" ht="15" hidden="false" customHeight="false" outlineLevel="0" collapsed="false">
      <c r="A12" s="8" t="str">
        <f aca="false">IF(Lists!$D$4="","",Lists!$D$4)</f>
        <v>Alpha Gamma Rho</v>
      </c>
      <c r="B12" s="25" t="n">
        <f aca="false">IF($G12="","",IF(COUNTIFS('Chapter Data'!$D$2:$D$2500,$A12,'Chapter Data'!$G$2:$G$2500,"&gt;0",'Chapter Data'!$B$2:$B$2500,"&gt;="&amp;$C$3,'Chapter Data'!$B$2:$B$2500,"&lt;="&amp;$C$4)=0,"",AVERAGEIFS('Chapter Data'!$G$2:$G$2500,'Chapter Data'!$D$2:$D$2500,$A12,'Chapter Data'!$G$2:$G$2500,"&gt;0",'Chapter Data'!$B$2:$B$2500,"&gt;="&amp;$C$3,'Chapter Data'!$B$2:$B$2500,"&lt;="&amp;$C$4)))</f>
        <v>3.3532</v>
      </c>
      <c r="C12" s="26" t="n">
        <f aca="false">IF($G12="","",IF(COUNTIFS('Chapter Data'!$D$2:$D$2500,$A12,'Chapter Data'!$E$2:$E$2500,"&gt;0",'Chapter Data'!$B$2:$B$2500,"&gt;="&amp;$C$3,'Chapter Data'!$B$2:$B$2500,"&lt;="&amp;$C$4)=0,"",AVERAGEIFS('Chapter Data'!$E$2:$E$2500,'Chapter Data'!$D$2:$D$2500,$A12,'Chapter Data'!$E$2:$E$2500,"&gt;0",'Chapter Data'!$B$2:$B$2500,"&gt;="&amp;$C$3,'Chapter Data'!$B$2:$B$2500,"&lt;="&amp;$C$4)))</f>
        <v>99.2</v>
      </c>
      <c r="D12" s="26" t="n">
        <f aca="false">IF($G12="","",IF(COUNTIFS('Chapter Data'!$D$2:$D$2500,$A12,'Chapter Data'!$F$2:$F$2500,"&gt;=0",'Chapter Data'!$B$2:$B$2500,"&gt;="&amp;$C$3,'Chapter Data'!$B$2:$B$2500,"&lt;="&amp;$C$4)=0,"",AVERAGEIFS('Chapter Data'!$F$2:$F$2500,'Chapter Data'!$D$2:$D$2500,$A12,'Chapter Data'!$F$2:$F$2500,"&gt;=0",'Chapter Data'!$B$2:$B$2500,"&gt;="&amp;$C$3,'Chapter Data'!$B$2:$B$2500,"&lt;="&amp;$C$4)))</f>
        <v>13.6</v>
      </c>
      <c r="E12" s="31" t="n">
        <f aca="false">IF(OR(C12="",D12=""),"",D12/C12)</f>
        <v>0.137096774193548</v>
      </c>
      <c r="F12" s="19" t="n">
        <f aca="false">IF($G12="","",IF(COUNTIFS('Chapter Data'!$D$2:$D$2500,$A12,'Chapter Data'!$A$2:$A$2500,$B$3,'Chapter Data'!$E$2:$E$2500,"&gt;0")=0,"",SUMIFS('Chapter Data'!$E$2:$E$2500,'Chapter Data'!$D$2:$D$2500,$A12,'Chapter Data'!$A$2:$A$2500,$B$3)))</f>
        <v>101</v>
      </c>
      <c r="G12" s="19" t="n">
        <f aca="false">IF($A12="","",IF(COUNTIFS('Chapter Data'!$D$2:$D$2500,$A12,'Chapter Data'!$A$2:$A$2500,$B$4,'Chapter Data'!$E$2:$E$2500,"&gt;0")=0,"",SUMIFS('Chapter Data'!$E$2:$E$2500,'Chapter Data'!$D$2:$D$2500,$A12,'Chapter Data'!$A$2:$A$2500,$B$4)))</f>
        <v>92</v>
      </c>
      <c r="H12" s="32" t="n">
        <f aca="false">IF(OR(F12="",G12=""),"",G12/F12-1)</f>
        <v>-0.0891089108910891</v>
      </c>
      <c r="I12" s="28" t="n">
        <f aca="false">IF($G12="","",IF(COUNTIFS('Chapter Data'!$D$2:$D$2500,$A12,'Chapter Data'!$K$2:$K$2500,"&gt;=0",'Chapter Data'!$B$2:$B$2500,"&gt;="&amp;$C$3,'Chapter Data'!$B$2:$B$2500,"&lt;="&amp;$C$4)=0,"",AVERAGEIFS('Chapter Data'!$K$2:$K$2500,'Chapter Data'!$D$2:$D$2500,$A12,'Chapter Data'!$K$2:$K$2500,"&gt;=0",'Chapter Data'!$B$2:$B$2500,"&gt;="&amp;$C$3,'Chapter Data'!$B$2:$B$2500,"&lt;="&amp;$C$4)))</f>
        <v>0.99</v>
      </c>
      <c r="J12" s="28" t="n">
        <f aca="false">IF(B12="","",PERCENTRANK($B$10:$B$44,B12))</f>
        <v>0.682</v>
      </c>
      <c r="K12" s="28" t="n">
        <f aca="false">IF(D12="","",PERCENTRANK($D$10:$D$44,D12))</f>
        <v>0.5</v>
      </c>
      <c r="L12" s="28" t="n">
        <f aca="false">IF(E12="","",PERCENTRANK($E$10:$E$44,E12))</f>
        <v>0.318</v>
      </c>
      <c r="M12" s="28" t="n">
        <f aca="false">IF(H12="","",PERCENTRANK($H$10:$H$44,H12))</f>
        <v>0.15</v>
      </c>
      <c r="N12" s="28" t="n">
        <f aca="false">IF(COUNT(K12:M12)=0,"",AVERAGE(K12:M12))</f>
        <v>0.322666666666667</v>
      </c>
      <c r="O12" s="28" t="n">
        <f aca="false">IF(OR(J12="",N12=""),"",$B$5*J12+$B$6*N12)</f>
        <v>0.502333333333333</v>
      </c>
      <c r="P12" s="19" t="n">
        <f aca="false">IF(O12="","",COUNTIF($O$10:$O$44,"&gt;"&amp;O12)+1)</f>
        <v>12</v>
      </c>
      <c r="Q12" s="19" t="n">
        <f aca="false">IF(B12="","",COUNTIF($B$10:$B$44,"&gt;"&amp;B12)+1)</f>
        <v>8</v>
      </c>
      <c r="R12" s="19" t="n">
        <f aca="false">IF(N12="","",COUNTIF($N$10:$N$44,"&gt;"&amp;N12)+1)</f>
        <v>19</v>
      </c>
    </row>
    <row r="13" customFormat="false" ht="15" hidden="false" customHeight="false" outlineLevel="0" collapsed="false">
      <c r="A13" s="8" t="str">
        <f aca="false">IF(Lists!$D$5="","",Lists!$D$5)</f>
        <v>Alpha Gamma Sigma</v>
      </c>
      <c r="B13" s="25" t="n">
        <f aca="false">IF($G13="","",IF(COUNTIFS('Chapter Data'!$D$2:$D$2500,$A13,'Chapter Data'!$G$2:$G$2500,"&gt;0",'Chapter Data'!$B$2:$B$2500,"&gt;="&amp;$C$3,'Chapter Data'!$B$2:$B$2500,"&lt;="&amp;$C$4)=0,"",AVERAGEIFS('Chapter Data'!$G$2:$G$2500,'Chapter Data'!$D$2:$D$2500,$A13,'Chapter Data'!$G$2:$G$2500,"&gt;0",'Chapter Data'!$B$2:$B$2500,"&gt;="&amp;$C$3,'Chapter Data'!$B$2:$B$2500,"&lt;="&amp;$C$4)))</f>
        <v>3.3878</v>
      </c>
      <c r="C13" s="26" t="n">
        <f aca="false">IF($G13="","",IF(COUNTIFS('Chapter Data'!$D$2:$D$2500,$A13,'Chapter Data'!$E$2:$E$2500,"&gt;0",'Chapter Data'!$B$2:$B$2500,"&gt;="&amp;$C$3,'Chapter Data'!$B$2:$B$2500,"&lt;="&amp;$C$4)=0,"",AVERAGEIFS('Chapter Data'!$E$2:$E$2500,'Chapter Data'!$D$2:$D$2500,$A13,'Chapter Data'!$E$2:$E$2500,"&gt;0",'Chapter Data'!$B$2:$B$2500,"&gt;="&amp;$C$3,'Chapter Data'!$B$2:$B$2500,"&lt;="&amp;$C$4)))</f>
        <v>90.6</v>
      </c>
      <c r="D13" s="26" t="n">
        <f aca="false">IF($G13="","",IF(COUNTIFS('Chapter Data'!$D$2:$D$2500,$A13,'Chapter Data'!$F$2:$F$2500,"&gt;=0",'Chapter Data'!$B$2:$B$2500,"&gt;="&amp;$C$3,'Chapter Data'!$B$2:$B$2500,"&lt;="&amp;$C$4)=0,"",AVERAGEIFS('Chapter Data'!$F$2:$F$2500,'Chapter Data'!$D$2:$D$2500,$A13,'Chapter Data'!$F$2:$F$2500,"&gt;=0",'Chapter Data'!$B$2:$B$2500,"&gt;="&amp;$C$3,'Chapter Data'!$B$2:$B$2500,"&lt;="&amp;$C$4)))</f>
        <v>13.6</v>
      </c>
      <c r="E13" s="31" t="n">
        <f aca="false">IF(OR(C13="",D13=""),"",D13/C13)</f>
        <v>0.150110375275938</v>
      </c>
      <c r="F13" s="19" t="n">
        <f aca="false">IF($G13="","",IF(COUNTIFS('Chapter Data'!$D$2:$D$2500,$A13,'Chapter Data'!$A$2:$A$2500,$B$3,'Chapter Data'!$E$2:$E$2500,"&gt;0")=0,"",SUMIFS('Chapter Data'!$E$2:$E$2500,'Chapter Data'!$D$2:$D$2500,$A13,'Chapter Data'!$A$2:$A$2500,$B$3)))</f>
        <v>90</v>
      </c>
      <c r="G13" s="19" t="n">
        <f aca="false">IF($A13="","",IF(COUNTIFS('Chapter Data'!$D$2:$D$2500,$A13,'Chapter Data'!$A$2:$A$2500,$B$4,'Chapter Data'!$E$2:$E$2500,"&gt;0")=0,"",SUMIFS('Chapter Data'!$E$2:$E$2500,'Chapter Data'!$D$2:$D$2500,$A13,'Chapter Data'!$A$2:$A$2500,$B$4)))</f>
        <v>88</v>
      </c>
      <c r="H13" s="32" t="n">
        <f aca="false">IF(OR(F13="",G13=""),"",G13/F13-1)</f>
        <v>-0.0222222222222223</v>
      </c>
      <c r="I13" s="28" t="n">
        <f aca="false">IF($G13="","",IF(COUNTIFS('Chapter Data'!$D$2:$D$2500,$A13,'Chapter Data'!$K$2:$K$2500,"&gt;=0",'Chapter Data'!$B$2:$B$2500,"&gt;="&amp;$C$3,'Chapter Data'!$B$2:$B$2500,"&lt;="&amp;$C$4)=0,"",AVERAGEIFS('Chapter Data'!$K$2:$K$2500,'Chapter Data'!$D$2:$D$2500,$A13,'Chapter Data'!$K$2:$K$2500,"&gt;=0",'Chapter Data'!$B$2:$B$2500,"&gt;="&amp;$C$3,'Chapter Data'!$B$2:$B$2500,"&lt;="&amp;$C$4)))</f>
        <v>0.936666666666667</v>
      </c>
      <c r="J13" s="28" t="n">
        <f aca="false">IF(B13="","",PERCENTRANK($B$10:$B$44,B13))</f>
        <v>0.773</v>
      </c>
      <c r="K13" s="28" t="n">
        <f aca="false">IF(D13="","",PERCENTRANK($D$10:$D$44,D13))</f>
        <v>0.5</v>
      </c>
      <c r="L13" s="28" t="n">
        <f aca="false">IF(E13="","",PERCENTRANK($E$10:$E$44,E13))</f>
        <v>0.5</v>
      </c>
      <c r="M13" s="28" t="n">
        <f aca="false">IF(H13="","",PERCENTRANK($H$10:$H$44,H13))</f>
        <v>0.3</v>
      </c>
      <c r="N13" s="28" t="n">
        <f aca="false">IF(COUNT(K13:M13)=0,"",AVERAGE(K13:M13))</f>
        <v>0.433333333333333</v>
      </c>
      <c r="O13" s="28" t="n">
        <f aca="false">IF(OR(J13="",N13=""),"",$B$5*J13+$B$6*N13)</f>
        <v>0.603166666666667</v>
      </c>
      <c r="P13" s="19" t="n">
        <f aca="false">IF(O13="","",COUNTIF($O$10:$O$44,"&gt;"&amp;O13)+1)</f>
        <v>8</v>
      </c>
      <c r="Q13" s="19" t="n">
        <f aca="false">IF(B13="","",COUNTIF($B$10:$B$44,"&gt;"&amp;B13)+1)</f>
        <v>6</v>
      </c>
      <c r="R13" s="19" t="n">
        <f aca="false">IF(N13="","",COUNTIF($N$10:$N$44,"&gt;"&amp;N13)+1)</f>
        <v>13</v>
      </c>
    </row>
    <row r="14" customFormat="false" ht="15" hidden="false" customHeight="false" outlineLevel="0" collapsed="false">
      <c r="A14" s="8" t="str">
        <f aca="false">IF(Lists!$D$6="","",Lists!$D$6)</f>
        <v>Alpha Tau Omega</v>
      </c>
      <c r="B14" s="25" t="n">
        <f aca="false">IF($G14="","",IF(COUNTIFS('Chapter Data'!$D$2:$D$2500,$A14,'Chapter Data'!$G$2:$G$2500,"&gt;0",'Chapter Data'!$B$2:$B$2500,"&gt;="&amp;$C$3,'Chapter Data'!$B$2:$B$2500,"&lt;="&amp;$C$4)=0,"",AVERAGEIFS('Chapter Data'!$G$2:$G$2500,'Chapter Data'!$D$2:$D$2500,$A14,'Chapter Data'!$G$2:$G$2500,"&gt;0",'Chapter Data'!$B$2:$B$2500,"&gt;="&amp;$C$3,'Chapter Data'!$B$2:$B$2500,"&lt;="&amp;$C$4)))</f>
        <v>3.331</v>
      </c>
      <c r="C14" s="26" t="n">
        <f aca="false">IF($G14="","",IF(COUNTIFS('Chapter Data'!$D$2:$D$2500,$A14,'Chapter Data'!$E$2:$E$2500,"&gt;0",'Chapter Data'!$B$2:$B$2500,"&gt;="&amp;$C$3,'Chapter Data'!$B$2:$B$2500,"&lt;="&amp;$C$4)=0,"",AVERAGEIFS('Chapter Data'!$E$2:$E$2500,'Chapter Data'!$D$2:$D$2500,$A14,'Chapter Data'!$E$2:$E$2500,"&gt;0",'Chapter Data'!$B$2:$B$2500,"&gt;="&amp;$C$3,'Chapter Data'!$B$2:$B$2500,"&lt;="&amp;$C$4)))</f>
        <v>129.8</v>
      </c>
      <c r="D14" s="26" t="n">
        <f aca="false">IF($G14="","",IF(COUNTIFS('Chapter Data'!$D$2:$D$2500,$A14,'Chapter Data'!$F$2:$F$2500,"&gt;=0",'Chapter Data'!$B$2:$B$2500,"&gt;="&amp;$C$3,'Chapter Data'!$B$2:$B$2500,"&lt;="&amp;$C$4)=0,"",AVERAGEIFS('Chapter Data'!$F$2:$F$2500,'Chapter Data'!$D$2:$D$2500,$A14,'Chapter Data'!$F$2:$F$2500,"&gt;=0",'Chapter Data'!$B$2:$B$2500,"&gt;="&amp;$C$3,'Chapter Data'!$B$2:$B$2500,"&lt;="&amp;$C$4)))</f>
        <v>17</v>
      </c>
      <c r="E14" s="31" t="n">
        <f aca="false">IF(OR(C14="",D14=""),"",D14/C14)</f>
        <v>0.130970724191063</v>
      </c>
      <c r="F14" s="19" t="n">
        <f aca="false">IF($G14="","",IF(COUNTIFS('Chapter Data'!$D$2:$D$2500,$A14,'Chapter Data'!$A$2:$A$2500,$B$3,'Chapter Data'!$E$2:$E$2500,"&gt;0")=0,"",SUMIFS('Chapter Data'!$E$2:$E$2500,'Chapter Data'!$D$2:$D$2500,$A14,'Chapter Data'!$A$2:$A$2500,$B$3)))</f>
        <v>116</v>
      </c>
      <c r="G14" s="19" t="n">
        <f aca="false">IF($A14="","",IF(COUNTIFS('Chapter Data'!$D$2:$D$2500,$A14,'Chapter Data'!$A$2:$A$2500,$B$4,'Chapter Data'!$E$2:$E$2500,"&gt;0")=0,"",SUMIFS('Chapter Data'!$E$2:$E$2500,'Chapter Data'!$D$2:$D$2500,$A14,'Chapter Data'!$A$2:$A$2500,$B$4)))</f>
        <v>142</v>
      </c>
      <c r="H14" s="32" t="n">
        <f aca="false">IF(OR(F14="",G14=""),"",G14/F14-1)</f>
        <v>0.224137931034483</v>
      </c>
      <c r="I14" s="28" t="n">
        <f aca="false">IF($G14="","",IF(COUNTIFS('Chapter Data'!$D$2:$D$2500,$A14,'Chapter Data'!$K$2:$K$2500,"&gt;=0",'Chapter Data'!$B$2:$B$2500,"&gt;="&amp;$C$3,'Chapter Data'!$B$2:$B$2500,"&lt;="&amp;$C$4)=0,"",AVERAGEIFS('Chapter Data'!$K$2:$K$2500,'Chapter Data'!$D$2:$D$2500,$A14,'Chapter Data'!$K$2:$K$2500,"&gt;=0",'Chapter Data'!$B$2:$B$2500,"&gt;="&amp;$C$3,'Chapter Data'!$B$2:$B$2500,"&lt;="&amp;$C$4)))</f>
        <v>0.9475</v>
      </c>
      <c r="J14" s="28" t="n">
        <f aca="false">IF(B14="","",PERCENTRANK($B$10:$B$44,B14))</f>
        <v>0.636</v>
      </c>
      <c r="K14" s="28" t="n">
        <f aca="false">IF(D14="","",PERCENTRANK($D$10:$D$44,D14))</f>
        <v>0.773</v>
      </c>
      <c r="L14" s="28" t="n">
        <f aca="false">IF(E14="","",PERCENTRANK($E$10:$E$44,E14))</f>
        <v>0.273</v>
      </c>
      <c r="M14" s="28" t="n">
        <f aca="false">IF(H14="","",PERCENTRANK($H$10:$H$44,H14))</f>
        <v>0.9</v>
      </c>
      <c r="N14" s="28" t="n">
        <f aca="false">IF(COUNT(K14:M14)=0,"",AVERAGE(K14:M14))</f>
        <v>0.648666666666667</v>
      </c>
      <c r="O14" s="28" t="n">
        <f aca="false">IF(OR(J14="",N14=""),"",$B$5*J14+$B$6*N14)</f>
        <v>0.642333333333333</v>
      </c>
      <c r="P14" s="19" t="n">
        <f aca="false">IF(O14="","",COUNTIF($O$10:$O$44,"&gt;"&amp;O14)+1)</f>
        <v>6</v>
      </c>
      <c r="Q14" s="19" t="n">
        <f aca="false">IF(B14="","",COUNTIF($B$10:$B$44,"&gt;"&amp;B14)+1)</f>
        <v>9</v>
      </c>
      <c r="R14" s="19" t="n">
        <f aca="false">IF(N14="","",COUNTIF($N$10:$N$44,"&gt;"&amp;N14)+1)</f>
        <v>8</v>
      </c>
    </row>
    <row r="15" customFormat="false" ht="15" hidden="false" customHeight="false" outlineLevel="0" collapsed="false">
      <c r="A15" s="8" t="str">
        <f aca="false">IF(Lists!$D$7="","",Lists!$D$7)</f>
        <v>Beta Sigma Psi</v>
      </c>
      <c r="B15" s="25" t="n">
        <f aca="false">IF($G15="","",IF(COUNTIFS('Chapter Data'!$D$2:$D$2500,$A15,'Chapter Data'!$G$2:$G$2500,"&gt;0",'Chapter Data'!$B$2:$B$2500,"&gt;="&amp;$C$3,'Chapter Data'!$B$2:$B$2500,"&lt;="&amp;$C$4)=0,"",AVERAGEIFS('Chapter Data'!$G$2:$G$2500,'Chapter Data'!$D$2:$D$2500,$A15,'Chapter Data'!$G$2:$G$2500,"&gt;0",'Chapter Data'!$B$2:$B$2500,"&gt;="&amp;$C$3,'Chapter Data'!$B$2:$B$2500,"&lt;="&amp;$C$4)))</f>
        <v>3.309</v>
      </c>
      <c r="C15" s="26" t="n">
        <f aca="false">IF($G15="","",IF(COUNTIFS('Chapter Data'!$D$2:$D$2500,$A15,'Chapter Data'!$E$2:$E$2500,"&gt;0",'Chapter Data'!$B$2:$B$2500,"&gt;="&amp;$C$3,'Chapter Data'!$B$2:$B$2500,"&lt;="&amp;$C$4)=0,"",AVERAGEIFS('Chapter Data'!$E$2:$E$2500,'Chapter Data'!$D$2:$D$2500,$A15,'Chapter Data'!$E$2:$E$2500,"&gt;0",'Chapter Data'!$B$2:$B$2500,"&gt;="&amp;$C$3,'Chapter Data'!$B$2:$B$2500,"&lt;="&amp;$C$4)))</f>
        <v>14.4</v>
      </c>
      <c r="D15" s="26" t="n">
        <f aca="false">IF($G15="","",IF(COUNTIFS('Chapter Data'!$D$2:$D$2500,$A15,'Chapter Data'!$F$2:$F$2500,"&gt;=0",'Chapter Data'!$B$2:$B$2500,"&gt;="&amp;$C$3,'Chapter Data'!$B$2:$B$2500,"&lt;="&amp;$C$4)=0,"",AVERAGEIFS('Chapter Data'!$F$2:$F$2500,'Chapter Data'!$D$2:$D$2500,$A15,'Chapter Data'!$F$2:$F$2500,"&gt;=0",'Chapter Data'!$B$2:$B$2500,"&gt;="&amp;$C$3,'Chapter Data'!$B$2:$B$2500,"&lt;="&amp;$C$4)))</f>
        <v>1.8</v>
      </c>
      <c r="E15" s="31" t="n">
        <f aca="false">IF(OR(C15="",D15=""),"",D15/C15)</f>
        <v>0.125</v>
      </c>
      <c r="F15" s="19" t="n">
        <f aca="false">IF($G15="","",IF(COUNTIFS('Chapter Data'!$D$2:$D$2500,$A15,'Chapter Data'!$A$2:$A$2500,$B$3,'Chapter Data'!$E$2:$E$2500,"&gt;0")=0,"",SUMIFS('Chapter Data'!$E$2:$E$2500,'Chapter Data'!$D$2:$D$2500,$A15,'Chapter Data'!$A$2:$A$2500,$B$3)))</f>
        <v>12</v>
      </c>
      <c r="G15" s="19" t="n">
        <f aca="false">IF($A15="","",IF(COUNTIFS('Chapter Data'!$D$2:$D$2500,$A15,'Chapter Data'!$A$2:$A$2500,$B$4,'Chapter Data'!$E$2:$E$2500,"&gt;0")=0,"",SUMIFS('Chapter Data'!$E$2:$E$2500,'Chapter Data'!$D$2:$D$2500,$A15,'Chapter Data'!$A$2:$A$2500,$B$4)))</f>
        <v>15</v>
      </c>
      <c r="H15" s="32" t="n">
        <f aca="false">IF(OR(F15="",G15=""),"",G15/F15-1)</f>
        <v>0.25</v>
      </c>
      <c r="I15" s="28" t="n">
        <f aca="false">IF($G15="","",IF(COUNTIFS('Chapter Data'!$D$2:$D$2500,$A15,'Chapter Data'!$K$2:$K$2500,"&gt;=0",'Chapter Data'!$B$2:$B$2500,"&gt;="&amp;$C$3,'Chapter Data'!$B$2:$B$2500,"&lt;="&amp;$C$4)=0,"",AVERAGEIFS('Chapter Data'!$K$2:$K$2500,'Chapter Data'!$D$2:$D$2500,$A15,'Chapter Data'!$K$2:$K$2500,"&gt;=0",'Chapter Data'!$B$2:$B$2500,"&gt;="&amp;$C$3,'Chapter Data'!$B$2:$B$2500,"&lt;="&amp;$C$4)))</f>
        <v>1</v>
      </c>
      <c r="J15" s="28" t="n">
        <f aca="false">IF(B15="","",PERCENTRANK($B$10:$B$44,B15))</f>
        <v>0.5</v>
      </c>
      <c r="K15" s="28" t="n">
        <f aca="false">IF(D15="","",PERCENTRANK($D$10:$D$44,D15))</f>
        <v>0</v>
      </c>
      <c r="L15" s="28" t="n">
        <f aca="false">IF(E15="","",PERCENTRANK($E$10:$E$44,E15))</f>
        <v>0.136</v>
      </c>
      <c r="M15" s="28" t="n">
        <f aca="false">IF(H15="","",PERCENTRANK($H$10:$H$44,H15))</f>
        <v>0.95</v>
      </c>
      <c r="N15" s="28" t="n">
        <f aca="false">IF(COUNT(K15:M15)=0,"",AVERAGE(K15:M15))</f>
        <v>0.362</v>
      </c>
      <c r="O15" s="28" t="n">
        <f aca="false">IF(OR(J15="",N15=""),"",$B$5*J15+$B$6*N15)</f>
        <v>0.431</v>
      </c>
      <c r="P15" s="19" t="n">
        <f aca="false">IF(O15="","",COUNTIF($O$10:$O$44,"&gt;"&amp;O15)+1)</f>
        <v>15</v>
      </c>
      <c r="Q15" s="19" t="n">
        <f aca="false">IF(B15="","",COUNTIF($B$10:$B$44,"&gt;"&amp;B15)+1)</f>
        <v>12</v>
      </c>
      <c r="R15" s="19" t="n">
        <f aca="false">IF(N15="","",COUNTIF($N$10:$N$44,"&gt;"&amp;N15)+1)</f>
        <v>15</v>
      </c>
    </row>
    <row r="16" customFormat="false" ht="15" hidden="false" customHeight="false" outlineLevel="0" collapsed="false">
      <c r="A16" s="8" t="str">
        <f aca="false">IF(Lists!$D$8="","",Lists!$D$8)</f>
        <v>Beta Theta Pi</v>
      </c>
      <c r="B16" s="25" t="n">
        <f aca="false">IF($G16="","",IF(COUNTIFS('Chapter Data'!$D$2:$D$2500,$A16,'Chapter Data'!$G$2:$G$2500,"&gt;0",'Chapter Data'!$B$2:$B$2500,"&gt;="&amp;$C$3,'Chapter Data'!$B$2:$B$2500,"&lt;="&amp;$C$4)=0,"",AVERAGEIFS('Chapter Data'!$G$2:$G$2500,'Chapter Data'!$D$2:$D$2500,$A16,'Chapter Data'!$G$2:$G$2500,"&gt;0",'Chapter Data'!$B$2:$B$2500,"&gt;="&amp;$C$3,'Chapter Data'!$B$2:$B$2500,"&lt;="&amp;$C$4)))</f>
        <v>3.6056</v>
      </c>
      <c r="C16" s="26" t="n">
        <f aca="false">IF($G16="","",IF(COUNTIFS('Chapter Data'!$D$2:$D$2500,$A16,'Chapter Data'!$E$2:$E$2500,"&gt;0",'Chapter Data'!$B$2:$B$2500,"&gt;="&amp;$C$3,'Chapter Data'!$B$2:$B$2500,"&lt;="&amp;$C$4)=0,"",AVERAGEIFS('Chapter Data'!$E$2:$E$2500,'Chapter Data'!$D$2:$D$2500,$A16,'Chapter Data'!$E$2:$E$2500,"&gt;0",'Chapter Data'!$B$2:$B$2500,"&gt;="&amp;$C$3,'Chapter Data'!$B$2:$B$2500,"&lt;="&amp;$C$4)))</f>
        <v>122.2</v>
      </c>
      <c r="D16" s="26" t="n">
        <f aca="false">IF($G16="","",IF(COUNTIFS('Chapter Data'!$D$2:$D$2500,$A16,'Chapter Data'!$F$2:$F$2500,"&gt;=0",'Chapter Data'!$B$2:$B$2500,"&gt;="&amp;$C$3,'Chapter Data'!$B$2:$B$2500,"&lt;="&amp;$C$4)=0,"",AVERAGEIFS('Chapter Data'!$F$2:$F$2500,'Chapter Data'!$D$2:$D$2500,$A16,'Chapter Data'!$F$2:$F$2500,"&gt;=0",'Chapter Data'!$B$2:$B$2500,"&gt;="&amp;$C$3,'Chapter Data'!$B$2:$B$2500,"&lt;="&amp;$C$4)))</f>
        <v>13.6</v>
      </c>
      <c r="E16" s="31" t="n">
        <f aca="false">IF(OR(C16="",D16=""),"",D16/C16)</f>
        <v>0.111292962356792</v>
      </c>
      <c r="F16" s="19" t="n">
        <f aca="false">IF($G16="","",IF(COUNTIFS('Chapter Data'!$D$2:$D$2500,$A16,'Chapter Data'!$A$2:$A$2500,$B$3,'Chapter Data'!$E$2:$E$2500,"&gt;0")=0,"",SUMIFS('Chapter Data'!$E$2:$E$2500,'Chapter Data'!$D$2:$D$2500,$A16,'Chapter Data'!$A$2:$A$2500,$B$3)))</f>
        <v>116</v>
      </c>
      <c r="G16" s="19" t="n">
        <f aca="false">IF($A16="","",IF(COUNTIFS('Chapter Data'!$D$2:$D$2500,$A16,'Chapter Data'!$A$2:$A$2500,$B$4,'Chapter Data'!$E$2:$E$2500,"&gt;0")=0,"",SUMIFS('Chapter Data'!$E$2:$E$2500,'Chapter Data'!$D$2:$D$2500,$A16,'Chapter Data'!$A$2:$A$2500,$B$4)))</f>
        <v>119</v>
      </c>
      <c r="H16" s="32" t="n">
        <f aca="false">IF(OR(F16="",G16=""),"",G16/F16-1)</f>
        <v>0.0258620689655174</v>
      </c>
      <c r="I16" s="28" t="n">
        <f aca="false">IF($G16="","",IF(COUNTIFS('Chapter Data'!$D$2:$D$2500,$A16,'Chapter Data'!$K$2:$K$2500,"&gt;=0",'Chapter Data'!$B$2:$B$2500,"&gt;="&amp;$C$3,'Chapter Data'!$B$2:$B$2500,"&lt;="&amp;$C$4)=0,"",AVERAGEIFS('Chapter Data'!$K$2:$K$2500,'Chapter Data'!$D$2:$D$2500,$A16,'Chapter Data'!$K$2:$K$2500,"&gt;=0",'Chapter Data'!$B$2:$B$2500,"&gt;="&amp;$C$3,'Chapter Data'!$B$2:$B$2500,"&lt;="&amp;$C$4)))</f>
        <v>0.955</v>
      </c>
      <c r="J16" s="28" t="n">
        <f aca="false">IF(B16="","",PERCENTRANK($B$10:$B$44,B16))</f>
        <v>0.909</v>
      </c>
      <c r="K16" s="28" t="n">
        <f aca="false">IF(D16="","",PERCENTRANK($D$10:$D$44,D16))</f>
        <v>0.5</v>
      </c>
      <c r="L16" s="28" t="n">
        <f aca="false">IF(E16="","",PERCENTRANK($E$10:$E$44,E16))</f>
        <v>0.0455</v>
      </c>
      <c r="M16" s="28" t="n">
        <f aca="false">IF(H16="","",PERCENTRANK($H$10:$H$44,H16))</f>
        <v>0.5</v>
      </c>
      <c r="N16" s="28" t="n">
        <f aca="false">IF(COUNT(K16:M16)=0,"",AVERAGE(K16:M16))</f>
        <v>0.3485</v>
      </c>
      <c r="O16" s="28" t="n">
        <f aca="false">IF(OR(J16="",N16=""),"",$B$5*J16+$B$6*N16)</f>
        <v>0.62875</v>
      </c>
      <c r="P16" s="19" t="n">
        <f aca="false">IF(O16="","",COUNTIF($O$10:$O$44,"&gt;"&amp;O16)+1)</f>
        <v>7</v>
      </c>
      <c r="Q16" s="19" t="n">
        <f aca="false">IF(B16="","",COUNTIF($B$10:$B$44,"&gt;"&amp;B16)+1)</f>
        <v>3</v>
      </c>
      <c r="R16" s="19" t="n">
        <f aca="false">IF(N16="","",COUNTIF($N$10:$N$44,"&gt;"&amp;N16)+1)</f>
        <v>16</v>
      </c>
    </row>
    <row r="17" customFormat="false" ht="15" hidden="false" customHeight="false" outlineLevel="0" collapsed="false">
      <c r="A17" s="8" t="str">
        <f aca="false">IF(Lists!$D$9="","",Lists!$D$9)</f>
        <v>Chi Phi</v>
      </c>
      <c r="B17" s="25" t="n">
        <f aca="false">IF($G17="","",IF(COUNTIFS('Chapter Data'!$D$2:$D$2500,$A17,'Chapter Data'!$G$2:$G$2500,"&gt;0",'Chapter Data'!$B$2:$B$2500,"&gt;="&amp;$C$3,'Chapter Data'!$B$2:$B$2500,"&lt;="&amp;$C$4)=0,"",AVERAGEIFS('Chapter Data'!$G$2:$G$2500,'Chapter Data'!$D$2:$D$2500,$A17,'Chapter Data'!$G$2:$G$2500,"&gt;0",'Chapter Data'!$B$2:$B$2500,"&gt;="&amp;$C$3,'Chapter Data'!$B$2:$B$2500,"&lt;="&amp;$C$4)))</f>
        <v>2.8748</v>
      </c>
      <c r="C17" s="26" t="n">
        <f aca="false">IF($G17="","",IF(COUNTIFS('Chapter Data'!$D$2:$D$2500,$A17,'Chapter Data'!$E$2:$E$2500,"&gt;0",'Chapter Data'!$B$2:$B$2500,"&gt;="&amp;$C$3,'Chapter Data'!$B$2:$B$2500,"&lt;="&amp;$C$4)=0,"",AVERAGEIFS('Chapter Data'!$E$2:$E$2500,'Chapter Data'!$D$2:$D$2500,$A17,'Chapter Data'!$E$2:$E$2500,"&gt;0",'Chapter Data'!$B$2:$B$2500,"&gt;="&amp;$C$3,'Chapter Data'!$B$2:$B$2500,"&lt;="&amp;$C$4)))</f>
        <v>14.6</v>
      </c>
      <c r="D17" s="26" t="n">
        <f aca="false">IF($G17="","",IF(COUNTIFS('Chapter Data'!$D$2:$D$2500,$A17,'Chapter Data'!$F$2:$F$2500,"&gt;=0",'Chapter Data'!$B$2:$B$2500,"&gt;="&amp;$C$3,'Chapter Data'!$B$2:$B$2500,"&lt;="&amp;$C$4)=0,"",AVERAGEIFS('Chapter Data'!$F$2:$F$2500,'Chapter Data'!$D$2:$D$2500,$A17,'Chapter Data'!$F$2:$F$2500,"&gt;=0",'Chapter Data'!$B$2:$B$2500,"&gt;="&amp;$C$3,'Chapter Data'!$B$2:$B$2500,"&lt;="&amp;$C$4)))</f>
        <v>2.6</v>
      </c>
      <c r="E17" s="31" t="n">
        <f aca="false">IF(OR(C17="",D17=""),"",D17/C17)</f>
        <v>0.178082191780822</v>
      </c>
      <c r="F17" s="19" t="n">
        <f aca="false">IF($G17="","",IF(COUNTIFS('Chapter Data'!$D$2:$D$2500,$A17,'Chapter Data'!$A$2:$A$2500,$B$3,'Chapter Data'!$E$2:$E$2500,"&gt;0")=0,"",SUMIFS('Chapter Data'!$E$2:$E$2500,'Chapter Data'!$D$2:$D$2500,$A17,'Chapter Data'!$A$2:$A$2500,$B$3)))</f>
        <v>16</v>
      </c>
      <c r="G17" s="19" t="n">
        <f aca="false">IF($A17="","",IF(COUNTIFS('Chapter Data'!$D$2:$D$2500,$A17,'Chapter Data'!$A$2:$A$2500,$B$4,'Chapter Data'!$E$2:$E$2500,"&gt;0")=0,"",SUMIFS('Chapter Data'!$E$2:$E$2500,'Chapter Data'!$D$2:$D$2500,$A17,'Chapter Data'!$A$2:$A$2500,$B$4)))</f>
        <v>15</v>
      </c>
      <c r="H17" s="32" t="n">
        <f aca="false">IF(OR(F17="",G17=""),"",G17/F17-1)</f>
        <v>-0.0625</v>
      </c>
      <c r="I17" s="28" t="n">
        <f aca="false">IF($G17="","",IF(COUNTIFS('Chapter Data'!$D$2:$D$2500,$A17,'Chapter Data'!$K$2:$K$2500,"&gt;=0",'Chapter Data'!$B$2:$B$2500,"&gt;="&amp;$C$3,'Chapter Data'!$B$2:$B$2500,"&lt;="&amp;$C$4)=0,"",AVERAGEIFS('Chapter Data'!$K$2:$K$2500,'Chapter Data'!$D$2:$D$2500,$A17,'Chapter Data'!$K$2:$K$2500,"&gt;=0",'Chapter Data'!$B$2:$B$2500,"&gt;="&amp;$C$3,'Chapter Data'!$B$2:$B$2500,"&lt;="&amp;$C$4)))</f>
        <v>1</v>
      </c>
      <c r="J17" s="28" t="n">
        <f aca="false">IF(B17="","",PERCENTRANK($B$10:$B$44,B17))</f>
        <v>0.0909</v>
      </c>
      <c r="K17" s="28" t="n">
        <f aca="false">IF(D17="","",PERCENTRANK($D$10:$D$44,D17))</f>
        <v>0.0909</v>
      </c>
      <c r="L17" s="28" t="n">
        <f aca="false">IF(E17="","",PERCENTRANK($E$10:$E$44,E17))</f>
        <v>0.727</v>
      </c>
      <c r="M17" s="28" t="n">
        <f aca="false">IF(H17="","",PERCENTRANK($H$10:$H$44,H17))</f>
        <v>0.2</v>
      </c>
      <c r="N17" s="28" t="n">
        <f aca="false">IF(COUNT(K17:M17)=0,"",AVERAGE(K17:M17))</f>
        <v>0.3393</v>
      </c>
      <c r="O17" s="28" t="n">
        <f aca="false">IF(OR(J17="",N17=""),"",$B$5*J17+$B$6*N17)</f>
        <v>0.2151</v>
      </c>
      <c r="P17" s="19" t="n">
        <f aca="false">IF(O17="","",COUNTIF($O$10:$O$44,"&gt;"&amp;O17)+1)</f>
        <v>22</v>
      </c>
      <c r="Q17" s="19" t="n">
        <f aca="false">IF(B17="","",COUNTIF($B$10:$B$44,"&gt;"&amp;B17)+1)</f>
        <v>21</v>
      </c>
      <c r="R17" s="19" t="n">
        <f aca="false">IF(N17="","",COUNTIF($N$10:$N$44,"&gt;"&amp;N17)+1)</f>
        <v>18</v>
      </c>
    </row>
    <row r="18" customFormat="false" ht="15" hidden="false" customHeight="false" outlineLevel="0" collapsed="false">
      <c r="A18" s="8" t="str">
        <f aca="false">IF(Lists!$D$10="","",Lists!$D$10)</f>
        <v>Delta Sigma Phi</v>
      </c>
      <c r="B18" s="25" t="str">
        <f aca="false">IF($G18="","",IF(COUNTIFS('Chapter Data'!$D$2:$D$2500,$A18,'Chapter Data'!$G$2:$G$2500,"&gt;0",'Chapter Data'!$B$2:$B$2500,"&gt;="&amp;$C$3,'Chapter Data'!$B$2:$B$2500,"&lt;="&amp;$C$4)=0,"",AVERAGEIFS('Chapter Data'!$G$2:$G$2500,'Chapter Data'!$D$2:$D$2500,$A18,'Chapter Data'!$G$2:$G$2500,"&gt;0",'Chapter Data'!$B$2:$B$2500,"&gt;="&amp;$C$3,'Chapter Data'!$B$2:$B$2500,"&lt;="&amp;$C$4)))</f>
        <v/>
      </c>
      <c r="C18" s="26" t="str">
        <f aca="false">IF($G18="","",IF(COUNTIFS('Chapter Data'!$D$2:$D$2500,$A18,'Chapter Data'!$E$2:$E$2500,"&gt;0",'Chapter Data'!$B$2:$B$2500,"&gt;="&amp;$C$3,'Chapter Data'!$B$2:$B$2500,"&lt;="&amp;$C$4)=0,"",AVERAGEIFS('Chapter Data'!$E$2:$E$2500,'Chapter Data'!$D$2:$D$2500,$A18,'Chapter Data'!$E$2:$E$2500,"&gt;0",'Chapter Data'!$B$2:$B$2500,"&gt;="&amp;$C$3,'Chapter Data'!$B$2:$B$2500,"&lt;="&amp;$C$4)))</f>
        <v/>
      </c>
      <c r="D18" s="26" t="str">
        <f aca="false">IF($G18="","",IF(COUNTIFS('Chapter Data'!$D$2:$D$2500,$A18,'Chapter Data'!$F$2:$F$2500,"&gt;=0",'Chapter Data'!$B$2:$B$2500,"&gt;="&amp;$C$3,'Chapter Data'!$B$2:$B$2500,"&lt;="&amp;$C$4)=0,"",AVERAGEIFS('Chapter Data'!$F$2:$F$2500,'Chapter Data'!$D$2:$D$2500,$A18,'Chapter Data'!$F$2:$F$2500,"&gt;=0",'Chapter Data'!$B$2:$B$2500,"&gt;="&amp;$C$3,'Chapter Data'!$B$2:$B$2500,"&lt;="&amp;$C$4)))</f>
        <v/>
      </c>
      <c r="E18" s="31" t="str">
        <f aca="false">IF(OR(C18="",D18=""),"",D18/C18)</f>
        <v/>
      </c>
      <c r="F18" s="19" t="str">
        <f aca="false">IF($G18="","",IF(COUNTIFS('Chapter Data'!$D$2:$D$2500,$A18,'Chapter Data'!$A$2:$A$2500,$B$3,'Chapter Data'!$E$2:$E$2500,"&gt;0")=0,"",SUMIFS('Chapter Data'!$E$2:$E$2500,'Chapter Data'!$D$2:$D$2500,$A18,'Chapter Data'!$A$2:$A$2500,$B$3)))</f>
        <v/>
      </c>
      <c r="G18" s="19" t="str">
        <f aca="false">IF($A18="","",IF(COUNTIFS('Chapter Data'!$D$2:$D$2500,$A18,'Chapter Data'!$A$2:$A$2500,$B$4,'Chapter Data'!$E$2:$E$2500,"&gt;0")=0,"",SUMIFS('Chapter Data'!$E$2:$E$2500,'Chapter Data'!$D$2:$D$2500,$A18,'Chapter Data'!$A$2:$A$2500,$B$4)))</f>
        <v/>
      </c>
      <c r="H18" s="32" t="str">
        <f aca="false">IF(OR(F18="",G18=""),"",G18/F18-1)</f>
        <v/>
      </c>
      <c r="I18" s="28" t="str">
        <f aca="false">IF($G18="","",IF(COUNTIFS('Chapter Data'!$D$2:$D$2500,$A18,'Chapter Data'!$K$2:$K$2500,"&gt;=0",'Chapter Data'!$B$2:$B$2500,"&gt;="&amp;$C$3,'Chapter Data'!$B$2:$B$2500,"&lt;="&amp;$C$4)=0,"",AVERAGEIFS('Chapter Data'!$K$2:$K$2500,'Chapter Data'!$D$2:$D$2500,$A18,'Chapter Data'!$K$2:$K$2500,"&gt;=0",'Chapter Data'!$B$2:$B$2500,"&gt;="&amp;$C$3,'Chapter Data'!$B$2:$B$2500,"&lt;="&amp;$C$4)))</f>
        <v/>
      </c>
      <c r="J18" s="28" t="str">
        <f aca="false">IF(B18="","",PERCENTRANK($B$10:$B$44,B18))</f>
        <v/>
      </c>
      <c r="K18" s="28" t="str">
        <f aca="false">IF(D18="","",PERCENTRANK($D$10:$D$44,D18))</f>
        <v/>
      </c>
      <c r="L18" s="28" t="str">
        <f aca="false">IF(E18="","",PERCENTRANK($E$10:$E$44,E18))</f>
        <v/>
      </c>
      <c r="M18" s="28" t="str">
        <f aca="false">IF(H18="","",PERCENTRANK($H$10:$H$44,H18))</f>
        <v/>
      </c>
      <c r="N18" s="28" t="str">
        <f aca="false">IF(COUNT(K18:M18)=0,"",AVERAGE(K18:M18))</f>
        <v/>
      </c>
      <c r="O18" s="28" t="str">
        <f aca="false">IF(OR(J18="",N18=""),"",$B$5*J18+$B$6*N18)</f>
        <v/>
      </c>
      <c r="P18" s="19" t="str">
        <f aca="false">IF(O18="","",COUNTIF($O$10:$O$44,"&gt;"&amp;O18)+1)</f>
        <v/>
      </c>
      <c r="Q18" s="19" t="str">
        <f aca="false">IF(B18="","",COUNTIF($B$10:$B$44,"&gt;"&amp;B18)+1)</f>
        <v/>
      </c>
      <c r="R18" s="19" t="str">
        <f aca="false">IF(N18="","",COUNTIF($N$10:$N$44,"&gt;"&amp;N18)+1)</f>
        <v/>
      </c>
    </row>
    <row r="19" customFormat="false" ht="15" hidden="false" customHeight="false" outlineLevel="0" collapsed="false">
      <c r="A19" s="8" t="str">
        <f aca="false">IF(Lists!$D$11="","",Lists!$D$11)</f>
        <v>Delta Tau Delta</v>
      </c>
      <c r="B19" s="25" t="str">
        <f aca="false">IF($G19="","",IF(COUNTIFS('Chapter Data'!$D$2:$D$2500,$A19,'Chapter Data'!$G$2:$G$2500,"&gt;0",'Chapter Data'!$B$2:$B$2500,"&gt;="&amp;$C$3,'Chapter Data'!$B$2:$B$2500,"&lt;="&amp;$C$4)=0,"",AVERAGEIFS('Chapter Data'!$G$2:$G$2500,'Chapter Data'!$D$2:$D$2500,$A19,'Chapter Data'!$G$2:$G$2500,"&gt;0",'Chapter Data'!$B$2:$B$2500,"&gt;="&amp;$C$3,'Chapter Data'!$B$2:$B$2500,"&lt;="&amp;$C$4)))</f>
        <v/>
      </c>
      <c r="C19" s="26" t="str">
        <f aca="false">IF($G19="","",IF(COUNTIFS('Chapter Data'!$D$2:$D$2500,$A19,'Chapter Data'!$E$2:$E$2500,"&gt;0",'Chapter Data'!$B$2:$B$2500,"&gt;="&amp;$C$3,'Chapter Data'!$B$2:$B$2500,"&lt;="&amp;$C$4)=0,"",AVERAGEIFS('Chapter Data'!$E$2:$E$2500,'Chapter Data'!$D$2:$D$2500,$A19,'Chapter Data'!$E$2:$E$2500,"&gt;0",'Chapter Data'!$B$2:$B$2500,"&gt;="&amp;$C$3,'Chapter Data'!$B$2:$B$2500,"&lt;="&amp;$C$4)))</f>
        <v/>
      </c>
      <c r="D19" s="26" t="str">
        <f aca="false">IF($G19="","",IF(COUNTIFS('Chapter Data'!$D$2:$D$2500,$A19,'Chapter Data'!$F$2:$F$2500,"&gt;=0",'Chapter Data'!$B$2:$B$2500,"&gt;="&amp;$C$3,'Chapter Data'!$B$2:$B$2500,"&lt;="&amp;$C$4)=0,"",AVERAGEIFS('Chapter Data'!$F$2:$F$2500,'Chapter Data'!$D$2:$D$2500,$A19,'Chapter Data'!$F$2:$F$2500,"&gt;=0",'Chapter Data'!$B$2:$B$2500,"&gt;="&amp;$C$3,'Chapter Data'!$B$2:$B$2500,"&lt;="&amp;$C$4)))</f>
        <v/>
      </c>
      <c r="E19" s="31" t="str">
        <f aca="false">IF(OR(C19="",D19=""),"",D19/C19)</f>
        <v/>
      </c>
      <c r="F19" s="19" t="str">
        <f aca="false">IF($G19="","",IF(COUNTIFS('Chapter Data'!$D$2:$D$2500,$A19,'Chapter Data'!$A$2:$A$2500,$B$3,'Chapter Data'!$E$2:$E$2500,"&gt;0")=0,"",SUMIFS('Chapter Data'!$E$2:$E$2500,'Chapter Data'!$D$2:$D$2500,$A19,'Chapter Data'!$A$2:$A$2500,$B$3)))</f>
        <v/>
      </c>
      <c r="G19" s="19" t="str">
        <f aca="false">IF($A19="","",IF(COUNTIFS('Chapter Data'!$D$2:$D$2500,$A19,'Chapter Data'!$A$2:$A$2500,$B$4,'Chapter Data'!$E$2:$E$2500,"&gt;0")=0,"",SUMIFS('Chapter Data'!$E$2:$E$2500,'Chapter Data'!$D$2:$D$2500,$A19,'Chapter Data'!$A$2:$A$2500,$B$4)))</f>
        <v/>
      </c>
      <c r="H19" s="32" t="str">
        <f aca="false">IF(OR(F19="",G19=""),"",G19/F19-1)</f>
        <v/>
      </c>
      <c r="I19" s="28" t="str">
        <f aca="false">IF($G19="","",IF(COUNTIFS('Chapter Data'!$D$2:$D$2500,$A19,'Chapter Data'!$K$2:$K$2500,"&gt;=0",'Chapter Data'!$B$2:$B$2500,"&gt;="&amp;$C$3,'Chapter Data'!$B$2:$B$2500,"&lt;="&amp;$C$4)=0,"",AVERAGEIFS('Chapter Data'!$K$2:$K$2500,'Chapter Data'!$D$2:$D$2500,$A19,'Chapter Data'!$K$2:$K$2500,"&gt;=0",'Chapter Data'!$B$2:$B$2500,"&gt;="&amp;$C$3,'Chapter Data'!$B$2:$B$2500,"&lt;="&amp;$C$4)))</f>
        <v/>
      </c>
      <c r="J19" s="28" t="str">
        <f aca="false">IF(B19="","",PERCENTRANK($B$10:$B$44,B19))</f>
        <v/>
      </c>
      <c r="K19" s="28" t="str">
        <f aca="false">IF(D19="","",PERCENTRANK($D$10:$D$44,D19))</f>
        <v/>
      </c>
      <c r="L19" s="28" t="str">
        <f aca="false">IF(E19="","",PERCENTRANK($E$10:$E$44,E19))</f>
        <v/>
      </c>
      <c r="M19" s="28" t="str">
        <f aca="false">IF(H19="","",PERCENTRANK($H$10:$H$44,H19))</f>
        <v/>
      </c>
      <c r="N19" s="28" t="str">
        <f aca="false">IF(COUNT(K19:M19)=0,"",AVERAGE(K19:M19))</f>
        <v/>
      </c>
      <c r="O19" s="28" t="str">
        <f aca="false">IF(OR(J19="",N19=""),"",$B$5*J19+$B$6*N19)</f>
        <v/>
      </c>
      <c r="P19" s="19" t="str">
        <f aca="false">IF(O19="","",COUNTIF($O$10:$O$44,"&gt;"&amp;O19)+1)</f>
        <v/>
      </c>
      <c r="Q19" s="19" t="str">
        <f aca="false">IF(B19="","",COUNTIF($B$10:$B$44,"&gt;"&amp;B19)+1)</f>
        <v/>
      </c>
      <c r="R19" s="19" t="str">
        <f aca="false">IF(N19="","",COUNTIF($N$10:$N$44,"&gt;"&amp;N19)+1)</f>
        <v/>
      </c>
    </row>
    <row r="20" customFormat="false" ht="15" hidden="false" customHeight="false" outlineLevel="0" collapsed="false">
      <c r="A20" s="8" t="str">
        <f aca="false">IF(Lists!$D$12="","",Lists!$D$12)</f>
        <v>Delta Upsilon</v>
      </c>
      <c r="B20" s="25" t="n">
        <f aca="false">IF($G20="","",IF(COUNTIFS('Chapter Data'!$D$2:$D$2500,$A20,'Chapter Data'!$G$2:$G$2500,"&gt;0",'Chapter Data'!$B$2:$B$2500,"&gt;="&amp;$C$3,'Chapter Data'!$B$2:$B$2500,"&lt;="&amp;$C$4)=0,"",AVERAGEIFS('Chapter Data'!$G$2:$G$2500,'Chapter Data'!$D$2:$D$2500,$A20,'Chapter Data'!$G$2:$G$2500,"&gt;0",'Chapter Data'!$B$2:$B$2500,"&gt;="&amp;$C$3,'Chapter Data'!$B$2:$B$2500,"&lt;="&amp;$C$4)))</f>
        <v>3.2512</v>
      </c>
      <c r="C20" s="26" t="n">
        <f aca="false">IF($G20="","",IF(COUNTIFS('Chapter Data'!$D$2:$D$2500,$A20,'Chapter Data'!$E$2:$E$2500,"&gt;0",'Chapter Data'!$B$2:$B$2500,"&gt;="&amp;$C$3,'Chapter Data'!$B$2:$B$2500,"&lt;="&amp;$C$4)=0,"",AVERAGEIFS('Chapter Data'!$E$2:$E$2500,'Chapter Data'!$D$2:$D$2500,$A20,'Chapter Data'!$E$2:$E$2500,"&gt;0",'Chapter Data'!$B$2:$B$2500,"&gt;="&amp;$C$3,'Chapter Data'!$B$2:$B$2500,"&lt;="&amp;$C$4)))</f>
        <v>78.2</v>
      </c>
      <c r="D20" s="26" t="n">
        <f aca="false">IF($G20="","",IF(COUNTIFS('Chapter Data'!$D$2:$D$2500,$A20,'Chapter Data'!$F$2:$F$2500,"&gt;=0",'Chapter Data'!$B$2:$B$2500,"&gt;="&amp;$C$3,'Chapter Data'!$B$2:$B$2500,"&lt;="&amp;$C$4)=0,"",AVERAGEIFS('Chapter Data'!$F$2:$F$2500,'Chapter Data'!$D$2:$D$2500,$A20,'Chapter Data'!$F$2:$F$2500,"&gt;=0",'Chapter Data'!$B$2:$B$2500,"&gt;="&amp;$C$3,'Chapter Data'!$B$2:$B$2500,"&lt;="&amp;$C$4)))</f>
        <v>13.6</v>
      </c>
      <c r="E20" s="31" t="n">
        <f aca="false">IF(OR(C20="",D20=""),"",D20/C20)</f>
        <v>0.173913043478261</v>
      </c>
      <c r="F20" s="19" t="n">
        <f aca="false">IF($G20="","",IF(COUNTIFS('Chapter Data'!$D$2:$D$2500,$A20,'Chapter Data'!$A$2:$A$2500,$B$3,'Chapter Data'!$E$2:$E$2500,"&gt;0")=0,"",SUMIFS('Chapter Data'!$E$2:$E$2500,'Chapter Data'!$D$2:$D$2500,$A20,'Chapter Data'!$A$2:$A$2500,$B$3)))</f>
        <v>68</v>
      </c>
      <c r="G20" s="19" t="n">
        <f aca="false">IF($A20="","",IF(COUNTIFS('Chapter Data'!$D$2:$D$2500,$A20,'Chapter Data'!$A$2:$A$2500,$B$4,'Chapter Data'!$E$2:$E$2500,"&gt;0")=0,"",SUMIFS('Chapter Data'!$E$2:$E$2500,'Chapter Data'!$D$2:$D$2500,$A20,'Chapter Data'!$A$2:$A$2500,$B$4)))</f>
        <v>78</v>
      </c>
      <c r="H20" s="32" t="n">
        <f aca="false">IF(OR(F20="",G20=""),"",G20/F20-1)</f>
        <v>0.147058823529412</v>
      </c>
      <c r="I20" s="28" t="n">
        <f aca="false">IF($G20="","",IF(COUNTIFS('Chapter Data'!$D$2:$D$2500,$A20,'Chapter Data'!$K$2:$K$2500,"&gt;=0",'Chapter Data'!$B$2:$B$2500,"&gt;="&amp;$C$3,'Chapter Data'!$B$2:$B$2500,"&lt;="&amp;$C$4)=0,"",AVERAGEIFS('Chapter Data'!$K$2:$K$2500,'Chapter Data'!$D$2:$D$2500,$A20,'Chapter Data'!$K$2:$K$2500,"&gt;=0",'Chapter Data'!$B$2:$B$2500,"&gt;="&amp;$C$3,'Chapter Data'!$B$2:$B$2500,"&lt;="&amp;$C$4)))</f>
        <v>0.8875</v>
      </c>
      <c r="J20" s="28" t="n">
        <f aca="false">IF(B20="","",PERCENTRANK($B$10:$B$44,B20))</f>
        <v>0.364</v>
      </c>
      <c r="K20" s="28" t="n">
        <f aca="false">IF(D20="","",PERCENTRANK($D$10:$D$44,D20))</f>
        <v>0.5</v>
      </c>
      <c r="L20" s="28" t="n">
        <f aca="false">IF(E20="","",PERCENTRANK($E$10:$E$44,E20))</f>
        <v>0.682</v>
      </c>
      <c r="M20" s="28" t="n">
        <f aca="false">IF(H20="","",PERCENTRANK($H$10:$H$44,H20))</f>
        <v>0.6</v>
      </c>
      <c r="N20" s="28" t="n">
        <f aca="false">IF(COUNT(K20:M20)=0,"",AVERAGE(K20:M20))</f>
        <v>0.594</v>
      </c>
      <c r="O20" s="28" t="n">
        <f aca="false">IF(OR(J20="",N20=""),"",$B$5*J20+$B$6*N20)</f>
        <v>0.479</v>
      </c>
      <c r="P20" s="19" t="n">
        <f aca="false">IF(O20="","",COUNTIF($O$10:$O$44,"&gt;"&amp;O20)+1)</f>
        <v>13</v>
      </c>
      <c r="Q20" s="19" t="n">
        <f aca="false">IF(B20="","",COUNTIF($B$10:$B$44,"&gt;"&amp;B20)+1)</f>
        <v>15</v>
      </c>
      <c r="R20" s="19" t="n">
        <f aca="false">IF(N20="","",COUNTIF($N$10:$N$44,"&gt;"&amp;N20)+1)</f>
        <v>10</v>
      </c>
    </row>
    <row r="21" customFormat="false" ht="15" hidden="false" customHeight="false" outlineLevel="0" collapsed="false">
      <c r="A21" s="8" t="str">
        <f aca="false">IF(Lists!$D$13="","",Lists!$D$13)</f>
        <v>Farmhouse</v>
      </c>
      <c r="B21" s="25" t="n">
        <f aca="false">IF($G21="","",IF(COUNTIFS('Chapter Data'!$D$2:$D$2500,$A21,'Chapter Data'!$G$2:$G$2500,"&gt;0",'Chapter Data'!$B$2:$B$2500,"&gt;="&amp;$C$3,'Chapter Data'!$B$2:$B$2500,"&lt;="&amp;$C$4)=0,"",AVERAGEIFS('Chapter Data'!$G$2:$G$2500,'Chapter Data'!$D$2:$D$2500,$A21,'Chapter Data'!$G$2:$G$2500,"&gt;0",'Chapter Data'!$B$2:$B$2500,"&gt;="&amp;$C$3,'Chapter Data'!$B$2:$B$2500,"&lt;="&amp;$C$4)))</f>
        <v>3.6842</v>
      </c>
      <c r="C21" s="26" t="n">
        <f aca="false">IF($G21="","",IF(COUNTIFS('Chapter Data'!$D$2:$D$2500,$A21,'Chapter Data'!$E$2:$E$2500,"&gt;0",'Chapter Data'!$B$2:$B$2500,"&gt;="&amp;$C$3,'Chapter Data'!$B$2:$B$2500,"&lt;="&amp;$C$4)=0,"",AVERAGEIFS('Chapter Data'!$E$2:$E$2500,'Chapter Data'!$D$2:$D$2500,$A21,'Chapter Data'!$E$2:$E$2500,"&gt;0",'Chapter Data'!$B$2:$B$2500,"&gt;="&amp;$C$3,'Chapter Data'!$B$2:$B$2500,"&lt;="&amp;$C$4)))</f>
        <v>110.4</v>
      </c>
      <c r="D21" s="26" t="n">
        <f aca="false">IF($G21="","",IF(COUNTIFS('Chapter Data'!$D$2:$D$2500,$A21,'Chapter Data'!$F$2:$F$2500,"&gt;=0",'Chapter Data'!$B$2:$B$2500,"&gt;="&amp;$C$3,'Chapter Data'!$B$2:$B$2500,"&lt;="&amp;$C$4)=0,"",AVERAGEIFS('Chapter Data'!$F$2:$F$2500,'Chapter Data'!$D$2:$D$2500,$A21,'Chapter Data'!$F$2:$F$2500,"&gt;=0",'Chapter Data'!$B$2:$B$2500,"&gt;="&amp;$C$3,'Chapter Data'!$B$2:$B$2500,"&lt;="&amp;$C$4)))</f>
        <v>13.6</v>
      </c>
      <c r="E21" s="31" t="n">
        <f aca="false">IF(OR(C21="",D21=""),"",D21/C21)</f>
        <v>0.123188405797101</v>
      </c>
      <c r="F21" s="19" t="n">
        <f aca="false">IF($G21="","",IF(COUNTIFS('Chapter Data'!$D$2:$D$2500,$A21,'Chapter Data'!$A$2:$A$2500,$B$3,'Chapter Data'!$E$2:$E$2500,"&gt;0")=0,"",SUMIFS('Chapter Data'!$E$2:$E$2500,'Chapter Data'!$D$2:$D$2500,$A21,'Chapter Data'!$A$2:$A$2500,$B$3)))</f>
        <v>107</v>
      </c>
      <c r="G21" s="19" t="n">
        <f aca="false">IF($A21="","",IF(COUNTIFS('Chapter Data'!$D$2:$D$2500,$A21,'Chapter Data'!$A$2:$A$2500,$B$4,'Chapter Data'!$E$2:$E$2500,"&gt;0")=0,"",SUMIFS('Chapter Data'!$E$2:$E$2500,'Chapter Data'!$D$2:$D$2500,$A21,'Chapter Data'!$A$2:$A$2500,$B$4)))</f>
        <v>109</v>
      </c>
      <c r="H21" s="32" t="n">
        <f aca="false">IF(OR(F21="",G21=""),"",G21/F21-1)</f>
        <v>0.0186915887850467</v>
      </c>
      <c r="I21" s="28" t="n">
        <f aca="false">IF($G21="","",IF(COUNTIFS('Chapter Data'!$D$2:$D$2500,$A21,'Chapter Data'!$K$2:$K$2500,"&gt;=0",'Chapter Data'!$B$2:$B$2500,"&gt;="&amp;$C$3,'Chapter Data'!$B$2:$B$2500,"&lt;="&amp;$C$4)=0,"",AVERAGEIFS('Chapter Data'!$K$2:$K$2500,'Chapter Data'!$D$2:$D$2500,$A21,'Chapter Data'!$K$2:$K$2500,"&gt;=0",'Chapter Data'!$B$2:$B$2500,"&gt;="&amp;$C$3,'Chapter Data'!$B$2:$B$2500,"&lt;="&amp;$C$4)))</f>
        <v>0.9175</v>
      </c>
      <c r="J21" s="28" t="n">
        <f aca="false">IF(B21="","",PERCENTRANK($B$10:$B$44,B21))</f>
        <v>1</v>
      </c>
      <c r="K21" s="28" t="n">
        <f aca="false">IF(D21="","",PERCENTRANK($D$10:$D$44,D21))</f>
        <v>0.5</v>
      </c>
      <c r="L21" s="28" t="n">
        <f aca="false">IF(E21="","",PERCENTRANK($E$10:$E$44,E21))</f>
        <v>0.0909</v>
      </c>
      <c r="M21" s="28" t="n">
        <f aca="false">IF(H21="","",PERCENTRANK($H$10:$H$44,H21))</f>
        <v>0.45</v>
      </c>
      <c r="N21" s="28" t="n">
        <f aca="false">IF(COUNT(K21:M21)=0,"",AVERAGE(K21:M21))</f>
        <v>0.346966666666667</v>
      </c>
      <c r="O21" s="28" t="n">
        <f aca="false">IF(OR(J21="",N21=""),"",$B$5*J21+$B$6*N21)</f>
        <v>0.673483333333333</v>
      </c>
      <c r="P21" s="19" t="n">
        <f aca="false">IF(O21="","",COUNTIF($O$10:$O$44,"&gt;"&amp;O21)+1)</f>
        <v>4</v>
      </c>
      <c r="Q21" s="19" t="n">
        <f aca="false">IF(B21="","",COUNTIF($B$10:$B$44,"&gt;"&amp;B21)+1)</f>
        <v>1</v>
      </c>
      <c r="R21" s="19" t="n">
        <f aca="false">IF(N21="","",COUNTIF($N$10:$N$44,"&gt;"&amp;N21)+1)</f>
        <v>17</v>
      </c>
    </row>
    <row r="22" customFormat="false" ht="15" hidden="false" customHeight="false" outlineLevel="0" collapsed="false">
      <c r="A22" s="8" t="str">
        <f aca="false">IF(Lists!$D$14="","",Lists!$D$14)</f>
        <v>Kappa Sigma</v>
      </c>
      <c r="B22" s="25" t="n">
        <f aca="false">IF($G22="","",IF(COUNTIFS('Chapter Data'!$D$2:$D$2500,$A22,'Chapter Data'!$G$2:$G$2500,"&gt;0",'Chapter Data'!$B$2:$B$2500,"&gt;="&amp;$C$3,'Chapter Data'!$B$2:$B$2500,"&lt;="&amp;$C$4)=0,"",AVERAGEIFS('Chapter Data'!$G$2:$G$2500,'Chapter Data'!$D$2:$D$2500,$A22,'Chapter Data'!$G$2:$G$2500,"&gt;0",'Chapter Data'!$B$2:$B$2500,"&gt;="&amp;$C$3,'Chapter Data'!$B$2:$B$2500,"&lt;="&amp;$C$4)))</f>
        <v>2.8686</v>
      </c>
      <c r="C22" s="26" t="n">
        <f aca="false">IF($G22="","",IF(COUNTIFS('Chapter Data'!$D$2:$D$2500,$A22,'Chapter Data'!$E$2:$E$2500,"&gt;0",'Chapter Data'!$B$2:$B$2500,"&gt;="&amp;$C$3,'Chapter Data'!$B$2:$B$2500,"&lt;="&amp;$C$4)=0,"",AVERAGEIFS('Chapter Data'!$E$2:$E$2500,'Chapter Data'!$D$2:$D$2500,$A22,'Chapter Data'!$E$2:$E$2500,"&gt;0",'Chapter Data'!$B$2:$B$2500,"&gt;="&amp;$C$3,'Chapter Data'!$B$2:$B$2500,"&lt;="&amp;$C$4)))</f>
        <v>56.4</v>
      </c>
      <c r="D22" s="26" t="n">
        <f aca="false">IF($G22="","",IF(COUNTIFS('Chapter Data'!$D$2:$D$2500,$A22,'Chapter Data'!$F$2:$F$2500,"&gt;=0",'Chapter Data'!$B$2:$B$2500,"&gt;="&amp;$C$3,'Chapter Data'!$B$2:$B$2500,"&lt;="&amp;$C$4)=0,"",AVERAGEIFS('Chapter Data'!$F$2:$F$2500,'Chapter Data'!$D$2:$D$2500,$A22,'Chapter Data'!$F$2:$F$2500,"&gt;=0",'Chapter Data'!$B$2:$B$2500,"&gt;="&amp;$C$3,'Chapter Data'!$B$2:$B$2500,"&lt;="&amp;$C$4)))</f>
        <v>13.4</v>
      </c>
      <c r="E22" s="31" t="n">
        <f aca="false">IF(OR(C22="",D22=""),"",D22/C22)</f>
        <v>0.23758865248227</v>
      </c>
      <c r="F22" s="19" t="n">
        <f aca="false">IF($G22="","",IF(COUNTIFS('Chapter Data'!$D$2:$D$2500,$A22,'Chapter Data'!$A$2:$A$2500,$B$3,'Chapter Data'!$E$2:$E$2500,"&gt;0")=0,"",SUMIFS('Chapter Data'!$E$2:$E$2500,'Chapter Data'!$D$2:$D$2500,$A22,'Chapter Data'!$A$2:$A$2500,$B$3)))</f>
        <v>32</v>
      </c>
      <c r="G22" s="19" t="n">
        <f aca="false">IF($A22="","",IF(COUNTIFS('Chapter Data'!$D$2:$D$2500,$A22,'Chapter Data'!$A$2:$A$2500,$B$4,'Chapter Data'!$E$2:$E$2500,"&gt;0")=0,"",SUMIFS('Chapter Data'!$E$2:$E$2500,'Chapter Data'!$D$2:$D$2500,$A22,'Chapter Data'!$A$2:$A$2500,$B$4)))</f>
        <v>67</v>
      </c>
      <c r="H22" s="32" t="n">
        <f aca="false">IF(OR(F22="",G22=""),"",G22/F22-1)</f>
        <v>1.09375</v>
      </c>
      <c r="I22" s="28" t="n">
        <f aca="false">IF($G22="","",IF(COUNTIFS('Chapter Data'!$D$2:$D$2500,$A22,'Chapter Data'!$K$2:$K$2500,"&gt;=0",'Chapter Data'!$B$2:$B$2500,"&gt;="&amp;$C$3,'Chapter Data'!$B$2:$B$2500,"&lt;="&amp;$C$4)=0,"",AVERAGEIFS('Chapter Data'!$K$2:$K$2500,'Chapter Data'!$D$2:$D$2500,$A22,'Chapter Data'!$K$2:$K$2500,"&gt;=0",'Chapter Data'!$B$2:$B$2500,"&gt;="&amp;$C$3,'Chapter Data'!$B$2:$B$2500,"&lt;="&amp;$C$4)))</f>
        <v>0.8475</v>
      </c>
      <c r="J22" s="28" t="n">
        <f aca="false">IF(B22="","",PERCENTRANK($B$10:$B$44,B22))</f>
        <v>0.0455</v>
      </c>
      <c r="K22" s="28" t="n">
        <f aca="false">IF(D22="","",PERCENTRANK($D$10:$D$44,D22))</f>
        <v>0.455</v>
      </c>
      <c r="L22" s="28" t="n">
        <f aca="false">IF(E22="","",PERCENTRANK($E$10:$E$44,E22))</f>
        <v>0.818</v>
      </c>
      <c r="M22" s="28" t="n">
        <f aca="false">IF(H22="","",PERCENTRANK($H$10:$H$44,H22))</f>
        <v>1</v>
      </c>
      <c r="N22" s="28" t="n">
        <f aca="false">IF(COUNT(K22:M22)=0,"",AVERAGE(K22:M22))</f>
        <v>0.757666666666667</v>
      </c>
      <c r="O22" s="28" t="n">
        <f aca="false">IF(OR(J22="",N22=""),"",$B$5*J22+$B$6*N22)</f>
        <v>0.401583333333333</v>
      </c>
      <c r="P22" s="19" t="n">
        <f aca="false">IF(O22="","",COUNTIF($O$10:$O$44,"&gt;"&amp;O22)+1)</f>
        <v>16</v>
      </c>
      <c r="Q22" s="19" t="n">
        <f aca="false">IF(B22="","",COUNTIF($B$10:$B$44,"&gt;"&amp;B22)+1)</f>
        <v>22</v>
      </c>
      <c r="R22" s="19" t="n">
        <f aca="false">IF(N22="","",COUNTIF($N$10:$N$44,"&gt;"&amp;N22)+1)</f>
        <v>2</v>
      </c>
    </row>
    <row r="23" customFormat="false" ht="15" hidden="false" customHeight="false" outlineLevel="0" collapsed="false">
      <c r="A23" s="8" t="str">
        <f aca="false">IF(Lists!$D$15="","",Lists!$D$15)</f>
        <v>Lambda Chi Alpha</v>
      </c>
      <c r="B23" s="25" t="n">
        <f aca="false">IF($G23="","",IF(COUNTIFS('Chapter Data'!$D$2:$D$2500,$A23,'Chapter Data'!$G$2:$G$2500,"&gt;0",'Chapter Data'!$B$2:$B$2500,"&gt;="&amp;$C$3,'Chapter Data'!$B$2:$B$2500,"&lt;="&amp;$C$4)=0,"",AVERAGEIFS('Chapter Data'!$G$2:$G$2500,'Chapter Data'!$D$2:$D$2500,$A23,'Chapter Data'!$G$2:$G$2500,"&gt;0",'Chapter Data'!$B$2:$B$2500,"&gt;="&amp;$C$3,'Chapter Data'!$B$2:$B$2500,"&lt;="&amp;$C$4)))</f>
        <v>3.1915</v>
      </c>
      <c r="C23" s="26" t="n">
        <f aca="false">IF($G23="","",IF(COUNTIFS('Chapter Data'!$D$2:$D$2500,$A23,'Chapter Data'!$E$2:$E$2500,"&gt;0",'Chapter Data'!$B$2:$B$2500,"&gt;="&amp;$C$3,'Chapter Data'!$B$2:$B$2500,"&lt;="&amp;$C$4)=0,"",AVERAGEIFS('Chapter Data'!$E$2:$E$2500,'Chapter Data'!$D$2:$D$2500,$A23,'Chapter Data'!$E$2:$E$2500,"&gt;0",'Chapter Data'!$B$2:$B$2500,"&gt;="&amp;$C$3,'Chapter Data'!$B$2:$B$2500,"&lt;="&amp;$C$4)))</f>
        <v>31.5</v>
      </c>
      <c r="D23" s="26" t="n">
        <f aca="false">IF($G23="","",IF(COUNTIFS('Chapter Data'!$D$2:$D$2500,$A23,'Chapter Data'!$F$2:$F$2500,"&gt;=0",'Chapter Data'!$B$2:$B$2500,"&gt;="&amp;$C$3,'Chapter Data'!$B$2:$B$2500,"&lt;="&amp;$C$4)=0,"",AVERAGEIFS('Chapter Data'!$F$2:$F$2500,'Chapter Data'!$D$2:$D$2500,$A23,'Chapter Data'!$F$2:$F$2500,"&gt;=0",'Chapter Data'!$B$2:$B$2500,"&gt;="&amp;$C$3,'Chapter Data'!$B$2:$B$2500,"&lt;="&amp;$C$4)))</f>
        <v>12</v>
      </c>
      <c r="E23" s="31" t="n">
        <f aca="false">IF(OR(C23="",D23=""),"",D23/C23)</f>
        <v>0.380952380952381</v>
      </c>
      <c r="F23" s="19" t="str">
        <f aca="false">IF($G23="","",IF(COUNTIFS('Chapter Data'!$D$2:$D$2500,$A23,'Chapter Data'!$A$2:$A$2500,$B$3,'Chapter Data'!$E$2:$E$2500,"&gt;0")=0,"",SUMIFS('Chapter Data'!$E$2:$E$2500,'Chapter Data'!$D$2:$D$2500,$A23,'Chapter Data'!$A$2:$A$2500,$B$3)))</f>
        <v/>
      </c>
      <c r="G23" s="19" t="n">
        <f aca="false">IF($A23="","",IF(COUNTIFS('Chapter Data'!$D$2:$D$2500,$A23,'Chapter Data'!$A$2:$A$2500,$B$4,'Chapter Data'!$E$2:$E$2500,"&gt;0")=0,"",SUMIFS('Chapter Data'!$E$2:$E$2500,'Chapter Data'!$D$2:$D$2500,$A23,'Chapter Data'!$A$2:$A$2500,$B$4)))</f>
        <v>37</v>
      </c>
      <c r="H23" s="32" t="str">
        <f aca="false">IF(OR(F23="",G23=""),"",G23/F23-1)</f>
        <v/>
      </c>
      <c r="I23" s="28" t="n">
        <f aca="false">IF($G23="","",IF(COUNTIFS('Chapter Data'!$D$2:$D$2500,$A23,'Chapter Data'!$K$2:$K$2500,"&gt;=0",'Chapter Data'!$B$2:$B$2500,"&gt;="&amp;$C$3,'Chapter Data'!$B$2:$B$2500,"&lt;="&amp;$C$4)=0,"",AVERAGEIFS('Chapter Data'!$K$2:$K$2500,'Chapter Data'!$D$2:$D$2500,$A23,'Chapter Data'!$K$2:$K$2500,"&gt;=0",'Chapter Data'!$B$2:$B$2500,"&gt;="&amp;$C$3,'Chapter Data'!$B$2:$B$2500,"&lt;="&amp;$C$4)))</f>
        <v>0.8925</v>
      </c>
      <c r="J23" s="28" t="n">
        <f aca="false">IF(B23="","",PERCENTRANK($B$10:$B$44,B23))</f>
        <v>0.273</v>
      </c>
      <c r="K23" s="28" t="n">
        <f aca="false">IF(D23="","",PERCENTRANK($D$10:$D$44,D23))</f>
        <v>0.409</v>
      </c>
      <c r="L23" s="28" t="n">
        <f aca="false">IF(E23="","",PERCENTRANK($E$10:$E$44,E23))</f>
        <v>0.955</v>
      </c>
      <c r="M23" s="28" t="str">
        <f aca="false">IF(H23="","",PERCENTRANK($H$10:$H$44,H23))</f>
        <v/>
      </c>
      <c r="N23" s="28" t="n">
        <f aca="false">IF(COUNT(K23:M23)=0,"",AVERAGE(K23:M23))</f>
        <v>0.682</v>
      </c>
      <c r="O23" s="28" t="n">
        <f aca="false">IF(OR(J23="",N23=""),"",$B$5*J23+$B$6*N23)</f>
        <v>0.4775</v>
      </c>
      <c r="P23" s="19" t="n">
        <f aca="false">IF(O23="","",COUNTIF($O$10:$O$44,"&gt;"&amp;O23)+1)</f>
        <v>14</v>
      </c>
      <c r="Q23" s="19" t="n">
        <f aca="false">IF(B23="","",COUNTIF($B$10:$B$44,"&gt;"&amp;B23)+1)</f>
        <v>17</v>
      </c>
      <c r="R23" s="19" t="n">
        <f aca="false">IF(N23="","",COUNTIF($N$10:$N$44,"&gt;"&amp;N23)+1)</f>
        <v>5</v>
      </c>
    </row>
    <row r="24" customFormat="false" ht="15" hidden="false" customHeight="false" outlineLevel="0" collapsed="false">
      <c r="A24" s="8" t="str">
        <f aca="false">IF(Lists!$D$16="","",Lists!$D$16)</f>
        <v>Phi Delta Theta</v>
      </c>
      <c r="B24" s="25" t="n">
        <f aca="false">IF($G24="","",IF(COUNTIFS('Chapter Data'!$D$2:$D$2500,$A24,'Chapter Data'!$G$2:$G$2500,"&gt;0",'Chapter Data'!$B$2:$B$2500,"&gt;="&amp;$C$3,'Chapter Data'!$B$2:$B$2500,"&lt;="&amp;$C$4)=0,"",AVERAGEIFS('Chapter Data'!$G$2:$G$2500,'Chapter Data'!$D$2:$D$2500,$A24,'Chapter Data'!$G$2:$G$2500,"&gt;0",'Chapter Data'!$B$2:$B$2500,"&gt;="&amp;$C$3,'Chapter Data'!$B$2:$B$2500,"&lt;="&amp;$C$4)))</f>
        <v>3.3224</v>
      </c>
      <c r="C24" s="26" t="n">
        <f aca="false">IF($G24="","",IF(COUNTIFS('Chapter Data'!$D$2:$D$2500,$A24,'Chapter Data'!$E$2:$E$2500,"&gt;0",'Chapter Data'!$B$2:$B$2500,"&gt;="&amp;$C$3,'Chapter Data'!$B$2:$B$2500,"&lt;="&amp;$C$4)=0,"",AVERAGEIFS('Chapter Data'!$E$2:$E$2500,'Chapter Data'!$D$2:$D$2500,$A24,'Chapter Data'!$E$2:$E$2500,"&gt;0",'Chapter Data'!$B$2:$B$2500,"&gt;="&amp;$C$3,'Chapter Data'!$B$2:$B$2500,"&lt;="&amp;$C$4)))</f>
        <v>139</v>
      </c>
      <c r="D24" s="26" t="n">
        <f aca="false">IF($G24="","",IF(COUNTIFS('Chapter Data'!$D$2:$D$2500,$A24,'Chapter Data'!$F$2:$F$2500,"&gt;=0",'Chapter Data'!$B$2:$B$2500,"&gt;="&amp;$C$3,'Chapter Data'!$B$2:$B$2500,"&lt;="&amp;$C$4)=0,"",AVERAGEIFS('Chapter Data'!$F$2:$F$2500,'Chapter Data'!$D$2:$D$2500,$A24,'Chapter Data'!$F$2:$F$2500,"&gt;=0",'Chapter Data'!$B$2:$B$2500,"&gt;="&amp;$C$3,'Chapter Data'!$B$2:$B$2500,"&lt;="&amp;$C$4)))</f>
        <v>19.4</v>
      </c>
      <c r="E24" s="31" t="n">
        <f aca="false">IF(OR(C24="",D24=""),"",D24/C24)</f>
        <v>0.139568345323741</v>
      </c>
      <c r="F24" s="19" t="n">
        <f aca="false">IF($G24="","",IF(COUNTIFS('Chapter Data'!$D$2:$D$2500,$A24,'Chapter Data'!$A$2:$A$2500,$B$3,'Chapter Data'!$E$2:$E$2500,"&gt;0")=0,"",SUMIFS('Chapter Data'!$E$2:$E$2500,'Chapter Data'!$D$2:$D$2500,$A24,'Chapter Data'!$A$2:$A$2500,$B$3)))</f>
        <v>133</v>
      </c>
      <c r="G24" s="19" t="n">
        <f aca="false">IF($A24="","",IF(COUNTIFS('Chapter Data'!$D$2:$D$2500,$A24,'Chapter Data'!$A$2:$A$2500,$B$4,'Chapter Data'!$E$2:$E$2500,"&gt;0")=0,"",SUMIFS('Chapter Data'!$E$2:$E$2500,'Chapter Data'!$D$2:$D$2500,$A24,'Chapter Data'!$A$2:$A$2500,$B$4)))</f>
        <v>127</v>
      </c>
      <c r="H24" s="32" t="n">
        <f aca="false">IF(OR(F24="",G24=""),"",G24/F24-1)</f>
        <v>-0.0451127819548872</v>
      </c>
      <c r="I24" s="28" t="n">
        <f aca="false">IF($G24="","",IF(COUNTIFS('Chapter Data'!$D$2:$D$2500,$A24,'Chapter Data'!$K$2:$K$2500,"&gt;=0",'Chapter Data'!$B$2:$B$2500,"&gt;="&amp;$C$3,'Chapter Data'!$B$2:$B$2500,"&lt;="&amp;$C$4)=0,"",AVERAGEIFS('Chapter Data'!$K$2:$K$2500,'Chapter Data'!$D$2:$D$2500,$A24,'Chapter Data'!$K$2:$K$2500,"&gt;=0",'Chapter Data'!$B$2:$B$2500,"&gt;="&amp;$C$3,'Chapter Data'!$B$2:$B$2500,"&lt;="&amp;$C$4)))</f>
        <v>0.785</v>
      </c>
      <c r="J24" s="28" t="n">
        <f aca="false">IF(B24="","",PERCENTRANK($B$10:$B$44,B24))</f>
        <v>0.545</v>
      </c>
      <c r="K24" s="28" t="n">
        <f aca="false">IF(D24="","",PERCENTRANK($D$10:$D$44,D24))</f>
        <v>0.955</v>
      </c>
      <c r="L24" s="28" t="n">
        <f aca="false">IF(E24="","",PERCENTRANK($E$10:$E$44,E24))</f>
        <v>0.364</v>
      </c>
      <c r="M24" s="28" t="n">
        <f aca="false">IF(H24="","",PERCENTRANK($H$10:$H$44,H24))</f>
        <v>0.25</v>
      </c>
      <c r="N24" s="28" t="n">
        <f aca="false">IF(COUNT(K24:M24)=0,"",AVERAGE(K24:M24))</f>
        <v>0.523</v>
      </c>
      <c r="O24" s="28" t="n">
        <f aca="false">IF(OR(J24="",N24=""),"",$B$5*J24+$B$6*N24)</f>
        <v>0.534</v>
      </c>
      <c r="P24" s="19" t="n">
        <f aca="false">IF(O24="","",COUNTIF($O$10:$O$44,"&gt;"&amp;O24)+1)</f>
        <v>11</v>
      </c>
      <c r="Q24" s="19" t="n">
        <f aca="false">IF(B24="","",COUNTIF($B$10:$B$44,"&gt;"&amp;B24)+1)</f>
        <v>11</v>
      </c>
      <c r="R24" s="19" t="n">
        <f aca="false">IF(N24="","",COUNTIF($N$10:$N$44,"&gt;"&amp;N24)+1)</f>
        <v>12</v>
      </c>
    </row>
    <row r="25" customFormat="false" ht="15" hidden="false" customHeight="false" outlineLevel="0" collapsed="false">
      <c r="A25" s="8" t="str">
        <f aca="false">IF(Lists!$D$17="","",Lists!$D$17)</f>
        <v>Phi Gamma Delta</v>
      </c>
      <c r="B25" s="25" t="n">
        <f aca="false">IF($G25="","",IF(COUNTIFS('Chapter Data'!$D$2:$D$2500,$A25,'Chapter Data'!$G$2:$G$2500,"&gt;0",'Chapter Data'!$B$2:$B$2500,"&gt;="&amp;$C$3,'Chapter Data'!$B$2:$B$2500,"&lt;="&amp;$C$4)=0,"",AVERAGEIFS('Chapter Data'!$G$2:$G$2500,'Chapter Data'!$D$2:$D$2500,$A25,'Chapter Data'!$G$2:$G$2500,"&gt;0",'Chapter Data'!$B$2:$B$2500,"&gt;="&amp;$C$3,'Chapter Data'!$B$2:$B$2500,"&lt;="&amp;$C$4)))</f>
        <v>3.305</v>
      </c>
      <c r="C25" s="26" t="n">
        <f aca="false">IF($G25="","",IF(COUNTIFS('Chapter Data'!$D$2:$D$2500,$A25,'Chapter Data'!$E$2:$E$2500,"&gt;0",'Chapter Data'!$B$2:$B$2500,"&gt;="&amp;$C$3,'Chapter Data'!$B$2:$B$2500,"&lt;="&amp;$C$4)=0,"",AVERAGEIFS('Chapter Data'!$E$2:$E$2500,'Chapter Data'!$D$2:$D$2500,$A25,'Chapter Data'!$E$2:$E$2500,"&gt;0",'Chapter Data'!$B$2:$B$2500,"&gt;="&amp;$C$3,'Chapter Data'!$B$2:$B$2500,"&lt;="&amp;$C$4)))</f>
        <v>14.5</v>
      </c>
      <c r="D25" s="26" t="n">
        <f aca="false">IF($G25="","",IF(COUNTIFS('Chapter Data'!$D$2:$D$2500,$A25,'Chapter Data'!$F$2:$F$2500,"&gt;=0",'Chapter Data'!$B$2:$B$2500,"&gt;="&amp;$C$3,'Chapter Data'!$B$2:$B$2500,"&lt;="&amp;$C$4)=0,"",AVERAGEIFS('Chapter Data'!$F$2:$F$2500,'Chapter Data'!$D$2:$D$2500,$A25,'Chapter Data'!$F$2:$F$2500,"&gt;=0",'Chapter Data'!$B$2:$B$2500,"&gt;="&amp;$C$3,'Chapter Data'!$B$2:$B$2500,"&lt;="&amp;$C$4)))</f>
        <v>8.5</v>
      </c>
      <c r="E25" s="31" t="n">
        <f aca="false">IF(OR(C25="",D25=""),"",D25/C25)</f>
        <v>0.586206896551724</v>
      </c>
      <c r="F25" s="19" t="str">
        <f aca="false">IF($G25="","",IF(COUNTIFS('Chapter Data'!$D$2:$D$2500,$A25,'Chapter Data'!$A$2:$A$2500,$B$3,'Chapter Data'!$E$2:$E$2500,"&gt;0")=0,"",SUMIFS('Chapter Data'!$E$2:$E$2500,'Chapter Data'!$D$2:$D$2500,$A25,'Chapter Data'!$A$2:$A$2500,$B$3)))</f>
        <v/>
      </c>
      <c r="G25" s="19" t="n">
        <f aca="false">IF($A25="","",IF(COUNTIFS('Chapter Data'!$D$2:$D$2500,$A25,'Chapter Data'!$A$2:$A$2500,$B$4,'Chapter Data'!$E$2:$E$2500,"&gt;0")=0,"",SUMIFS('Chapter Data'!$E$2:$E$2500,'Chapter Data'!$D$2:$D$2500,$A25,'Chapter Data'!$A$2:$A$2500,$B$4)))</f>
        <v>14</v>
      </c>
      <c r="H25" s="32" t="str">
        <f aca="false">IF(OR(F25="",G25=""),"",G25/F25-1)</f>
        <v/>
      </c>
      <c r="I25" s="28" t="n">
        <f aca="false">IF($G25="","",IF(COUNTIFS('Chapter Data'!$D$2:$D$2500,$A25,'Chapter Data'!$K$2:$K$2500,"&gt;=0",'Chapter Data'!$B$2:$B$2500,"&gt;="&amp;$C$3,'Chapter Data'!$B$2:$B$2500,"&lt;="&amp;$C$4)=0,"",AVERAGEIFS('Chapter Data'!$K$2:$K$2500,'Chapter Data'!$D$2:$D$2500,$A25,'Chapter Data'!$K$2:$K$2500,"&gt;=0",'Chapter Data'!$B$2:$B$2500,"&gt;="&amp;$C$3,'Chapter Data'!$B$2:$B$2500,"&lt;="&amp;$C$4)))</f>
        <v>0.805</v>
      </c>
      <c r="J25" s="28" t="n">
        <f aca="false">IF(B25="","",PERCENTRANK($B$10:$B$44,B25))</f>
        <v>0.455</v>
      </c>
      <c r="K25" s="28" t="n">
        <f aca="false">IF(D25="","",PERCENTRANK($D$10:$D$44,D25))</f>
        <v>0.318</v>
      </c>
      <c r="L25" s="28" t="n">
        <f aca="false">IF(E25="","",PERCENTRANK($E$10:$E$44,E25))</f>
        <v>1</v>
      </c>
      <c r="M25" s="28" t="str">
        <f aca="false">IF(H25="","",PERCENTRANK($H$10:$H$44,H25))</f>
        <v/>
      </c>
      <c r="N25" s="28" t="n">
        <f aca="false">IF(COUNT(K25:M25)=0,"",AVERAGE(K25:M25))</f>
        <v>0.659</v>
      </c>
      <c r="O25" s="28" t="n">
        <f aca="false">IF(OR(J25="",N25=""),"",$B$5*J25+$B$6*N25)</f>
        <v>0.557</v>
      </c>
      <c r="P25" s="19" t="n">
        <f aca="false">IF(O25="","",COUNTIF($O$10:$O$44,"&gt;"&amp;O25)+1)</f>
        <v>10</v>
      </c>
      <c r="Q25" s="19" t="n">
        <f aca="false">IF(B25="","",COUNTIF($B$10:$B$44,"&gt;"&amp;B25)+1)</f>
        <v>13</v>
      </c>
      <c r="R25" s="19" t="n">
        <f aca="false">IF(N25="","",COUNTIF($N$10:$N$44,"&gt;"&amp;N25)+1)</f>
        <v>6</v>
      </c>
    </row>
    <row r="26" customFormat="false" ht="15" hidden="false" customHeight="false" outlineLevel="0" collapsed="false">
      <c r="A26" s="8" t="str">
        <f aca="false">IF(Lists!$D$18="","",Lists!$D$18)</f>
        <v>Phi Kappa Psi</v>
      </c>
      <c r="B26" s="25" t="n">
        <f aca="false">IF($G26="","",IF(COUNTIFS('Chapter Data'!$D$2:$D$2500,$A26,'Chapter Data'!$G$2:$G$2500,"&gt;0",'Chapter Data'!$B$2:$B$2500,"&gt;="&amp;$C$3,'Chapter Data'!$B$2:$B$2500,"&lt;="&amp;$C$4)=0,"",AVERAGEIFS('Chapter Data'!$G$2:$G$2500,'Chapter Data'!$D$2:$D$2500,$A26,'Chapter Data'!$G$2:$G$2500,"&gt;0",'Chapter Data'!$B$2:$B$2500,"&gt;="&amp;$C$3,'Chapter Data'!$B$2:$B$2500,"&lt;="&amp;$C$4)))</f>
        <v>3.0272</v>
      </c>
      <c r="C26" s="26" t="n">
        <f aca="false">IF($G26="","",IF(COUNTIFS('Chapter Data'!$D$2:$D$2500,$A26,'Chapter Data'!$E$2:$E$2500,"&gt;0",'Chapter Data'!$B$2:$B$2500,"&gt;="&amp;$C$3,'Chapter Data'!$B$2:$B$2500,"&lt;="&amp;$C$4)=0,"",AVERAGEIFS('Chapter Data'!$E$2:$E$2500,'Chapter Data'!$D$2:$D$2500,$A26,'Chapter Data'!$E$2:$E$2500,"&gt;0",'Chapter Data'!$B$2:$B$2500,"&gt;="&amp;$C$3,'Chapter Data'!$B$2:$B$2500,"&lt;="&amp;$C$4)))</f>
        <v>41.6</v>
      </c>
      <c r="D26" s="26" t="n">
        <f aca="false">IF($G26="","",IF(COUNTIFS('Chapter Data'!$D$2:$D$2500,$A26,'Chapter Data'!$F$2:$F$2500,"&gt;=0",'Chapter Data'!$B$2:$B$2500,"&gt;="&amp;$C$3,'Chapter Data'!$B$2:$B$2500,"&lt;="&amp;$C$4)=0,"",AVERAGEIFS('Chapter Data'!$F$2:$F$2500,'Chapter Data'!$D$2:$D$2500,$A26,'Chapter Data'!$F$2:$F$2500,"&gt;=0",'Chapter Data'!$B$2:$B$2500,"&gt;="&amp;$C$3,'Chapter Data'!$B$2:$B$2500,"&lt;="&amp;$C$4)))</f>
        <v>5.2</v>
      </c>
      <c r="E26" s="31" t="n">
        <f aca="false">IF(OR(C26="",D26=""),"",D26/C26)</f>
        <v>0.125</v>
      </c>
      <c r="F26" s="19" t="n">
        <f aca="false">IF($G26="","",IF(COUNTIFS('Chapter Data'!$D$2:$D$2500,$A26,'Chapter Data'!$A$2:$A$2500,$B$3,'Chapter Data'!$E$2:$E$2500,"&gt;0")=0,"",SUMIFS('Chapter Data'!$E$2:$E$2500,'Chapter Data'!$D$2:$D$2500,$A26,'Chapter Data'!$A$2:$A$2500,$B$3)))</f>
        <v>39</v>
      </c>
      <c r="G26" s="19" t="n">
        <f aca="false">IF($A26="","",IF(COUNTIFS('Chapter Data'!$D$2:$D$2500,$A26,'Chapter Data'!$A$2:$A$2500,$B$4,'Chapter Data'!$E$2:$E$2500,"&gt;0")=0,"",SUMIFS('Chapter Data'!$E$2:$E$2500,'Chapter Data'!$D$2:$D$2500,$A26,'Chapter Data'!$A$2:$A$2500,$B$4)))</f>
        <v>39</v>
      </c>
      <c r="H26" s="32" t="n">
        <f aca="false">IF(OR(F26="",G26=""),"",G26/F26-1)</f>
        <v>0</v>
      </c>
      <c r="I26" s="28" t="n">
        <f aca="false">IF($G26="","",IF(COUNTIFS('Chapter Data'!$D$2:$D$2500,$A26,'Chapter Data'!$K$2:$K$2500,"&gt;=0",'Chapter Data'!$B$2:$B$2500,"&gt;="&amp;$C$3,'Chapter Data'!$B$2:$B$2500,"&lt;="&amp;$C$4)=0,"",AVERAGEIFS('Chapter Data'!$K$2:$K$2500,'Chapter Data'!$D$2:$D$2500,$A26,'Chapter Data'!$K$2:$K$2500,"&gt;=0",'Chapter Data'!$B$2:$B$2500,"&gt;="&amp;$C$3,'Chapter Data'!$B$2:$B$2500,"&lt;="&amp;$C$4)))</f>
        <v>0.77</v>
      </c>
      <c r="J26" s="28" t="n">
        <f aca="false">IF(B26="","",PERCENTRANK($B$10:$B$44,B26))</f>
        <v>0.182</v>
      </c>
      <c r="K26" s="28" t="n">
        <f aca="false">IF(D26="","",PERCENTRANK($D$10:$D$44,D26))</f>
        <v>0.182</v>
      </c>
      <c r="L26" s="28" t="n">
        <f aca="false">IF(E26="","",PERCENTRANK($E$10:$E$44,E26))</f>
        <v>0.136</v>
      </c>
      <c r="M26" s="28" t="n">
        <f aca="false">IF(H26="","",PERCENTRANK($H$10:$H$44,H26))</f>
        <v>0.35</v>
      </c>
      <c r="N26" s="28" t="n">
        <f aca="false">IF(COUNT(K26:M26)=0,"",AVERAGE(K26:M26))</f>
        <v>0.222666666666667</v>
      </c>
      <c r="O26" s="28" t="n">
        <f aca="false">IF(OR(J26="",N26=""),"",$B$5*J26+$B$6*N26)</f>
        <v>0.202333333333333</v>
      </c>
      <c r="P26" s="19" t="n">
        <f aca="false">IF(O26="","",COUNTIF($O$10:$O$44,"&gt;"&amp;O26)+1)</f>
        <v>23</v>
      </c>
      <c r="Q26" s="19" t="n">
        <f aca="false">IF(B26="","",COUNTIF($B$10:$B$44,"&gt;"&amp;B26)+1)</f>
        <v>19</v>
      </c>
      <c r="R26" s="19" t="n">
        <f aca="false">IF(N26="","",COUNTIF($N$10:$N$44,"&gt;"&amp;N26)+1)</f>
        <v>21</v>
      </c>
    </row>
    <row r="27" customFormat="false" ht="15" hidden="false" customHeight="false" outlineLevel="0" collapsed="false">
      <c r="A27" s="8" t="str">
        <f aca="false">IF(Lists!$D$19="","",Lists!$D$19)</f>
        <v>Phi Kappa Theta</v>
      </c>
      <c r="B27" s="25" t="n">
        <f aca="false">IF($G27="","",IF(COUNTIFS('Chapter Data'!$D$2:$D$2500,$A27,'Chapter Data'!$G$2:$G$2500,"&gt;0",'Chapter Data'!$B$2:$B$2500,"&gt;="&amp;$C$3,'Chapter Data'!$B$2:$B$2500,"&lt;="&amp;$C$4)=0,"",AVERAGEIFS('Chapter Data'!$G$2:$G$2500,'Chapter Data'!$D$2:$D$2500,$A27,'Chapter Data'!$G$2:$G$2500,"&gt;0",'Chapter Data'!$B$2:$B$2500,"&gt;="&amp;$C$3,'Chapter Data'!$B$2:$B$2500,"&lt;="&amp;$C$4)))</f>
        <v>3.4032</v>
      </c>
      <c r="C27" s="26" t="n">
        <f aca="false">IF($G27="","",IF(COUNTIFS('Chapter Data'!$D$2:$D$2500,$A27,'Chapter Data'!$E$2:$E$2500,"&gt;0",'Chapter Data'!$B$2:$B$2500,"&gt;="&amp;$C$3,'Chapter Data'!$B$2:$B$2500,"&lt;="&amp;$C$4)=0,"",AVERAGEIFS('Chapter Data'!$E$2:$E$2500,'Chapter Data'!$D$2:$D$2500,$A27,'Chapter Data'!$E$2:$E$2500,"&gt;0",'Chapter Data'!$B$2:$B$2500,"&gt;="&amp;$C$3,'Chapter Data'!$B$2:$B$2500,"&lt;="&amp;$C$4)))</f>
        <v>89.8</v>
      </c>
      <c r="D27" s="26" t="n">
        <f aca="false">IF($G27="","",IF(COUNTIFS('Chapter Data'!$D$2:$D$2500,$A27,'Chapter Data'!$F$2:$F$2500,"&gt;=0",'Chapter Data'!$B$2:$B$2500,"&gt;="&amp;$C$3,'Chapter Data'!$B$2:$B$2500,"&lt;="&amp;$C$4)=0,"",AVERAGEIFS('Chapter Data'!$F$2:$F$2500,'Chapter Data'!$D$2:$D$2500,$A27,'Chapter Data'!$F$2:$F$2500,"&gt;=0",'Chapter Data'!$B$2:$B$2500,"&gt;="&amp;$C$3,'Chapter Data'!$B$2:$B$2500,"&lt;="&amp;$C$4)))</f>
        <v>16.4</v>
      </c>
      <c r="E27" s="31" t="n">
        <f aca="false">IF(OR(C27="",D27=""),"",D27/C27)</f>
        <v>0.182628062360802</v>
      </c>
      <c r="F27" s="19" t="n">
        <f aca="false">IF($G27="","",IF(COUNTIFS('Chapter Data'!$D$2:$D$2500,$A27,'Chapter Data'!$A$2:$A$2500,$B$3,'Chapter Data'!$E$2:$E$2500,"&gt;0")=0,"",SUMIFS('Chapter Data'!$E$2:$E$2500,'Chapter Data'!$D$2:$D$2500,$A27,'Chapter Data'!$A$2:$A$2500,$B$3)))</f>
        <v>80</v>
      </c>
      <c r="G27" s="19" t="n">
        <f aca="false">IF($A27="","",IF(COUNTIFS('Chapter Data'!$D$2:$D$2500,$A27,'Chapter Data'!$A$2:$A$2500,$B$4,'Chapter Data'!$E$2:$E$2500,"&gt;0")=0,"",SUMIFS('Chapter Data'!$E$2:$E$2500,'Chapter Data'!$D$2:$D$2500,$A27,'Chapter Data'!$A$2:$A$2500,$B$4)))</f>
        <v>95</v>
      </c>
      <c r="H27" s="32" t="n">
        <f aca="false">IF(OR(F27="",G27=""),"",G27/F27-1)</f>
        <v>0.1875</v>
      </c>
      <c r="I27" s="28" t="n">
        <f aca="false">IF($G27="","",IF(COUNTIFS('Chapter Data'!$D$2:$D$2500,$A27,'Chapter Data'!$K$2:$K$2500,"&gt;=0",'Chapter Data'!$B$2:$B$2500,"&gt;="&amp;$C$3,'Chapter Data'!$B$2:$B$2500,"&lt;="&amp;$C$4)=0,"",AVERAGEIFS('Chapter Data'!$K$2:$K$2500,'Chapter Data'!$D$2:$D$2500,$A27,'Chapter Data'!$K$2:$K$2500,"&gt;=0",'Chapter Data'!$B$2:$B$2500,"&gt;="&amp;$C$3,'Chapter Data'!$B$2:$B$2500,"&lt;="&amp;$C$4)))</f>
        <v>0.8175</v>
      </c>
      <c r="J27" s="28" t="n">
        <f aca="false">IF(B27="","",PERCENTRANK($B$10:$B$44,B27))</f>
        <v>0.818</v>
      </c>
      <c r="K27" s="28" t="n">
        <f aca="false">IF(D27="","",PERCENTRANK($D$10:$D$44,D27))</f>
        <v>0.727</v>
      </c>
      <c r="L27" s="28" t="n">
        <f aca="false">IF(E27="","",PERCENTRANK($E$10:$E$44,E27))</f>
        <v>0.773</v>
      </c>
      <c r="M27" s="28" t="n">
        <f aca="false">IF(H27="","",PERCENTRANK($H$10:$H$44,H27))</f>
        <v>0.75</v>
      </c>
      <c r="N27" s="28" t="n">
        <f aca="false">IF(COUNT(K27:M27)=0,"",AVERAGE(K27:M27))</f>
        <v>0.75</v>
      </c>
      <c r="O27" s="28" t="n">
        <f aca="false">IF(OR(J27="",N27=""),"",$B$5*J27+$B$6*N27)</f>
        <v>0.784</v>
      </c>
      <c r="P27" s="19" t="n">
        <f aca="false">IF(O27="","",COUNTIF($O$10:$O$44,"&gt;"&amp;O27)+1)</f>
        <v>2</v>
      </c>
      <c r="Q27" s="19" t="n">
        <f aca="false">IF(B27="","",COUNTIF($B$10:$B$44,"&gt;"&amp;B27)+1)</f>
        <v>5</v>
      </c>
      <c r="R27" s="19" t="n">
        <f aca="false">IF(N27="","",COUNTIF($N$10:$N$44,"&gt;"&amp;N27)+1)</f>
        <v>3</v>
      </c>
    </row>
    <row r="28" customFormat="false" ht="15" hidden="false" customHeight="false" outlineLevel="0" collapsed="false">
      <c r="A28" s="8" t="str">
        <f aca="false">IF(Lists!$D$20="","",Lists!$D$20)</f>
        <v>Pi Kappa Alpha</v>
      </c>
      <c r="B28" s="25" t="n">
        <f aca="false">IF($G28="","",IF(COUNTIFS('Chapter Data'!$D$2:$D$2500,$A28,'Chapter Data'!$G$2:$G$2500,"&gt;0",'Chapter Data'!$B$2:$B$2500,"&gt;="&amp;$C$3,'Chapter Data'!$B$2:$B$2500,"&lt;="&amp;$C$4)=0,"",AVERAGEIFS('Chapter Data'!$G$2:$G$2500,'Chapter Data'!$D$2:$D$2500,$A28,'Chapter Data'!$G$2:$G$2500,"&gt;0",'Chapter Data'!$B$2:$B$2500,"&gt;="&amp;$C$3,'Chapter Data'!$B$2:$B$2500,"&lt;="&amp;$C$4)))</f>
        <v>3.5398</v>
      </c>
      <c r="C28" s="26" t="n">
        <f aca="false">IF($G28="","",IF(COUNTIFS('Chapter Data'!$D$2:$D$2500,$A28,'Chapter Data'!$E$2:$E$2500,"&gt;0",'Chapter Data'!$B$2:$B$2500,"&gt;="&amp;$C$3,'Chapter Data'!$B$2:$B$2500,"&lt;="&amp;$C$4)=0,"",AVERAGEIFS('Chapter Data'!$E$2:$E$2500,'Chapter Data'!$D$2:$D$2500,$A28,'Chapter Data'!$E$2:$E$2500,"&gt;0",'Chapter Data'!$B$2:$B$2500,"&gt;="&amp;$C$3,'Chapter Data'!$B$2:$B$2500,"&lt;="&amp;$C$4)))</f>
        <v>148.6</v>
      </c>
      <c r="D28" s="26" t="n">
        <f aca="false">IF($G28="","",IF(COUNTIFS('Chapter Data'!$D$2:$D$2500,$A28,'Chapter Data'!$F$2:$F$2500,"&gt;=0",'Chapter Data'!$B$2:$B$2500,"&gt;="&amp;$C$3,'Chapter Data'!$B$2:$B$2500,"&lt;="&amp;$C$4)=0,"",AVERAGEIFS('Chapter Data'!$F$2:$F$2500,'Chapter Data'!$D$2:$D$2500,$A28,'Chapter Data'!$F$2:$F$2500,"&gt;=0",'Chapter Data'!$B$2:$B$2500,"&gt;="&amp;$C$3,'Chapter Data'!$B$2:$B$2500,"&lt;="&amp;$C$4)))</f>
        <v>23</v>
      </c>
      <c r="E28" s="31" t="n">
        <f aca="false">IF(OR(C28="",D28=""),"",D28/C28)</f>
        <v>0.154777927321669</v>
      </c>
      <c r="F28" s="19" t="n">
        <f aca="false">IF($G28="","",IF(COUNTIFS('Chapter Data'!$D$2:$D$2500,$A28,'Chapter Data'!$A$2:$A$2500,$B$3,'Chapter Data'!$E$2:$E$2500,"&gt;0")=0,"",SUMIFS('Chapter Data'!$E$2:$E$2500,'Chapter Data'!$D$2:$D$2500,$A28,'Chapter Data'!$A$2:$A$2500,$B$3)))</f>
        <v>140</v>
      </c>
      <c r="G28" s="19" t="n">
        <f aca="false">IF($A28="","",IF(COUNTIFS('Chapter Data'!$D$2:$D$2500,$A28,'Chapter Data'!$A$2:$A$2500,$B$4,'Chapter Data'!$E$2:$E$2500,"&gt;0")=0,"",SUMIFS('Chapter Data'!$E$2:$E$2500,'Chapter Data'!$D$2:$D$2500,$A28,'Chapter Data'!$A$2:$A$2500,$B$4)))</f>
        <v>165</v>
      </c>
      <c r="H28" s="32" t="n">
        <f aca="false">IF(OR(F28="",G28=""),"",G28/F28-1)</f>
        <v>0.178571428571429</v>
      </c>
      <c r="I28" s="28" t="n">
        <f aca="false">IF($G28="","",IF(COUNTIFS('Chapter Data'!$D$2:$D$2500,$A28,'Chapter Data'!$K$2:$K$2500,"&gt;=0",'Chapter Data'!$B$2:$B$2500,"&gt;="&amp;$C$3,'Chapter Data'!$B$2:$B$2500,"&lt;="&amp;$C$4)=0,"",AVERAGEIFS('Chapter Data'!$K$2:$K$2500,'Chapter Data'!$D$2:$D$2500,$A28,'Chapter Data'!$K$2:$K$2500,"&gt;=0",'Chapter Data'!$B$2:$B$2500,"&gt;="&amp;$C$3,'Chapter Data'!$B$2:$B$2500,"&lt;="&amp;$C$4)))</f>
        <v>0.8175</v>
      </c>
      <c r="J28" s="28" t="n">
        <f aca="false">IF(B28="","",PERCENTRANK($B$10:$B$44,B28))</f>
        <v>0.864</v>
      </c>
      <c r="K28" s="28" t="n">
        <f aca="false">IF(D28="","",PERCENTRANK($D$10:$D$44,D28))</f>
        <v>1</v>
      </c>
      <c r="L28" s="28" t="n">
        <f aca="false">IF(E28="","",PERCENTRANK($E$10:$E$44,E28))</f>
        <v>0.545</v>
      </c>
      <c r="M28" s="28" t="n">
        <f aca="false">IF(H28="","",PERCENTRANK($H$10:$H$44,H28))</f>
        <v>0.65</v>
      </c>
      <c r="N28" s="28" t="n">
        <f aca="false">IF(COUNT(K28:M28)=0,"",AVERAGE(K28:M28))</f>
        <v>0.731666666666667</v>
      </c>
      <c r="O28" s="28" t="n">
        <f aca="false">IF(OR(J28="",N28=""),"",$B$5*J28+$B$6*N28)</f>
        <v>0.797833333333333</v>
      </c>
      <c r="P28" s="19" t="n">
        <f aca="false">IF(O28="","",COUNTIF($O$10:$O$44,"&gt;"&amp;O28)+1)</f>
        <v>1</v>
      </c>
      <c r="Q28" s="19" t="n">
        <f aca="false">IF(B28="","",COUNTIF($B$10:$B$44,"&gt;"&amp;B28)+1)</f>
        <v>4</v>
      </c>
      <c r="R28" s="19" t="n">
        <f aca="false">IF(N28="","",COUNTIF($N$10:$N$44,"&gt;"&amp;N28)+1)</f>
        <v>4</v>
      </c>
    </row>
    <row r="29" customFormat="false" ht="15" hidden="false" customHeight="false" outlineLevel="0" collapsed="false">
      <c r="A29" s="8" t="str">
        <f aca="false">IF(Lists!$D$21="","",Lists!$D$21)</f>
        <v>Pi Kappa Phi</v>
      </c>
      <c r="B29" s="25" t="str">
        <f aca="false">IF($G29="","",IF(COUNTIFS('Chapter Data'!$D$2:$D$2500,$A29,'Chapter Data'!$G$2:$G$2500,"&gt;0",'Chapter Data'!$B$2:$B$2500,"&gt;="&amp;$C$3,'Chapter Data'!$B$2:$B$2500,"&lt;="&amp;$C$4)=0,"",AVERAGEIFS('Chapter Data'!$G$2:$G$2500,'Chapter Data'!$D$2:$D$2500,$A29,'Chapter Data'!$G$2:$G$2500,"&gt;0",'Chapter Data'!$B$2:$B$2500,"&gt;="&amp;$C$3,'Chapter Data'!$B$2:$B$2500,"&lt;="&amp;$C$4)))</f>
        <v/>
      </c>
      <c r="C29" s="26" t="str">
        <f aca="false">IF($G29="","",IF(COUNTIFS('Chapter Data'!$D$2:$D$2500,$A29,'Chapter Data'!$E$2:$E$2500,"&gt;0",'Chapter Data'!$B$2:$B$2500,"&gt;="&amp;$C$3,'Chapter Data'!$B$2:$B$2500,"&lt;="&amp;$C$4)=0,"",AVERAGEIFS('Chapter Data'!$E$2:$E$2500,'Chapter Data'!$D$2:$D$2500,$A29,'Chapter Data'!$E$2:$E$2500,"&gt;0",'Chapter Data'!$B$2:$B$2500,"&gt;="&amp;$C$3,'Chapter Data'!$B$2:$B$2500,"&lt;="&amp;$C$4)))</f>
        <v/>
      </c>
      <c r="D29" s="26" t="str">
        <f aca="false">IF($G29="","",IF(COUNTIFS('Chapter Data'!$D$2:$D$2500,$A29,'Chapter Data'!$F$2:$F$2500,"&gt;=0",'Chapter Data'!$B$2:$B$2500,"&gt;="&amp;$C$3,'Chapter Data'!$B$2:$B$2500,"&lt;="&amp;$C$4)=0,"",AVERAGEIFS('Chapter Data'!$F$2:$F$2500,'Chapter Data'!$D$2:$D$2500,$A29,'Chapter Data'!$F$2:$F$2500,"&gt;=0",'Chapter Data'!$B$2:$B$2500,"&gt;="&amp;$C$3,'Chapter Data'!$B$2:$B$2500,"&lt;="&amp;$C$4)))</f>
        <v/>
      </c>
      <c r="E29" s="31" t="str">
        <f aca="false">IF(OR(C29="",D29=""),"",D29/C29)</f>
        <v/>
      </c>
      <c r="F29" s="19" t="str">
        <f aca="false">IF($G29="","",IF(COUNTIFS('Chapter Data'!$D$2:$D$2500,$A29,'Chapter Data'!$A$2:$A$2500,$B$3,'Chapter Data'!$E$2:$E$2500,"&gt;0")=0,"",SUMIFS('Chapter Data'!$E$2:$E$2500,'Chapter Data'!$D$2:$D$2500,$A29,'Chapter Data'!$A$2:$A$2500,$B$3)))</f>
        <v/>
      </c>
      <c r="G29" s="19" t="str">
        <f aca="false">IF($A29="","",IF(COUNTIFS('Chapter Data'!$D$2:$D$2500,$A29,'Chapter Data'!$A$2:$A$2500,$B$4,'Chapter Data'!$E$2:$E$2500,"&gt;0")=0,"",SUMIFS('Chapter Data'!$E$2:$E$2500,'Chapter Data'!$D$2:$D$2500,$A29,'Chapter Data'!$A$2:$A$2500,$B$4)))</f>
        <v/>
      </c>
      <c r="H29" s="32" t="str">
        <f aca="false">IF(OR(F29="",G29=""),"",G29/F29-1)</f>
        <v/>
      </c>
      <c r="I29" s="28" t="str">
        <f aca="false">IF($G29="","",IF(COUNTIFS('Chapter Data'!$D$2:$D$2500,$A29,'Chapter Data'!$K$2:$K$2500,"&gt;=0",'Chapter Data'!$B$2:$B$2500,"&gt;="&amp;$C$3,'Chapter Data'!$B$2:$B$2500,"&lt;="&amp;$C$4)=0,"",AVERAGEIFS('Chapter Data'!$K$2:$K$2500,'Chapter Data'!$D$2:$D$2500,$A29,'Chapter Data'!$K$2:$K$2500,"&gt;=0",'Chapter Data'!$B$2:$B$2500,"&gt;="&amp;$C$3,'Chapter Data'!$B$2:$B$2500,"&lt;="&amp;$C$4)))</f>
        <v/>
      </c>
      <c r="J29" s="28" t="str">
        <f aca="false">IF(B29="","",PERCENTRANK($B$10:$B$44,B29))</f>
        <v/>
      </c>
      <c r="K29" s="28" t="str">
        <f aca="false">IF(D29="","",PERCENTRANK($D$10:$D$44,D29))</f>
        <v/>
      </c>
      <c r="L29" s="28" t="str">
        <f aca="false">IF(E29="","",PERCENTRANK($E$10:$E$44,E29))</f>
        <v/>
      </c>
      <c r="M29" s="28" t="str">
        <f aca="false">IF(H29="","",PERCENTRANK($H$10:$H$44,H29))</f>
        <v/>
      </c>
      <c r="N29" s="28" t="str">
        <f aca="false">IF(COUNT(K29:M29)=0,"",AVERAGE(K29:M29))</f>
        <v/>
      </c>
      <c r="O29" s="28" t="str">
        <f aca="false">IF(OR(J29="",N29=""),"",$B$5*J29+$B$6*N29)</f>
        <v/>
      </c>
      <c r="P29" s="19" t="str">
        <f aca="false">IF(O29="","",COUNTIF($O$10:$O$44,"&gt;"&amp;O29)+1)</f>
        <v/>
      </c>
      <c r="Q29" s="19" t="str">
        <f aca="false">IF(B29="","",COUNTIF($B$10:$B$44,"&gt;"&amp;B29)+1)</f>
        <v/>
      </c>
      <c r="R29" s="19" t="str">
        <f aca="false">IF(N29="","",COUNTIF($N$10:$N$44,"&gt;"&amp;N29)+1)</f>
        <v/>
      </c>
    </row>
    <row r="30" customFormat="false" ht="15" hidden="false" customHeight="false" outlineLevel="0" collapsed="false">
      <c r="A30" s="8" t="str">
        <f aca="false">IF(Lists!$D$22="","",Lists!$D$22)</f>
        <v>Sigma Alpha Epsilon</v>
      </c>
      <c r="B30" s="25" t="n">
        <f aca="false">IF($G30="","",IF(COUNTIFS('Chapter Data'!$D$2:$D$2500,$A30,'Chapter Data'!$G$2:$G$2500,"&gt;0",'Chapter Data'!$B$2:$B$2500,"&gt;="&amp;$C$3,'Chapter Data'!$B$2:$B$2500,"&lt;="&amp;$C$4)=0,"",AVERAGEIFS('Chapter Data'!$G$2:$G$2500,'Chapter Data'!$D$2:$D$2500,$A30,'Chapter Data'!$G$2:$G$2500,"&gt;0",'Chapter Data'!$B$2:$B$2500,"&gt;="&amp;$C$3,'Chapter Data'!$B$2:$B$2500,"&lt;="&amp;$C$4)))</f>
        <v>3.3282</v>
      </c>
      <c r="C30" s="26" t="n">
        <f aca="false">IF($G30="","",IF(COUNTIFS('Chapter Data'!$D$2:$D$2500,$A30,'Chapter Data'!$E$2:$E$2500,"&gt;0",'Chapter Data'!$B$2:$B$2500,"&gt;="&amp;$C$3,'Chapter Data'!$B$2:$B$2500,"&lt;="&amp;$C$4)=0,"",AVERAGEIFS('Chapter Data'!$E$2:$E$2500,'Chapter Data'!$D$2:$D$2500,$A30,'Chapter Data'!$E$2:$E$2500,"&gt;0",'Chapter Data'!$B$2:$B$2500,"&gt;="&amp;$C$3,'Chapter Data'!$B$2:$B$2500,"&lt;="&amp;$C$4)))</f>
        <v>134.8</v>
      </c>
      <c r="D30" s="26" t="n">
        <f aca="false">IF($G30="","",IF(COUNTIFS('Chapter Data'!$D$2:$D$2500,$A30,'Chapter Data'!$F$2:$F$2500,"&gt;=0",'Chapter Data'!$B$2:$B$2500,"&gt;="&amp;$C$3,'Chapter Data'!$B$2:$B$2500,"&lt;="&amp;$C$4)=0,"",AVERAGEIFS('Chapter Data'!$F$2:$F$2500,'Chapter Data'!$D$2:$D$2500,$A30,'Chapter Data'!$F$2:$F$2500,"&gt;=0",'Chapter Data'!$B$2:$B$2500,"&gt;="&amp;$C$3,'Chapter Data'!$B$2:$B$2500,"&lt;="&amp;$C$4)))</f>
        <v>17.2</v>
      </c>
      <c r="E30" s="31" t="n">
        <f aca="false">IF(OR(C30="",D30=""),"",D30/C30)</f>
        <v>0.127596439169139</v>
      </c>
      <c r="F30" s="19" t="n">
        <f aca="false">IF($G30="","",IF(COUNTIFS('Chapter Data'!$D$2:$D$2500,$A30,'Chapter Data'!$A$2:$A$2500,$B$3,'Chapter Data'!$E$2:$E$2500,"&gt;0")=0,"",SUMIFS('Chapter Data'!$E$2:$E$2500,'Chapter Data'!$D$2:$D$2500,$A30,'Chapter Data'!$A$2:$A$2500,$B$3)))</f>
        <v>124</v>
      </c>
      <c r="G30" s="19" t="n">
        <f aca="false">IF($A30="","",IF(COUNTIFS('Chapter Data'!$D$2:$D$2500,$A30,'Chapter Data'!$A$2:$A$2500,$B$4,'Chapter Data'!$E$2:$E$2500,"&gt;0")=0,"",SUMIFS('Chapter Data'!$E$2:$E$2500,'Chapter Data'!$D$2:$D$2500,$A30,'Chapter Data'!$A$2:$A$2500,$B$4)))</f>
        <v>142</v>
      </c>
      <c r="H30" s="32" t="n">
        <f aca="false">IF(OR(F30="",G30=""),"",G30/F30-1)</f>
        <v>0.145161290322581</v>
      </c>
      <c r="I30" s="28" t="n">
        <f aca="false">IF($G30="","",IF(COUNTIFS('Chapter Data'!$D$2:$D$2500,$A30,'Chapter Data'!$K$2:$K$2500,"&gt;=0",'Chapter Data'!$B$2:$B$2500,"&gt;="&amp;$C$3,'Chapter Data'!$B$2:$B$2500,"&lt;="&amp;$C$4)=0,"",AVERAGEIFS('Chapter Data'!$K$2:$K$2500,'Chapter Data'!$D$2:$D$2500,$A30,'Chapter Data'!$K$2:$K$2500,"&gt;=0",'Chapter Data'!$B$2:$B$2500,"&gt;="&amp;$C$3,'Chapter Data'!$B$2:$B$2500,"&lt;="&amp;$C$4)))</f>
        <v>0.9775</v>
      </c>
      <c r="J30" s="28" t="n">
        <f aca="false">IF(B30="","",PERCENTRANK($B$10:$B$44,B30))</f>
        <v>0.591</v>
      </c>
      <c r="K30" s="28" t="n">
        <f aca="false">IF(D30="","",PERCENTRANK($D$10:$D$44,D30))</f>
        <v>0.864</v>
      </c>
      <c r="L30" s="28" t="n">
        <f aca="false">IF(E30="","",PERCENTRANK($E$10:$E$44,E30))</f>
        <v>0.227</v>
      </c>
      <c r="M30" s="28" t="n">
        <f aca="false">IF(H30="","",PERCENTRANK($H$10:$H$44,H30))</f>
        <v>0.55</v>
      </c>
      <c r="N30" s="28" t="n">
        <f aca="false">IF(COUNT(K30:M30)=0,"",AVERAGE(K30:M30))</f>
        <v>0.547</v>
      </c>
      <c r="O30" s="28" t="n">
        <f aca="false">IF(OR(J30="",N30=""),"",$B$5*J30+$B$6*N30)</f>
        <v>0.569</v>
      </c>
      <c r="P30" s="19" t="n">
        <f aca="false">IF(O30="","",COUNTIF($O$10:$O$44,"&gt;"&amp;O30)+1)</f>
        <v>9</v>
      </c>
      <c r="Q30" s="19" t="n">
        <f aca="false">IF(B30="","",COUNTIF($B$10:$B$44,"&gt;"&amp;B30)+1)</f>
        <v>10</v>
      </c>
      <c r="R30" s="19" t="n">
        <f aca="false">IF(N30="","",COUNTIF($N$10:$N$44,"&gt;"&amp;N30)+1)</f>
        <v>11</v>
      </c>
    </row>
    <row r="31" customFormat="false" ht="15" hidden="false" customHeight="false" outlineLevel="0" collapsed="false">
      <c r="A31" s="8" t="str">
        <f aca="false">IF(Lists!$D$23="","",Lists!$D$23)</f>
        <v>Sigma Alpha Mu</v>
      </c>
      <c r="B31" s="25" t="n">
        <f aca="false">IF($G31="","",IF(COUNTIFS('Chapter Data'!$D$2:$D$2500,$A31,'Chapter Data'!$G$2:$G$2500,"&gt;0",'Chapter Data'!$B$2:$B$2500,"&gt;="&amp;$C$3,'Chapter Data'!$B$2:$B$2500,"&lt;="&amp;$C$4)=0,"",AVERAGEIFS('Chapter Data'!$G$2:$G$2500,'Chapter Data'!$D$2:$D$2500,$A31,'Chapter Data'!$G$2:$G$2500,"&gt;0",'Chapter Data'!$B$2:$B$2500,"&gt;="&amp;$C$3,'Chapter Data'!$B$2:$B$2500,"&lt;="&amp;$C$4)))</f>
        <v>3.2274</v>
      </c>
      <c r="C31" s="26" t="n">
        <f aca="false">IF($G31="","",IF(COUNTIFS('Chapter Data'!$D$2:$D$2500,$A31,'Chapter Data'!$E$2:$E$2500,"&gt;0",'Chapter Data'!$B$2:$B$2500,"&gt;="&amp;$C$3,'Chapter Data'!$B$2:$B$2500,"&lt;="&amp;$C$4)=0,"",AVERAGEIFS('Chapter Data'!$E$2:$E$2500,'Chapter Data'!$D$2:$D$2500,$A31,'Chapter Data'!$E$2:$E$2500,"&gt;0",'Chapter Data'!$B$2:$B$2500,"&gt;="&amp;$C$3,'Chapter Data'!$B$2:$B$2500,"&lt;="&amp;$C$4)))</f>
        <v>12.4</v>
      </c>
      <c r="D31" s="26" t="n">
        <f aca="false">IF($G31="","",IF(COUNTIFS('Chapter Data'!$D$2:$D$2500,$A31,'Chapter Data'!$F$2:$F$2500,"&gt;=0",'Chapter Data'!$B$2:$B$2500,"&gt;="&amp;$C$3,'Chapter Data'!$B$2:$B$2500,"&lt;="&amp;$C$4)=0,"",AVERAGEIFS('Chapter Data'!$F$2:$F$2500,'Chapter Data'!$D$2:$D$2500,$A31,'Chapter Data'!$F$2:$F$2500,"&gt;=0",'Chapter Data'!$B$2:$B$2500,"&gt;="&amp;$C$3,'Chapter Data'!$B$2:$B$2500,"&lt;="&amp;$C$4)))</f>
        <v>1.8</v>
      </c>
      <c r="E31" s="31" t="n">
        <f aca="false">IF(OR(C31="",D31=""),"",D31/C31)</f>
        <v>0.145161290322581</v>
      </c>
      <c r="F31" s="19" t="n">
        <f aca="false">IF($G31="","",IF(COUNTIFS('Chapter Data'!$D$2:$D$2500,$A31,'Chapter Data'!$A$2:$A$2500,$B$3,'Chapter Data'!$E$2:$E$2500,"&gt;0")=0,"",SUMIFS('Chapter Data'!$E$2:$E$2500,'Chapter Data'!$D$2:$D$2500,$A31,'Chapter Data'!$A$2:$A$2500,$B$3)))</f>
        <v>13</v>
      </c>
      <c r="G31" s="19" t="n">
        <f aca="false">IF($A31="","",IF(COUNTIFS('Chapter Data'!$D$2:$D$2500,$A31,'Chapter Data'!$A$2:$A$2500,$B$4,'Chapter Data'!$E$2:$E$2500,"&gt;0")=0,"",SUMIFS('Chapter Data'!$E$2:$E$2500,'Chapter Data'!$D$2:$D$2500,$A31,'Chapter Data'!$A$2:$A$2500,$B$4)))</f>
        <v>9</v>
      </c>
      <c r="H31" s="32" t="n">
        <f aca="false">IF(OR(F31="",G31=""),"",G31/F31-1)</f>
        <v>-0.307692307692308</v>
      </c>
      <c r="I31" s="28" t="n">
        <f aca="false">IF($G31="","",IF(COUNTIFS('Chapter Data'!$D$2:$D$2500,$A31,'Chapter Data'!$K$2:$K$2500,"&gt;=0",'Chapter Data'!$B$2:$B$2500,"&gt;="&amp;$C$3,'Chapter Data'!$B$2:$B$2500,"&lt;="&amp;$C$4)=0,"",AVERAGEIFS('Chapter Data'!$K$2:$K$2500,'Chapter Data'!$D$2:$D$2500,$A31,'Chapter Data'!$K$2:$K$2500,"&gt;=0",'Chapter Data'!$B$2:$B$2500,"&gt;="&amp;$C$3,'Chapter Data'!$B$2:$B$2500,"&lt;="&amp;$C$4)))</f>
        <v>1</v>
      </c>
      <c r="J31" s="28" t="n">
        <f aca="false">IF(B31="","",PERCENTRANK($B$10:$B$44,B31))</f>
        <v>0.318</v>
      </c>
      <c r="K31" s="28" t="n">
        <f aca="false">IF(D31="","",PERCENTRANK($D$10:$D$44,D31))</f>
        <v>0</v>
      </c>
      <c r="L31" s="28" t="n">
        <f aca="false">IF(E31="","",PERCENTRANK($E$10:$E$44,E31))</f>
        <v>0.455</v>
      </c>
      <c r="M31" s="28" t="n">
        <f aca="false">IF(H31="","",PERCENTRANK($H$10:$H$44,H31))</f>
        <v>0</v>
      </c>
      <c r="N31" s="28" t="n">
        <f aca="false">IF(COUNT(K31:M31)=0,"",AVERAGE(K31:M31))</f>
        <v>0.151666666666667</v>
      </c>
      <c r="O31" s="28" t="n">
        <f aca="false">IF(OR(J31="",N31=""),"",$B$5*J31+$B$6*N31)</f>
        <v>0.234833333333333</v>
      </c>
      <c r="P31" s="19" t="n">
        <f aca="false">IF(O31="","",COUNTIF($O$10:$O$44,"&gt;"&amp;O31)+1)</f>
        <v>21</v>
      </c>
      <c r="Q31" s="19" t="n">
        <f aca="false">IF(B31="","",COUNTIF($B$10:$B$44,"&gt;"&amp;B31)+1)</f>
        <v>16</v>
      </c>
      <c r="R31" s="19" t="n">
        <f aca="false">IF(N31="","",COUNTIF($N$10:$N$44,"&gt;"&amp;N31)+1)</f>
        <v>23</v>
      </c>
    </row>
    <row r="32" customFormat="false" ht="15" hidden="false" customHeight="false" outlineLevel="0" collapsed="false">
      <c r="A32" s="8" t="str">
        <f aca="false">IF(Lists!$D$24="","",Lists!$D$24)</f>
        <v>Sigma Chi</v>
      </c>
      <c r="B32" s="25" t="n">
        <f aca="false">IF($G32="","",IF(COUNTIFS('Chapter Data'!$D$2:$D$2500,$A32,'Chapter Data'!$G$2:$G$2500,"&gt;0",'Chapter Data'!$B$2:$B$2500,"&gt;="&amp;$C$3,'Chapter Data'!$B$2:$B$2500,"&lt;="&amp;$C$4)=0,"",AVERAGEIFS('Chapter Data'!$G$2:$G$2500,'Chapter Data'!$D$2:$D$2500,$A32,'Chapter Data'!$G$2:$G$2500,"&gt;0",'Chapter Data'!$B$2:$B$2500,"&gt;="&amp;$C$3,'Chapter Data'!$B$2:$B$2500,"&lt;="&amp;$C$4)))</f>
        <v>3.3864</v>
      </c>
      <c r="C32" s="26" t="n">
        <f aca="false">IF($G32="","",IF(COUNTIFS('Chapter Data'!$D$2:$D$2500,$A32,'Chapter Data'!$E$2:$E$2500,"&gt;0",'Chapter Data'!$B$2:$B$2500,"&gt;="&amp;$C$3,'Chapter Data'!$B$2:$B$2500,"&lt;="&amp;$C$4)=0,"",AVERAGEIFS('Chapter Data'!$E$2:$E$2500,'Chapter Data'!$D$2:$D$2500,$A32,'Chapter Data'!$E$2:$E$2500,"&gt;0",'Chapter Data'!$B$2:$B$2500,"&gt;="&amp;$C$3,'Chapter Data'!$B$2:$B$2500,"&lt;="&amp;$C$4)))</f>
        <v>109</v>
      </c>
      <c r="D32" s="26" t="n">
        <f aca="false">IF($G32="","",IF(COUNTIFS('Chapter Data'!$D$2:$D$2500,$A32,'Chapter Data'!$F$2:$F$2500,"&gt;=0",'Chapter Data'!$B$2:$B$2500,"&gt;="&amp;$C$3,'Chapter Data'!$B$2:$B$2500,"&lt;="&amp;$C$4)=0,"",AVERAGEIFS('Chapter Data'!$F$2:$F$2500,'Chapter Data'!$D$2:$D$2500,$A32,'Chapter Data'!$F$2:$F$2500,"&gt;=0",'Chapter Data'!$B$2:$B$2500,"&gt;="&amp;$C$3,'Chapter Data'!$B$2:$B$2500,"&lt;="&amp;$C$4)))</f>
        <v>18.2</v>
      </c>
      <c r="E32" s="31" t="n">
        <f aca="false">IF(OR(C32="",D32=""),"",D32/C32)</f>
        <v>0.16697247706422</v>
      </c>
      <c r="F32" s="19" t="n">
        <f aca="false">IF($G32="","",IF(COUNTIFS('Chapter Data'!$D$2:$D$2500,$A32,'Chapter Data'!$A$2:$A$2500,$B$3,'Chapter Data'!$E$2:$E$2500,"&gt;0")=0,"",SUMIFS('Chapter Data'!$E$2:$E$2500,'Chapter Data'!$D$2:$D$2500,$A32,'Chapter Data'!$A$2:$A$2500,$B$3)))</f>
        <v>92</v>
      </c>
      <c r="G32" s="19" t="n">
        <f aca="false">IF($A32="","",IF(COUNTIFS('Chapter Data'!$D$2:$D$2500,$A32,'Chapter Data'!$A$2:$A$2500,$B$4,'Chapter Data'!$E$2:$E$2500,"&gt;0")=0,"",SUMIFS('Chapter Data'!$E$2:$E$2500,'Chapter Data'!$D$2:$D$2500,$A32,'Chapter Data'!$A$2:$A$2500,$B$4)))</f>
        <v>112</v>
      </c>
      <c r="H32" s="32" t="n">
        <f aca="false">IF(OR(F32="",G32=""),"",G32/F32-1)</f>
        <v>0.217391304347826</v>
      </c>
      <c r="I32" s="28" t="n">
        <f aca="false">IF($G32="","",IF(COUNTIFS('Chapter Data'!$D$2:$D$2500,$A32,'Chapter Data'!$K$2:$K$2500,"&gt;=0",'Chapter Data'!$B$2:$B$2500,"&gt;="&amp;$C$3,'Chapter Data'!$B$2:$B$2500,"&lt;="&amp;$C$4)=0,"",AVERAGEIFS('Chapter Data'!$K$2:$K$2500,'Chapter Data'!$D$2:$D$2500,$A32,'Chapter Data'!$K$2:$K$2500,"&gt;=0",'Chapter Data'!$B$2:$B$2500,"&gt;="&amp;$C$3,'Chapter Data'!$B$2:$B$2500,"&lt;="&amp;$C$4)))</f>
        <v>0.9125</v>
      </c>
      <c r="J32" s="28" t="n">
        <f aca="false">IF(B32="","",PERCENTRANK($B$10:$B$44,B32))</f>
        <v>0.727</v>
      </c>
      <c r="K32" s="28" t="n">
        <f aca="false">IF(D32="","",PERCENTRANK($D$10:$D$44,D32))</f>
        <v>0.909</v>
      </c>
      <c r="L32" s="28" t="n">
        <f aca="false">IF(E32="","",PERCENTRANK($E$10:$E$44,E32))</f>
        <v>0.636</v>
      </c>
      <c r="M32" s="28" t="n">
        <f aca="false">IF(H32="","",PERCENTRANK($H$10:$H$44,H32))</f>
        <v>0.8</v>
      </c>
      <c r="N32" s="28" t="n">
        <f aca="false">IF(COUNT(K32:M32)=0,"",AVERAGE(K32:M32))</f>
        <v>0.781666666666667</v>
      </c>
      <c r="O32" s="28" t="n">
        <f aca="false">IF(OR(J32="",N32=""),"",$B$5*J32+$B$6*N32)</f>
        <v>0.754333333333333</v>
      </c>
      <c r="P32" s="19" t="n">
        <f aca="false">IF(O32="","",COUNTIF($O$10:$O$44,"&gt;"&amp;O32)+1)</f>
        <v>3</v>
      </c>
      <c r="Q32" s="19" t="n">
        <f aca="false">IF(B32="","",COUNTIF($B$10:$B$44,"&gt;"&amp;B32)+1)</f>
        <v>7</v>
      </c>
      <c r="R32" s="19" t="n">
        <f aca="false">IF(N32="","",COUNTIF($N$10:$N$44,"&gt;"&amp;N32)+1)</f>
        <v>1</v>
      </c>
    </row>
    <row r="33" customFormat="false" ht="15" hidden="false" customHeight="false" outlineLevel="0" collapsed="false">
      <c r="A33" s="8" t="str">
        <f aca="false">IF(Lists!$D$25="","",Lists!$D$25)</f>
        <v>Sigma Nu</v>
      </c>
      <c r="B33" s="25" t="str">
        <f aca="false">IF($G33="","",IF(COUNTIFS('Chapter Data'!$D$2:$D$2500,$A33,'Chapter Data'!$G$2:$G$2500,"&gt;0",'Chapter Data'!$B$2:$B$2500,"&gt;="&amp;$C$3,'Chapter Data'!$B$2:$B$2500,"&lt;="&amp;$C$4)=0,"",AVERAGEIFS('Chapter Data'!$G$2:$G$2500,'Chapter Data'!$D$2:$D$2500,$A33,'Chapter Data'!$G$2:$G$2500,"&gt;0",'Chapter Data'!$B$2:$B$2500,"&gt;="&amp;$C$3,'Chapter Data'!$B$2:$B$2500,"&lt;="&amp;$C$4)))</f>
        <v/>
      </c>
      <c r="C33" s="26" t="str">
        <f aca="false">IF($G33="","",IF(COUNTIFS('Chapter Data'!$D$2:$D$2500,$A33,'Chapter Data'!$E$2:$E$2500,"&gt;0",'Chapter Data'!$B$2:$B$2500,"&gt;="&amp;$C$3,'Chapter Data'!$B$2:$B$2500,"&lt;="&amp;$C$4)=0,"",AVERAGEIFS('Chapter Data'!$E$2:$E$2500,'Chapter Data'!$D$2:$D$2500,$A33,'Chapter Data'!$E$2:$E$2500,"&gt;0",'Chapter Data'!$B$2:$B$2500,"&gt;="&amp;$C$3,'Chapter Data'!$B$2:$B$2500,"&lt;="&amp;$C$4)))</f>
        <v/>
      </c>
      <c r="D33" s="26" t="str">
        <f aca="false">IF($G33="","",IF(COUNTIFS('Chapter Data'!$D$2:$D$2500,$A33,'Chapter Data'!$F$2:$F$2500,"&gt;=0",'Chapter Data'!$B$2:$B$2500,"&gt;="&amp;$C$3,'Chapter Data'!$B$2:$B$2500,"&lt;="&amp;$C$4)=0,"",AVERAGEIFS('Chapter Data'!$F$2:$F$2500,'Chapter Data'!$D$2:$D$2500,$A33,'Chapter Data'!$F$2:$F$2500,"&gt;=0",'Chapter Data'!$B$2:$B$2500,"&gt;="&amp;$C$3,'Chapter Data'!$B$2:$B$2500,"&lt;="&amp;$C$4)))</f>
        <v/>
      </c>
      <c r="E33" s="31" t="str">
        <f aca="false">IF(OR(C33="",D33=""),"",D33/C33)</f>
        <v/>
      </c>
      <c r="F33" s="19" t="str">
        <f aca="false">IF($G33="","",IF(COUNTIFS('Chapter Data'!$D$2:$D$2500,$A33,'Chapter Data'!$A$2:$A$2500,$B$3,'Chapter Data'!$E$2:$E$2500,"&gt;0")=0,"",SUMIFS('Chapter Data'!$E$2:$E$2500,'Chapter Data'!$D$2:$D$2500,$A33,'Chapter Data'!$A$2:$A$2500,$B$3)))</f>
        <v/>
      </c>
      <c r="G33" s="19" t="str">
        <f aca="false">IF($A33="","",IF(COUNTIFS('Chapter Data'!$D$2:$D$2500,$A33,'Chapter Data'!$A$2:$A$2500,$B$4,'Chapter Data'!$E$2:$E$2500,"&gt;0")=0,"",SUMIFS('Chapter Data'!$E$2:$E$2500,'Chapter Data'!$D$2:$D$2500,$A33,'Chapter Data'!$A$2:$A$2500,$B$4)))</f>
        <v/>
      </c>
      <c r="H33" s="32" t="str">
        <f aca="false">IF(OR(F33="",G33=""),"",G33/F33-1)</f>
        <v/>
      </c>
      <c r="I33" s="28" t="str">
        <f aca="false">IF($G33="","",IF(COUNTIFS('Chapter Data'!$D$2:$D$2500,$A33,'Chapter Data'!$K$2:$K$2500,"&gt;=0",'Chapter Data'!$B$2:$B$2500,"&gt;="&amp;$C$3,'Chapter Data'!$B$2:$B$2500,"&lt;="&amp;$C$4)=0,"",AVERAGEIFS('Chapter Data'!$K$2:$K$2500,'Chapter Data'!$D$2:$D$2500,$A33,'Chapter Data'!$K$2:$K$2500,"&gt;=0",'Chapter Data'!$B$2:$B$2500,"&gt;="&amp;$C$3,'Chapter Data'!$B$2:$B$2500,"&lt;="&amp;$C$4)))</f>
        <v/>
      </c>
      <c r="J33" s="28" t="str">
        <f aca="false">IF(B33="","",PERCENTRANK($B$10:$B$44,B33))</f>
        <v/>
      </c>
      <c r="K33" s="28" t="str">
        <f aca="false">IF(D33="","",PERCENTRANK($D$10:$D$44,D33))</f>
        <v/>
      </c>
      <c r="L33" s="28" t="str">
        <f aca="false">IF(E33="","",PERCENTRANK($E$10:$E$44,E33))</f>
        <v/>
      </c>
      <c r="M33" s="28" t="str">
        <f aca="false">IF(H33="","",PERCENTRANK($H$10:$H$44,H33))</f>
        <v/>
      </c>
      <c r="N33" s="28" t="str">
        <f aca="false">IF(COUNT(K33:M33)=0,"",AVERAGE(K33:M33))</f>
        <v/>
      </c>
      <c r="O33" s="28" t="str">
        <f aca="false">IF(OR(J33="",N33=""),"",$B$5*J33+$B$6*N33)</f>
        <v/>
      </c>
      <c r="P33" s="19" t="str">
        <f aca="false">IF(O33="","",COUNTIF($O$10:$O$44,"&gt;"&amp;O33)+1)</f>
        <v/>
      </c>
      <c r="Q33" s="19" t="str">
        <f aca="false">IF(B33="","",COUNTIF($B$10:$B$44,"&gt;"&amp;B33)+1)</f>
        <v/>
      </c>
      <c r="R33" s="19" t="str">
        <f aca="false">IF(N33="","",COUNTIF($N$10:$N$44,"&gt;"&amp;N33)+1)</f>
        <v/>
      </c>
    </row>
    <row r="34" customFormat="false" ht="15" hidden="false" customHeight="false" outlineLevel="0" collapsed="false">
      <c r="A34" s="8" t="str">
        <f aca="false">IF(Lists!$D$26="","",Lists!$D$26)</f>
        <v>Sigma Phi Epsilon</v>
      </c>
      <c r="B34" s="25" t="n">
        <f aca="false">IF($G34="","",IF(COUNTIFS('Chapter Data'!$D$2:$D$2500,$A34,'Chapter Data'!$G$2:$G$2500,"&gt;0",'Chapter Data'!$B$2:$B$2500,"&gt;="&amp;$C$3,'Chapter Data'!$B$2:$B$2500,"&lt;="&amp;$C$4)=0,"",AVERAGEIFS('Chapter Data'!$G$2:$G$2500,'Chapter Data'!$D$2:$D$2500,$A34,'Chapter Data'!$G$2:$G$2500,"&gt;0",'Chapter Data'!$B$2:$B$2500,"&gt;="&amp;$C$3,'Chapter Data'!$B$2:$B$2500,"&lt;="&amp;$C$4)))</f>
        <v>3.6568</v>
      </c>
      <c r="C34" s="26" t="n">
        <f aca="false">IF($G34="","",IF(COUNTIFS('Chapter Data'!$D$2:$D$2500,$A34,'Chapter Data'!$E$2:$E$2500,"&gt;0",'Chapter Data'!$B$2:$B$2500,"&gt;="&amp;$C$3,'Chapter Data'!$B$2:$B$2500,"&lt;="&amp;$C$4)=0,"",AVERAGEIFS('Chapter Data'!$E$2:$E$2500,'Chapter Data'!$D$2:$D$2500,$A34,'Chapter Data'!$E$2:$E$2500,"&gt;0",'Chapter Data'!$B$2:$B$2500,"&gt;="&amp;$C$3,'Chapter Data'!$B$2:$B$2500,"&lt;="&amp;$C$4)))</f>
        <v>153.2</v>
      </c>
      <c r="D34" s="26" t="n">
        <f aca="false">IF($G34="","",IF(COUNTIFS('Chapter Data'!$D$2:$D$2500,$A34,'Chapter Data'!$F$2:$F$2500,"&gt;=0",'Chapter Data'!$B$2:$B$2500,"&gt;="&amp;$C$3,'Chapter Data'!$B$2:$B$2500,"&lt;="&amp;$C$4)=0,"",AVERAGEIFS('Chapter Data'!$F$2:$F$2500,'Chapter Data'!$D$2:$D$2500,$A34,'Chapter Data'!$F$2:$F$2500,"&gt;=0",'Chapter Data'!$B$2:$B$2500,"&gt;="&amp;$C$3,'Chapter Data'!$B$2:$B$2500,"&lt;="&amp;$C$4)))</f>
        <v>17</v>
      </c>
      <c r="E34" s="31" t="n">
        <f aca="false">IF(OR(C34="",D34=""),"",D34/C34)</f>
        <v>0.110966057441253</v>
      </c>
      <c r="F34" s="19" t="n">
        <f aca="false">IF($G34="","",IF(COUNTIFS('Chapter Data'!$D$2:$D$2500,$A34,'Chapter Data'!$A$2:$A$2500,$B$3,'Chapter Data'!$E$2:$E$2500,"&gt;0")=0,"",SUMIFS('Chapter Data'!$E$2:$E$2500,'Chapter Data'!$D$2:$D$2500,$A34,'Chapter Data'!$A$2:$A$2500,$B$3)))</f>
        <v>153</v>
      </c>
      <c r="G34" s="19" t="n">
        <f aca="false">IF($A34="","",IF(COUNTIFS('Chapter Data'!$D$2:$D$2500,$A34,'Chapter Data'!$A$2:$A$2500,$B$4,'Chapter Data'!$E$2:$E$2500,"&gt;0")=0,"",SUMIFS('Chapter Data'!$E$2:$E$2500,'Chapter Data'!$D$2:$D$2500,$A34,'Chapter Data'!$A$2:$A$2500,$B$4)))</f>
        <v>155</v>
      </c>
      <c r="H34" s="32" t="n">
        <f aca="false">IF(OR(F34="",G34=""),"",G34/F34-1)</f>
        <v>0.0130718954248366</v>
      </c>
      <c r="I34" s="28" t="n">
        <f aca="false">IF($G34="","",IF(COUNTIFS('Chapter Data'!$D$2:$D$2500,$A34,'Chapter Data'!$K$2:$K$2500,"&gt;=0",'Chapter Data'!$B$2:$B$2500,"&gt;="&amp;$C$3,'Chapter Data'!$B$2:$B$2500,"&lt;="&amp;$C$4)=0,"",AVERAGEIFS('Chapter Data'!$K$2:$K$2500,'Chapter Data'!$D$2:$D$2500,$A34,'Chapter Data'!$K$2:$K$2500,"&gt;=0",'Chapter Data'!$B$2:$B$2500,"&gt;="&amp;$C$3,'Chapter Data'!$B$2:$B$2500,"&lt;="&amp;$C$4)))</f>
        <v>0.986666666666667</v>
      </c>
      <c r="J34" s="28" t="n">
        <f aca="false">IF(B34="","",PERCENTRANK($B$10:$B$44,B34))</f>
        <v>0.955</v>
      </c>
      <c r="K34" s="28" t="n">
        <f aca="false">IF(D34="","",PERCENTRANK($D$10:$D$44,D34))</f>
        <v>0.773</v>
      </c>
      <c r="L34" s="28" t="n">
        <f aca="false">IF(E34="","",PERCENTRANK($E$10:$E$44,E34))</f>
        <v>0</v>
      </c>
      <c r="M34" s="28" t="n">
        <f aca="false">IF(H34="","",PERCENTRANK($H$10:$H$44,H34))</f>
        <v>0.4</v>
      </c>
      <c r="N34" s="28" t="n">
        <f aca="false">IF(COUNT(K34:M34)=0,"",AVERAGE(K34:M34))</f>
        <v>0.391</v>
      </c>
      <c r="O34" s="28" t="n">
        <f aca="false">IF(OR(J34="",N34=""),"",$B$5*J34+$B$6*N34)</f>
        <v>0.673</v>
      </c>
      <c r="P34" s="19" t="n">
        <f aca="false">IF(O34="","",COUNTIF($O$10:$O$44,"&gt;"&amp;O34)+1)</f>
        <v>5</v>
      </c>
      <c r="Q34" s="19" t="n">
        <f aca="false">IF(B34="","",COUNTIF($B$10:$B$44,"&gt;"&amp;B34)+1)</f>
        <v>2</v>
      </c>
      <c r="R34" s="19" t="n">
        <f aca="false">IF(N34="","",COUNTIF($N$10:$N$44,"&gt;"&amp;N34)+1)</f>
        <v>14</v>
      </c>
    </row>
    <row r="35" customFormat="false" ht="15" hidden="false" customHeight="false" outlineLevel="0" collapsed="false">
      <c r="A35" s="8" t="str">
        <f aca="false">IF(Lists!$D$27="","",Lists!$D$27)</f>
        <v>Sigma Tau Gamma</v>
      </c>
      <c r="B35" s="25" t="str">
        <f aca="false">IF($G35="","",IF(COUNTIFS('Chapter Data'!$D$2:$D$2500,$A35,'Chapter Data'!$G$2:$G$2500,"&gt;0",'Chapter Data'!$B$2:$B$2500,"&gt;="&amp;$C$3,'Chapter Data'!$B$2:$B$2500,"&lt;="&amp;$C$4)=0,"",AVERAGEIFS('Chapter Data'!$G$2:$G$2500,'Chapter Data'!$D$2:$D$2500,$A35,'Chapter Data'!$G$2:$G$2500,"&gt;0",'Chapter Data'!$B$2:$B$2500,"&gt;="&amp;$C$3,'Chapter Data'!$B$2:$B$2500,"&lt;="&amp;$C$4)))</f>
        <v/>
      </c>
      <c r="C35" s="26" t="str">
        <f aca="false">IF($G35="","",IF(COUNTIFS('Chapter Data'!$D$2:$D$2500,$A35,'Chapter Data'!$E$2:$E$2500,"&gt;0",'Chapter Data'!$B$2:$B$2500,"&gt;="&amp;$C$3,'Chapter Data'!$B$2:$B$2500,"&lt;="&amp;$C$4)=0,"",AVERAGEIFS('Chapter Data'!$E$2:$E$2500,'Chapter Data'!$D$2:$D$2500,$A35,'Chapter Data'!$E$2:$E$2500,"&gt;0",'Chapter Data'!$B$2:$B$2500,"&gt;="&amp;$C$3,'Chapter Data'!$B$2:$B$2500,"&lt;="&amp;$C$4)))</f>
        <v/>
      </c>
      <c r="D35" s="26" t="str">
        <f aca="false">IF($G35="","",IF(COUNTIFS('Chapter Data'!$D$2:$D$2500,$A35,'Chapter Data'!$F$2:$F$2500,"&gt;=0",'Chapter Data'!$B$2:$B$2500,"&gt;="&amp;$C$3,'Chapter Data'!$B$2:$B$2500,"&lt;="&amp;$C$4)=0,"",AVERAGEIFS('Chapter Data'!$F$2:$F$2500,'Chapter Data'!$D$2:$D$2500,$A35,'Chapter Data'!$F$2:$F$2500,"&gt;=0",'Chapter Data'!$B$2:$B$2500,"&gt;="&amp;$C$3,'Chapter Data'!$B$2:$B$2500,"&lt;="&amp;$C$4)))</f>
        <v/>
      </c>
      <c r="E35" s="31" t="str">
        <f aca="false">IF(OR(C35="",D35=""),"",D35/C35)</f>
        <v/>
      </c>
      <c r="F35" s="19" t="str">
        <f aca="false">IF($G35="","",IF(COUNTIFS('Chapter Data'!$D$2:$D$2500,$A35,'Chapter Data'!$A$2:$A$2500,$B$3,'Chapter Data'!$E$2:$E$2500,"&gt;0")=0,"",SUMIFS('Chapter Data'!$E$2:$E$2500,'Chapter Data'!$D$2:$D$2500,$A35,'Chapter Data'!$A$2:$A$2500,$B$3)))</f>
        <v/>
      </c>
      <c r="G35" s="19" t="str">
        <f aca="false">IF($A35="","",IF(COUNTIFS('Chapter Data'!$D$2:$D$2500,$A35,'Chapter Data'!$A$2:$A$2500,$B$4,'Chapter Data'!$E$2:$E$2500,"&gt;0")=0,"",SUMIFS('Chapter Data'!$E$2:$E$2500,'Chapter Data'!$D$2:$D$2500,$A35,'Chapter Data'!$A$2:$A$2500,$B$4)))</f>
        <v/>
      </c>
      <c r="H35" s="32" t="str">
        <f aca="false">IF(OR(F35="",G35=""),"",G35/F35-1)</f>
        <v/>
      </c>
      <c r="I35" s="28" t="str">
        <f aca="false">IF($G35="","",IF(COUNTIFS('Chapter Data'!$D$2:$D$2500,$A35,'Chapter Data'!$K$2:$K$2500,"&gt;=0",'Chapter Data'!$B$2:$B$2500,"&gt;="&amp;$C$3,'Chapter Data'!$B$2:$B$2500,"&lt;="&amp;$C$4)=0,"",AVERAGEIFS('Chapter Data'!$K$2:$K$2500,'Chapter Data'!$D$2:$D$2500,$A35,'Chapter Data'!$K$2:$K$2500,"&gt;=0",'Chapter Data'!$B$2:$B$2500,"&gt;="&amp;$C$3,'Chapter Data'!$B$2:$B$2500,"&lt;="&amp;$C$4)))</f>
        <v/>
      </c>
      <c r="J35" s="28" t="str">
        <f aca="false">IF(B35="","",PERCENTRANK($B$10:$B$44,B35))</f>
        <v/>
      </c>
      <c r="K35" s="28" t="str">
        <f aca="false">IF(D35="","",PERCENTRANK($D$10:$D$44,D35))</f>
        <v/>
      </c>
      <c r="L35" s="28" t="str">
        <f aca="false">IF(E35="","",PERCENTRANK($E$10:$E$44,E35))</f>
        <v/>
      </c>
      <c r="M35" s="28" t="str">
        <f aca="false">IF(H35="","",PERCENTRANK($H$10:$H$44,H35))</f>
        <v/>
      </c>
      <c r="N35" s="28" t="str">
        <f aca="false">IF(COUNT(K35:M35)=0,"",AVERAGE(K35:M35))</f>
        <v/>
      </c>
      <c r="O35" s="28" t="str">
        <f aca="false">IF(OR(J35="",N35=""),"",$B$5*J35+$B$6*N35)</f>
        <v/>
      </c>
      <c r="P35" s="19" t="str">
        <f aca="false">IF(O35="","",COUNTIF($O$10:$O$44,"&gt;"&amp;O35)+1)</f>
        <v/>
      </c>
      <c r="Q35" s="19" t="str">
        <f aca="false">IF(B35="","",COUNTIF($B$10:$B$44,"&gt;"&amp;B35)+1)</f>
        <v/>
      </c>
      <c r="R35" s="19" t="str">
        <f aca="false">IF(N35="","",COUNTIF($N$10:$N$44,"&gt;"&amp;N35)+1)</f>
        <v/>
      </c>
    </row>
    <row r="36" customFormat="false" ht="15" hidden="false" customHeight="false" outlineLevel="0" collapsed="false">
      <c r="A36" s="8" t="str">
        <f aca="false">IF(Lists!$D$28="","",Lists!$D$28)</f>
        <v>Tau Kappa Epsilon</v>
      </c>
      <c r="B36" s="25" t="str">
        <f aca="false">IF($G36="","",IF(COUNTIFS('Chapter Data'!$D$2:$D$2500,$A36,'Chapter Data'!$G$2:$G$2500,"&gt;0",'Chapter Data'!$B$2:$B$2500,"&gt;="&amp;$C$3,'Chapter Data'!$B$2:$B$2500,"&lt;="&amp;$C$4)=0,"",AVERAGEIFS('Chapter Data'!$G$2:$G$2500,'Chapter Data'!$D$2:$D$2500,$A36,'Chapter Data'!$G$2:$G$2500,"&gt;0",'Chapter Data'!$B$2:$B$2500,"&gt;="&amp;$C$3,'Chapter Data'!$B$2:$B$2500,"&lt;="&amp;$C$4)))</f>
        <v/>
      </c>
      <c r="C36" s="26" t="str">
        <f aca="false">IF($G36="","",IF(COUNTIFS('Chapter Data'!$D$2:$D$2500,$A36,'Chapter Data'!$E$2:$E$2500,"&gt;0",'Chapter Data'!$B$2:$B$2500,"&gt;="&amp;$C$3,'Chapter Data'!$B$2:$B$2500,"&lt;="&amp;$C$4)=0,"",AVERAGEIFS('Chapter Data'!$E$2:$E$2500,'Chapter Data'!$D$2:$D$2500,$A36,'Chapter Data'!$E$2:$E$2500,"&gt;0",'Chapter Data'!$B$2:$B$2500,"&gt;="&amp;$C$3,'Chapter Data'!$B$2:$B$2500,"&lt;="&amp;$C$4)))</f>
        <v/>
      </c>
      <c r="D36" s="26" t="str">
        <f aca="false">IF($G36="","",IF(COUNTIFS('Chapter Data'!$D$2:$D$2500,$A36,'Chapter Data'!$F$2:$F$2500,"&gt;=0",'Chapter Data'!$B$2:$B$2500,"&gt;="&amp;$C$3,'Chapter Data'!$B$2:$B$2500,"&lt;="&amp;$C$4)=0,"",AVERAGEIFS('Chapter Data'!$F$2:$F$2500,'Chapter Data'!$D$2:$D$2500,$A36,'Chapter Data'!$F$2:$F$2500,"&gt;=0",'Chapter Data'!$B$2:$B$2500,"&gt;="&amp;$C$3,'Chapter Data'!$B$2:$B$2500,"&lt;="&amp;$C$4)))</f>
        <v/>
      </c>
      <c r="E36" s="31" t="str">
        <f aca="false">IF(OR(C36="",D36=""),"",D36/C36)</f>
        <v/>
      </c>
      <c r="F36" s="19" t="str">
        <f aca="false">IF($G36="","",IF(COUNTIFS('Chapter Data'!$D$2:$D$2500,$A36,'Chapter Data'!$A$2:$A$2500,$B$3,'Chapter Data'!$E$2:$E$2500,"&gt;0")=0,"",SUMIFS('Chapter Data'!$E$2:$E$2500,'Chapter Data'!$D$2:$D$2500,$A36,'Chapter Data'!$A$2:$A$2500,$B$3)))</f>
        <v/>
      </c>
      <c r="G36" s="19" t="str">
        <f aca="false">IF($A36="","",IF(COUNTIFS('Chapter Data'!$D$2:$D$2500,$A36,'Chapter Data'!$A$2:$A$2500,$B$4,'Chapter Data'!$E$2:$E$2500,"&gt;0")=0,"",SUMIFS('Chapter Data'!$E$2:$E$2500,'Chapter Data'!$D$2:$D$2500,$A36,'Chapter Data'!$A$2:$A$2500,$B$4)))</f>
        <v/>
      </c>
      <c r="H36" s="32" t="str">
        <f aca="false">IF(OR(F36="",G36=""),"",G36/F36-1)</f>
        <v/>
      </c>
      <c r="I36" s="28" t="str">
        <f aca="false">IF($G36="","",IF(COUNTIFS('Chapter Data'!$D$2:$D$2500,$A36,'Chapter Data'!$K$2:$K$2500,"&gt;=0",'Chapter Data'!$B$2:$B$2500,"&gt;="&amp;$C$3,'Chapter Data'!$B$2:$B$2500,"&lt;="&amp;$C$4)=0,"",AVERAGEIFS('Chapter Data'!$K$2:$K$2500,'Chapter Data'!$D$2:$D$2500,$A36,'Chapter Data'!$K$2:$K$2500,"&gt;=0",'Chapter Data'!$B$2:$B$2500,"&gt;="&amp;$C$3,'Chapter Data'!$B$2:$B$2500,"&lt;="&amp;$C$4)))</f>
        <v/>
      </c>
      <c r="J36" s="28" t="str">
        <f aca="false">IF(B36="","",PERCENTRANK($B$10:$B$44,B36))</f>
        <v/>
      </c>
      <c r="K36" s="28" t="str">
        <f aca="false">IF(D36="","",PERCENTRANK($D$10:$D$44,D36))</f>
        <v/>
      </c>
      <c r="L36" s="28" t="str">
        <f aca="false">IF(E36="","",PERCENTRANK($E$10:$E$44,E36))</f>
        <v/>
      </c>
      <c r="M36" s="28" t="str">
        <f aca="false">IF(H36="","",PERCENTRANK($H$10:$H$44,H36))</f>
        <v/>
      </c>
      <c r="N36" s="28" t="str">
        <f aca="false">IF(COUNT(K36:M36)=0,"",AVERAGE(K36:M36))</f>
        <v/>
      </c>
      <c r="O36" s="28" t="str">
        <f aca="false">IF(OR(J36="",N36=""),"",$B$5*J36+$B$6*N36)</f>
        <v/>
      </c>
      <c r="P36" s="19" t="str">
        <f aca="false">IF(O36="","",COUNTIF($O$10:$O$44,"&gt;"&amp;O36)+1)</f>
        <v/>
      </c>
      <c r="Q36" s="19" t="str">
        <f aca="false">IF(B36="","",COUNTIF($B$10:$B$44,"&gt;"&amp;B36)+1)</f>
        <v/>
      </c>
      <c r="R36" s="19" t="str">
        <f aca="false">IF(N36="","",COUNTIF($N$10:$N$44,"&gt;"&amp;N36)+1)</f>
        <v/>
      </c>
    </row>
    <row r="37" customFormat="false" ht="15" hidden="false" customHeight="false" outlineLevel="0" collapsed="false">
      <c r="A37" s="8" t="str">
        <f aca="false">IF(Lists!$D$29="","",Lists!$D$29)</f>
        <v>Theta Chi</v>
      </c>
      <c r="B37" s="25" t="n">
        <f aca="false">IF($G37="","",IF(COUNTIFS('Chapter Data'!$D$2:$D$2500,$A37,'Chapter Data'!$G$2:$G$2500,"&gt;0",'Chapter Data'!$B$2:$B$2500,"&gt;="&amp;$C$3,'Chapter Data'!$B$2:$B$2500,"&lt;="&amp;$C$4)=0,"",AVERAGEIFS('Chapter Data'!$G$2:$G$2500,'Chapter Data'!$D$2:$D$2500,$A37,'Chapter Data'!$G$2:$G$2500,"&gt;0",'Chapter Data'!$B$2:$B$2500,"&gt;="&amp;$C$3,'Chapter Data'!$B$2:$B$2500,"&lt;="&amp;$C$4)))</f>
        <v>2.8866</v>
      </c>
      <c r="C37" s="26" t="n">
        <f aca="false">IF($G37="","",IF(COUNTIFS('Chapter Data'!$D$2:$D$2500,$A37,'Chapter Data'!$E$2:$E$2500,"&gt;0",'Chapter Data'!$B$2:$B$2500,"&gt;="&amp;$C$3,'Chapter Data'!$B$2:$B$2500,"&lt;="&amp;$C$4)=0,"",AVERAGEIFS('Chapter Data'!$E$2:$E$2500,'Chapter Data'!$D$2:$D$2500,$A37,'Chapter Data'!$E$2:$E$2500,"&gt;0",'Chapter Data'!$B$2:$B$2500,"&gt;="&amp;$C$3,'Chapter Data'!$B$2:$B$2500,"&lt;="&amp;$C$4)))</f>
        <v>30.6</v>
      </c>
      <c r="D37" s="26" t="n">
        <f aca="false">IF($G37="","",IF(COUNTIFS('Chapter Data'!$D$2:$D$2500,$A37,'Chapter Data'!$F$2:$F$2500,"&gt;=0",'Chapter Data'!$B$2:$B$2500,"&gt;="&amp;$C$3,'Chapter Data'!$B$2:$B$2500,"&lt;="&amp;$C$4)=0,"",AVERAGEIFS('Chapter Data'!$F$2:$F$2500,'Chapter Data'!$D$2:$D$2500,$A37,'Chapter Data'!$F$2:$F$2500,"&gt;=0",'Chapter Data'!$B$2:$B$2500,"&gt;="&amp;$C$3,'Chapter Data'!$B$2:$B$2500,"&lt;="&amp;$C$4)))</f>
        <v>9.4</v>
      </c>
      <c r="E37" s="31" t="n">
        <f aca="false">IF(OR(C37="",D37=""),"",D37/C37)</f>
        <v>0.30718954248366</v>
      </c>
      <c r="F37" s="19" t="n">
        <f aca="false">IF($G37="","",IF(COUNTIFS('Chapter Data'!$D$2:$D$2500,$A37,'Chapter Data'!$A$2:$A$2500,$B$3,'Chapter Data'!$E$2:$E$2500,"&gt;0")=0,"",SUMIFS('Chapter Data'!$E$2:$E$2500,'Chapter Data'!$D$2:$D$2500,$A37,'Chapter Data'!$A$2:$A$2500,$B$3)))</f>
        <v>27</v>
      </c>
      <c r="G37" s="19" t="n">
        <f aca="false">IF($A37="","",IF(COUNTIFS('Chapter Data'!$D$2:$D$2500,$A37,'Chapter Data'!$A$2:$A$2500,$B$4,'Chapter Data'!$E$2:$E$2500,"&gt;0")=0,"",SUMIFS('Chapter Data'!$E$2:$E$2500,'Chapter Data'!$D$2:$D$2500,$A37,'Chapter Data'!$A$2:$A$2500,$B$4)))</f>
        <v>32</v>
      </c>
      <c r="H37" s="32" t="n">
        <f aca="false">IF(OR(F37="",G37=""),"",G37/F37-1)</f>
        <v>0.185185185185185</v>
      </c>
      <c r="I37" s="28" t="n">
        <f aca="false">IF($G37="","",IF(COUNTIFS('Chapter Data'!$D$2:$D$2500,$A37,'Chapter Data'!$K$2:$K$2500,"&gt;=0",'Chapter Data'!$B$2:$B$2500,"&gt;="&amp;$C$3,'Chapter Data'!$B$2:$B$2500,"&lt;="&amp;$C$4)=0,"",AVERAGEIFS('Chapter Data'!$K$2:$K$2500,'Chapter Data'!$D$2:$D$2500,$A37,'Chapter Data'!$K$2:$K$2500,"&gt;=0",'Chapter Data'!$B$2:$B$2500,"&gt;="&amp;$C$3,'Chapter Data'!$B$2:$B$2500,"&lt;="&amp;$C$4)))</f>
        <v>0.975</v>
      </c>
      <c r="J37" s="28" t="n">
        <f aca="false">IF(B37="","",PERCENTRANK($B$10:$B$44,B37))</f>
        <v>0.136</v>
      </c>
      <c r="K37" s="28" t="n">
        <f aca="false">IF(D37="","",PERCENTRANK($D$10:$D$44,D37))</f>
        <v>0.364</v>
      </c>
      <c r="L37" s="28" t="n">
        <f aca="false">IF(E37="","",PERCENTRANK($E$10:$E$44,E37))</f>
        <v>0.909</v>
      </c>
      <c r="M37" s="28" t="n">
        <f aca="false">IF(H37="","",PERCENTRANK($H$10:$H$44,H37))</f>
        <v>0.7</v>
      </c>
      <c r="N37" s="28" t="n">
        <f aca="false">IF(COUNT(K37:M37)=0,"",AVERAGE(K37:M37))</f>
        <v>0.657666666666667</v>
      </c>
      <c r="O37" s="28" t="n">
        <f aca="false">IF(OR(J37="",N37=""),"",$B$5*J37+$B$6*N37)</f>
        <v>0.396833333333333</v>
      </c>
      <c r="P37" s="19" t="n">
        <f aca="false">IF(O37="","",COUNTIF($O$10:$O$44,"&gt;"&amp;O37)+1)</f>
        <v>17</v>
      </c>
      <c r="Q37" s="19" t="n">
        <f aca="false">IF(B37="","",COUNTIF($B$10:$B$44,"&gt;"&amp;B37)+1)</f>
        <v>20</v>
      </c>
      <c r="R37" s="19" t="n">
        <f aca="false">IF(N37="","",COUNTIF($N$10:$N$44,"&gt;"&amp;N37)+1)</f>
        <v>7</v>
      </c>
    </row>
    <row r="38" customFormat="false" ht="15" hidden="false" customHeight="false" outlineLevel="0" collapsed="false">
      <c r="A38" s="8" t="str">
        <f aca="false">IF(Lists!$D$30="","",Lists!$D$30)</f>
        <v>Theta Xi</v>
      </c>
      <c r="B38" s="25" t="n">
        <f aca="false">IF($G38="","",IF(COUNTIFS('Chapter Data'!$D$2:$D$2500,$A38,'Chapter Data'!$G$2:$G$2500,"&gt;0",'Chapter Data'!$B$2:$B$2500,"&gt;="&amp;$C$3,'Chapter Data'!$B$2:$B$2500,"&lt;="&amp;$C$4)=0,"",AVERAGEIFS('Chapter Data'!$G$2:$G$2500,'Chapter Data'!$D$2:$D$2500,$A38,'Chapter Data'!$G$2:$G$2500,"&gt;0",'Chapter Data'!$B$2:$B$2500,"&gt;="&amp;$C$3,'Chapter Data'!$B$2:$B$2500,"&lt;="&amp;$C$4)))</f>
        <v>3.1572</v>
      </c>
      <c r="C38" s="26" t="n">
        <f aca="false">IF($G38="","",IF(COUNTIFS('Chapter Data'!$D$2:$D$2500,$A38,'Chapter Data'!$E$2:$E$2500,"&gt;0",'Chapter Data'!$B$2:$B$2500,"&gt;="&amp;$C$3,'Chapter Data'!$B$2:$B$2500,"&lt;="&amp;$C$4)=0,"",AVERAGEIFS('Chapter Data'!$E$2:$E$2500,'Chapter Data'!$D$2:$D$2500,$A38,'Chapter Data'!$E$2:$E$2500,"&gt;0",'Chapter Data'!$B$2:$B$2500,"&gt;="&amp;$C$3,'Chapter Data'!$B$2:$B$2500,"&lt;="&amp;$C$4)))</f>
        <v>46.2</v>
      </c>
      <c r="D38" s="26" t="n">
        <f aca="false">IF($G38="","",IF(COUNTIFS('Chapter Data'!$D$2:$D$2500,$A38,'Chapter Data'!$F$2:$F$2500,"&gt;=0",'Chapter Data'!$B$2:$B$2500,"&gt;="&amp;$C$3,'Chapter Data'!$B$2:$B$2500,"&lt;="&amp;$C$4)=0,"",AVERAGEIFS('Chapter Data'!$F$2:$F$2500,'Chapter Data'!$D$2:$D$2500,$A38,'Chapter Data'!$F$2:$F$2500,"&gt;=0",'Chapter Data'!$B$2:$B$2500,"&gt;="&amp;$C$3,'Chapter Data'!$B$2:$B$2500,"&lt;="&amp;$C$4)))</f>
        <v>7.6</v>
      </c>
      <c r="E38" s="31" t="n">
        <f aca="false">IF(OR(C38="",D38=""),"",D38/C38)</f>
        <v>0.164502164502164</v>
      </c>
      <c r="F38" s="19" t="n">
        <f aca="false">IF($G38="","",IF(COUNTIFS('Chapter Data'!$D$2:$D$2500,$A38,'Chapter Data'!$A$2:$A$2500,$B$3,'Chapter Data'!$E$2:$E$2500,"&gt;0")=0,"",SUMIFS('Chapter Data'!$E$2:$E$2500,'Chapter Data'!$D$2:$D$2500,$A38,'Chapter Data'!$A$2:$A$2500,$B$3)))</f>
        <v>48</v>
      </c>
      <c r="G38" s="19" t="n">
        <f aca="false">IF($A38="","",IF(COUNTIFS('Chapter Data'!$D$2:$D$2500,$A38,'Chapter Data'!$A$2:$A$2500,$B$4,'Chapter Data'!$E$2:$E$2500,"&gt;0")=0,"",SUMIFS('Chapter Data'!$E$2:$E$2500,'Chapter Data'!$D$2:$D$2500,$A38,'Chapter Data'!$A$2:$A$2500,$B$4)))</f>
        <v>43</v>
      </c>
      <c r="H38" s="32" t="n">
        <f aca="false">IF(OR(F38="",G38=""),"",G38/F38-1)</f>
        <v>-0.104166666666667</v>
      </c>
      <c r="I38" s="28" t="n">
        <f aca="false">IF($G38="","",IF(COUNTIFS('Chapter Data'!$D$2:$D$2500,$A38,'Chapter Data'!$K$2:$K$2500,"&gt;=0",'Chapter Data'!$B$2:$B$2500,"&gt;="&amp;$C$3,'Chapter Data'!$B$2:$B$2500,"&lt;="&amp;$C$4)=0,"",AVERAGEIFS('Chapter Data'!$K$2:$K$2500,'Chapter Data'!$D$2:$D$2500,$A38,'Chapter Data'!$K$2:$K$2500,"&gt;=0",'Chapter Data'!$B$2:$B$2500,"&gt;="&amp;$C$3,'Chapter Data'!$B$2:$B$2500,"&lt;="&amp;$C$4)))</f>
        <v>0.9175</v>
      </c>
      <c r="J38" s="28" t="n">
        <f aca="false">IF(B38="","",PERCENTRANK($B$10:$B$44,B38))</f>
        <v>0.227</v>
      </c>
      <c r="K38" s="28" t="n">
        <f aca="false">IF(D38="","",PERCENTRANK($D$10:$D$44,D38))</f>
        <v>0.273</v>
      </c>
      <c r="L38" s="28" t="n">
        <f aca="false">IF(E38="","",PERCENTRANK($E$10:$E$44,E38))</f>
        <v>0.591</v>
      </c>
      <c r="M38" s="28" t="n">
        <f aca="false">IF(H38="","",PERCENTRANK($H$10:$H$44,H38))</f>
        <v>0.1</v>
      </c>
      <c r="N38" s="28" t="n">
        <f aca="false">IF(COUNT(K38:M38)=0,"",AVERAGE(K38:M38))</f>
        <v>0.321333333333333</v>
      </c>
      <c r="O38" s="28" t="n">
        <f aca="false">IF(OR(J38="",N38=""),"",$B$5*J38+$B$6*N38)</f>
        <v>0.274166666666667</v>
      </c>
      <c r="P38" s="19" t="n">
        <f aca="false">IF(O38="","",COUNTIF($O$10:$O$44,"&gt;"&amp;O38)+1)</f>
        <v>20</v>
      </c>
      <c r="Q38" s="19" t="n">
        <f aca="false">IF(B38="","",COUNTIF($B$10:$B$44,"&gt;"&amp;B38)+1)</f>
        <v>18</v>
      </c>
      <c r="R38" s="19" t="n">
        <f aca="false">IF(N38="","",COUNTIF($N$10:$N$44,"&gt;"&amp;N38)+1)</f>
        <v>20</v>
      </c>
    </row>
    <row r="39" customFormat="false" ht="15" hidden="false" customHeight="false" outlineLevel="0" collapsed="false">
      <c r="A39" s="8" t="str">
        <f aca="false">IF(Lists!$D$31="","",Lists!$D$31)</f>
        <v>Triangle</v>
      </c>
      <c r="B39" s="25" t="n">
        <f aca="false">IF($G39="","",IF(COUNTIFS('Chapter Data'!$D$2:$D$2500,$A39,'Chapter Data'!$G$2:$G$2500,"&gt;0",'Chapter Data'!$B$2:$B$2500,"&gt;="&amp;$C$3,'Chapter Data'!$B$2:$B$2500,"&lt;="&amp;$C$4)=0,"",AVERAGEIFS('Chapter Data'!$G$2:$G$2500,'Chapter Data'!$D$2:$D$2500,$A39,'Chapter Data'!$G$2:$G$2500,"&gt;0",'Chapter Data'!$B$2:$B$2500,"&gt;="&amp;$C$3,'Chapter Data'!$B$2:$B$2500,"&lt;="&amp;$C$4)))</f>
        <v>2.7806</v>
      </c>
      <c r="C39" s="26" t="n">
        <f aca="false">IF($G39="","",IF(COUNTIFS('Chapter Data'!$D$2:$D$2500,$A39,'Chapter Data'!$E$2:$E$2500,"&gt;0",'Chapter Data'!$B$2:$B$2500,"&gt;="&amp;$C$3,'Chapter Data'!$B$2:$B$2500,"&lt;="&amp;$C$4)=0,"",AVERAGEIFS('Chapter Data'!$E$2:$E$2500,'Chapter Data'!$D$2:$D$2500,$A39,'Chapter Data'!$E$2:$E$2500,"&gt;0",'Chapter Data'!$B$2:$B$2500,"&gt;="&amp;$C$3,'Chapter Data'!$B$2:$B$2500,"&lt;="&amp;$C$4)))</f>
        <v>24</v>
      </c>
      <c r="D39" s="26" t="n">
        <f aca="false">IF($G39="","",IF(COUNTIFS('Chapter Data'!$D$2:$D$2500,$A39,'Chapter Data'!$F$2:$F$2500,"&gt;=0",'Chapter Data'!$B$2:$B$2500,"&gt;="&amp;$C$3,'Chapter Data'!$B$2:$B$2500,"&lt;="&amp;$C$4)=0,"",AVERAGEIFS('Chapter Data'!$F$2:$F$2500,'Chapter Data'!$D$2:$D$2500,$A39,'Chapter Data'!$F$2:$F$2500,"&gt;=0",'Chapter Data'!$B$2:$B$2500,"&gt;="&amp;$C$3,'Chapter Data'!$B$2:$B$2500,"&lt;="&amp;$C$4)))</f>
        <v>5.8</v>
      </c>
      <c r="E39" s="31" t="n">
        <f aca="false">IF(OR(C39="",D39=""),"",D39/C39)</f>
        <v>0.241666666666667</v>
      </c>
      <c r="F39" s="19" t="n">
        <f aca="false">IF($G39="","",IF(COUNTIFS('Chapter Data'!$D$2:$D$2500,$A39,'Chapter Data'!$A$2:$A$2500,$B$3,'Chapter Data'!$E$2:$E$2500,"&gt;0")=0,"",SUMIFS('Chapter Data'!$E$2:$E$2500,'Chapter Data'!$D$2:$D$2500,$A39,'Chapter Data'!$A$2:$A$2500,$B$3)))</f>
        <v>23</v>
      </c>
      <c r="G39" s="19" t="n">
        <f aca="false">IF($A39="","",IF(COUNTIFS('Chapter Data'!$D$2:$D$2500,$A39,'Chapter Data'!$A$2:$A$2500,$B$4,'Chapter Data'!$E$2:$E$2500,"&gt;0")=0,"",SUMIFS('Chapter Data'!$E$2:$E$2500,'Chapter Data'!$D$2:$D$2500,$A39,'Chapter Data'!$A$2:$A$2500,$B$4)))</f>
        <v>28</v>
      </c>
      <c r="H39" s="32" t="n">
        <f aca="false">IF(OR(F39="",G39=""),"",G39/F39-1)</f>
        <v>0.217391304347826</v>
      </c>
      <c r="I39" s="28" t="n">
        <f aca="false">IF($G39="","",IF(COUNTIFS('Chapter Data'!$D$2:$D$2500,$A39,'Chapter Data'!$K$2:$K$2500,"&gt;=0",'Chapter Data'!$B$2:$B$2500,"&gt;="&amp;$C$3,'Chapter Data'!$B$2:$B$2500,"&lt;="&amp;$C$4)=0,"",AVERAGEIFS('Chapter Data'!$K$2:$K$2500,'Chapter Data'!$D$2:$D$2500,$A39,'Chapter Data'!$K$2:$K$2500,"&gt;=0",'Chapter Data'!$B$2:$B$2500,"&gt;="&amp;$C$3,'Chapter Data'!$B$2:$B$2500,"&lt;="&amp;$C$4)))</f>
        <v>0.9575</v>
      </c>
      <c r="J39" s="28" t="n">
        <f aca="false">IF(B39="","",PERCENTRANK($B$10:$B$44,B39))</f>
        <v>0</v>
      </c>
      <c r="K39" s="28" t="n">
        <f aca="false">IF(D39="","",PERCENTRANK($D$10:$D$44,D39))</f>
        <v>0.227</v>
      </c>
      <c r="L39" s="28" t="n">
        <f aca="false">IF(E39="","",PERCENTRANK($E$10:$E$44,E39))</f>
        <v>0.864</v>
      </c>
      <c r="M39" s="28" t="n">
        <f aca="false">IF(H39="","",PERCENTRANK($H$10:$H$44,H39))</f>
        <v>0.8</v>
      </c>
      <c r="N39" s="28" t="n">
        <f aca="false">IF(COUNT(K39:M39)=0,"",AVERAGE(K39:M39))</f>
        <v>0.630333333333333</v>
      </c>
      <c r="O39" s="28" t="n">
        <f aca="false">IF(OR(J39="",N39=""),"",$B$5*J39+$B$6*N39)</f>
        <v>0.315166666666667</v>
      </c>
      <c r="P39" s="19" t="n">
        <f aca="false">IF(O39="","",COUNTIF($O$10:$O$44,"&gt;"&amp;O39)+1)</f>
        <v>18</v>
      </c>
      <c r="Q39" s="19" t="n">
        <f aca="false">IF(B39="","",COUNTIF($B$10:$B$44,"&gt;"&amp;B39)+1)</f>
        <v>23</v>
      </c>
      <c r="R39" s="19" t="n">
        <f aca="false">IF(N39="","",COUNTIF($N$10:$N$44,"&gt;"&amp;N39)+1)</f>
        <v>9</v>
      </c>
    </row>
    <row r="40" customFormat="false" ht="15" hidden="false" customHeight="false" outlineLevel="0" collapsed="false">
      <c r="A40" s="8" t="str">
        <f aca="false">IF(Lists!$D$32="","",Lists!$D$32)</f>
        <v/>
      </c>
      <c r="B40" s="25" t="str">
        <f aca="false">IF($G40="","",IF(COUNTIFS('Chapter Data'!$D$2:$D$2500,$A40,'Chapter Data'!$G$2:$G$2500,"&gt;0",'Chapter Data'!$B$2:$B$2500,"&gt;="&amp;$C$3,'Chapter Data'!$B$2:$B$2500,"&lt;="&amp;$C$4)=0,"",AVERAGEIFS('Chapter Data'!$G$2:$G$2500,'Chapter Data'!$D$2:$D$2500,$A40,'Chapter Data'!$G$2:$G$2500,"&gt;0",'Chapter Data'!$B$2:$B$2500,"&gt;="&amp;$C$3,'Chapter Data'!$B$2:$B$2500,"&lt;="&amp;$C$4)))</f>
        <v/>
      </c>
      <c r="C40" s="26" t="str">
        <f aca="false">IF($G40="","",IF(COUNTIFS('Chapter Data'!$D$2:$D$2500,$A40,'Chapter Data'!$E$2:$E$2500,"&gt;0",'Chapter Data'!$B$2:$B$2500,"&gt;="&amp;$C$3,'Chapter Data'!$B$2:$B$2500,"&lt;="&amp;$C$4)=0,"",AVERAGEIFS('Chapter Data'!$E$2:$E$2500,'Chapter Data'!$D$2:$D$2500,$A40,'Chapter Data'!$E$2:$E$2500,"&gt;0",'Chapter Data'!$B$2:$B$2500,"&gt;="&amp;$C$3,'Chapter Data'!$B$2:$B$2500,"&lt;="&amp;$C$4)))</f>
        <v/>
      </c>
      <c r="D40" s="26" t="str">
        <f aca="false">IF($G40="","",IF(COUNTIFS('Chapter Data'!$D$2:$D$2500,$A40,'Chapter Data'!$F$2:$F$2500,"&gt;=0",'Chapter Data'!$B$2:$B$2500,"&gt;="&amp;$C$3,'Chapter Data'!$B$2:$B$2500,"&lt;="&amp;$C$4)=0,"",AVERAGEIFS('Chapter Data'!$F$2:$F$2500,'Chapter Data'!$D$2:$D$2500,$A40,'Chapter Data'!$F$2:$F$2500,"&gt;=0",'Chapter Data'!$B$2:$B$2500,"&gt;="&amp;$C$3,'Chapter Data'!$B$2:$B$2500,"&lt;="&amp;$C$4)))</f>
        <v/>
      </c>
      <c r="E40" s="31" t="str">
        <f aca="false">IF(OR(C40="",D40=""),"",D40/C40)</f>
        <v/>
      </c>
      <c r="F40" s="19" t="str">
        <f aca="false">IF($G40="","",IF(COUNTIFS('Chapter Data'!$D$2:$D$2500,$A40,'Chapter Data'!$A$2:$A$2500,$B$3,'Chapter Data'!$E$2:$E$2500,"&gt;0")=0,"",SUMIFS('Chapter Data'!$E$2:$E$2500,'Chapter Data'!$D$2:$D$2500,$A40,'Chapter Data'!$A$2:$A$2500,$B$3)))</f>
        <v/>
      </c>
      <c r="G40" s="19" t="str">
        <f aca="false">IF($A40="","",IF(COUNTIFS('Chapter Data'!$D$2:$D$2500,$A40,'Chapter Data'!$A$2:$A$2500,$B$4,'Chapter Data'!$E$2:$E$2500,"&gt;0")=0,"",SUMIFS('Chapter Data'!$E$2:$E$2500,'Chapter Data'!$D$2:$D$2500,$A40,'Chapter Data'!$A$2:$A$2500,$B$4)))</f>
        <v/>
      </c>
      <c r="H40" s="32" t="str">
        <f aca="false">IF(OR(F40="",G40=""),"",G40/F40-1)</f>
        <v/>
      </c>
      <c r="I40" s="28" t="str">
        <f aca="false">IF($G40="","",IF(COUNTIFS('Chapter Data'!$D$2:$D$2500,$A40,'Chapter Data'!$K$2:$K$2500,"&gt;=0",'Chapter Data'!$B$2:$B$2500,"&gt;="&amp;$C$3,'Chapter Data'!$B$2:$B$2500,"&lt;="&amp;$C$4)=0,"",AVERAGEIFS('Chapter Data'!$K$2:$K$2500,'Chapter Data'!$D$2:$D$2500,$A40,'Chapter Data'!$K$2:$K$2500,"&gt;=0",'Chapter Data'!$B$2:$B$2500,"&gt;="&amp;$C$3,'Chapter Data'!$B$2:$B$2500,"&lt;="&amp;$C$4)))</f>
        <v/>
      </c>
      <c r="J40" s="28" t="str">
        <f aca="false">IF(B40="","",PERCENTRANK($B$10:$B$44,B40))</f>
        <v/>
      </c>
      <c r="K40" s="28" t="str">
        <f aca="false">IF(D40="","",PERCENTRANK($D$10:$D$44,D40))</f>
        <v/>
      </c>
      <c r="L40" s="28" t="str">
        <f aca="false">IF(E40="","",PERCENTRANK($E$10:$E$44,E40))</f>
        <v/>
      </c>
      <c r="M40" s="28" t="str">
        <f aca="false">IF(H40="","",PERCENTRANK($H$10:$H$44,H40))</f>
        <v/>
      </c>
      <c r="N40" s="28" t="str">
        <f aca="false">IF(COUNT(K40:M40)=0,"",AVERAGE(K40:M40))</f>
        <v/>
      </c>
      <c r="O40" s="28" t="str">
        <f aca="false">IF(OR(J40="",N40=""),"",$B$5*J40+$B$6*N40)</f>
        <v/>
      </c>
      <c r="P40" s="19" t="str">
        <f aca="false">IF(O40="","",COUNTIF($O$10:$O$44,"&gt;"&amp;O40)+1)</f>
        <v/>
      </c>
      <c r="Q40" s="19" t="str">
        <f aca="false">IF(B40="","",COUNTIF($B$10:$B$44,"&gt;"&amp;B40)+1)</f>
        <v/>
      </c>
      <c r="R40" s="19" t="str">
        <f aca="false">IF(N40="","",COUNTIF($N$10:$N$44,"&gt;"&amp;N40)+1)</f>
        <v/>
      </c>
    </row>
    <row r="41" customFormat="false" ht="15" hidden="false" customHeight="false" outlineLevel="0" collapsed="false">
      <c r="A41" s="8" t="str">
        <f aca="false">IF(Lists!$D$33="","",Lists!$D$33)</f>
        <v/>
      </c>
      <c r="B41" s="25" t="str">
        <f aca="false">IF($G41="","",IF(COUNTIFS('Chapter Data'!$D$2:$D$2500,$A41,'Chapter Data'!$G$2:$G$2500,"&gt;0",'Chapter Data'!$B$2:$B$2500,"&gt;="&amp;$C$3,'Chapter Data'!$B$2:$B$2500,"&lt;="&amp;$C$4)=0,"",AVERAGEIFS('Chapter Data'!$G$2:$G$2500,'Chapter Data'!$D$2:$D$2500,$A41,'Chapter Data'!$G$2:$G$2500,"&gt;0",'Chapter Data'!$B$2:$B$2500,"&gt;="&amp;$C$3,'Chapter Data'!$B$2:$B$2500,"&lt;="&amp;$C$4)))</f>
        <v/>
      </c>
      <c r="C41" s="26" t="str">
        <f aca="false">IF($G41="","",IF(COUNTIFS('Chapter Data'!$D$2:$D$2500,$A41,'Chapter Data'!$E$2:$E$2500,"&gt;0",'Chapter Data'!$B$2:$B$2500,"&gt;="&amp;$C$3,'Chapter Data'!$B$2:$B$2500,"&lt;="&amp;$C$4)=0,"",AVERAGEIFS('Chapter Data'!$E$2:$E$2500,'Chapter Data'!$D$2:$D$2500,$A41,'Chapter Data'!$E$2:$E$2500,"&gt;0",'Chapter Data'!$B$2:$B$2500,"&gt;="&amp;$C$3,'Chapter Data'!$B$2:$B$2500,"&lt;="&amp;$C$4)))</f>
        <v/>
      </c>
      <c r="D41" s="26" t="str">
        <f aca="false">IF($G41="","",IF(COUNTIFS('Chapter Data'!$D$2:$D$2500,$A41,'Chapter Data'!$F$2:$F$2500,"&gt;=0",'Chapter Data'!$B$2:$B$2500,"&gt;="&amp;$C$3,'Chapter Data'!$B$2:$B$2500,"&lt;="&amp;$C$4)=0,"",AVERAGEIFS('Chapter Data'!$F$2:$F$2500,'Chapter Data'!$D$2:$D$2500,$A41,'Chapter Data'!$F$2:$F$2500,"&gt;=0",'Chapter Data'!$B$2:$B$2500,"&gt;="&amp;$C$3,'Chapter Data'!$B$2:$B$2500,"&lt;="&amp;$C$4)))</f>
        <v/>
      </c>
      <c r="E41" s="31" t="str">
        <f aca="false">IF(OR(C41="",D41=""),"",D41/C41)</f>
        <v/>
      </c>
      <c r="F41" s="19" t="str">
        <f aca="false">IF($G41="","",IF(COUNTIFS('Chapter Data'!$D$2:$D$2500,$A41,'Chapter Data'!$A$2:$A$2500,$B$3,'Chapter Data'!$E$2:$E$2500,"&gt;0")=0,"",SUMIFS('Chapter Data'!$E$2:$E$2500,'Chapter Data'!$D$2:$D$2500,$A41,'Chapter Data'!$A$2:$A$2500,$B$3)))</f>
        <v/>
      </c>
      <c r="G41" s="19" t="str">
        <f aca="false">IF($A41="","",IF(COUNTIFS('Chapter Data'!$D$2:$D$2500,$A41,'Chapter Data'!$A$2:$A$2500,$B$4,'Chapter Data'!$E$2:$E$2500,"&gt;0")=0,"",SUMIFS('Chapter Data'!$E$2:$E$2500,'Chapter Data'!$D$2:$D$2500,$A41,'Chapter Data'!$A$2:$A$2500,$B$4)))</f>
        <v/>
      </c>
      <c r="H41" s="32" t="str">
        <f aca="false">IF(OR(F41="",G41=""),"",G41/F41-1)</f>
        <v/>
      </c>
      <c r="I41" s="28" t="str">
        <f aca="false">IF($G41="","",IF(COUNTIFS('Chapter Data'!$D$2:$D$2500,$A41,'Chapter Data'!$K$2:$K$2500,"&gt;=0",'Chapter Data'!$B$2:$B$2500,"&gt;="&amp;$C$3,'Chapter Data'!$B$2:$B$2500,"&lt;="&amp;$C$4)=0,"",AVERAGEIFS('Chapter Data'!$K$2:$K$2500,'Chapter Data'!$D$2:$D$2500,$A41,'Chapter Data'!$K$2:$K$2500,"&gt;=0",'Chapter Data'!$B$2:$B$2500,"&gt;="&amp;$C$3,'Chapter Data'!$B$2:$B$2500,"&lt;="&amp;$C$4)))</f>
        <v/>
      </c>
      <c r="J41" s="28" t="str">
        <f aca="false">IF(B41="","",PERCENTRANK($B$10:$B$44,B41))</f>
        <v/>
      </c>
      <c r="K41" s="28" t="str">
        <f aca="false">IF(D41="","",PERCENTRANK($D$10:$D$44,D41))</f>
        <v/>
      </c>
      <c r="L41" s="28" t="str">
        <f aca="false">IF(E41="","",PERCENTRANK($E$10:$E$44,E41))</f>
        <v/>
      </c>
      <c r="M41" s="28" t="str">
        <f aca="false">IF(H41="","",PERCENTRANK($H$10:$H$44,H41))</f>
        <v/>
      </c>
      <c r="N41" s="28" t="str">
        <f aca="false">IF(COUNT(K41:M41)=0,"",AVERAGE(K41:M41))</f>
        <v/>
      </c>
      <c r="O41" s="28" t="str">
        <f aca="false">IF(OR(J41="",N41=""),"",$B$5*J41+$B$6*N41)</f>
        <v/>
      </c>
      <c r="P41" s="19" t="str">
        <f aca="false">IF(O41="","",COUNTIF($O$10:$O$44,"&gt;"&amp;O41)+1)</f>
        <v/>
      </c>
      <c r="Q41" s="19" t="str">
        <f aca="false">IF(B41="","",COUNTIF($B$10:$B$44,"&gt;"&amp;B41)+1)</f>
        <v/>
      </c>
      <c r="R41" s="19" t="str">
        <f aca="false">IF(N41="","",COUNTIF($N$10:$N$44,"&gt;"&amp;N41)+1)</f>
        <v/>
      </c>
    </row>
    <row r="42" customFormat="false" ht="15" hidden="false" customHeight="false" outlineLevel="0" collapsed="false">
      <c r="A42" s="8" t="str">
        <f aca="false">IF(Lists!$D$34="","",Lists!$D$34)</f>
        <v/>
      </c>
      <c r="B42" s="25" t="str">
        <f aca="false">IF($G42="","",IF(COUNTIFS('Chapter Data'!$D$2:$D$2500,$A42,'Chapter Data'!$G$2:$G$2500,"&gt;0",'Chapter Data'!$B$2:$B$2500,"&gt;="&amp;$C$3,'Chapter Data'!$B$2:$B$2500,"&lt;="&amp;$C$4)=0,"",AVERAGEIFS('Chapter Data'!$G$2:$G$2500,'Chapter Data'!$D$2:$D$2500,$A42,'Chapter Data'!$G$2:$G$2500,"&gt;0",'Chapter Data'!$B$2:$B$2500,"&gt;="&amp;$C$3,'Chapter Data'!$B$2:$B$2500,"&lt;="&amp;$C$4)))</f>
        <v/>
      </c>
      <c r="C42" s="26" t="str">
        <f aca="false">IF($G42="","",IF(COUNTIFS('Chapter Data'!$D$2:$D$2500,$A42,'Chapter Data'!$E$2:$E$2500,"&gt;0",'Chapter Data'!$B$2:$B$2500,"&gt;="&amp;$C$3,'Chapter Data'!$B$2:$B$2500,"&lt;="&amp;$C$4)=0,"",AVERAGEIFS('Chapter Data'!$E$2:$E$2500,'Chapter Data'!$D$2:$D$2500,$A42,'Chapter Data'!$E$2:$E$2500,"&gt;0",'Chapter Data'!$B$2:$B$2500,"&gt;="&amp;$C$3,'Chapter Data'!$B$2:$B$2500,"&lt;="&amp;$C$4)))</f>
        <v/>
      </c>
      <c r="D42" s="26" t="str">
        <f aca="false">IF($G42="","",IF(COUNTIFS('Chapter Data'!$D$2:$D$2500,$A42,'Chapter Data'!$F$2:$F$2500,"&gt;=0",'Chapter Data'!$B$2:$B$2500,"&gt;="&amp;$C$3,'Chapter Data'!$B$2:$B$2500,"&lt;="&amp;$C$4)=0,"",AVERAGEIFS('Chapter Data'!$F$2:$F$2500,'Chapter Data'!$D$2:$D$2500,$A42,'Chapter Data'!$F$2:$F$2500,"&gt;=0",'Chapter Data'!$B$2:$B$2500,"&gt;="&amp;$C$3,'Chapter Data'!$B$2:$B$2500,"&lt;="&amp;$C$4)))</f>
        <v/>
      </c>
      <c r="E42" s="31" t="str">
        <f aca="false">IF(OR(C42="",D42=""),"",D42/C42)</f>
        <v/>
      </c>
      <c r="F42" s="19" t="str">
        <f aca="false">IF($G42="","",IF(COUNTIFS('Chapter Data'!$D$2:$D$2500,$A42,'Chapter Data'!$A$2:$A$2500,$B$3,'Chapter Data'!$E$2:$E$2500,"&gt;0")=0,"",SUMIFS('Chapter Data'!$E$2:$E$2500,'Chapter Data'!$D$2:$D$2500,$A42,'Chapter Data'!$A$2:$A$2500,$B$3)))</f>
        <v/>
      </c>
      <c r="G42" s="19" t="str">
        <f aca="false">IF($A42="","",IF(COUNTIFS('Chapter Data'!$D$2:$D$2500,$A42,'Chapter Data'!$A$2:$A$2500,$B$4,'Chapter Data'!$E$2:$E$2500,"&gt;0")=0,"",SUMIFS('Chapter Data'!$E$2:$E$2500,'Chapter Data'!$D$2:$D$2500,$A42,'Chapter Data'!$A$2:$A$2500,$B$4)))</f>
        <v/>
      </c>
      <c r="H42" s="32" t="str">
        <f aca="false">IF(OR(F42="",G42=""),"",G42/F42-1)</f>
        <v/>
      </c>
      <c r="I42" s="28" t="str">
        <f aca="false">IF($G42="","",IF(COUNTIFS('Chapter Data'!$D$2:$D$2500,$A42,'Chapter Data'!$K$2:$K$2500,"&gt;=0",'Chapter Data'!$B$2:$B$2500,"&gt;="&amp;$C$3,'Chapter Data'!$B$2:$B$2500,"&lt;="&amp;$C$4)=0,"",AVERAGEIFS('Chapter Data'!$K$2:$K$2500,'Chapter Data'!$D$2:$D$2500,$A42,'Chapter Data'!$K$2:$K$2500,"&gt;=0",'Chapter Data'!$B$2:$B$2500,"&gt;="&amp;$C$3,'Chapter Data'!$B$2:$B$2500,"&lt;="&amp;$C$4)))</f>
        <v/>
      </c>
      <c r="J42" s="28" t="str">
        <f aca="false">IF(B42="","",PERCENTRANK($B$10:$B$44,B42))</f>
        <v/>
      </c>
      <c r="K42" s="28" t="str">
        <f aca="false">IF(D42="","",PERCENTRANK($D$10:$D$44,D42))</f>
        <v/>
      </c>
      <c r="L42" s="28" t="str">
        <f aca="false">IF(E42="","",PERCENTRANK($E$10:$E$44,E42))</f>
        <v/>
      </c>
      <c r="M42" s="28" t="str">
        <f aca="false">IF(H42="","",PERCENTRANK($H$10:$H$44,H42))</f>
        <v/>
      </c>
      <c r="N42" s="28" t="str">
        <f aca="false">IF(COUNT(K42:M42)=0,"",AVERAGE(K42:M42))</f>
        <v/>
      </c>
      <c r="O42" s="28" t="str">
        <f aca="false">IF(OR(J42="",N42=""),"",$B$5*J42+$B$6*N42)</f>
        <v/>
      </c>
      <c r="P42" s="19" t="str">
        <f aca="false">IF(O42="","",COUNTIF($O$10:$O$44,"&gt;"&amp;O42)+1)</f>
        <v/>
      </c>
      <c r="Q42" s="19" t="str">
        <f aca="false">IF(B42="","",COUNTIF($B$10:$B$44,"&gt;"&amp;B42)+1)</f>
        <v/>
      </c>
      <c r="R42" s="19" t="str">
        <f aca="false">IF(N42="","",COUNTIF($N$10:$N$44,"&gt;"&amp;N42)+1)</f>
        <v/>
      </c>
    </row>
    <row r="43" customFormat="false" ht="15" hidden="false" customHeight="false" outlineLevel="0" collapsed="false">
      <c r="A43" s="8" t="str">
        <f aca="false">IF(Lists!$D$35="","",Lists!$D$35)</f>
        <v/>
      </c>
      <c r="B43" s="25" t="str">
        <f aca="false">IF($G43="","",IF(COUNTIFS('Chapter Data'!$D$2:$D$2500,$A43,'Chapter Data'!$G$2:$G$2500,"&gt;0",'Chapter Data'!$B$2:$B$2500,"&gt;="&amp;$C$3,'Chapter Data'!$B$2:$B$2500,"&lt;="&amp;$C$4)=0,"",AVERAGEIFS('Chapter Data'!$G$2:$G$2500,'Chapter Data'!$D$2:$D$2500,$A43,'Chapter Data'!$G$2:$G$2500,"&gt;0",'Chapter Data'!$B$2:$B$2500,"&gt;="&amp;$C$3,'Chapter Data'!$B$2:$B$2500,"&lt;="&amp;$C$4)))</f>
        <v/>
      </c>
      <c r="C43" s="26" t="str">
        <f aca="false">IF($G43="","",IF(COUNTIFS('Chapter Data'!$D$2:$D$2500,$A43,'Chapter Data'!$E$2:$E$2500,"&gt;0",'Chapter Data'!$B$2:$B$2500,"&gt;="&amp;$C$3,'Chapter Data'!$B$2:$B$2500,"&lt;="&amp;$C$4)=0,"",AVERAGEIFS('Chapter Data'!$E$2:$E$2500,'Chapter Data'!$D$2:$D$2500,$A43,'Chapter Data'!$E$2:$E$2500,"&gt;0",'Chapter Data'!$B$2:$B$2500,"&gt;="&amp;$C$3,'Chapter Data'!$B$2:$B$2500,"&lt;="&amp;$C$4)))</f>
        <v/>
      </c>
      <c r="D43" s="26" t="str">
        <f aca="false">IF($G43="","",IF(COUNTIFS('Chapter Data'!$D$2:$D$2500,$A43,'Chapter Data'!$F$2:$F$2500,"&gt;=0",'Chapter Data'!$B$2:$B$2500,"&gt;="&amp;$C$3,'Chapter Data'!$B$2:$B$2500,"&lt;="&amp;$C$4)=0,"",AVERAGEIFS('Chapter Data'!$F$2:$F$2500,'Chapter Data'!$D$2:$D$2500,$A43,'Chapter Data'!$F$2:$F$2500,"&gt;=0",'Chapter Data'!$B$2:$B$2500,"&gt;="&amp;$C$3,'Chapter Data'!$B$2:$B$2500,"&lt;="&amp;$C$4)))</f>
        <v/>
      </c>
      <c r="E43" s="31" t="str">
        <f aca="false">IF(OR(C43="",D43=""),"",D43/C43)</f>
        <v/>
      </c>
      <c r="F43" s="19" t="str">
        <f aca="false">IF($G43="","",IF(COUNTIFS('Chapter Data'!$D$2:$D$2500,$A43,'Chapter Data'!$A$2:$A$2500,$B$3,'Chapter Data'!$E$2:$E$2500,"&gt;0")=0,"",SUMIFS('Chapter Data'!$E$2:$E$2500,'Chapter Data'!$D$2:$D$2500,$A43,'Chapter Data'!$A$2:$A$2500,$B$3)))</f>
        <v/>
      </c>
      <c r="G43" s="19" t="str">
        <f aca="false">IF($A43="","",IF(COUNTIFS('Chapter Data'!$D$2:$D$2500,$A43,'Chapter Data'!$A$2:$A$2500,$B$4,'Chapter Data'!$E$2:$E$2500,"&gt;0")=0,"",SUMIFS('Chapter Data'!$E$2:$E$2500,'Chapter Data'!$D$2:$D$2500,$A43,'Chapter Data'!$A$2:$A$2500,$B$4)))</f>
        <v/>
      </c>
      <c r="H43" s="32" t="str">
        <f aca="false">IF(OR(F43="",G43=""),"",G43/F43-1)</f>
        <v/>
      </c>
      <c r="I43" s="28" t="str">
        <f aca="false">IF($G43="","",IF(COUNTIFS('Chapter Data'!$D$2:$D$2500,$A43,'Chapter Data'!$K$2:$K$2500,"&gt;=0",'Chapter Data'!$B$2:$B$2500,"&gt;="&amp;$C$3,'Chapter Data'!$B$2:$B$2500,"&lt;="&amp;$C$4)=0,"",AVERAGEIFS('Chapter Data'!$K$2:$K$2500,'Chapter Data'!$D$2:$D$2500,$A43,'Chapter Data'!$K$2:$K$2500,"&gt;=0",'Chapter Data'!$B$2:$B$2500,"&gt;="&amp;$C$3,'Chapter Data'!$B$2:$B$2500,"&lt;="&amp;$C$4)))</f>
        <v/>
      </c>
      <c r="J43" s="28" t="str">
        <f aca="false">IF(B43="","",PERCENTRANK($B$10:$B$44,B43))</f>
        <v/>
      </c>
      <c r="K43" s="28" t="str">
        <f aca="false">IF(D43="","",PERCENTRANK($D$10:$D$44,D43))</f>
        <v/>
      </c>
      <c r="L43" s="28" t="str">
        <f aca="false">IF(E43="","",PERCENTRANK($E$10:$E$44,E43))</f>
        <v/>
      </c>
      <c r="M43" s="28" t="str">
        <f aca="false">IF(H43="","",PERCENTRANK($H$10:$H$44,H43))</f>
        <v/>
      </c>
      <c r="N43" s="28" t="str">
        <f aca="false">IF(COUNT(K43:M43)=0,"",AVERAGE(K43:M43))</f>
        <v/>
      </c>
      <c r="O43" s="28" t="str">
        <f aca="false">IF(OR(J43="",N43=""),"",$B$5*J43+$B$6*N43)</f>
        <v/>
      </c>
      <c r="P43" s="19" t="str">
        <f aca="false">IF(O43="","",COUNTIF($O$10:$O$44,"&gt;"&amp;O43)+1)</f>
        <v/>
      </c>
      <c r="Q43" s="19" t="str">
        <f aca="false">IF(B43="","",COUNTIF($B$10:$B$44,"&gt;"&amp;B43)+1)</f>
        <v/>
      </c>
      <c r="R43" s="19" t="str">
        <f aca="false">IF(N43="","",COUNTIF($N$10:$N$44,"&gt;"&amp;N43)+1)</f>
        <v/>
      </c>
    </row>
    <row r="44" customFormat="false" ht="15" hidden="false" customHeight="false" outlineLevel="0" collapsed="false">
      <c r="A44" s="8" t="str">
        <f aca="false">IF(Lists!$D$36="","",Lists!$D$36)</f>
        <v/>
      </c>
      <c r="B44" s="25" t="str">
        <f aca="false">IF($G44="","",IF(COUNTIFS('Chapter Data'!$D$2:$D$2500,$A44,'Chapter Data'!$G$2:$G$2500,"&gt;0",'Chapter Data'!$B$2:$B$2500,"&gt;="&amp;$C$3,'Chapter Data'!$B$2:$B$2500,"&lt;="&amp;$C$4)=0,"",AVERAGEIFS('Chapter Data'!$G$2:$G$2500,'Chapter Data'!$D$2:$D$2500,$A44,'Chapter Data'!$G$2:$G$2500,"&gt;0",'Chapter Data'!$B$2:$B$2500,"&gt;="&amp;$C$3,'Chapter Data'!$B$2:$B$2500,"&lt;="&amp;$C$4)))</f>
        <v/>
      </c>
      <c r="C44" s="26" t="str">
        <f aca="false">IF($G44="","",IF(COUNTIFS('Chapter Data'!$D$2:$D$2500,$A44,'Chapter Data'!$E$2:$E$2500,"&gt;0",'Chapter Data'!$B$2:$B$2500,"&gt;="&amp;$C$3,'Chapter Data'!$B$2:$B$2500,"&lt;="&amp;$C$4)=0,"",AVERAGEIFS('Chapter Data'!$E$2:$E$2500,'Chapter Data'!$D$2:$D$2500,$A44,'Chapter Data'!$E$2:$E$2500,"&gt;0",'Chapter Data'!$B$2:$B$2500,"&gt;="&amp;$C$3,'Chapter Data'!$B$2:$B$2500,"&lt;="&amp;$C$4)))</f>
        <v/>
      </c>
      <c r="D44" s="26" t="str">
        <f aca="false">IF($G44="","",IF(COUNTIFS('Chapter Data'!$D$2:$D$2500,$A44,'Chapter Data'!$F$2:$F$2500,"&gt;=0",'Chapter Data'!$B$2:$B$2500,"&gt;="&amp;$C$3,'Chapter Data'!$B$2:$B$2500,"&lt;="&amp;$C$4)=0,"",AVERAGEIFS('Chapter Data'!$F$2:$F$2500,'Chapter Data'!$D$2:$D$2500,$A44,'Chapter Data'!$F$2:$F$2500,"&gt;=0",'Chapter Data'!$B$2:$B$2500,"&gt;="&amp;$C$3,'Chapter Data'!$B$2:$B$2500,"&lt;="&amp;$C$4)))</f>
        <v/>
      </c>
      <c r="E44" s="31" t="str">
        <f aca="false">IF(OR(C44="",D44=""),"",D44/C44)</f>
        <v/>
      </c>
      <c r="F44" s="19" t="str">
        <f aca="false">IF($G44="","",IF(COUNTIFS('Chapter Data'!$D$2:$D$2500,$A44,'Chapter Data'!$A$2:$A$2500,$B$3,'Chapter Data'!$E$2:$E$2500,"&gt;0")=0,"",SUMIFS('Chapter Data'!$E$2:$E$2500,'Chapter Data'!$D$2:$D$2500,$A44,'Chapter Data'!$A$2:$A$2500,$B$3)))</f>
        <v/>
      </c>
      <c r="G44" s="19" t="str">
        <f aca="false">IF($A44="","",IF(COUNTIFS('Chapter Data'!$D$2:$D$2500,$A44,'Chapter Data'!$A$2:$A$2500,$B$4,'Chapter Data'!$E$2:$E$2500,"&gt;0")=0,"",SUMIFS('Chapter Data'!$E$2:$E$2500,'Chapter Data'!$D$2:$D$2500,$A44,'Chapter Data'!$A$2:$A$2500,$B$4)))</f>
        <v/>
      </c>
      <c r="H44" s="32" t="str">
        <f aca="false">IF(OR(F44="",G44=""),"",G44/F44-1)</f>
        <v/>
      </c>
      <c r="I44" s="28" t="str">
        <f aca="false">IF($G44="","",IF(COUNTIFS('Chapter Data'!$D$2:$D$2500,$A44,'Chapter Data'!$K$2:$K$2500,"&gt;=0",'Chapter Data'!$B$2:$B$2500,"&gt;="&amp;$C$3,'Chapter Data'!$B$2:$B$2500,"&lt;="&amp;$C$4)=0,"",AVERAGEIFS('Chapter Data'!$K$2:$K$2500,'Chapter Data'!$D$2:$D$2500,$A44,'Chapter Data'!$K$2:$K$2500,"&gt;=0",'Chapter Data'!$B$2:$B$2500,"&gt;="&amp;$C$3,'Chapter Data'!$B$2:$B$2500,"&lt;="&amp;$C$4)))</f>
        <v/>
      </c>
      <c r="J44" s="28" t="str">
        <f aca="false">IF(B44="","",PERCENTRANK($B$10:$B$44,B44))</f>
        <v/>
      </c>
      <c r="K44" s="28" t="str">
        <f aca="false">IF(D44="","",PERCENTRANK($D$10:$D$44,D44))</f>
        <v/>
      </c>
      <c r="L44" s="28" t="str">
        <f aca="false">IF(E44="","",PERCENTRANK($E$10:$E$44,E44))</f>
        <v/>
      </c>
      <c r="M44" s="28" t="str">
        <f aca="false">IF(H44="","",PERCENTRANK($H$10:$H$44,H44))</f>
        <v/>
      </c>
      <c r="N44" s="28" t="str">
        <f aca="false">IF(COUNT(K44:M44)=0,"",AVERAGE(K44:M44))</f>
        <v/>
      </c>
      <c r="O44" s="28" t="str">
        <f aca="false">IF(OR(J44="",N44=""),"",$B$5*J44+$B$6*N44)</f>
        <v/>
      </c>
      <c r="P44" s="19" t="str">
        <f aca="false">IF(O44="","",COUNTIF($O$10:$O$44,"&gt;"&amp;O44)+1)</f>
        <v/>
      </c>
      <c r="Q44" s="19" t="str">
        <f aca="false">IF(B44="","",COUNTIF($B$10:$B$44,"&gt;"&amp;B44)+1)</f>
        <v/>
      </c>
      <c r="R44" s="19" t="str">
        <f aca="false">IF(N44="","",COUNTIF($N$10:$N$44,"&gt;"&amp;N44)+1)</f>
        <v/>
      </c>
    </row>
    <row r="46" customFormat="false" ht="15" hidden="false" customHeight="false" outlineLevel="0" collapsed="false">
      <c r="A46" s="12" t="s">
        <v>189</v>
      </c>
    </row>
    <row r="47" customFormat="false" ht="15" hidden="false" customHeight="false" outlineLevel="0" collapsed="false">
      <c r="A47" s="12" t="s">
        <v>190</v>
      </c>
    </row>
    <row r="48" customFormat="false" ht="15" hidden="false" customHeight="false" outlineLevel="0" collapsed="false">
      <c r="A48" s="12" t="s">
        <v>191</v>
      </c>
    </row>
    <row r="49" customFormat="false" ht="15" hidden="false" customHeight="false" outlineLevel="0" collapsed="false">
      <c r="A49" s="12" t="s">
        <v>192</v>
      </c>
    </row>
  </sheetData>
  <conditionalFormatting sqref="A10:R44">
    <cfRule type="expression" priority="2" aboveAverage="0" equalAverage="0" bottom="0" percent="0" rank="0" text="" dxfId="2">
      <formula>$A10=OurChapter</formula>
    </cfRule>
  </conditionalFormatting>
  <conditionalFormatting sqref="J10:J44">
    <cfRule type="colorScale" priority="3">
      <colorScale>
        <cfvo type="num" val="0"/>
        <cfvo type="num" val="0.5"/>
        <cfvo type="num" val="1"/>
        <color rgb="FFF8696B"/>
        <color rgb="FFFFFFFF"/>
        <color rgb="FF63BE7B"/>
      </colorScale>
    </cfRule>
  </conditionalFormatting>
  <conditionalFormatting sqref="K10:K44">
    <cfRule type="colorScale" priority="4">
      <colorScale>
        <cfvo type="num" val="0"/>
        <cfvo type="num" val="0.5"/>
        <cfvo type="num" val="1"/>
        <color rgb="FFF8696B"/>
        <color rgb="FFFFFFFF"/>
        <color rgb="FF63BE7B"/>
      </colorScale>
    </cfRule>
  </conditionalFormatting>
  <conditionalFormatting sqref="L10:L44">
    <cfRule type="colorScale" priority="5">
      <colorScale>
        <cfvo type="num" val="0"/>
        <cfvo type="num" val="0.5"/>
        <cfvo type="num" val="1"/>
        <color rgb="FFF8696B"/>
        <color rgb="FFFFFFFF"/>
        <color rgb="FF63BE7B"/>
      </colorScale>
    </cfRule>
  </conditionalFormatting>
  <conditionalFormatting sqref="M10:M44">
    <cfRule type="colorScale" priority="6">
      <colorScale>
        <cfvo type="num" val="0"/>
        <cfvo type="num" val="0.5"/>
        <cfvo type="num" val="1"/>
        <color rgb="FFF8696B"/>
        <color rgb="FFFFFFFF"/>
        <color rgb="FF63BE7B"/>
      </colorScale>
    </cfRule>
  </conditionalFormatting>
  <conditionalFormatting sqref="N10:N44">
    <cfRule type="colorScale" priority="7">
      <colorScale>
        <cfvo type="num" val="0"/>
        <cfvo type="num" val="0.5"/>
        <cfvo type="num" val="1"/>
        <color rgb="FFF8696B"/>
        <color rgb="FFFFFFFF"/>
        <color rgb="FF63BE7B"/>
      </colorScale>
    </cfRule>
  </conditionalFormatting>
  <conditionalFormatting sqref="O10:O44">
    <cfRule type="colorScale" priority="8">
      <colorScale>
        <cfvo type="num" val="0"/>
        <cfvo type="num" val="0.5"/>
        <cfvo type="num" val="1"/>
        <color rgb="FFF8696B"/>
        <color rgb="FFFFFFFF"/>
        <color rgb="FF63BE7B"/>
      </colorScale>
    </cfRule>
  </conditionalFormatting>
  <dataValidations count="1">
    <dataValidation allowBlank="false" errorStyle="stop" operator="between" showDropDown="false" showErrorMessage="false" showInputMessage="false" sqref="B3:B4" type="list">
      <formula1>Lists!$A$2:$A$37</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U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7"/>
    <col collapsed="false" customWidth="true" hidden="false" outlineLevel="0" max="3" min="2" style="0" width="12"/>
    <col collapsed="false" customWidth="true" hidden="false" outlineLevel="0" max="21" min="4" style="0" width="11"/>
  </cols>
  <sheetData>
    <row r="1" customFormat="false" ht="17.35" hidden="false" customHeight="false" outlineLevel="0" collapsed="false">
      <c r="A1" s="1" t="s">
        <v>193</v>
      </c>
    </row>
    <row r="2" customFormat="false" ht="15" hidden="false" customHeight="false" outlineLevel="0" collapsed="false">
      <c r="A2" s="12" t="s">
        <v>194</v>
      </c>
    </row>
    <row r="3" customFormat="false" ht="15" hidden="false" customHeight="true" outlineLevel="0" collapsed="false">
      <c r="D3" s="24" t="s">
        <v>195</v>
      </c>
      <c r="E3" s="24"/>
      <c r="F3" s="24"/>
      <c r="G3" s="24"/>
      <c r="H3" s="24"/>
      <c r="I3" s="24" t="s">
        <v>196</v>
      </c>
      <c r="J3" s="24"/>
      <c r="K3" s="24"/>
      <c r="L3" s="24" t="s">
        <v>197</v>
      </c>
      <c r="M3" s="24"/>
      <c r="N3" s="24"/>
      <c r="O3" s="24"/>
      <c r="P3" s="24"/>
      <c r="Q3" s="24" t="s">
        <v>198</v>
      </c>
      <c r="R3" s="24"/>
      <c r="S3" s="24"/>
      <c r="T3" s="24"/>
      <c r="U3" s="24"/>
    </row>
    <row r="4" customFormat="false" ht="57.75" hidden="false" customHeight="true" outlineLevel="0" collapsed="false">
      <c r="A4" s="14" t="s">
        <v>199</v>
      </c>
      <c r="B4" s="14" t="s">
        <v>200</v>
      </c>
      <c r="C4" s="14" t="s">
        <v>201</v>
      </c>
      <c r="D4" s="14" t="s">
        <v>202</v>
      </c>
      <c r="E4" s="14" t="s">
        <v>203</v>
      </c>
      <c r="F4" s="14" t="s">
        <v>204</v>
      </c>
      <c r="G4" s="14" t="s">
        <v>205</v>
      </c>
      <c r="H4" s="14" t="s">
        <v>206</v>
      </c>
      <c r="I4" s="14" t="s">
        <v>207</v>
      </c>
      <c r="J4" s="14" t="s">
        <v>208</v>
      </c>
      <c r="K4" s="14" t="s">
        <v>209</v>
      </c>
      <c r="L4" s="14" t="s">
        <v>210</v>
      </c>
      <c r="M4" s="14" t="s">
        <v>211</v>
      </c>
      <c r="N4" s="14" t="s">
        <v>212</v>
      </c>
      <c r="O4" s="14" t="s">
        <v>213</v>
      </c>
      <c r="P4" s="14" t="s">
        <v>214</v>
      </c>
      <c r="Q4" s="14" t="s">
        <v>215</v>
      </c>
      <c r="R4" s="14" t="s">
        <v>216</v>
      </c>
      <c r="S4" s="14" t="s">
        <v>217</v>
      </c>
      <c r="T4" s="14" t="s">
        <v>218</v>
      </c>
      <c r="U4" s="14" t="s">
        <v>219</v>
      </c>
    </row>
    <row r="5" customFormat="false" ht="15" hidden="false" customHeight="false" outlineLevel="0" collapsed="false">
      <c r="A5" s="6" t="n">
        <v>2019</v>
      </c>
      <c r="B5" s="7" t="str">
        <f aca="false">"Spring "&amp;A5</f>
        <v>Spring 2019</v>
      </c>
      <c r="C5" s="7" t="str">
        <f aca="false">"Fall "&amp;A5</f>
        <v>Fall 2019</v>
      </c>
      <c r="D5" s="19" t="n">
        <f aca="false">IF(OR(I5="",J5="",N(J5)=0),"",100*I5/J5)</f>
        <v>143.338954468803</v>
      </c>
      <c r="E5" s="19" t="n">
        <f aca="false">IF(OR(P5="",U5="",N(U5)=0),"",100*P5/U5)</f>
        <v>141.717043434087</v>
      </c>
      <c r="F5" s="19" t="n">
        <f aca="false">IF(OR(N5="",N(N5)&lt;=0),"",100*I5/N5)</f>
        <v>340</v>
      </c>
      <c r="G5" s="33" t="n">
        <f aca="false">IF(OR(O5="",T5=""),"",100*(O5-T5))</f>
        <v>20.4890802225236</v>
      </c>
      <c r="H5" s="19" t="n">
        <f aca="false">IF(COUNT(D5:F5)=0,"",AVERAGE(D5:F5))</f>
        <v>208.351999300963</v>
      </c>
      <c r="I5" s="19" t="n">
        <f aca="false">IF(OR(IFERROR(INDEX('New Members Matrix'!$B$43:$U$43,MATCH($B5,'New Members Matrix'!$B$2:$U$2,0)),"")="",IFERROR(INDEX('New Members Matrix'!$B$43:$U$43,MATCH($C5,'New Members Matrix'!$B$2:$U$2,0)),"")=""),"",IFERROR(INDEX('New Members Matrix'!$B$43:$U$43,MATCH($B5,'New Members Matrix'!$B$2:$U$2,0)),"")+IFERROR(INDEX('New Members Matrix'!$B$43:$U$43,MATCH($C5,'New Members Matrix'!$B$2:$U$2,0)),""))</f>
        <v>34</v>
      </c>
      <c r="J5" s="26" t="n">
        <f aca="false">IF(OR(IFERROR(INDEX('New Members Matrix'!$B$41:$U$41,MATCH($B5,'New Members Matrix'!$B$2:$U$2,0)),"")="",IFERROR(INDEX('New Members Matrix'!$B$41:$U$41,MATCH($C5,'New Members Matrix'!$B$2:$U$2,0)),"")=""),"",IFERROR(INDEX('New Members Matrix'!$B$41:$U$41,MATCH($B5,'New Members Matrix'!$B$2:$U$2,0)),"")+IFERROR(INDEX('New Members Matrix'!$B$41:$U$41,MATCH($C5,'New Members Matrix'!$B$2:$U$2,0)),""))</f>
        <v>23.72</v>
      </c>
      <c r="K5" s="27" t="n">
        <f aca="false">IF(OR(I5="",Q5="",N(Q5)=0),"",I5/Q5)</f>
        <v>0.0535433070866142</v>
      </c>
      <c r="L5" s="19" t="n">
        <f aca="false">IF(IFERROR(INDEX('Members Matrix'!$B$43:$U$43,MATCH("Fall "&amp;($A5-1),'Members Matrix'!$B$2:$U$2,0)),"")="","",IFERROR(INDEX('Members Matrix'!$B$43:$U$43,MATCH("Fall "&amp;($A5-1),'Members Matrix'!$B$2:$U$2,0)),""))</f>
        <v>62</v>
      </c>
      <c r="M5" s="19" t="n">
        <f aca="false">IF(IFERROR(INDEX('Members Matrix'!$B$43:$U$43,MATCH($C5,'Members Matrix'!$B$2:$U$2,0)),"")="","",IFERROR(INDEX('Members Matrix'!$B$43:$U$43,MATCH($C5,'Members Matrix'!$B$2:$U$2,0)),""))</f>
        <v>86</v>
      </c>
      <c r="N5" s="19" t="n">
        <f aca="false">IF(OR(I5="",L5="",M5=""),"",L5+I5-M5)</f>
        <v>10</v>
      </c>
      <c r="O5" s="32" t="n">
        <f aca="false">IF(OR(L5="",M5="",N(L5)=0),"",M5/L5-1)</f>
        <v>0.387096774193549</v>
      </c>
      <c r="P5" s="31" t="n">
        <f aca="false">IF(OR(I5="",L5="",N(L5)=0),"",I5/L5)</f>
        <v>0.548387096774194</v>
      </c>
      <c r="Q5" s="19" t="n">
        <f aca="false">IF(OR(IFERROR(INDEX('New Members Matrix'!$B$40:$U$40,MATCH($B5,'New Members Matrix'!$B$2:$U$2,0)),"")="",IFERROR(INDEX('New Members Matrix'!$B$40:$U$40,MATCH($C5,'New Members Matrix'!$B$2:$U$2,0)),"")=""),"",IFERROR(INDEX('New Members Matrix'!$B$40:$U$40,MATCH($B5,'New Members Matrix'!$B$2:$U$2,0)),"")+IFERROR(INDEX('New Members Matrix'!$B$40:$U$40,MATCH($C5,'New Members Matrix'!$B$2:$U$2,0)),""))</f>
        <v>635</v>
      </c>
      <c r="R5" s="19" t="n">
        <f aca="false">IF(IFERROR(INDEX('Members Matrix'!$B$40:$U$40,MATCH("Fall "&amp;($A5-1),'Members Matrix'!$B$2:$U$2,0)),"")="","",IFERROR(INDEX('Members Matrix'!$B$40:$U$40,MATCH("Fall "&amp;($A5-1),'Members Matrix'!$B$2:$U$2,0)),""))</f>
        <v>1641</v>
      </c>
      <c r="S5" s="19" t="n">
        <f aca="false">IF(IFERROR(INDEX('Members Matrix'!$B$40:$U$40,MATCH($C5,'Members Matrix'!$B$2:$U$2,0)),"")="","",IFERROR(INDEX('Members Matrix'!$B$40:$U$40,MATCH($C5,'Members Matrix'!$B$2:$U$2,0)),""))</f>
        <v>1940</v>
      </c>
      <c r="T5" s="32" t="n">
        <f aca="false">IF(OR(R5="",S5="",N(R5)=0),"",S5/R5-1)</f>
        <v>0.182205971968312</v>
      </c>
      <c r="U5" s="31" t="n">
        <f aca="false">IF(OR(Q5="",R5="",N(R5)=0),"",Q5/R5)</f>
        <v>0.386959171237051</v>
      </c>
    </row>
    <row r="6" customFormat="false" ht="15" hidden="false" customHeight="false" outlineLevel="0" collapsed="false">
      <c r="A6" s="6" t="n">
        <v>2020</v>
      </c>
      <c r="B6" s="7" t="str">
        <f aca="false">"Spring "&amp;A6</f>
        <v>Spring 2020</v>
      </c>
      <c r="C6" s="7" t="str">
        <f aca="false">"Fall "&amp;A6</f>
        <v>Fall 2020</v>
      </c>
      <c r="D6" s="19" t="str">
        <f aca="false">IF(OR(I6="",J6="",N(J6)=0),"",100*I6/J6)</f>
        <v/>
      </c>
      <c r="E6" s="19" t="str">
        <f aca="false">IF(OR(P6="",U6="",N(U6)=0),"",100*P6/U6)</f>
        <v/>
      </c>
      <c r="F6" s="19" t="str">
        <f aca="false">IF(OR(N6="",N(N6)&lt;=0),"",100*I6/N6)</f>
        <v/>
      </c>
      <c r="G6" s="33" t="n">
        <f aca="false">IF(OR(O6="",T6=""),"",100*(O6-T6))</f>
        <v>-5.84871733397268</v>
      </c>
      <c r="H6" s="19" t="str">
        <f aca="false">IF(COUNT(D6:F6)=0,"",AVERAGE(D6:F6))</f>
        <v/>
      </c>
      <c r="I6" s="19" t="str">
        <f aca="false">IF(OR(IFERROR(INDEX('New Members Matrix'!$B$43:$U$43,MATCH($B6,'New Members Matrix'!$B$2:$U$2,0)),"")="",IFERROR(INDEX('New Members Matrix'!$B$43:$U$43,MATCH($C6,'New Members Matrix'!$B$2:$U$2,0)),"")=""),"",IFERROR(INDEX('New Members Matrix'!$B$43:$U$43,MATCH($B6,'New Members Matrix'!$B$2:$U$2,0)),"")+IFERROR(INDEX('New Members Matrix'!$B$43:$U$43,MATCH($C6,'New Members Matrix'!$B$2:$U$2,0)),""))</f>
        <v/>
      </c>
      <c r="J6" s="26" t="str">
        <f aca="false">IF(OR(IFERROR(INDEX('New Members Matrix'!$B$41:$U$41,MATCH($B6,'New Members Matrix'!$B$2:$U$2,0)),"")="",IFERROR(INDEX('New Members Matrix'!$B$41:$U$41,MATCH($C6,'New Members Matrix'!$B$2:$U$2,0)),"")=""),"",IFERROR(INDEX('New Members Matrix'!$B$41:$U$41,MATCH($B6,'New Members Matrix'!$B$2:$U$2,0)),"")+IFERROR(INDEX('New Members Matrix'!$B$41:$U$41,MATCH($C6,'New Members Matrix'!$B$2:$U$2,0)),""))</f>
        <v/>
      </c>
      <c r="K6" s="27" t="str">
        <f aca="false">IF(OR(I6="",Q6="",N(Q6)=0),"",I6/Q6)</f>
        <v/>
      </c>
      <c r="L6" s="19" t="n">
        <f aca="false">IF(IFERROR(INDEX('Members Matrix'!$B$43:$U$43,MATCH("Fall "&amp;($A6-1),'Members Matrix'!$B$2:$U$2,0)),"")="","",IFERROR(INDEX('Members Matrix'!$B$43:$U$43,MATCH("Fall "&amp;($A6-1),'Members Matrix'!$B$2:$U$2,0)),""))</f>
        <v>86</v>
      </c>
      <c r="M6" s="19" t="n">
        <f aca="false">IF(IFERROR(INDEX('Members Matrix'!$B$43:$U$43,MATCH($C6,'Members Matrix'!$B$2:$U$2,0)),"")="","",IFERROR(INDEX('Members Matrix'!$B$43:$U$43,MATCH($C6,'Members Matrix'!$B$2:$U$2,0)),""))</f>
        <v>78</v>
      </c>
      <c r="N6" s="19" t="str">
        <f aca="false">IF(OR(I6="",L6="",M6=""),"",L6+I6-M6)</f>
        <v/>
      </c>
      <c r="O6" s="32" t="n">
        <f aca="false">IF(OR(L6="",M6="",N(L6)=0),"",M6/L6-1)</f>
        <v>-0.0930232558139535</v>
      </c>
      <c r="P6" s="31" t="str">
        <f aca="false">IF(OR(I6="",L6="",N(L6)=0),"",I6/L6)</f>
        <v/>
      </c>
      <c r="Q6" s="19" t="str">
        <f aca="false">IF(OR(IFERROR(INDEX('New Members Matrix'!$B$40:$U$40,MATCH($B6,'New Members Matrix'!$B$2:$U$2,0)),"")="",IFERROR(INDEX('New Members Matrix'!$B$40:$U$40,MATCH($C6,'New Members Matrix'!$B$2:$U$2,0)),"")=""),"",IFERROR(INDEX('New Members Matrix'!$B$40:$U$40,MATCH($B6,'New Members Matrix'!$B$2:$U$2,0)),"")+IFERROR(INDEX('New Members Matrix'!$B$40:$U$40,MATCH($C6,'New Members Matrix'!$B$2:$U$2,0)),""))</f>
        <v/>
      </c>
      <c r="R6" s="19" t="n">
        <f aca="false">IF(IFERROR(INDEX('Members Matrix'!$B$40:$U$40,MATCH("Fall "&amp;($A6-1),'Members Matrix'!$B$2:$U$2,0)),"")="","",IFERROR(INDEX('Members Matrix'!$B$40:$U$40,MATCH("Fall "&amp;($A6-1),'Members Matrix'!$B$2:$U$2,0)),""))</f>
        <v>1940</v>
      </c>
      <c r="S6" s="19" t="n">
        <f aca="false">IF(IFERROR(INDEX('Members Matrix'!$B$40:$U$40,MATCH($C6,'Members Matrix'!$B$2:$U$2,0)),"")="","",IFERROR(INDEX('Members Matrix'!$B$40:$U$40,MATCH($C6,'Members Matrix'!$B$2:$U$2,0)),""))</f>
        <v>1873</v>
      </c>
      <c r="T6" s="32" t="n">
        <f aca="false">IF(OR(R6="",S6="",N(R6)=0),"",S6/R6-1)</f>
        <v>-0.0345360824742268</v>
      </c>
      <c r="U6" s="31" t="str">
        <f aca="false">IF(OR(Q6="",R6="",N(R6)=0),"",Q6/R6)</f>
        <v/>
      </c>
    </row>
    <row r="7" customFormat="false" ht="15" hidden="false" customHeight="false" outlineLevel="0" collapsed="false">
      <c r="A7" s="6" t="n">
        <v>2021</v>
      </c>
      <c r="B7" s="7" t="str">
        <f aca="false">"Spring "&amp;A7</f>
        <v>Spring 2021</v>
      </c>
      <c r="C7" s="7" t="str">
        <f aca="false">"Fall "&amp;A7</f>
        <v>Fall 2021</v>
      </c>
      <c r="D7" s="19" t="n">
        <f aca="false">IF(OR(I7="",J7="",N(J7)=0),"",100*I7/J7)</f>
        <v>98.5781990521327</v>
      </c>
      <c r="E7" s="19" t="n">
        <f aca="false">IF(OR(P7="",U7="",N(U7)=0),"",100*P7/U7)</f>
        <v>94.1679235796883</v>
      </c>
      <c r="F7" s="19" t="n">
        <f aca="false">IF(OR(N7="",N(N7)&lt;=0),"",100*I7/N7)</f>
        <v>85.7142857142857</v>
      </c>
      <c r="G7" s="33" t="n">
        <f aca="false">IF(OR(O7="",T7=""),"",100*(O7-T7))</f>
        <v>0.958287130203839</v>
      </c>
      <c r="H7" s="19" t="n">
        <f aca="false">IF(COUNT(D7:F7)=0,"",AVERAGE(D7:F7))</f>
        <v>92.8201361153689</v>
      </c>
      <c r="I7" s="19" t="n">
        <f aca="false">IF(OR(IFERROR(INDEX('New Members Matrix'!$B$43:$U$43,MATCH($B7,'New Members Matrix'!$B$2:$U$2,0)),"")="",IFERROR(INDEX('New Members Matrix'!$B$43:$U$43,MATCH($C7,'New Members Matrix'!$B$2:$U$2,0)),"")=""),"",IFERROR(INDEX('New Members Matrix'!$B$43:$U$43,MATCH($B7,'New Members Matrix'!$B$2:$U$2,0)),"")+IFERROR(INDEX('New Members Matrix'!$B$43:$U$43,MATCH($C7,'New Members Matrix'!$B$2:$U$2,0)),""))</f>
        <v>24</v>
      </c>
      <c r="J7" s="26" t="n">
        <f aca="false">IF(OR(IFERROR(INDEX('New Members Matrix'!$B$41:$U$41,MATCH($B7,'New Members Matrix'!$B$2:$U$2,0)),"")="",IFERROR(INDEX('New Members Matrix'!$B$41:$U$41,MATCH($C7,'New Members Matrix'!$B$2:$U$2,0)),"")=""),"",IFERROR(INDEX('New Members Matrix'!$B$41:$U$41,MATCH($B7,'New Members Matrix'!$B$2:$U$2,0)),"")+IFERROR(INDEX('New Members Matrix'!$B$41:$U$41,MATCH($C7,'New Members Matrix'!$B$2:$U$2,0)),""))</f>
        <v>24.3461538461538</v>
      </c>
      <c r="K7" s="27" t="n">
        <f aca="false">IF(OR(I7="",Q7="",N(Q7)=0),"",I7/Q7)</f>
        <v>0.0392156862745098</v>
      </c>
      <c r="L7" s="19" t="n">
        <f aca="false">IF(IFERROR(INDEX('Members Matrix'!$B$43:$U$43,MATCH("Fall "&amp;($A7-1),'Members Matrix'!$B$2:$U$2,0)),"")="","",IFERROR(INDEX('Members Matrix'!$B$43:$U$43,MATCH("Fall "&amp;($A7-1),'Members Matrix'!$B$2:$U$2,0)),""))</f>
        <v>78</v>
      </c>
      <c r="M7" s="19" t="n">
        <f aca="false">IF(IFERROR(INDEX('Members Matrix'!$B$43:$U$43,MATCH($C7,'Members Matrix'!$B$2:$U$2,0)),"")="","",IFERROR(INDEX('Members Matrix'!$B$43:$U$43,MATCH($C7,'Members Matrix'!$B$2:$U$2,0)),""))</f>
        <v>74</v>
      </c>
      <c r="N7" s="19" t="n">
        <f aca="false">IF(OR(I7="",L7="",M7=""),"",L7+I7-M7)</f>
        <v>28</v>
      </c>
      <c r="O7" s="32" t="n">
        <f aca="false">IF(OR(L7="",M7="",N(L7)=0),"",M7/L7-1)</f>
        <v>-0.0512820512820513</v>
      </c>
      <c r="P7" s="31" t="n">
        <f aca="false">IF(OR(I7="",L7="",N(L7)=0),"",I7/L7)</f>
        <v>0.307692307692308</v>
      </c>
      <c r="Q7" s="19" t="n">
        <f aca="false">IF(OR(IFERROR(INDEX('New Members Matrix'!$B$40:$U$40,MATCH($B7,'New Members Matrix'!$B$2:$U$2,0)),"")="",IFERROR(INDEX('New Members Matrix'!$B$40:$U$40,MATCH($C7,'New Members Matrix'!$B$2:$U$2,0)),"")=""),"",IFERROR(INDEX('New Members Matrix'!$B$40:$U$40,MATCH($B7,'New Members Matrix'!$B$2:$U$2,0)),"")+IFERROR(INDEX('New Members Matrix'!$B$40:$U$40,MATCH($C7,'New Members Matrix'!$B$2:$U$2,0)),""))</f>
        <v>612</v>
      </c>
      <c r="R7" s="19" t="n">
        <f aca="false">IF(IFERROR(INDEX('Members Matrix'!$B$40:$U$40,MATCH("Fall "&amp;($A7-1),'Members Matrix'!$B$2:$U$2,0)),"")="","",IFERROR(INDEX('Members Matrix'!$B$40:$U$40,MATCH("Fall "&amp;($A7-1),'Members Matrix'!$B$2:$U$2,0)),""))</f>
        <v>1873</v>
      </c>
      <c r="S7" s="19" t="n">
        <f aca="false">IF(IFERROR(INDEX('Members Matrix'!$B$40:$U$40,MATCH($C7,'Members Matrix'!$B$2:$U$2,0)),"")="","",IFERROR(INDEX('Members Matrix'!$B$40:$U$40,MATCH($C7,'Members Matrix'!$B$2:$U$2,0)),""))</f>
        <v>1759</v>
      </c>
      <c r="T7" s="32" t="n">
        <f aca="false">IF(OR(R7="",S7="",N(R7)=0),"",S7/R7-1)</f>
        <v>-0.0608649225840897</v>
      </c>
      <c r="U7" s="31" t="n">
        <f aca="false">IF(OR(Q7="",R7="",N(R7)=0),"",Q7/R7)</f>
        <v>0.326748531767218</v>
      </c>
    </row>
    <row r="8" customFormat="false" ht="15" hidden="false" customHeight="false" outlineLevel="0" collapsed="false">
      <c r="A8" s="6" t="n">
        <v>2022</v>
      </c>
      <c r="B8" s="7" t="str">
        <f aca="false">"Spring "&amp;A8</f>
        <v>Spring 2022</v>
      </c>
      <c r="C8" s="7" t="str">
        <f aca="false">"Fall "&amp;A8</f>
        <v>Fall 2022</v>
      </c>
      <c r="D8" s="19" t="str">
        <f aca="false">IF(OR(I8="",J8="",N(J8)=0),"",100*I8/J8)</f>
        <v/>
      </c>
      <c r="E8" s="19" t="str">
        <f aca="false">IF(OR(P8="",U8="",N(U8)=0),"",100*P8/U8)</f>
        <v/>
      </c>
      <c r="F8" s="19" t="str">
        <f aca="false">IF(OR(N8="",N(N8)&lt;=0),"",100*I8/N8)</f>
        <v/>
      </c>
      <c r="G8" s="33" t="n">
        <f aca="false">IF(OR(O8="",T8=""),"",100*(O8-T8))</f>
        <v>-5.36161516832352</v>
      </c>
      <c r="H8" s="19" t="str">
        <f aca="false">IF(COUNT(D8:F8)=0,"",AVERAGE(D8:F8))</f>
        <v/>
      </c>
      <c r="I8" s="19" t="str">
        <f aca="false">IF(OR(IFERROR(INDEX('New Members Matrix'!$B$43:$U$43,MATCH($B8,'New Members Matrix'!$B$2:$U$2,0)),"")="",IFERROR(INDEX('New Members Matrix'!$B$43:$U$43,MATCH($C8,'New Members Matrix'!$B$2:$U$2,0)),"")=""),"",IFERROR(INDEX('New Members Matrix'!$B$43:$U$43,MATCH($B8,'New Members Matrix'!$B$2:$U$2,0)),"")+IFERROR(INDEX('New Members Matrix'!$B$43:$U$43,MATCH($C8,'New Members Matrix'!$B$2:$U$2,0)),""))</f>
        <v/>
      </c>
      <c r="J8" s="26" t="str">
        <f aca="false">IF(OR(IFERROR(INDEX('New Members Matrix'!$B$41:$U$41,MATCH($B8,'New Members Matrix'!$B$2:$U$2,0)),"")="",IFERROR(INDEX('New Members Matrix'!$B$41:$U$41,MATCH($C8,'New Members Matrix'!$B$2:$U$2,0)),"")=""),"",IFERROR(INDEX('New Members Matrix'!$B$41:$U$41,MATCH($B8,'New Members Matrix'!$B$2:$U$2,0)),"")+IFERROR(INDEX('New Members Matrix'!$B$41:$U$41,MATCH($C8,'New Members Matrix'!$B$2:$U$2,0)),""))</f>
        <v/>
      </c>
      <c r="K8" s="27" t="str">
        <f aca="false">IF(OR(I8="",Q8="",N(Q8)=0),"",I8/Q8)</f>
        <v/>
      </c>
      <c r="L8" s="19" t="n">
        <f aca="false">IF(IFERROR(INDEX('Members Matrix'!$B$43:$U$43,MATCH("Fall "&amp;($A8-1),'Members Matrix'!$B$2:$U$2,0)),"")="","",IFERROR(INDEX('Members Matrix'!$B$43:$U$43,MATCH("Fall "&amp;($A8-1),'Members Matrix'!$B$2:$U$2,0)),""))</f>
        <v>74</v>
      </c>
      <c r="M8" s="19" t="n">
        <f aca="false">IF(IFERROR(INDEX('Members Matrix'!$B$43:$U$43,MATCH($C8,'Members Matrix'!$B$2:$U$2,0)),"")="","",IFERROR(INDEX('Members Matrix'!$B$43:$U$43,MATCH($C8,'Members Matrix'!$B$2:$U$2,0)),""))</f>
        <v>71</v>
      </c>
      <c r="N8" s="19" t="str">
        <f aca="false">IF(OR(I8="",L8="",M8=""),"",L8+I8-M8)</f>
        <v/>
      </c>
      <c r="O8" s="32" t="n">
        <f aca="false">IF(OR(L8="",M8="",N(L8)=0),"",M8/L8-1)</f>
        <v>-0.0405405405405406</v>
      </c>
      <c r="P8" s="31" t="str">
        <f aca="false">IF(OR(I8="",L8="",N(L8)=0),"",I8/L8)</f>
        <v/>
      </c>
      <c r="Q8" s="19" t="str">
        <f aca="false">IF(OR(IFERROR(INDEX('New Members Matrix'!$B$40:$U$40,MATCH($B8,'New Members Matrix'!$B$2:$U$2,0)),"")="",IFERROR(INDEX('New Members Matrix'!$B$40:$U$40,MATCH($C8,'New Members Matrix'!$B$2:$U$2,0)),"")=""),"",IFERROR(INDEX('New Members Matrix'!$B$40:$U$40,MATCH($B8,'New Members Matrix'!$B$2:$U$2,0)),"")+IFERROR(INDEX('New Members Matrix'!$B$40:$U$40,MATCH($C8,'New Members Matrix'!$B$2:$U$2,0)),""))</f>
        <v/>
      </c>
      <c r="R8" s="19" t="n">
        <f aca="false">IF(IFERROR(INDEX('Members Matrix'!$B$40:$U$40,MATCH("Fall "&amp;($A8-1),'Members Matrix'!$B$2:$U$2,0)),"")="","",IFERROR(INDEX('Members Matrix'!$B$40:$U$40,MATCH("Fall "&amp;($A8-1),'Members Matrix'!$B$2:$U$2,0)),""))</f>
        <v>1759</v>
      </c>
      <c r="S8" s="19" t="n">
        <f aca="false">IF(IFERROR(INDEX('Members Matrix'!$B$40:$U$40,MATCH($C8,'Members Matrix'!$B$2:$U$2,0)),"")="","",IFERROR(INDEX('Members Matrix'!$B$40:$U$40,MATCH($C8,'Members Matrix'!$B$2:$U$2,0)),""))</f>
        <v>1782</v>
      </c>
      <c r="T8" s="32" t="n">
        <f aca="false">IF(OR(R8="",S8="",N(R8)=0),"",S8/R8-1)</f>
        <v>0.0130756111426946</v>
      </c>
      <c r="U8" s="31" t="str">
        <f aca="false">IF(OR(Q8="",R8="",N(R8)=0),"",Q8/R8)</f>
        <v/>
      </c>
    </row>
    <row r="9" customFormat="false" ht="15" hidden="false" customHeight="false" outlineLevel="0" collapsed="false">
      <c r="A9" s="6" t="n">
        <v>2023</v>
      </c>
      <c r="B9" s="7" t="str">
        <f aca="false">"Spring "&amp;A9</f>
        <v>Spring 2023</v>
      </c>
      <c r="C9" s="7" t="str">
        <f aca="false">"Fall "&amp;A9</f>
        <v>Fall 2023</v>
      </c>
      <c r="D9" s="19" t="str">
        <f aca="false">IF(OR(I9="",J9="",N(J9)=0),"",100*I9/J9)</f>
        <v/>
      </c>
      <c r="E9" s="19" t="str">
        <f aca="false">IF(OR(P9="",U9="",N(U9)=0),"",100*P9/U9)</f>
        <v/>
      </c>
      <c r="F9" s="19" t="str">
        <f aca="false">IF(OR(N9="",N(N9)&lt;=0),"",100*I9/N9)</f>
        <v/>
      </c>
      <c r="G9" s="33" t="n">
        <f aca="false">IF(OR(O9="",T9=""),"",100*(O9-T9))</f>
        <v>-16.951992538847</v>
      </c>
      <c r="H9" s="19" t="str">
        <f aca="false">IF(COUNT(D9:F9)=0,"",AVERAGE(D9:F9))</f>
        <v/>
      </c>
      <c r="I9" s="19" t="str">
        <f aca="false">IF(OR(IFERROR(INDEX('New Members Matrix'!$B$43:$U$43,MATCH($B9,'New Members Matrix'!$B$2:$U$2,0)),"")="",IFERROR(INDEX('New Members Matrix'!$B$43:$U$43,MATCH($C9,'New Members Matrix'!$B$2:$U$2,0)),"")=""),"",IFERROR(INDEX('New Members Matrix'!$B$43:$U$43,MATCH($B9,'New Members Matrix'!$B$2:$U$2,0)),"")+IFERROR(INDEX('New Members Matrix'!$B$43:$U$43,MATCH($C9,'New Members Matrix'!$B$2:$U$2,0)),""))</f>
        <v/>
      </c>
      <c r="J9" s="26" t="str">
        <f aca="false">IF(OR(IFERROR(INDEX('New Members Matrix'!$B$41:$U$41,MATCH($B9,'New Members Matrix'!$B$2:$U$2,0)),"")="",IFERROR(INDEX('New Members Matrix'!$B$41:$U$41,MATCH($C9,'New Members Matrix'!$B$2:$U$2,0)),"")=""),"",IFERROR(INDEX('New Members Matrix'!$B$41:$U$41,MATCH($B9,'New Members Matrix'!$B$2:$U$2,0)),"")+IFERROR(INDEX('New Members Matrix'!$B$41:$U$41,MATCH($C9,'New Members Matrix'!$B$2:$U$2,0)),""))</f>
        <v/>
      </c>
      <c r="K9" s="27" t="str">
        <f aca="false">IF(OR(I9="",Q9="",N(Q9)=0),"",I9/Q9)</f>
        <v/>
      </c>
      <c r="L9" s="19" t="n">
        <f aca="false">IF(IFERROR(INDEX('Members Matrix'!$B$43:$U$43,MATCH("Fall "&amp;($A9-1),'Members Matrix'!$B$2:$U$2,0)),"")="","",IFERROR(INDEX('Members Matrix'!$B$43:$U$43,MATCH("Fall "&amp;($A9-1),'Members Matrix'!$B$2:$U$2,0)),""))</f>
        <v>71</v>
      </c>
      <c r="M9" s="19" t="n">
        <f aca="false">IF(IFERROR(INDEX('Members Matrix'!$B$43:$U$43,MATCH($C9,'Members Matrix'!$B$2:$U$2,0)),"")="","",IFERROR(INDEX('Members Matrix'!$B$43:$U$43,MATCH($C9,'Members Matrix'!$B$2:$U$2,0)),""))</f>
        <v>60</v>
      </c>
      <c r="N9" s="19" t="str">
        <f aca="false">IF(OR(I9="",L9="",M9=""),"",L9+I9-M9)</f>
        <v/>
      </c>
      <c r="O9" s="32" t="n">
        <f aca="false">IF(OR(L9="",M9="",N(L9)=0),"",M9/L9-1)</f>
        <v>-0.154929577464789</v>
      </c>
      <c r="P9" s="31" t="str">
        <f aca="false">IF(OR(I9="",L9="",N(L9)=0),"",I9/L9)</f>
        <v/>
      </c>
      <c r="Q9" s="19" t="str">
        <f aca="false">IF(OR(IFERROR(INDEX('New Members Matrix'!$B$40:$U$40,MATCH($B9,'New Members Matrix'!$B$2:$U$2,0)),"")="",IFERROR(INDEX('New Members Matrix'!$B$40:$U$40,MATCH($C9,'New Members Matrix'!$B$2:$U$2,0)),"")=""),"",IFERROR(INDEX('New Members Matrix'!$B$40:$U$40,MATCH($B9,'New Members Matrix'!$B$2:$U$2,0)),"")+IFERROR(INDEX('New Members Matrix'!$B$40:$U$40,MATCH($C9,'New Members Matrix'!$B$2:$U$2,0)),""))</f>
        <v/>
      </c>
      <c r="R9" s="19" t="n">
        <f aca="false">IF(IFERROR(INDEX('Members Matrix'!$B$40:$U$40,MATCH("Fall "&amp;($A9-1),'Members Matrix'!$B$2:$U$2,0)),"")="","",IFERROR(INDEX('Members Matrix'!$B$40:$U$40,MATCH("Fall "&amp;($A9-1),'Members Matrix'!$B$2:$U$2,0)),""))</f>
        <v>1782</v>
      </c>
      <c r="S9" s="19" t="n">
        <f aca="false">IF(IFERROR(INDEX('Members Matrix'!$B$40:$U$40,MATCH($C9,'Members Matrix'!$B$2:$U$2,0)),"")="","",IFERROR(INDEX('Members Matrix'!$B$40:$U$40,MATCH($C9,'Members Matrix'!$B$2:$U$2,0)),""))</f>
        <v>1808</v>
      </c>
      <c r="T9" s="32" t="n">
        <f aca="false">IF(OR(R9="",S9="",N(R9)=0),"",S9/R9-1)</f>
        <v>0.0145903479236813</v>
      </c>
      <c r="U9" s="31" t="str">
        <f aca="false">IF(OR(Q9="",R9="",N(R9)=0),"",Q9/R9)</f>
        <v/>
      </c>
    </row>
    <row r="10" customFormat="false" ht="15" hidden="false" customHeight="false" outlineLevel="0" collapsed="false">
      <c r="A10" s="6" t="n">
        <v>2024</v>
      </c>
      <c r="B10" s="7" t="str">
        <f aca="false">"Spring "&amp;A10</f>
        <v>Spring 2024</v>
      </c>
      <c r="C10" s="7" t="str">
        <f aca="false">"Fall "&amp;A10</f>
        <v>Fall 2024</v>
      </c>
      <c r="D10" s="19" t="n">
        <f aca="false">IF(OR(I10="",J10="",N(J10)=0),"",100*I10/J10)</f>
        <v>67.8122123350721</v>
      </c>
      <c r="E10" s="19" t="n">
        <f aca="false">IF(OR(P10="",U10="",N(U10)=0),"",100*P10/U10)</f>
        <v>79.0534979423868</v>
      </c>
      <c r="F10" s="19" t="n">
        <f aca="false">IF(OR(N10="",N(N10)&lt;=0),"",100*I10/N10)</f>
        <v>58.6206896551724</v>
      </c>
      <c r="G10" s="33" t="n">
        <f aca="false">IF(OR(O10="",T10=""),"",100*(O10-T10))</f>
        <v>-25.3097345132743</v>
      </c>
      <c r="H10" s="19" t="n">
        <f aca="false">IF(COUNT(D10:F10)=0,"",AVERAGE(D10:F10))</f>
        <v>68.4954666442105</v>
      </c>
      <c r="I10" s="19" t="n">
        <f aca="false">IF(OR(IFERROR(INDEX('New Members Matrix'!$B$43:$U$43,MATCH($B10,'New Members Matrix'!$B$2:$U$2,0)),"")="",IFERROR(INDEX('New Members Matrix'!$B$43:$U$43,MATCH($C10,'New Members Matrix'!$B$2:$U$2,0)),"")=""),"",IFERROR(INDEX('New Members Matrix'!$B$43:$U$43,MATCH($B10,'New Members Matrix'!$B$2:$U$2,0)),"")+IFERROR(INDEX('New Members Matrix'!$B$43:$U$43,MATCH($C10,'New Members Matrix'!$B$2:$U$2,0)),""))</f>
        <v>17</v>
      </c>
      <c r="J10" s="26" t="n">
        <f aca="false">IF(OR(IFERROR(INDEX('New Members Matrix'!$B$41:$U$41,MATCH($B10,'New Members Matrix'!$B$2:$U$2,0)),"")="",IFERROR(INDEX('New Members Matrix'!$B$41:$U$41,MATCH($C10,'New Members Matrix'!$B$2:$U$2,0)),"")=""),"",IFERROR(INDEX('New Members Matrix'!$B$41:$U$41,MATCH($B10,'New Members Matrix'!$B$2:$U$2,0)),"")+IFERROR(INDEX('New Members Matrix'!$B$41:$U$41,MATCH($C10,'New Members Matrix'!$B$2:$U$2,0)),""))</f>
        <v>25.0692307692308</v>
      </c>
      <c r="K10" s="27" t="n">
        <f aca="false">IF(OR(I10="",Q10="",N(Q10)=0),"",I10/Q10)</f>
        <v>0.0262345679012346</v>
      </c>
      <c r="L10" s="19" t="n">
        <f aca="false">IF(IFERROR(INDEX('Members Matrix'!$B$43:$U$43,MATCH("Fall "&amp;($A10-1),'Members Matrix'!$B$2:$U$2,0)),"")="","",IFERROR(INDEX('Members Matrix'!$B$43:$U$43,MATCH("Fall "&amp;($A10-1),'Members Matrix'!$B$2:$U$2,0)),""))</f>
        <v>60</v>
      </c>
      <c r="M10" s="19" t="n">
        <f aca="false">IF(IFERROR(INDEX('Members Matrix'!$B$43:$U$43,MATCH($C10,'Members Matrix'!$B$2:$U$2,0)),"")="","",IFERROR(INDEX('Members Matrix'!$B$43:$U$43,MATCH($C10,'Members Matrix'!$B$2:$U$2,0)),""))</f>
        <v>48</v>
      </c>
      <c r="N10" s="19" t="n">
        <f aca="false">IF(OR(I10="",L10="",M10=""),"",L10+I10-M10)</f>
        <v>29</v>
      </c>
      <c r="O10" s="32" t="n">
        <f aca="false">IF(OR(L10="",M10="",N(L10)=0),"",M10/L10-1)</f>
        <v>-0.2</v>
      </c>
      <c r="P10" s="31" t="n">
        <f aca="false">IF(OR(I10="",L10="",N(L10)=0),"",I10/L10)</f>
        <v>0.283333333333333</v>
      </c>
      <c r="Q10" s="19" t="n">
        <f aca="false">IF(OR(IFERROR(INDEX('New Members Matrix'!$B$40:$U$40,MATCH($B10,'New Members Matrix'!$B$2:$U$2,0)),"")="",IFERROR(INDEX('New Members Matrix'!$B$40:$U$40,MATCH($C10,'New Members Matrix'!$B$2:$U$2,0)),"")=""),"",IFERROR(INDEX('New Members Matrix'!$B$40:$U$40,MATCH($B10,'New Members Matrix'!$B$2:$U$2,0)),"")+IFERROR(INDEX('New Members Matrix'!$B$40:$U$40,MATCH($C10,'New Members Matrix'!$B$2:$U$2,0)),""))</f>
        <v>648</v>
      </c>
      <c r="R10" s="19" t="n">
        <f aca="false">IF(IFERROR(INDEX('Members Matrix'!$B$40:$U$40,MATCH("Fall "&amp;($A10-1),'Members Matrix'!$B$2:$U$2,0)),"")="","",IFERROR(INDEX('Members Matrix'!$B$40:$U$40,MATCH("Fall "&amp;($A10-1),'Members Matrix'!$B$2:$U$2,0)),""))</f>
        <v>1808</v>
      </c>
      <c r="S10" s="19" t="n">
        <f aca="false">IF(IFERROR(INDEX('Members Matrix'!$B$40:$U$40,MATCH($C10,'Members Matrix'!$B$2:$U$2,0)),"")="","",IFERROR(INDEX('Members Matrix'!$B$40:$U$40,MATCH($C10,'Members Matrix'!$B$2:$U$2,0)),""))</f>
        <v>1904</v>
      </c>
      <c r="T10" s="32" t="n">
        <f aca="false">IF(OR(R10="",S10="",N(R10)=0),"",S10/R10-1)</f>
        <v>0.0530973451327434</v>
      </c>
      <c r="U10" s="31" t="n">
        <f aca="false">IF(OR(Q10="",R10="",N(R10)=0),"",Q10/R10)</f>
        <v>0.358407079646018</v>
      </c>
    </row>
    <row r="11" customFormat="false" ht="15" hidden="false" customHeight="false" outlineLevel="0" collapsed="false">
      <c r="A11" s="6" t="n">
        <v>2025</v>
      </c>
      <c r="B11" s="7" t="str">
        <f aca="false">"Spring "&amp;A11</f>
        <v>Spring 2025</v>
      </c>
      <c r="C11" s="7" t="str">
        <f aca="false">"Fall "&amp;A11</f>
        <v>Fall 2025</v>
      </c>
      <c r="D11" s="19" t="n">
        <f aca="false">IF(OR(I11="",J11="",N(J11)=0),"",100*I11/J11)</f>
        <v>55.9040934219517</v>
      </c>
      <c r="E11" s="19" t="n">
        <f aca="false">IF(OR(P11="",U11="",N(U11)=0),"",100*P11/U11)</f>
        <v>89.3393393393394</v>
      </c>
      <c r="F11" s="19" t="n">
        <f aca="false">IF(OR(N11="",N(N11)&lt;=0),"",100*I11/N11)</f>
        <v>78.9473684210526</v>
      </c>
      <c r="G11" s="33" t="n">
        <f aca="false">IF(OR(O11="",T11=""),"",100*(O11-T11))</f>
        <v>-12.3249299719888</v>
      </c>
      <c r="H11" s="19" t="n">
        <f aca="false">IF(COUNT(D11:F11)=0,"",AVERAGE(D11:F11))</f>
        <v>74.7302670607812</v>
      </c>
      <c r="I11" s="19" t="n">
        <f aca="false">IF(OR(IFERROR(INDEX('New Members Matrix'!$B$43:$U$43,MATCH($B11,'New Members Matrix'!$B$2:$U$2,0)),"")="",IFERROR(INDEX('New Members Matrix'!$B$43:$U$43,MATCH($C11,'New Members Matrix'!$B$2:$U$2,0)),"")=""),"",IFERROR(INDEX('New Members Matrix'!$B$43:$U$43,MATCH($B11,'New Members Matrix'!$B$2:$U$2,0)),"")+IFERROR(INDEX('New Members Matrix'!$B$43:$U$43,MATCH($C11,'New Members Matrix'!$B$2:$U$2,0)),""))</f>
        <v>15</v>
      </c>
      <c r="J11" s="26" t="n">
        <f aca="false">IF(OR(IFERROR(INDEX('New Members Matrix'!$B$41:$U$41,MATCH($B11,'New Members Matrix'!$B$2:$U$2,0)),"")="",IFERROR(INDEX('New Members Matrix'!$B$41:$U$41,MATCH($C11,'New Members Matrix'!$B$2:$U$2,0)),"")=""),"",IFERROR(INDEX('New Members Matrix'!$B$41:$U$41,MATCH($B11,'New Members Matrix'!$B$2:$U$2,0)),"")+IFERROR(INDEX('New Members Matrix'!$B$41:$U$41,MATCH($C11,'New Members Matrix'!$B$2:$U$2,0)),""))</f>
        <v>26.8316666666667</v>
      </c>
      <c r="K11" s="27" t="n">
        <f aca="false">IF(OR(I11="",Q11="",N(Q11)=0),"",I11/Q11)</f>
        <v>0.0225225225225225</v>
      </c>
      <c r="L11" s="19" t="n">
        <f aca="false">IF(IFERROR(INDEX('Members Matrix'!$B$43:$U$43,MATCH("Fall "&amp;($A11-1),'Members Matrix'!$B$2:$U$2,0)),"")="","",IFERROR(INDEX('Members Matrix'!$B$43:$U$43,MATCH("Fall "&amp;($A11-1),'Members Matrix'!$B$2:$U$2,0)),""))</f>
        <v>48</v>
      </c>
      <c r="M11" s="19" t="n">
        <f aca="false">IF(IFERROR(INDEX('Members Matrix'!$B$43:$U$43,MATCH($C11,'Members Matrix'!$B$2:$U$2,0)),"")="","",IFERROR(INDEX('Members Matrix'!$B$43:$U$43,MATCH($C11,'Members Matrix'!$B$2:$U$2,0)),""))</f>
        <v>44</v>
      </c>
      <c r="N11" s="19" t="n">
        <f aca="false">IF(OR(I11="",L11="",M11=""),"",L11+I11-M11)</f>
        <v>19</v>
      </c>
      <c r="O11" s="32" t="n">
        <f aca="false">IF(OR(L11="",M11="",N(L11)=0),"",M11/L11-1)</f>
        <v>-0.0833333333333334</v>
      </c>
      <c r="P11" s="31" t="n">
        <f aca="false">IF(OR(I11="",L11="",N(L11)=0),"",I11/L11)</f>
        <v>0.3125</v>
      </c>
      <c r="Q11" s="19" t="n">
        <f aca="false">IF(OR(IFERROR(INDEX('New Members Matrix'!$B$40:$U$40,MATCH($B11,'New Members Matrix'!$B$2:$U$2,0)),"")="",IFERROR(INDEX('New Members Matrix'!$B$40:$U$40,MATCH($C11,'New Members Matrix'!$B$2:$U$2,0)),"")=""),"",IFERROR(INDEX('New Members Matrix'!$B$40:$U$40,MATCH($B11,'New Members Matrix'!$B$2:$U$2,0)),"")+IFERROR(INDEX('New Members Matrix'!$B$40:$U$40,MATCH($C11,'New Members Matrix'!$B$2:$U$2,0)),""))</f>
        <v>666</v>
      </c>
      <c r="R11" s="19" t="n">
        <f aca="false">IF(IFERROR(INDEX('Members Matrix'!$B$40:$U$40,MATCH("Fall "&amp;($A11-1),'Members Matrix'!$B$2:$U$2,0)),"")="","",IFERROR(INDEX('Members Matrix'!$B$40:$U$40,MATCH("Fall "&amp;($A11-1),'Members Matrix'!$B$2:$U$2,0)),""))</f>
        <v>1904</v>
      </c>
      <c r="S11" s="19" t="n">
        <f aca="false">IF(IFERROR(INDEX('Members Matrix'!$B$40:$U$40,MATCH($C11,'Members Matrix'!$B$2:$U$2,0)),"")="","",IFERROR(INDEX('Members Matrix'!$B$40:$U$40,MATCH($C11,'Members Matrix'!$B$2:$U$2,0)),""))</f>
        <v>1980</v>
      </c>
      <c r="T11" s="32" t="n">
        <f aca="false">IF(OR(R11="",S11="",N(R11)=0),"",S11/R11-1)</f>
        <v>0.0399159663865547</v>
      </c>
      <c r="U11" s="31" t="n">
        <f aca="false">IF(OR(Q11="",R11="",N(R11)=0),"",Q11/R11)</f>
        <v>0.349789915966387</v>
      </c>
    </row>
    <row r="12" customFormat="false" ht="15" hidden="false" customHeight="false" outlineLevel="0" collapsed="false">
      <c r="A12" s="6" t="n">
        <v>2026</v>
      </c>
      <c r="B12" s="7" t="str">
        <f aca="false">"Spring "&amp;A12</f>
        <v>Spring 2026</v>
      </c>
      <c r="C12" s="7" t="str">
        <f aca="false">"Fall "&amp;A12</f>
        <v>Fall 2026</v>
      </c>
      <c r="D12" s="19" t="str">
        <f aca="false">IF(OR(I12="",J12="",N(J12)=0),"",100*I12/J12)</f>
        <v/>
      </c>
      <c r="E12" s="19" t="str">
        <f aca="false">IF(OR(P12="",U12="",N(U12)=0),"",100*P12/U12)</f>
        <v/>
      </c>
      <c r="F12" s="19" t="str">
        <f aca="false">IF(OR(N12="",N(N12)&lt;=0),"",100*I12/N12)</f>
        <v/>
      </c>
      <c r="G12" s="33" t="str">
        <f aca="false">IF(OR(O12="",T12=""),"",100*(O12-T12))</f>
        <v/>
      </c>
      <c r="H12" s="19" t="str">
        <f aca="false">IF(COUNT(D12:F12)=0,"",AVERAGE(D12:F12))</f>
        <v/>
      </c>
      <c r="I12" s="19" t="str">
        <f aca="false">IF(OR(IFERROR(INDEX('New Members Matrix'!$B$43:$U$43,MATCH($B12,'New Members Matrix'!$B$2:$U$2,0)),"")="",IFERROR(INDEX('New Members Matrix'!$B$43:$U$43,MATCH($C12,'New Members Matrix'!$B$2:$U$2,0)),"")=""),"",IFERROR(INDEX('New Members Matrix'!$B$43:$U$43,MATCH($B12,'New Members Matrix'!$B$2:$U$2,0)),"")+IFERROR(INDEX('New Members Matrix'!$B$43:$U$43,MATCH($C12,'New Members Matrix'!$B$2:$U$2,0)),""))</f>
        <v/>
      </c>
      <c r="J12" s="26" t="str">
        <f aca="false">IF(OR(IFERROR(INDEX('New Members Matrix'!$B$41:$U$41,MATCH($B12,'New Members Matrix'!$B$2:$U$2,0)),"")="",IFERROR(INDEX('New Members Matrix'!$B$41:$U$41,MATCH($C12,'New Members Matrix'!$B$2:$U$2,0)),"")=""),"",IFERROR(INDEX('New Members Matrix'!$B$41:$U$41,MATCH($B12,'New Members Matrix'!$B$2:$U$2,0)),"")+IFERROR(INDEX('New Members Matrix'!$B$41:$U$41,MATCH($C12,'New Members Matrix'!$B$2:$U$2,0)),""))</f>
        <v/>
      </c>
      <c r="K12" s="27" t="str">
        <f aca="false">IF(OR(I12="",Q12="",N(Q12)=0),"",I12/Q12)</f>
        <v/>
      </c>
      <c r="L12" s="19" t="n">
        <f aca="false">IF(IFERROR(INDEX('Members Matrix'!$B$43:$U$43,MATCH("Fall "&amp;($A12-1),'Members Matrix'!$B$2:$U$2,0)),"")="","",IFERROR(INDEX('Members Matrix'!$B$43:$U$43,MATCH("Fall "&amp;($A12-1),'Members Matrix'!$B$2:$U$2,0)),""))</f>
        <v>44</v>
      </c>
      <c r="M12" s="19" t="str">
        <f aca="false">IF(IFERROR(INDEX('Members Matrix'!$B$43:$U$43,MATCH($C12,'Members Matrix'!$B$2:$U$2,0)),"")="","",IFERROR(INDEX('Members Matrix'!$B$43:$U$43,MATCH($C12,'Members Matrix'!$B$2:$U$2,0)),""))</f>
        <v/>
      </c>
      <c r="N12" s="19" t="str">
        <f aca="false">IF(OR(I12="",L12="",M12=""),"",L12+I12-M12)</f>
        <v/>
      </c>
      <c r="O12" s="32" t="str">
        <f aca="false">IF(OR(L12="",M12="",N(L12)=0),"",M12/L12-1)</f>
        <v/>
      </c>
      <c r="P12" s="31" t="str">
        <f aca="false">IF(OR(I12="",L12="",N(L12)=0),"",I12/L12)</f>
        <v/>
      </c>
      <c r="Q12" s="19" t="str">
        <f aca="false">IF(OR(IFERROR(INDEX('New Members Matrix'!$B$40:$U$40,MATCH($B12,'New Members Matrix'!$B$2:$U$2,0)),"")="",IFERROR(INDEX('New Members Matrix'!$B$40:$U$40,MATCH($C12,'New Members Matrix'!$B$2:$U$2,0)),"")=""),"",IFERROR(INDEX('New Members Matrix'!$B$40:$U$40,MATCH($B12,'New Members Matrix'!$B$2:$U$2,0)),"")+IFERROR(INDEX('New Members Matrix'!$B$40:$U$40,MATCH($C12,'New Members Matrix'!$B$2:$U$2,0)),""))</f>
        <v/>
      </c>
      <c r="R12" s="19" t="n">
        <f aca="false">IF(IFERROR(INDEX('Members Matrix'!$B$40:$U$40,MATCH("Fall "&amp;($A12-1),'Members Matrix'!$B$2:$U$2,0)),"")="","",IFERROR(INDEX('Members Matrix'!$B$40:$U$40,MATCH("Fall "&amp;($A12-1),'Members Matrix'!$B$2:$U$2,0)),""))</f>
        <v>1980</v>
      </c>
      <c r="S12" s="19" t="str">
        <f aca="false">IF(IFERROR(INDEX('Members Matrix'!$B$40:$U$40,MATCH($C12,'Members Matrix'!$B$2:$U$2,0)),"")="","",IFERROR(INDEX('Members Matrix'!$B$40:$U$40,MATCH($C12,'Members Matrix'!$B$2:$U$2,0)),""))</f>
        <v/>
      </c>
      <c r="T12" s="32" t="str">
        <f aca="false">IF(OR(R12="",S12="",N(R12)=0),"",S12/R12-1)</f>
        <v/>
      </c>
      <c r="U12" s="31" t="str">
        <f aca="false">IF(OR(Q12="",R12="",N(R12)=0),"",Q12/R12)</f>
        <v/>
      </c>
    </row>
    <row r="13" customFormat="false" ht="15" hidden="false" customHeight="false" outlineLevel="0" collapsed="false">
      <c r="A13" s="6" t="n">
        <v>2027</v>
      </c>
      <c r="B13" s="7" t="str">
        <f aca="false">"Spring "&amp;A13</f>
        <v>Spring 2027</v>
      </c>
      <c r="C13" s="7" t="str">
        <f aca="false">"Fall "&amp;A13</f>
        <v>Fall 2027</v>
      </c>
      <c r="D13" s="19" t="str">
        <f aca="false">IF(OR(I13="",J13="",N(J13)=0),"",100*I13/J13)</f>
        <v/>
      </c>
      <c r="E13" s="19" t="str">
        <f aca="false">IF(OR(P13="",U13="",N(U13)=0),"",100*P13/U13)</f>
        <v/>
      </c>
      <c r="F13" s="19" t="str">
        <f aca="false">IF(OR(N13="",N(N13)&lt;=0),"",100*I13/N13)</f>
        <v/>
      </c>
      <c r="G13" s="33" t="str">
        <f aca="false">IF(OR(O13="",T13=""),"",100*(O13-T13))</f>
        <v/>
      </c>
      <c r="H13" s="19" t="str">
        <f aca="false">IF(COUNT(D13:F13)=0,"",AVERAGE(D13:F13))</f>
        <v/>
      </c>
      <c r="I13" s="19" t="str">
        <f aca="false">IF(OR(IFERROR(INDEX('New Members Matrix'!$B$43:$U$43,MATCH($B13,'New Members Matrix'!$B$2:$U$2,0)),"")="",IFERROR(INDEX('New Members Matrix'!$B$43:$U$43,MATCH($C13,'New Members Matrix'!$B$2:$U$2,0)),"")=""),"",IFERROR(INDEX('New Members Matrix'!$B$43:$U$43,MATCH($B13,'New Members Matrix'!$B$2:$U$2,0)),"")+IFERROR(INDEX('New Members Matrix'!$B$43:$U$43,MATCH($C13,'New Members Matrix'!$B$2:$U$2,0)),""))</f>
        <v/>
      </c>
      <c r="J13" s="26" t="str">
        <f aca="false">IF(OR(IFERROR(INDEX('New Members Matrix'!$B$41:$U$41,MATCH($B13,'New Members Matrix'!$B$2:$U$2,0)),"")="",IFERROR(INDEX('New Members Matrix'!$B$41:$U$41,MATCH($C13,'New Members Matrix'!$B$2:$U$2,0)),"")=""),"",IFERROR(INDEX('New Members Matrix'!$B$41:$U$41,MATCH($B13,'New Members Matrix'!$B$2:$U$2,0)),"")+IFERROR(INDEX('New Members Matrix'!$B$41:$U$41,MATCH($C13,'New Members Matrix'!$B$2:$U$2,0)),""))</f>
        <v/>
      </c>
      <c r="K13" s="27" t="str">
        <f aca="false">IF(OR(I13="",Q13="",N(Q13)=0),"",I13/Q13)</f>
        <v/>
      </c>
      <c r="L13" s="19" t="str">
        <f aca="false">IF(IFERROR(INDEX('Members Matrix'!$B$43:$U$43,MATCH("Fall "&amp;($A13-1),'Members Matrix'!$B$2:$U$2,0)),"")="","",IFERROR(INDEX('Members Matrix'!$B$43:$U$43,MATCH("Fall "&amp;($A13-1),'Members Matrix'!$B$2:$U$2,0)),""))</f>
        <v/>
      </c>
      <c r="M13" s="19" t="str">
        <f aca="false">IF(IFERROR(INDEX('Members Matrix'!$B$43:$U$43,MATCH($C13,'Members Matrix'!$B$2:$U$2,0)),"")="","",IFERROR(INDEX('Members Matrix'!$B$43:$U$43,MATCH($C13,'Members Matrix'!$B$2:$U$2,0)),""))</f>
        <v/>
      </c>
      <c r="N13" s="19" t="str">
        <f aca="false">IF(OR(I13="",L13="",M13=""),"",L13+I13-M13)</f>
        <v/>
      </c>
      <c r="O13" s="32" t="str">
        <f aca="false">IF(OR(L13="",M13="",N(L13)=0),"",M13/L13-1)</f>
        <v/>
      </c>
      <c r="P13" s="31" t="str">
        <f aca="false">IF(OR(I13="",L13="",N(L13)=0),"",I13/L13)</f>
        <v/>
      </c>
      <c r="Q13" s="19" t="str">
        <f aca="false">IF(OR(IFERROR(INDEX('New Members Matrix'!$B$40:$U$40,MATCH($B13,'New Members Matrix'!$B$2:$U$2,0)),"")="",IFERROR(INDEX('New Members Matrix'!$B$40:$U$40,MATCH($C13,'New Members Matrix'!$B$2:$U$2,0)),"")=""),"",IFERROR(INDEX('New Members Matrix'!$B$40:$U$40,MATCH($B13,'New Members Matrix'!$B$2:$U$2,0)),"")+IFERROR(INDEX('New Members Matrix'!$B$40:$U$40,MATCH($C13,'New Members Matrix'!$B$2:$U$2,0)),""))</f>
        <v/>
      </c>
      <c r="R13" s="19" t="str">
        <f aca="false">IF(IFERROR(INDEX('Members Matrix'!$B$40:$U$40,MATCH("Fall "&amp;($A13-1),'Members Matrix'!$B$2:$U$2,0)),"")="","",IFERROR(INDEX('Members Matrix'!$B$40:$U$40,MATCH("Fall "&amp;($A13-1),'Members Matrix'!$B$2:$U$2,0)),""))</f>
        <v/>
      </c>
      <c r="S13" s="19" t="str">
        <f aca="false">IF(IFERROR(INDEX('Members Matrix'!$B$40:$U$40,MATCH($C13,'Members Matrix'!$B$2:$U$2,0)),"")="","",IFERROR(INDEX('Members Matrix'!$B$40:$U$40,MATCH($C13,'Members Matrix'!$B$2:$U$2,0)),""))</f>
        <v/>
      </c>
      <c r="T13" s="32" t="str">
        <f aca="false">IF(OR(R13="",S13="",N(R13)=0),"",S13/R13-1)</f>
        <v/>
      </c>
      <c r="U13" s="31" t="str">
        <f aca="false">IF(OR(Q13="",R13="",N(R13)=0),"",Q13/R13)</f>
        <v/>
      </c>
    </row>
    <row r="14" customFormat="false" ht="15" hidden="false" customHeight="false" outlineLevel="0" collapsed="false">
      <c r="A14" s="6" t="n">
        <v>2028</v>
      </c>
      <c r="B14" s="7" t="str">
        <f aca="false">"Spring "&amp;A14</f>
        <v>Spring 2028</v>
      </c>
      <c r="C14" s="7" t="str">
        <f aca="false">"Fall "&amp;A14</f>
        <v>Fall 2028</v>
      </c>
      <c r="D14" s="19" t="str">
        <f aca="false">IF(OR(I14="",J14="",N(J14)=0),"",100*I14/J14)</f>
        <v/>
      </c>
      <c r="E14" s="19" t="str">
        <f aca="false">IF(OR(P14="",U14="",N(U14)=0),"",100*P14/U14)</f>
        <v/>
      </c>
      <c r="F14" s="19" t="str">
        <f aca="false">IF(OR(N14="",N(N14)&lt;=0),"",100*I14/N14)</f>
        <v/>
      </c>
      <c r="G14" s="33" t="str">
        <f aca="false">IF(OR(O14="",T14=""),"",100*(O14-T14))</f>
        <v/>
      </c>
      <c r="H14" s="19" t="str">
        <f aca="false">IF(COUNT(D14:F14)=0,"",AVERAGE(D14:F14))</f>
        <v/>
      </c>
      <c r="I14" s="19" t="str">
        <f aca="false">IF(OR(IFERROR(INDEX('New Members Matrix'!$B$43:$U$43,MATCH($B14,'New Members Matrix'!$B$2:$U$2,0)),"")="",IFERROR(INDEX('New Members Matrix'!$B$43:$U$43,MATCH($C14,'New Members Matrix'!$B$2:$U$2,0)),"")=""),"",IFERROR(INDEX('New Members Matrix'!$B$43:$U$43,MATCH($B14,'New Members Matrix'!$B$2:$U$2,0)),"")+IFERROR(INDEX('New Members Matrix'!$B$43:$U$43,MATCH($C14,'New Members Matrix'!$B$2:$U$2,0)),""))</f>
        <v/>
      </c>
      <c r="J14" s="26" t="str">
        <f aca="false">IF(OR(IFERROR(INDEX('New Members Matrix'!$B$41:$U$41,MATCH($B14,'New Members Matrix'!$B$2:$U$2,0)),"")="",IFERROR(INDEX('New Members Matrix'!$B$41:$U$41,MATCH($C14,'New Members Matrix'!$B$2:$U$2,0)),"")=""),"",IFERROR(INDEX('New Members Matrix'!$B$41:$U$41,MATCH($B14,'New Members Matrix'!$B$2:$U$2,0)),"")+IFERROR(INDEX('New Members Matrix'!$B$41:$U$41,MATCH($C14,'New Members Matrix'!$B$2:$U$2,0)),""))</f>
        <v/>
      </c>
      <c r="K14" s="27" t="str">
        <f aca="false">IF(OR(I14="",Q14="",N(Q14)=0),"",I14/Q14)</f>
        <v/>
      </c>
      <c r="L14" s="19" t="str">
        <f aca="false">IF(IFERROR(INDEX('Members Matrix'!$B$43:$U$43,MATCH("Fall "&amp;($A14-1),'Members Matrix'!$B$2:$U$2,0)),"")="","",IFERROR(INDEX('Members Matrix'!$B$43:$U$43,MATCH("Fall "&amp;($A14-1),'Members Matrix'!$B$2:$U$2,0)),""))</f>
        <v/>
      </c>
      <c r="M14" s="19" t="str">
        <f aca="false">IF(IFERROR(INDEX('Members Matrix'!$B$43:$U$43,MATCH($C14,'Members Matrix'!$B$2:$U$2,0)),"")="","",IFERROR(INDEX('Members Matrix'!$B$43:$U$43,MATCH($C14,'Members Matrix'!$B$2:$U$2,0)),""))</f>
        <v/>
      </c>
      <c r="N14" s="19" t="str">
        <f aca="false">IF(OR(I14="",L14="",M14=""),"",L14+I14-M14)</f>
        <v/>
      </c>
      <c r="O14" s="32" t="str">
        <f aca="false">IF(OR(L14="",M14="",N(L14)=0),"",M14/L14-1)</f>
        <v/>
      </c>
      <c r="P14" s="31" t="str">
        <f aca="false">IF(OR(I14="",L14="",N(L14)=0),"",I14/L14)</f>
        <v/>
      </c>
      <c r="Q14" s="19" t="str">
        <f aca="false">IF(OR(IFERROR(INDEX('New Members Matrix'!$B$40:$U$40,MATCH($B14,'New Members Matrix'!$B$2:$U$2,0)),"")="",IFERROR(INDEX('New Members Matrix'!$B$40:$U$40,MATCH($C14,'New Members Matrix'!$B$2:$U$2,0)),"")=""),"",IFERROR(INDEX('New Members Matrix'!$B$40:$U$40,MATCH($B14,'New Members Matrix'!$B$2:$U$2,0)),"")+IFERROR(INDEX('New Members Matrix'!$B$40:$U$40,MATCH($C14,'New Members Matrix'!$B$2:$U$2,0)),""))</f>
        <v/>
      </c>
      <c r="R14" s="19" t="str">
        <f aca="false">IF(IFERROR(INDEX('Members Matrix'!$B$40:$U$40,MATCH("Fall "&amp;($A14-1),'Members Matrix'!$B$2:$U$2,0)),"")="","",IFERROR(INDEX('Members Matrix'!$B$40:$U$40,MATCH("Fall "&amp;($A14-1),'Members Matrix'!$B$2:$U$2,0)),""))</f>
        <v/>
      </c>
      <c r="S14" s="19" t="str">
        <f aca="false">IF(IFERROR(INDEX('Members Matrix'!$B$40:$U$40,MATCH($C14,'Members Matrix'!$B$2:$U$2,0)),"")="","",IFERROR(INDEX('Members Matrix'!$B$40:$U$40,MATCH($C14,'Members Matrix'!$B$2:$U$2,0)),""))</f>
        <v/>
      </c>
      <c r="T14" s="32" t="str">
        <f aca="false">IF(OR(R14="",S14="",N(R14)=0),"",S14/R14-1)</f>
        <v/>
      </c>
      <c r="U14" s="31" t="str">
        <f aca="false">IF(OR(Q14="",R14="",N(R14)=0),"",Q14/R14)</f>
        <v/>
      </c>
    </row>
    <row r="16" customFormat="false" ht="15" hidden="false" customHeight="false" outlineLevel="0" collapsed="false">
      <c r="A16" s="12" t="s">
        <v>220</v>
      </c>
    </row>
    <row r="17" customFormat="false" ht="15" hidden="false" customHeight="false" outlineLevel="0" collapsed="false">
      <c r="A17" s="12" t="s">
        <v>221</v>
      </c>
    </row>
    <row r="18" customFormat="false" ht="15" hidden="false" customHeight="false" outlineLevel="0" collapsed="false">
      <c r="A18" s="12" t="s">
        <v>222</v>
      </c>
    </row>
    <row r="19" customFormat="false" ht="15" hidden="false" customHeight="false" outlineLevel="0" collapsed="false">
      <c r="A19" s="12" t="s">
        <v>223</v>
      </c>
    </row>
    <row r="20" customFormat="false" ht="15" hidden="false" customHeight="false" outlineLevel="0" collapsed="false">
      <c r="A20" s="12" t="s">
        <v>224</v>
      </c>
    </row>
    <row r="21" customFormat="false" ht="15" hidden="false" customHeight="false" outlineLevel="0" collapsed="false">
      <c r="A21" s="12" t="s">
        <v>225</v>
      </c>
    </row>
    <row r="22" customFormat="false" ht="15" hidden="false" customHeight="false" outlineLevel="0" collapsed="false">
      <c r="A22" s="12" t="s">
        <v>226</v>
      </c>
    </row>
    <row r="23" customFormat="false" ht="15" hidden="false" customHeight="false" outlineLevel="0" collapsed="false">
      <c r="A23" s="12" t="s">
        <v>227</v>
      </c>
    </row>
  </sheetData>
  <mergeCells count="4">
    <mergeCell ref="D3:H3"/>
    <mergeCell ref="I3:K3"/>
    <mergeCell ref="L3:P3"/>
    <mergeCell ref="Q3:U3"/>
  </mergeCells>
  <conditionalFormatting sqref="D5:D14">
    <cfRule type="colorScale" priority="2">
      <colorScale>
        <cfvo type="num" val="50"/>
        <cfvo type="num" val="100"/>
        <cfvo type="num" val="150"/>
        <color rgb="FFF8696B"/>
        <color rgb="FFFFFFFF"/>
        <color rgb="FF63BE7B"/>
      </colorScale>
    </cfRule>
  </conditionalFormatting>
  <conditionalFormatting sqref="E5:E14">
    <cfRule type="colorScale" priority="3">
      <colorScale>
        <cfvo type="num" val="50"/>
        <cfvo type="num" val="100"/>
        <cfvo type="num" val="150"/>
        <color rgb="FFF8696B"/>
        <color rgb="FFFFFFFF"/>
        <color rgb="FF63BE7B"/>
      </colorScale>
    </cfRule>
  </conditionalFormatting>
  <conditionalFormatting sqref="F5:F14">
    <cfRule type="colorScale" priority="4">
      <colorScale>
        <cfvo type="num" val="50"/>
        <cfvo type="num" val="100"/>
        <cfvo type="num" val="150"/>
        <color rgb="FFF8696B"/>
        <color rgb="FFFFFFFF"/>
        <color rgb="FF63BE7B"/>
      </colorScale>
    </cfRule>
  </conditionalFormatting>
  <conditionalFormatting sqref="H5:H14">
    <cfRule type="colorScale" priority="5">
      <colorScale>
        <cfvo type="num" val="50"/>
        <cfvo type="num" val="100"/>
        <cfvo type="num" val="150"/>
        <color rgb="FFF8696B"/>
        <color rgb="FFFFFFFF"/>
        <color rgb="FF63BE7B"/>
      </colorScale>
    </cfRule>
  </conditionalFormatting>
  <conditionalFormatting sqref="G5:G14">
    <cfRule type="cellIs" priority="6" operator="lessThan" aboveAverage="0" equalAverage="0" bottom="0" percent="0" rank="0" text="" dxfId="0">
      <formula>0</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U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defaultColWidth="8.5390625" defaultRowHeight="15" zeroHeight="false" outlineLevelRow="0" outlineLevelCol="0"/>
  <cols>
    <col collapsed="false" customWidth="true" hidden="false" outlineLevel="0" max="1" min="1" style="0" width="30"/>
    <col collapsed="false" customWidth="true" hidden="false" outlineLevel="0" max="21" min="2" style="0" width="10.5"/>
  </cols>
  <sheetData>
    <row r="1" customFormat="false" ht="15" hidden="false" customHeight="false" outlineLevel="0" collapsed="false">
      <c r="A1" s="13" t="s">
        <v>228</v>
      </c>
    </row>
    <row r="2" customFormat="false" ht="15" hidden="false" customHeight="false" outlineLevel="0" collapsed="false">
      <c r="A2" s="14" t="s">
        <v>174</v>
      </c>
      <c r="B2" s="14" t="s">
        <v>144</v>
      </c>
      <c r="C2" s="14" t="s">
        <v>145</v>
      </c>
      <c r="D2" s="14" t="s">
        <v>146</v>
      </c>
      <c r="E2" s="14" t="s">
        <v>147</v>
      </c>
      <c r="F2" s="14" t="s">
        <v>148</v>
      </c>
      <c r="G2" s="14" t="s">
        <v>149</v>
      </c>
      <c r="H2" s="14" t="s">
        <v>150</v>
      </c>
      <c r="I2" s="14" t="s">
        <v>151</v>
      </c>
      <c r="J2" s="14" t="s">
        <v>152</v>
      </c>
      <c r="K2" s="14" t="s">
        <v>153</v>
      </c>
      <c r="L2" s="14" t="s">
        <v>154</v>
      </c>
      <c r="M2" s="14" t="s">
        <v>155</v>
      </c>
      <c r="N2" s="14" t="s">
        <v>156</v>
      </c>
      <c r="O2" s="14" t="s">
        <v>157</v>
      </c>
      <c r="P2" s="14" t="s">
        <v>158</v>
      </c>
      <c r="Q2" s="14" t="s">
        <v>159</v>
      </c>
      <c r="R2" s="14" t="s">
        <v>160</v>
      </c>
      <c r="S2" s="14" t="s">
        <v>161</v>
      </c>
      <c r="T2" s="14" t="s">
        <v>162</v>
      </c>
      <c r="U2" s="14" t="s">
        <v>163</v>
      </c>
    </row>
    <row r="3" customFormat="false" ht="15" hidden="false" customHeight="false" outlineLevel="0" collapsed="false">
      <c r="A3" s="8" t="str">
        <f aca="false">IF(Lists!$D$2="","",Lists!$D$2)</f>
        <v>Acacia</v>
      </c>
      <c r="B3" s="25" t="n">
        <f aca="false">IF($A3="","",IF(COUNTIFS('Chapter Data'!$A$2:$A$2500,B$2,'Chapter Data'!$D$2:$D$2500,$A3,'Chapter Data'!$G$2:$G$2500,"&lt;&gt;")=0,"",SUMIFS('Chapter Data'!$G$2:$G$2500,'Chapter Data'!$A$2:$A$2500,B$2,'Chapter Data'!$D$2:$D$2500,$A3)))</f>
        <v>2.946</v>
      </c>
      <c r="C3" s="25" t="n">
        <f aca="false">IF($A3="","",IF(COUNTIFS('Chapter Data'!$A$2:$A$2500,C$2,'Chapter Data'!$D$2:$D$2500,$A3,'Chapter Data'!$G$2:$G$2500,"&lt;&gt;")=0,"",SUMIFS('Chapter Data'!$G$2:$G$2500,'Chapter Data'!$A$2:$A$2500,C$2,'Chapter Data'!$D$2:$D$2500,$A3)))</f>
        <v>3.041</v>
      </c>
      <c r="D3" s="25" t="n">
        <f aca="false">IF($A3="","",IF(COUNTIFS('Chapter Data'!$A$2:$A$2500,D$2,'Chapter Data'!$D$2:$D$2500,$A3,'Chapter Data'!$G$2:$G$2500,"&lt;&gt;")=0,"",SUMIFS('Chapter Data'!$G$2:$G$2500,'Chapter Data'!$A$2:$A$2500,D$2,'Chapter Data'!$D$2:$D$2500,$A3)))</f>
        <v>2.62</v>
      </c>
      <c r="E3" s="25" t="str">
        <f aca="false">IF($A3="","",IF(COUNTIFS('Chapter Data'!$A$2:$A$2500,E$2,'Chapter Data'!$D$2:$D$2500,$A3,'Chapter Data'!$G$2:$G$2500,"&lt;&gt;")=0,"",SUMIFS('Chapter Data'!$G$2:$G$2500,'Chapter Data'!$A$2:$A$2500,E$2,'Chapter Data'!$D$2:$D$2500,$A3)))</f>
        <v/>
      </c>
      <c r="F3" s="25" t="n">
        <f aca="false">IF($A3="","",IF(COUNTIFS('Chapter Data'!$A$2:$A$2500,F$2,'Chapter Data'!$D$2:$D$2500,$A3,'Chapter Data'!$G$2:$G$2500,"&lt;&gt;")=0,"",SUMIFS('Chapter Data'!$G$2:$G$2500,'Chapter Data'!$A$2:$A$2500,F$2,'Chapter Data'!$D$2:$D$2500,$A3)))</f>
        <v>2.74</v>
      </c>
      <c r="G3" s="25" t="n">
        <f aca="false">IF($A3="","",IF(COUNTIFS('Chapter Data'!$A$2:$A$2500,G$2,'Chapter Data'!$D$2:$D$2500,$A3,'Chapter Data'!$G$2:$G$2500,"&lt;&gt;")=0,"",SUMIFS('Chapter Data'!$G$2:$G$2500,'Chapter Data'!$A$2:$A$2500,G$2,'Chapter Data'!$D$2:$D$2500,$A3)))</f>
        <v>3.247</v>
      </c>
      <c r="H3" s="25" t="n">
        <f aca="false">IF($A3="","",IF(COUNTIFS('Chapter Data'!$A$2:$A$2500,H$2,'Chapter Data'!$D$2:$D$2500,$A3,'Chapter Data'!$G$2:$G$2500,"&lt;&gt;")=0,"",SUMIFS('Chapter Data'!$G$2:$G$2500,'Chapter Data'!$A$2:$A$2500,H$2,'Chapter Data'!$D$2:$D$2500,$A3)))</f>
        <v>3.087</v>
      </c>
      <c r="I3" s="25" t="n">
        <f aca="false">IF($A3="","",IF(COUNTIFS('Chapter Data'!$A$2:$A$2500,I$2,'Chapter Data'!$D$2:$D$2500,$A3,'Chapter Data'!$G$2:$G$2500,"&lt;&gt;")=0,"",SUMIFS('Chapter Data'!$G$2:$G$2500,'Chapter Data'!$A$2:$A$2500,I$2,'Chapter Data'!$D$2:$D$2500,$A3)))</f>
        <v>3.126</v>
      </c>
      <c r="J3" s="25" t="n">
        <f aca="false">IF($A3="","",IF(COUNTIFS('Chapter Data'!$A$2:$A$2500,J$2,'Chapter Data'!$D$2:$D$2500,$A3,'Chapter Data'!$G$2:$G$2500,"&lt;&gt;")=0,"",SUMIFS('Chapter Data'!$G$2:$G$2500,'Chapter Data'!$A$2:$A$2500,J$2,'Chapter Data'!$D$2:$D$2500,$A3)))</f>
        <v>3.17</v>
      </c>
      <c r="K3" s="25" t="n">
        <f aca="false">IF($A3="","",IF(COUNTIFS('Chapter Data'!$A$2:$A$2500,K$2,'Chapter Data'!$D$2:$D$2500,$A3,'Chapter Data'!$G$2:$G$2500,"&lt;&gt;")=0,"",SUMIFS('Chapter Data'!$G$2:$G$2500,'Chapter Data'!$A$2:$A$2500,K$2,'Chapter Data'!$D$2:$D$2500,$A3)))</f>
        <v>3.441</v>
      </c>
      <c r="L3" s="25" t="n">
        <f aca="false">IF($A3="","",IF(COUNTIFS('Chapter Data'!$A$2:$A$2500,L$2,'Chapter Data'!$D$2:$D$2500,$A3,'Chapter Data'!$G$2:$G$2500,"&lt;&gt;")=0,"",SUMIFS('Chapter Data'!$G$2:$G$2500,'Chapter Data'!$A$2:$A$2500,L$2,'Chapter Data'!$D$2:$D$2500,$A3)))</f>
        <v>3.214</v>
      </c>
      <c r="M3" s="25" t="n">
        <f aca="false">IF($A3="","",IF(COUNTIFS('Chapter Data'!$A$2:$A$2500,M$2,'Chapter Data'!$D$2:$D$2500,$A3,'Chapter Data'!$G$2:$G$2500,"&lt;&gt;")=0,"",SUMIFS('Chapter Data'!$G$2:$G$2500,'Chapter Data'!$A$2:$A$2500,M$2,'Chapter Data'!$D$2:$D$2500,$A3)))</f>
        <v>3.27</v>
      </c>
      <c r="N3" s="25" t="n">
        <f aca="false">IF($A3="","",IF(COUNTIFS('Chapter Data'!$A$2:$A$2500,N$2,'Chapter Data'!$D$2:$D$2500,$A3,'Chapter Data'!$G$2:$G$2500,"&lt;&gt;")=0,"",SUMIFS('Chapter Data'!$G$2:$G$2500,'Chapter Data'!$A$2:$A$2500,N$2,'Chapter Data'!$D$2:$D$2500,$A3)))</f>
        <v>3.244</v>
      </c>
      <c r="O3" s="25" t="n">
        <f aca="false">IF($A3="","",IF(COUNTIFS('Chapter Data'!$A$2:$A$2500,O$2,'Chapter Data'!$D$2:$D$2500,$A3,'Chapter Data'!$G$2:$G$2500,"&lt;&gt;")=0,"",SUMIFS('Chapter Data'!$G$2:$G$2500,'Chapter Data'!$A$2:$A$2500,O$2,'Chapter Data'!$D$2:$D$2500,$A3)))</f>
        <v>3.344</v>
      </c>
      <c r="P3" s="25" t="n">
        <f aca="false">IF($A3="","",IF(COUNTIFS('Chapter Data'!$A$2:$A$2500,P$2,'Chapter Data'!$D$2:$D$2500,$A3,'Chapter Data'!$G$2:$G$2500,"&lt;&gt;")=0,"",SUMIFS('Chapter Data'!$G$2:$G$2500,'Chapter Data'!$A$2:$A$2500,P$2,'Chapter Data'!$D$2:$D$2500,$A3)))</f>
        <v>3.314</v>
      </c>
      <c r="Q3" s="25" t="n">
        <f aca="false">IF($A3="","",IF(COUNTIFS('Chapter Data'!$A$2:$A$2500,Q$2,'Chapter Data'!$D$2:$D$2500,$A3,'Chapter Data'!$G$2:$G$2500,"&lt;&gt;")=0,"",SUMIFS('Chapter Data'!$G$2:$G$2500,'Chapter Data'!$A$2:$A$2500,Q$2,'Chapter Data'!$D$2:$D$2500,$A3)))</f>
        <v>3.121</v>
      </c>
      <c r="R3" s="25" t="str">
        <f aca="false">IF($A3="","",IF(COUNTIFS('Chapter Data'!$A$2:$A$2500,R$2,'Chapter Data'!$D$2:$D$2500,$A3,'Chapter Data'!$G$2:$G$2500,"&lt;&gt;")=0,"",SUMIFS('Chapter Data'!$G$2:$G$2500,'Chapter Data'!$A$2:$A$2500,R$2,'Chapter Data'!$D$2:$D$2500,$A3)))</f>
        <v/>
      </c>
      <c r="S3" s="25" t="str">
        <f aca="false">IF($A3="","",IF(COUNTIFS('Chapter Data'!$A$2:$A$2500,S$2,'Chapter Data'!$D$2:$D$2500,$A3,'Chapter Data'!$G$2:$G$2500,"&lt;&gt;")=0,"",SUMIFS('Chapter Data'!$G$2:$G$2500,'Chapter Data'!$A$2:$A$2500,S$2,'Chapter Data'!$D$2:$D$2500,$A3)))</f>
        <v/>
      </c>
      <c r="T3" s="25" t="str">
        <f aca="false">IF($A3="","",IF(COUNTIFS('Chapter Data'!$A$2:$A$2500,T$2,'Chapter Data'!$D$2:$D$2500,$A3,'Chapter Data'!$G$2:$G$2500,"&lt;&gt;")=0,"",SUMIFS('Chapter Data'!$G$2:$G$2500,'Chapter Data'!$A$2:$A$2500,T$2,'Chapter Data'!$D$2:$D$2500,$A3)))</f>
        <v/>
      </c>
      <c r="U3" s="25" t="str">
        <f aca="false">IF($A3="","",IF(COUNTIFS('Chapter Data'!$A$2:$A$2500,U$2,'Chapter Data'!$D$2:$D$2500,$A3,'Chapter Data'!$G$2:$G$2500,"&lt;&gt;")=0,"",SUMIFS('Chapter Data'!$G$2:$G$2500,'Chapter Data'!$A$2:$A$2500,U$2,'Chapter Data'!$D$2:$D$2500,$A3)))</f>
        <v/>
      </c>
    </row>
    <row r="4" customFormat="false" ht="15" hidden="false" customHeight="false" outlineLevel="0" collapsed="false">
      <c r="A4" s="8" t="str">
        <f aca="false">IF(Lists!$D$3="","",Lists!$D$3)</f>
        <v>Alpha Gamma Nu</v>
      </c>
      <c r="B4" s="25" t="n">
        <f aca="false">IF($A4="","",IF(COUNTIFS('Chapter Data'!$A$2:$A$2500,B$2,'Chapter Data'!$D$2:$D$2500,$A4,'Chapter Data'!$G$2:$G$2500,"&lt;&gt;")=0,"",SUMIFS('Chapter Data'!$G$2:$G$2500,'Chapter Data'!$A$2:$A$2500,B$2,'Chapter Data'!$D$2:$D$2500,$A4)))</f>
        <v>2.964</v>
      </c>
      <c r="C4" s="25" t="n">
        <f aca="false">IF($A4="","",IF(COUNTIFS('Chapter Data'!$A$2:$A$2500,C$2,'Chapter Data'!$D$2:$D$2500,$A4,'Chapter Data'!$G$2:$G$2500,"&lt;&gt;")=0,"",SUMIFS('Chapter Data'!$G$2:$G$2500,'Chapter Data'!$A$2:$A$2500,C$2,'Chapter Data'!$D$2:$D$2500,$A4)))</f>
        <v>3.013</v>
      </c>
      <c r="D4" s="25" t="n">
        <f aca="false">IF($A4="","",IF(COUNTIFS('Chapter Data'!$A$2:$A$2500,D$2,'Chapter Data'!$D$2:$D$2500,$A4,'Chapter Data'!$G$2:$G$2500,"&lt;&gt;")=0,"",SUMIFS('Chapter Data'!$G$2:$G$2500,'Chapter Data'!$A$2:$A$2500,D$2,'Chapter Data'!$D$2:$D$2500,$A4)))</f>
        <v>3.231</v>
      </c>
      <c r="E4" s="25" t="str">
        <f aca="false">IF($A4="","",IF(COUNTIFS('Chapter Data'!$A$2:$A$2500,E$2,'Chapter Data'!$D$2:$D$2500,$A4,'Chapter Data'!$G$2:$G$2500,"&lt;&gt;")=0,"",SUMIFS('Chapter Data'!$G$2:$G$2500,'Chapter Data'!$A$2:$A$2500,E$2,'Chapter Data'!$D$2:$D$2500,$A4)))</f>
        <v/>
      </c>
      <c r="F4" s="25" t="n">
        <f aca="false">IF($A4="","",IF(COUNTIFS('Chapter Data'!$A$2:$A$2500,F$2,'Chapter Data'!$D$2:$D$2500,$A4,'Chapter Data'!$G$2:$G$2500,"&lt;&gt;")=0,"",SUMIFS('Chapter Data'!$G$2:$G$2500,'Chapter Data'!$A$2:$A$2500,F$2,'Chapter Data'!$D$2:$D$2500,$A4)))</f>
        <v>3.331</v>
      </c>
      <c r="G4" s="25" t="n">
        <f aca="false">IF($A4="","",IF(COUNTIFS('Chapter Data'!$A$2:$A$2500,G$2,'Chapter Data'!$D$2:$D$2500,$A4,'Chapter Data'!$G$2:$G$2500,"&lt;&gt;")=0,"",SUMIFS('Chapter Data'!$G$2:$G$2500,'Chapter Data'!$A$2:$A$2500,G$2,'Chapter Data'!$D$2:$D$2500,$A4)))</f>
        <v>3.698</v>
      </c>
      <c r="H4" s="25" t="str">
        <f aca="false">IF($A4="","",IF(COUNTIFS('Chapter Data'!$A$2:$A$2500,H$2,'Chapter Data'!$D$2:$D$2500,$A4,'Chapter Data'!$G$2:$G$2500,"&lt;&gt;")=0,"",SUMIFS('Chapter Data'!$G$2:$G$2500,'Chapter Data'!$A$2:$A$2500,H$2,'Chapter Data'!$D$2:$D$2500,$A4)))</f>
        <v/>
      </c>
      <c r="I4" s="25" t="str">
        <f aca="false">IF($A4="","",IF(COUNTIFS('Chapter Data'!$A$2:$A$2500,I$2,'Chapter Data'!$D$2:$D$2500,$A4,'Chapter Data'!$G$2:$G$2500,"&lt;&gt;")=0,"",SUMIFS('Chapter Data'!$G$2:$G$2500,'Chapter Data'!$A$2:$A$2500,I$2,'Chapter Data'!$D$2:$D$2500,$A4)))</f>
        <v/>
      </c>
      <c r="J4" s="25" t="str">
        <f aca="false">IF($A4="","",IF(COUNTIFS('Chapter Data'!$A$2:$A$2500,J$2,'Chapter Data'!$D$2:$D$2500,$A4,'Chapter Data'!$G$2:$G$2500,"&lt;&gt;")=0,"",SUMIFS('Chapter Data'!$G$2:$G$2500,'Chapter Data'!$A$2:$A$2500,J$2,'Chapter Data'!$D$2:$D$2500,$A4)))</f>
        <v/>
      </c>
      <c r="K4" s="25" t="str">
        <f aca="false">IF($A4="","",IF(COUNTIFS('Chapter Data'!$A$2:$A$2500,K$2,'Chapter Data'!$D$2:$D$2500,$A4,'Chapter Data'!$G$2:$G$2500,"&lt;&gt;")=0,"",SUMIFS('Chapter Data'!$G$2:$G$2500,'Chapter Data'!$A$2:$A$2500,K$2,'Chapter Data'!$D$2:$D$2500,$A4)))</f>
        <v/>
      </c>
      <c r="L4" s="25" t="str">
        <f aca="false">IF($A4="","",IF(COUNTIFS('Chapter Data'!$A$2:$A$2500,L$2,'Chapter Data'!$D$2:$D$2500,$A4,'Chapter Data'!$G$2:$G$2500,"&lt;&gt;")=0,"",SUMIFS('Chapter Data'!$G$2:$G$2500,'Chapter Data'!$A$2:$A$2500,L$2,'Chapter Data'!$D$2:$D$2500,$A4)))</f>
        <v/>
      </c>
      <c r="M4" s="25" t="str">
        <f aca="false">IF($A4="","",IF(COUNTIFS('Chapter Data'!$A$2:$A$2500,M$2,'Chapter Data'!$D$2:$D$2500,$A4,'Chapter Data'!$G$2:$G$2500,"&lt;&gt;")=0,"",SUMIFS('Chapter Data'!$G$2:$G$2500,'Chapter Data'!$A$2:$A$2500,M$2,'Chapter Data'!$D$2:$D$2500,$A4)))</f>
        <v/>
      </c>
      <c r="N4" s="25" t="str">
        <f aca="false">IF($A4="","",IF(COUNTIFS('Chapter Data'!$A$2:$A$2500,N$2,'Chapter Data'!$D$2:$D$2500,$A4,'Chapter Data'!$G$2:$G$2500,"&lt;&gt;")=0,"",SUMIFS('Chapter Data'!$G$2:$G$2500,'Chapter Data'!$A$2:$A$2500,N$2,'Chapter Data'!$D$2:$D$2500,$A4)))</f>
        <v/>
      </c>
      <c r="O4" s="25" t="str">
        <f aca="false">IF($A4="","",IF(COUNTIFS('Chapter Data'!$A$2:$A$2500,O$2,'Chapter Data'!$D$2:$D$2500,$A4,'Chapter Data'!$G$2:$G$2500,"&lt;&gt;")=0,"",SUMIFS('Chapter Data'!$G$2:$G$2500,'Chapter Data'!$A$2:$A$2500,O$2,'Chapter Data'!$D$2:$D$2500,$A4)))</f>
        <v/>
      </c>
      <c r="P4" s="25" t="str">
        <f aca="false">IF($A4="","",IF(COUNTIFS('Chapter Data'!$A$2:$A$2500,P$2,'Chapter Data'!$D$2:$D$2500,$A4,'Chapter Data'!$G$2:$G$2500,"&lt;&gt;")=0,"",SUMIFS('Chapter Data'!$G$2:$G$2500,'Chapter Data'!$A$2:$A$2500,P$2,'Chapter Data'!$D$2:$D$2500,$A4)))</f>
        <v/>
      </c>
      <c r="Q4" s="25" t="str">
        <f aca="false">IF($A4="","",IF(COUNTIFS('Chapter Data'!$A$2:$A$2500,Q$2,'Chapter Data'!$D$2:$D$2500,$A4,'Chapter Data'!$G$2:$G$2500,"&lt;&gt;")=0,"",SUMIFS('Chapter Data'!$G$2:$G$2500,'Chapter Data'!$A$2:$A$2500,Q$2,'Chapter Data'!$D$2:$D$2500,$A4)))</f>
        <v/>
      </c>
      <c r="R4" s="25" t="str">
        <f aca="false">IF($A4="","",IF(COUNTIFS('Chapter Data'!$A$2:$A$2500,R$2,'Chapter Data'!$D$2:$D$2500,$A4,'Chapter Data'!$G$2:$G$2500,"&lt;&gt;")=0,"",SUMIFS('Chapter Data'!$G$2:$G$2500,'Chapter Data'!$A$2:$A$2500,R$2,'Chapter Data'!$D$2:$D$2500,$A4)))</f>
        <v/>
      </c>
      <c r="S4" s="25" t="str">
        <f aca="false">IF($A4="","",IF(COUNTIFS('Chapter Data'!$A$2:$A$2500,S$2,'Chapter Data'!$D$2:$D$2500,$A4,'Chapter Data'!$G$2:$G$2500,"&lt;&gt;")=0,"",SUMIFS('Chapter Data'!$G$2:$G$2500,'Chapter Data'!$A$2:$A$2500,S$2,'Chapter Data'!$D$2:$D$2500,$A4)))</f>
        <v/>
      </c>
      <c r="T4" s="25" t="str">
        <f aca="false">IF($A4="","",IF(COUNTIFS('Chapter Data'!$A$2:$A$2500,T$2,'Chapter Data'!$D$2:$D$2500,$A4,'Chapter Data'!$G$2:$G$2500,"&lt;&gt;")=0,"",SUMIFS('Chapter Data'!$G$2:$G$2500,'Chapter Data'!$A$2:$A$2500,T$2,'Chapter Data'!$D$2:$D$2500,$A4)))</f>
        <v/>
      </c>
      <c r="U4" s="25" t="str">
        <f aca="false">IF($A4="","",IF(COUNTIFS('Chapter Data'!$A$2:$A$2500,U$2,'Chapter Data'!$D$2:$D$2500,$A4,'Chapter Data'!$G$2:$G$2500,"&lt;&gt;")=0,"",SUMIFS('Chapter Data'!$G$2:$G$2500,'Chapter Data'!$A$2:$A$2500,U$2,'Chapter Data'!$D$2:$D$2500,$A4)))</f>
        <v/>
      </c>
    </row>
    <row r="5" customFormat="false" ht="15" hidden="false" customHeight="false" outlineLevel="0" collapsed="false">
      <c r="A5" s="8" t="str">
        <f aca="false">IF(Lists!$D$4="","",Lists!$D$4)</f>
        <v>Alpha Gamma Rho</v>
      </c>
      <c r="B5" s="25" t="n">
        <f aca="false">IF($A5="","",IF(COUNTIFS('Chapter Data'!$A$2:$A$2500,B$2,'Chapter Data'!$D$2:$D$2500,$A5,'Chapter Data'!$G$2:$G$2500,"&lt;&gt;")=0,"",SUMIFS('Chapter Data'!$G$2:$G$2500,'Chapter Data'!$A$2:$A$2500,B$2,'Chapter Data'!$D$2:$D$2500,$A5)))</f>
        <v>3.121</v>
      </c>
      <c r="C5" s="25" t="n">
        <f aca="false">IF($A5="","",IF(COUNTIFS('Chapter Data'!$A$2:$A$2500,C$2,'Chapter Data'!$D$2:$D$2500,$A5,'Chapter Data'!$G$2:$G$2500,"&lt;&gt;")=0,"",SUMIFS('Chapter Data'!$G$2:$G$2500,'Chapter Data'!$A$2:$A$2500,C$2,'Chapter Data'!$D$2:$D$2500,$A5)))</f>
        <v>3.07</v>
      </c>
      <c r="D5" s="25" t="n">
        <f aca="false">IF($A5="","",IF(COUNTIFS('Chapter Data'!$A$2:$A$2500,D$2,'Chapter Data'!$D$2:$D$2500,$A5,'Chapter Data'!$G$2:$G$2500,"&lt;&gt;")=0,"",SUMIFS('Chapter Data'!$G$2:$G$2500,'Chapter Data'!$A$2:$A$2500,D$2,'Chapter Data'!$D$2:$D$2500,$A5)))</f>
        <v>2.922</v>
      </c>
      <c r="E5" s="25" t="str">
        <f aca="false">IF($A5="","",IF(COUNTIFS('Chapter Data'!$A$2:$A$2500,E$2,'Chapter Data'!$D$2:$D$2500,$A5,'Chapter Data'!$G$2:$G$2500,"&lt;&gt;")=0,"",SUMIFS('Chapter Data'!$G$2:$G$2500,'Chapter Data'!$A$2:$A$2500,E$2,'Chapter Data'!$D$2:$D$2500,$A5)))</f>
        <v/>
      </c>
      <c r="F5" s="25" t="n">
        <f aca="false">IF($A5="","",IF(COUNTIFS('Chapter Data'!$A$2:$A$2500,F$2,'Chapter Data'!$D$2:$D$2500,$A5,'Chapter Data'!$G$2:$G$2500,"&lt;&gt;")=0,"",SUMIFS('Chapter Data'!$G$2:$G$2500,'Chapter Data'!$A$2:$A$2500,F$2,'Chapter Data'!$D$2:$D$2500,$A5)))</f>
        <v>3.228</v>
      </c>
      <c r="G5" s="25" t="n">
        <f aca="false">IF($A5="","",IF(COUNTIFS('Chapter Data'!$A$2:$A$2500,G$2,'Chapter Data'!$D$2:$D$2500,$A5,'Chapter Data'!$G$2:$G$2500,"&lt;&gt;")=0,"",SUMIFS('Chapter Data'!$G$2:$G$2500,'Chapter Data'!$A$2:$A$2500,G$2,'Chapter Data'!$D$2:$D$2500,$A5)))</f>
        <v>3.137</v>
      </c>
      <c r="H5" s="25" t="n">
        <f aca="false">IF($A5="","",IF(COUNTIFS('Chapter Data'!$A$2:$A$2500,H$2,'Chapter Data'!$D$2:$D$2500,$A5,'Chapter Data'!$G$2:$G$2500,"&lt;&gt;")=0,"",SUMIFS('Chapter Data'!$G$2:$G$2500,'Chapter Data'!$A$2:$A$2500,H$2,'Chapter Data'!$D$2:$D$2500,$A5)))</f>
        <v>3.196</v>
      </c>
      <c r="I5" s="25" t="n">
        <f aca="false">IF($A5="","",IF(COUNTIFS('Chapter Data'!$A$2:$A$2500,I$2,'Chapter Data'!$D$2:$D$2500,$A5,'Chapter Data'!$G$2:$G$2500,"&lt;&gt;")=0,"",SUMIFS('Chapter Data'!$G$2:$G$2500,'Chapter Data'!$A$2:$A$2500,I$2,'Chapter Data'!$D$2:$D$2500,$A5)))</f>
        <v>3.367</v>
      </c>
      <c r="J5" s="25" t="n">
        <f aca="false">IF($A5="","",IF(COUNTIFS('Chapter Data'!$A$2:$A$2500,J$2,'Chapter Data'!$D$2:$D$2500,$A5,'Chapter Data'!$G$2:$G$2500,"&lt;&gt;")=0,"",SUMIFS('Chapter Data'!$G$2:$G$2500,'Chapter Data'!$A$2:$A$2500,J$2,'Chapter Data'!$D$2:$D$2500,$A5)))</f>
        <v>3.295</v>
      </c>
      <c r="K5" s="25" t="n">
        <f aca="false">IF($A5="","",IF(COUNTIFS('Chapter Data'!$A$2:$A$2500,K$2,'Chapter Data'!$D$2:$D$2500,$A5,'Chapter Data'!$G$2:$G$2500,"&lt;&gt;")=0,"",SUMIFS('Chapter Data'!$G$2:$G$2500,'Chapter Data'!$A$2:$A$2500,K$2,'Chapter Data'!$D$2:$D$2500,$A5)))</f>
        <v>3.326</v>
      </c>
      <c r="L5" s="25" t="n">
        <f aca="false">IF($A5="","",IF(COUNTIFS('Chapter Data'!$A$2:$A$2500,L$2,'Chapter Data'!$D$2:$D$2500,$A5,'Chapter Data'!$G$2:$G$2500,"&lt;&gt;")=0,"",SUMIFS('Chapter Data'!$G$2:$G$2500,'Chapter Data'!$A$2:$A$2500,L$2,'Chapter Data'!$D$2:$D$2500,$A5)))</f>
        <v>3.345</v>
      </c>
      <c r="M5" s="25" t="n">
        <f aca="false">IF($A5="","",IF(COUNTIFS('Chapter Data'!$A$2:$A$2500,M$2,'Chapter Data'!$D$2:$D$2500,$A5,'Chapter Data'!$G$2:$G$2500,"&lt;&gt;")=0,"",SUMIFS('Chapter Data'!$G$2:$G$2500,'Chapter Data'!$A$2:$A$2500,M$2,'Chapter Data'!$D$2:$D$2500,$A5)))</f>
        <v>3.371</v>
      </c>
      <c r="N5" s="25" t="n">
        <f aca="false">IF($A5="","",IF(COUNTIFS('Chapter Data'!$A$2:$A$2500,N$2,'Chapter Data'!$D$2:$D$2500,$A5,'Chapter Data'!$G$2:$G$2500,"&lt;&gt;")=0,"",SUMIFS('Chapter Data'!$G$2:$G$2500,'Chapter Data'!$A$2:$A$2500,N$2,'Chapter Data'!$D$2:$D$2500,$A5)))</f>
        <v>3.271</v>
      </c>
      <c r="O5" s="25" t="n">
        <f aca="false">IF($A5="","",IF(COUNTIFS('Chapter Data'!$A$2:$A$2500,O$2,'Chapter Data'!$D$2:$D$2500,$A5,'Chapter Data'!$G$2:$G$2500,"&lt;&gt;")=0,"",SUMIFS('Chapter Data'!$G$2:$G$2500,'Chapter Data'!$A$2:$A$2500,O$2,'Chapter Data'!$D$2:$D$2500,$A5)))</f>
        <v>3.259</v>
      </c>
      <c r="P5" s="25" t="n">
        <f aca="false">IF($A5="","",IF(COUNTIFS('Chapter Data'!$A$2:$A$2500,P$2,'Chapter Data'!$D$2:$D$2500,$A5,'Chapter Data'!$G$2:$G$2500,"&lt;&gt;")=0,"",SUMIFS('Chapter Data'!$G$2:$G$2500,'Chapter Data'!$A$2:$A$2500,P$2,'Chapter Data'!$D$2:$D$2500,$A5)))</f>
        <v>3.444</v>
      </c>
      <c r="Q5" s="25" t="n">
        <f aca="false">IF($A5="","",IF(COUNTIFS('Chapter Data'!$A$2:$A$2500,Q$2,'Chapter Data'!$D$2:$D$2500,$A5,'Chapter Data'!$G$2:$G$2500,"&lt;&gt;")=0,"",SUMIFS('Chapter Data'!$G$2:$G$2500,'Chapter Data'!$A$2:$A$2500,Q$2,'Chapter Data'!$D$2:$D$2500,$A5)))</f>
        <v>3.421</v>
      </c>
      <c r="R5" s="25" t="str">
        <f aca="false">IF($A5="","",IF(COUNTIFS('Chapter Data'!$A$2:$A$2500,R$2,'Chapter Data'!$D$2:$D$2500,$A5,'Chapter Data'!$G$2:$G$2500,"&lt;&gt;")=0,"",SUMIFS('Chapter Data'!$G$2:$G$2500,'Chapter Data'!$A$2:$A$2500,R$2,'Chapter Data'!$D$2:$D$2500,$A5)))</f>
        <v/>
      </c>
      <c r="S5" s="25" t="str">
        <f aca="false">IF($A5="","",IF(COUNTIFS('Chapter Data'!$A$2:$A$2500,S$2,'Chapter Data'!$D$2:$D$2500,$A5,'Chapter Data'!$G$2:$G$2500,"&lt;&gt;")=0,"",SUMIFS('Chapter Data'!$G$2:$G$2500,'Chapter Data'!$A$2:$A$2500,S$2,'Chapter Data'!$D$2:$D$2500,$A5)))</f>
        <v/>
      </c>
      <c r="T5" s="25" t="str">
        <f aca="false">IF($A5="","",IF(COUNTIFS('Chapter Data'!$A$2:$A$2500,T$2,'Chapter Data'!$D$2:$D$2500,$A5,'Chapter Data'!$G$2:$G$2500,"&lt;&gt;")=0,"",SUMIFS('Chapter Data'!$G$2:$G$2500,'Chapter Data'!$A$2:$A$2500,T$2,'Chapter Data'!$D$2:$D$2500,$A5)))</f>
        <v/>
      </c>
      <c r="U5" s="25" t="str">
        <f aca="false">IF($A5="","",IF(COUNTIFS('Chapter Data'!$A$2:$A$2500,U$2,'Chapter Data'!$D$2:$D$2500,$A5,'Chapter Data'!$G$2:$G$2500,"&lt;&gt;")=0,"",SUMIFS('Chapter Data'!$G$2:$G$2500,'Chapter Data'!$A$2:$A$2500,U$2,'Chapter Data'!$D$2:$D$2500,$A5)))</f>
        <v/>
      </c>
    </row>
    <row r="6" customFormat="false" ht="15" hidden="false" customHeight="false" outlineLevel="0" collapsed="false">
      <c r="A6" s="8" t="str">
        <f aca="false">IF(Lists!$D$5="","",Lists!$D$5)</f>
        <v>Alpha Gamma Sigma</v>
      </c>
      <c r="B6" s="25" t="n">
        <f aca="false">IF($A6="","",IF(COUNTIFS('Chapter Data'!$A$2:$A$2500,B$2,'Chapter Data'!$D$2:$D$2500,$A6,'Chapter Data'!$G$2:$G$2500,"&lt;&gt;")=0,"",SUMIFS('Chapter Data'!$G$2:$G$2500,'Chapter Data'!$A$2:$A$2500,B$2,'Chapter Data'!$D$2:$D$2500,$A6)))</f>
        <v>3.057</v>
      </c>
      <c r="C6" s="25" t="n">
        <f aca="false">IF($A6="","",IF(COUNTIFS('Chapter Data'!$A$2:$A$2500,C$2,'Chapter Data'!$D$2:$D$2500,$A6,'Chapter Data'!$G$2:$G$2500,"&lt;&gt;")=0,"",SUMIFS('Chapter Data'!$G$2:$G$2500,'Chapter Data'!$A$2:$A$2500,C$2,'Chapter Data'!$D$2:$D$2500,$A6)))</f>
        <v>3.229</v>
      </c>
      <c r="D6" s="25" t="n">
        <f aca="false">IF($A6="","",IF(COUNTIFS('Chapter Data'!$A$2:$A$2500,D$2,'Chapter Data'!$D$2:$D$2500,$A6,'Chapter Data'!$G$2:$G$2500,"&lt;&gt;")=0,"",SUMIFS('Chapter Data'!$G$2:$G$2500,'Chapter Data'!$A$2:$A$2500,D$2,'Chapter Data'!$D$2:$D$2500,$A6)))</f>
        <v>3.223</v>
      </c>
      <c r="E6" s="25" t="str">
        <f aca="false">IF($A6="","",IF(COUNTIFS('Chapter Data'!$A$2:$A$2500,E$2,'Chapter Data'!$D$2:$D$2500,$A6,'Chapter Data'!$G$2:$G$2500,"&lt;&gt;")=0,"",SUMIFS('Chapter Data'!$G$2:$G$2500,'Chapter Data'!$A$2:$A$2500,E$2,'Chapter Data'!$D$2:$D$2500,$A6)))</f>
        <v/>
      </c>
      <c r="F6" s="25" t="n">
        <f aca="false">IF($A6="","",IF(COUNTIFS('Chapter Data'!$A$2:$A$2500,F$2,'Chapter Data'!$D$2:$D$2500,$A6,'Chapter Data'!$G$2:$G$2500,"&lt;&gt;")=0,"",SUMIFS('Chapter Data'!$G$2:$G$2500,'Chapter Data'!$A$2:$A$2500,F$2,'Chapter Data'!$D$2:$D$2500,$A6)))</f>
        <v>3.056</v>
      </c>
      <c r="G6" s="25" t="n">
        <f aca="false">IF($A6="","",IF(COUNTIFS('Chapter Data'!$A$2:$A$2500,G$2,'Chapter Data'!$D$2:$D$2500,$A6,'Chapter Data'!$G$2:$G$2500,"&lt;&gt;")=0,"",SUMIFS('Chapter Data'!$G$2:$G$2500,'Chapter Data'!$A$2:$A$2500,G$2,'Chapter Data'!$D$2:$D$2500,$A6)))</f>
        <v>3.41</v>
      </c>
      <c r="H6" s="25" t="n">
        <f aca="false">IF($A6="","",IF(COUNTIFS('Chapter Data'!$A$2:$A$2500,H$2,'Chapter Data'!$D$2:$D$2500,$A6,'Chapter Data'!$G$2:$G$2500,"&lt;&gt;")=0,"",SUMIFS('Chapter Data'!$G$2:$G$2500,'Chapter Data'!$A$2:$A$2500,H$2,'Chapter Data'!$D$2:$D$2500,$A6)))</f>
        <v>3.183</v>
      </c>
      <c r="I6" s="25" t="n">
        <f aca="false">IF($A6="","",IF(COUNTIFS('Chapter Data'!$A$2:$A$2500,I$2,'Chapter Data'!$D$2:$D$2500,$A6,'Chapter Data'!$G$2:$G$2500,"&lt;&gt;")=0,"",SUMIFS('Chapter Data'!$G$2:$G$2500,'Chapter Data'!$A$2:$A$2500,I$2,'Chapter Data'!$D$2:$D$2500,$A6)))</f>
        <v>3.214</v>
      </c>
      <c r="J6" s="25" t="n">
        <f aca="false">IF($A6="","",IF(COUNTIFS('Chapter Data'!$A$2:$A$2500,J$2,'Chapter Data'!$D$2:$D$2500,$A6,'Chapter Data'!$G$2:$G$2500,"&lt;&gt;")=0,"",SUMIFS('Chapter Data'!$G$2:$G$2500,'Chapter Data'!$A$2:$A$2500,J$2,'Chapter Data'!$D$2:$D$2500,$A6)))</f>
        <v>3.389</v>
      </c>
      <c r="K6" s="25" t="n">
        <f aca="false">IF($A6="","",IF(COUNTIFS('Chapter Data'!$A$2:$A$2500,K$2,'Chapter Data'!$D$2:$D$2500,$A6,'Chapter Data'!$G$2:$G$2500,"&lt;&gt;")=0,"",SUMIFS('Chapter Data'!$G$2:$G$2500,'Chapter Data'!$A$2:$A$2500,K$2,'Chapter Data'!$D$2:$D$2500,$A6)))</f>
        <v>3.416</v>
      </c>
      <c r="L6" s="25" t="n">
        <f aca="false">IF($A6="","",IF(COUNTIFS('Chapter Data'!$A$2:$A$2500,L$2,'Chapter Data'!$D$2:$D$2500,$A6,'Chapter Data'!$G$2:$G$2500,"&lt;&gt;")=0,"",SUMIFS('Chapter Data'!$G$2:$G$2500,'Chapter Data'!$A$2:$A$2500,L$2,'Chapter Data'!$D$2:$D$2500,$A6)))</f>
        <v>3.342</v>
      </c>
      <c r="M6" s="25" t="n">
        <f aca="false">IF($A6="","",IF(COUNTIFS('Chapter Data'!$A$2:$A$2500,M$2,'Chapter Data'!$D$2:$D$2500,$A6,'Chapter Data'!$G$2:$G$2500,"&lt;&gt;")=0,"",SUMIFS('Chapter Data'!$G$2:$G$2500,'Chapter Data'!$A$2:$A$2500,M$2,'Chapter Data'!$D$2:$D$2500,$A6)))</f>
        <v>3.313</v>
      </c>
      <c r="N6" s="25" t="n">
        <f aca="false">IF($A6="","",IF(COUNTIFS('Chapter Data'!$A$2:$A$2500,N$2,'Chapter Data'!$D$2:$D$2500,$A6,'Chapter Data'!$G$2:$G$2500,"&lt;&gt;")=0,"",SUMIFS('Chapter Data'!$G$2:$G$2500,'Chapter Data'!$A$2:$A$2500,N$2,'Chapter Data'!$D$2:$D$2500,$A6)))</f>
        <v>3.267</v>
      </c>
      <c r="O6" s="25" t="n">
        <f aca="false">IF($A6="","",IF(COUNTIFS('Chapter Data'!$A$2:$A$2500,O$2,'Chapter Data'!$D$2:$D$2500,$A6,'Chapter Data'!$G$2:$G$2500,"&lt;&gt;")=0,"",SUMIFS('Chapter Data'!$G$2:$G$2500,'Chapter Data'!$A$2:$A$2500,O$2,'Chapter Data'!$D$2:$D$2500,$A6)))</f>
        <v>3.458</v>
      </c>
      <c r="P6" s="25" t="n">
        <f aca="false">IF($A6="","",IF(COUNTIFS('Chapter Data'!$A$2:$A$2500,P$2,'Chapter Data'!$D$2:$D$2500,$A6,'Chapter Data'!$G$2:$G$2500,"&lt;&gt;")=0,"",SUMIFS('Chapter Data'!$G$2:$G$2500,'Chapter Data'!$A$2:$A$2500,P$2,'Chapter Data'!$D$2:$D$2500,$A6)))</f>
        <v>3.447</v>
      </c>
      <c r="Q6" s="25" t="n">
        <f aca="false">IF($A6="","",IF(COUNTIFS('Chapter Data'!$A$2:$A$2500,Q$2,'Chapter Data'!$D$2:$D$2500,$A6,'Chapter Data'!$G$2:$G$2500,"&lt;&gt;")=0,"",SUMIFS('Chapter Data'!$G$2:$G$2500,'Chapter Data'!$A$2:$A$2500,Q$2,'Chapter Data'!$D$2:$D$2500,$A6)))</f>
        <v>3.454</v>
      </c>
      <c r="R6" s="25" t="str">
        <f aca="false">IF($A6="","",IF(COUNTIFS('Chapter Data'!$A$2:$A$2500,R$2,'Chapter Data'!$D$2:$D$2500,$A6,'Chapter Data'!$G$2:$G$2500,"&lt;&gt;")=0,"",SUMIFS('Chapter Data'!$G$2:$G$2500,'Chapter Data'!$A$2:$A$2500,R$2,'Chapter Data'!$D$2:$D$2500,$A6)))</f>
        <v/>
      </c>
      <c r="S6" s="25" t="str">
        <f aca="false">IF($A6="","",IF(COUNTIFS('Chapter Data'!$A$2:$A$2500,S$2,'Chapter Data'!$D$2:$D$2500,$A6,'Chapter Data'!$G$2:$G$2500,"&lt;&gt;")=0,"",SUMIFS('Chapter Data'!$G$2:$G$2500,'Chapter Data'!$A$2:$A$2500,S$2,'Chapter Data'!$D$2:$D$2500,$A6)))</f>
        <v/>
      </c>
      <c r="T6" s="25" t="str">
        <f aca="false">IF($A6="","",IF(COUNTIFS('Chapter Data'!$A$2:$A$2500,T$2,'Chapter Data'!$D$2:$D$2500,$A6,'Chapter Data'!$G$2:$G$2500,"&lt;&gt;")=0,"",SUMIFS('Chapter Data'!$G$2:$G$2500,'Chapter Data'!$A$2:$A$2500,T$2,'Chapter Data'!$D$2:$D$2500,$A6)))</f>
        <v/>
      </c>
      <c r="U6" s="25" t="str">
        <f aca="false">IF($A6="","",IF(COUNTIFS('Chapter Data'!$A$2:$A$2500,U$2,'Chapter Data'!$D$2:$D$2500,$A6,'Chapter Data'!$G$2:$G$2500,"&lt;&gt;")=0,"",SUMIFS('Chapter Data'!$G$2:$G$2500,'Chapter Data'!$A$2:$A$2500,U$2,'Chapter Data'!$D$2:$D$2500,$A6)))</f>
        <v/>
      </c>
    </row>
    <row r="7" customFormat="false" ht="15" hidden="false" customHeight="false" outlineLevel="0" collapsed="false">
      <c r="A7" s="8" t="str">
        <f aca="false">IF(Lists!$D$6="","",Lists!$D$6)</f>
        <v>Alpha Tau Omega</v>
      </c>
      <c r="B7" s="25" t="n">
        <f aca="false">IF($A7="","",IF(COUNTIFS('Chapter Data'!$A$2:$A$2500,B$2,'Chapter Data'!$D$2:$D$2500,$A7,'Chapter Data'!$G$2:$G$2500,"&lt;&gt;")=0,"",SUMIFS('Chapter Data'!$G$2:$G$2500,'Chapter Data'!$A$2:$A$2500,B$2,'Chapter Data'!$D$2:$D$2500,$A7)))</f>
        <v>3.074</v>
      </c>
      <c r="C7" s="25" t="n">
        <f aca="false">IF($A7="","",IF(COUNTIFS('Chapter Data'!$A$2:$A$2500,C$2,'Chapter Data'!$D$2:$D$2500,$A7,'Chapter Data'!$G$2:$G$2500,"&lt;&gt;")=0,"",SUMIFS('Chapter Data'!$G$2:$G$2500,'Chapter Data'!$A$2:$A$2500,C$2,'Chapter Data'!$D$2:$D$2500,$A7)))</f>
        <v>3.108</v>
      </c>
      <c r="D7" s="25" t="n">
        <f aca="false">IF($A7="","",IF(COUNTIFS('Chapter Data'!$A$2:$A$2500,D$2,'Chapter Data'!$D$2:$D$2500,$A7,'Chapter Data'!$G$2:$G$2500,"&lt;&gt;")=0,"",SUMIFS('Chapter Data'!$G$2:$G$2500,'Chapter Data'!$A$2:$A$2500,D$2,'Chapter Data'!$D$2:$D$2500,$A7)))</f>
        <v>3.057</v>
      </c>
      <c r="E7" s="25" t="str">
        <f aca="false">IF($A7="","",IF(COUNTIFS('Chapter Data'!$A$2:$A$2500,E$2,'Chapter Data'!$D$2:$D$2500,$A7,'Chapter Data'!$G$2:$G$2500,"&lt;&gt;")=0,"",SUMIFS('Chapter Data'!$G$2:$G$2500,'Chapter Data'!$A$2:$A$2500,E$2,'Chapter Data'!$D$2:$D$2500,$A7)))</f>
        <v/>
      </c>
      <c r="F7" s="25" t="n">
        <f aca="false">IF($A7="","",IF(COUNTIFS('Chapter Data'!$A$2:$A$2500,F$2,'Chapter Data'!$D$2:$D$2500,$A7,'Chapter Data'!$G$2:$G$2500,"&lt;&gt;")=0,"",SUMIFS('Chapter Data'!$G$2:$G$2500,'Chapter Data'!$A$2:$A$2500,F$2,'Chapter Data'!$D$2:$D$2500,$A7)))</f>
        <v>3.276</v>
      </c>
      <c r="G7" s="25" t="n">
        <f aca="false">IF($A7="","",IF(COUNTIFS('Chapter Data'!$A$2:$A$2500,G$2,'Chapter Data'!$D$2:$D$2500,$A7,'Chapter Data'!$G$2:$G$2500,"&lt;&gt;")=0,"",SUMIFS('Chapter Data'!$G$2:$G$2500,'Chapter Data'!$A$2:$A$2500,G$2,'Chapter Data'!$D$2:$D$2500,$A7)))</f>
        <v>3.293</v>
      </c>
      <c r="H7" s="25" t="n">
        <f aca="false">IF($A7="","",IF(COUNTIFS('Chapter Data'!$A$2:$A$2500,H$2,'Chapter Data'!$D$2:$D$2500,$A7,'Chapter Data'!$G$2:$G$2500,"&lt;&gt;")=0,"",SUMIFS('Chapter Data'!$G$2:$G$2500,'Chapter Data'!$A$2:$A$2500,H$2,'Chapter Data'!$D$2:$D$2500,$A7)))</f>
        <v>3.129</v>
      </c>
      <c r="I7" s="25" t="n">
        <f aca="false">IF($A7="","",IF(COUNTIFS('Chapter Data'!$A$2:$A$2500,I$2,'Chapter Data'!$D$2:$D$2500,$A7,'Chapter Data'!$G$2:$G$2500,"&lt;&gt;")=0,"",SUMIFS('Chapter Data'!$G$2:$G$2500,'Chapter Data'!$A$2:$A$2500,I$2,'Chapter Data'!$D$2:$D$2500,$A7)))</f>
        <v>3.142</v>
      </c>
      <c r="J7" s="25" t="n">
        <f aca="false">IF($A7="","",IF(COUNTIFS('Chapter Data'!$A$2:$A$2500,J$2,'Chapter Data'!$D$2:$D$2500,$A7,'Chapter Data'!$G$2:$G$2500,"&lt;&gt;")=0,"",SUMIFS('Chapter Data'!$G$2:$G$2500,'Chapter Data'!$A$2:$A$2500,J$2,'Chapter Data'!$D$2:$D$2500,$A7)))</f>
        <v>3.061</v>
      </c>
      <c r="K7" s="25" t="n">
        <f aca="false">IF($A7="","",IF(COUNTIFS('Chapter Data'!$A$2:$A$2500,K$2,'Chapter Data'!$D$2:$D$2500,$A7,'Chapter Data'!$G$2:$G$2500,"&lt;&gt;")=0,"",SUMIFS('Chapter Data'!$G$2:$G$2500,'Chapter Data'!$A$2:$A$2500,K$2,'Chapter Data'!$D$2:$D$2500,$A7)))</f>
        <v>3.176</v>
      </c>
      <c r="L7" s="25" t="n">
        <f aca="false">IF($A7="","",IF(COUNTIFS('Chapter Data'!$A$2:$A$2500,L$2,'Chapter Data'!$D$2:$D$2500,$A7,'Chapter Data'!$G$2:$G$2500,"&lt;&gt;")=0,"",SUMIFS('Chapter Data'!$G$2:$G$2500,'Chapter Data'!$A$2:$A$2500,L$2,'Chapter Data'!$D$2:$D$2500,$A7)))</f>
        <v>3.071</v>
      </c>
      <c r="M7" s="25" t="n">
        <f aca="false">IF($A7="","",IF(COUNTIFS('Chapter Data'!$A$2:$A$2500,M$2,'Chapter Data'!$D$2:$D$2500,$A7,'Chapter Data'!$G$2:$G$2500,"&lt;&gt;")=0,"",SUMIFS('Chapter Data'!$G$2:$G$2500,'Chapter Data'!$A$2:$A$2500,M$2,'Chapter Data'!$D$2:$D$2500,$A7)))</f>
        <v>3.222</v>
      </c>
      <c r="N7" s="25" t="n">
        <f aca="false">IF($A7="","",IF(COUNTIFS('Chapter Data'!$A$2:$A$2500,N$2,'Chapter Data'!$D$2:$D$2500,$A7,'Chapter Data'!$G$2:$G$2500,"&lt;&gt;")=0,"",SUMIFS('Chapter Data'!$G$2:$G$2500,'Chapter Data'!$A$2:$A$2500,N$2,'Chapter Data'!$D$2:$D$2500,$A7)))</f>
        <v>3.384</v>
      </c>
      <c r="O7" s="25" t="n">
        <f aca="false">IF($A7="","",IF(COUNTIFS('Chapter Data'!$A$2:$A$2500,O$2,'Chapter Data'!$D$2:$D$2500,$A7,'Chapter Data'!$G$2:$G$2500,"&lt;&gt;")=0,"",SUMIFS('Chapter Data'!$G$2:$G$2500,'Chapter Data'!$A$2:$A$2500,O$2,'Chapter Data'!$D$2:$D$2500,$A7)))</f>
        <v>3.37</v>
      </c>
      <c r="P7" s="25" t="n">
        <f aca="false">IF($A7="","",IF(COUNTIFS('Chapter Data'!$A$2:$A$2500,P$2,'Chapter Data'!$D$2:$D$2500,$A7,'Chapter Data'!$G$2:$G$2500,"&lt;&gt;")=0,"",SUMIFS('Chapter Data'!$G$2:$G$2500,'Chapter Data'!$A$2:$A$2500,P$2,'Chapter Data'!$D$2:$D$2500,$A7)))</f>
        <v>3.383</v>
      </c>
      <c r="Q7" s="25" t="n">
        <f aca="false">IF($A7="","",IF(COUNTIFS('Chapter Data'!$A$2:$A$2500,Q$2,'Chapter Data'!$D$2:$D$2500,$A7,'Chapter Data'!$G$2:$G$2500,"&lt;&gt;")=0,"",SUMIFS('Chapter Data'!$G$2:$G$2500,'Chapter Data'!$A$2:$A$2500,Q$2,'Chapter Data'!$D$2:$D$2500,$A7)))</f>
        <v>3.296</v>
      </c>
      <c r="R7" s="25" t="str">
        <f aca="false">IF($A7="","",IF(COUNTIFS('Chapter Data'!$A$2:$A$2500,R$2,'Chapter Data'!$D$2:$D$2500,$A7,'Chapter Data'!$G$2:$G$2500,"&lt;&gt;")=0,"",SUMIFS('Chapter Data'!$G$2:$G$2500,'Chapter Data'!$A$2:$A$2500,R$2,'Chapter Data'!$D$2:$D$2500,$A7)))</f>
        <v/>
      </c>
      <c r="S7" s="25" t="str">
        <f aca="false">IF($A7="","",IF(COUNTIFS('Chapter Data'!$A$2:$A$2500,S$2,'Chapter Data'!$D$2:$D$2500,$A7,'Chapter Data'!$G$2:$G$2500,"&lt;&gt;")=0,"",SUMIFS('Chapter Data'!$G$2:$G$2500,'Chapter Data'!$A$2:$A$2500,S$2,'Chapter Data'!$D$2:$D$2500,$A7)))</f>
        <v/>
      </c>
      <c r="T7" s="25" t="str">
        <f aca="false">IF($A7="","",IF(COUNTIFS('Chapter Data'!$A$2:$A$2500,T$2,'Chapter Data'!$D$2:$D$2500,$A7,'Chapter Data'!$G$2:$G$2500,"&lt;&gt;")=0,"",SUMIFS('Chapter Data'!$G$2:$G$2500,'Chapter Data'!$A$2:$A$2500,T$2,'Chapter Data'!$D$2:$D$2500,$A7)))</f>
        <v/>
      </c>
      <c r="U7" s="25" t="str">
        <f aca="false">IF($A7="","",IF(COUNTIFS('Chapter Data'!$A$2:$A$2500,U$2,'Chapter Data'!$D$2:$D$2500,$A7,'Chapter Data'!$G$2:$G$2500,"&lt;&gt;")=0,"",SUMIFS('Chapter Data'!$G$2:$G$2500,'Chapter Data'!$A$2:$A$2500,U$2,'Chapter Data'!$D$2:$D$2500,$A7)))</f>
        <v/>
      </c>
    </row>
    <row r="8" customFormat="false" ht="15" hidden="false" customHeight="false" outlineLevel="0" collapsed="false">
      <c r="A8" s="8" t="str">
        <f aca="false">IF(Lists!$D$7="","",Lists!$D$7)</f>
        <v>Beta Sigma Psi</v>
      </c>
      <c r="B8" s="25" t="n">
        <f aca="false">IF($A8="","",IF(COUNTIFS('Chapter Data'!$A$2:$A$2500,B$2,'Chapter Data'!$D$2:$D$2500,$A8,'Chapter Data'!$G$2:$G$2500,"&lt;&gt;")=0,"",SUMIFS('Chapter Data'!$G$2:$G$2500,'Chapter Data'!$A$2:$A$2500,B$2,'Chapter Data'!$D$2:$D$2500,$A8)))</f>
        <v>3.327</v>
      </c>
      <c r="C8" s="25" t="n">
        <f aca="false">IF($A8="","",IF(COUNTIFS('Chapter Data'!$A$2:$A$2500,C$2,'Chapter Data'!$D$2:$D$2500,$A8,'Chapter Data'!$G$2:$G$2500,"&lt;&gt;")=0,"",SUMIFS('Chapter Data'!$G$2:$G$2500,'Chapter Data'!$A$2:$A$2500,C$2,'Chapter Data'!$D$2:$D$2500,$A8)))</f>
        <v>3.291</v>
      </c>
      <c r="D8" s="25" t="n">
        <f aca="false">IF($A8="","",IF(COUNTIFS('Chapter Data'!$A$2:$A$2500,D$2,'Chapter Data'!$D$2:$D$2500,$A8,'Chapter Data'!$G$2:$G$2500,"&lt;&gt;")=0,"",SUMIFS('Chapter Data'!$G$2:$G$2500,'Chapter Data'!$A$2:$A$2500,D$2,'Chapter Data'!$D$2:$D$2500,$A8)))</f>
        <v>3.285</v>
      </c>
      <c r="E8" s="25" t="str">
        <f aca="false">IF($A8="","",IF(COUNTIFS('Chapter Data'!$A$2:$A$2500,E$2,'Chapter Data'!$D$2:$D$2500,$A8,'Chapter Data'!$G$2:$G$2500,"&lt;&gt;")=0,"",SUMIFS('Chapter Data'!$G$2:$G$2500,'Chapter Data'!$A$2:$A$2500,E$2,'Chapter Data'!$D$2:$D$2500,$A8)))</f>
        <v/>
      </c>
      <c r="F8" s="25" t="n">
        <f aca="false">IF($A8="","",IF(COUNTIFS('Chapter Data'!$A$2:$A$2500,F$2,'Chapter Data'!$D$2:$D$2500,$A8,'Chapter Data'!$G$2:$G$2500,"&lt;&gt;")=0,"",SUMIFS('Chapter Data'!$G$2:$G$2500,'Chapter Data'!$A$2:$A$2500,F$2,'Chapter Data'!$D$2:$D$2500,$A8)))</f>
        <v>3.29</v>
      </c>
      <c r="G8" s="25" t="n">
        <f aca="false">IF($A8="","",IF(COUNTIFS('Chapter Data'!$A$2:$A$2500,G$2,'Chapter Data'!$D$2:$D$2500,$A8,'Chapter Data'!$G$2:$G$2500,"&lt;&gt;")=0,"",SUMIFS('Chapter Data'!$G$2:$G$2500,'Chapter Data'!$A$2:$A$2500,G$2,'Chapter Data'!$D$2:$D$2500,$A8)))</f>
        <v>3.372</v>
      </c>
      <c r="H8" s="25" t="n">
        <f aca="false">IF($A8="","",IF(COUNTIFS('Chapter Data'!$A$2:$A$2500,H$2,'Chapter Data'!$D$2:$D$2500,$A8,'Chapter Data'!$G$2:$G$2500,"&lt;&gt;")=0,"",SUMIFS('Chapter Data'!$G$2:$G$2500,'Chapter Data'!$A$2:$A$2500,H$2,'Chapter Data'!$D$2:$D$2500,$A8)))</f>
        <v>3.539</v>
      </c>
      <c r="I8" s="25" t="n">
        <f aca="false">IF($A8="","",IF(COUNTIFS('Chapter Data'!$A$2:$A$2500,I$2,'Chapter Data'!$D$2:$D$2500,$A8,'Chapter Data'!$G$2:$G$2500,"&lt;&gt;")=0,"",SUMIFS('Chapter Data'!$G$2:$G$2500,'Chapter Data'!$A$2:$A$2500,I$2,'Chapter Data'!$D$2:$D$2500,$A8)))</f>
        <v>3.298</v>
      </c>
      <c r="J8" s="25" t="n">
        <f aca="false">IF($A8="","",IF(COUNTIFS('Chapter Data'!$A$2:$A$2500,J$2,'Chapter Data'!$D$2:$D$2500,$A8,'Chapter Data'!$G$2:$G$2500,"&lt;&gt;")=0,"",SUMIFS('Chapter Data'!$G$2:$G$2500,'Chapter Data'!$A$2:$A$2500,J$2,'Chapter Data'!$D$2:$D$2500,$A8)))</f>
        <v>3.55</v>
      </c>
      <c r="K8" s="25" t="n">
        <f aca="false">IF($A8="","",IF(COUNTIFS('Chapter Data'!$A$2:$A$2500,K$2,'Chapter Data'!$D$2:$D$2500,$A8,'Chapter Data'!$G$2:$G$2500,"&lt;&gt;")=0,"",SUMIFS('Chapter Data'!$G$2:$G$2500,'Chapter Data'!$A$2:$A$2500,K$2,'Chapter Data'!$D$2:$D$2500,$A8)))</f>
        <v>3.287</v>
      </c>
      <c r="L8" s="25" t="n">
        <f aca="false">IF($A8="","",IF(COUNTIFS('Chapter Data'!$A$2:$A$2500,L$2,'Chapter Data'!$D$2:$D$2500,$A8,'Chapter Data'!$G$2:$G$2500,"&lt;&gt;")=0,"",SUMIFS('Chapter Data'!$G$2:$G$2500,'Chapter Data'!$A$2:$A$2500,L$2,'Chapter Data'!$D$2:$D$2500,$A8)))</f>
        <v>3.257</v>
      </c>
      <c r="M8" s="25" t="n">
        <f aca="false">IF($A8="","",IF(COUNTIFS('Chapter Data'!$A$2:$A$2500,M$2,'Chapter Data'!$D$2:$D$2500,$A8,'Chapter Data'!$G$2:$G$2500,"&lt;&gt;")=0,"",SUMIFS('Chapter Data'!$G$2:$G$2500,'Chapter Data'!$A$2:$A$2500,M$2,'Chapter Data'!$D$2:$D$2500,$A8)))</f>
        <v>3.079</v>
      </c>
      <c r="N8" s="25" t="n">
        <f aca="false">IF($A8="","",IF(COUNTIFS('Chapter Data'!$A$2:$A$2500,N$2,'Chapter Data'!$D$2:$D$2500,$A8,'Chapter Data'!$G$2:$G$2500,"&lt;&gt;")=0,"",SUMIFS('Chapter Data'!$G$2:$G$2500,'Chapter Data'!$A$2:$A$2500,N$2,'Chapter Data'!$D$2:$D$2500,$A8)))</f>
        <v>3.35</v>
      </c>
      <c r="O8" s="25" t="n">
        <f aca="false">IF($A8="","",IF(COUNTIFS('Chapter Data'!$A$2:$A$2500,O$2,'Chapter Data'!$D$2:$D$2500,$A8,'Chapter Data'!$G$2:$G$2500,"&lt;&gt;")=0,"",SUMIFS('Chapter Data'!$G$2:$G$2500,'Chapter Data'!$A$2:$A$2500,O$2,'Chapter Data'!$D$2:$D$2500,$A8)))</f>
        <v>3.313</v>
      </c>
      <c r="P8" s="25" t="n">
        <f aca="false">IF($A8="","",IF(COUNTIFS('Chapter Data'!$A$2:$A$2500,P$2,'Chapter Data'!$D$2:$D$2500,$A8,'Chapter Data'!$G$2:$G$2500,"&lt;&gt;")=0,"",SUMIFS('Chapter Data'!$G$2:$G$2500,'Chapter Data'!$A$2:$A$2500,P$2,'Chapter Data'!$D$2:$D$2500,$A8)))</f>
        <v>3.309</v>
      </c>
      <c r="Q8" s="25" t="n">
        <f aca="false">IF($A8="","",IF(COUNTIFS('Chapter Data'!$A$2:$A$2500,Q$2,'Chapter Data'!$D$2:$D$2500,$A8,'Chapter Data'!$G$2:$G$2500,"&lt;&gt;")=0,"",SUMIFS('Chapter Data'!$G$2:$G$2500,'Chapter Data'!$A$2:$A$2500,Q$2,'Chapter Data'!$D$2:$D$2500,$A8)))</f>
        <v>3.494</v>
      </c>
      <c r="R8" s="25" t="str">
        <f aca="false">IF($A8="","",IF(COUNTIFS('Chapter Data'!$A$2:$A$2500,R$2,'Chapter Data'!$D$2:$D$2500,$A8,'Chapter Data'!$G$2:$G$2500,"&lt;&gt;")=0,"",SUMIFS('Chapter Data'!$G$2:$G$2500,'Chapter Data'!$A$2:$A$2500,R$2,'Chapter Data'!$D$2:$D$2500,$A8)))</f>
        <v/>
      </c>
      <c r="S8" s="25" t="str">
        <f aca="false">IF($A8="","",IF(COUNTIFS('Chapter Data'!$A$2:$A$2500,S$2,'Chapter Data'!$D$2:$D$2500,$A8,'Chapter Data'!$G$2:$G$2500,"&lt;&gt;")=0,"",SUMIFS('Chapter Data'!$G$2:$G$2500,'Chapter Data'!$A$2:$A$2500,S$2,'Chapter Data'!$D$2:$D$2500,$A8)))</f>
        <v/>
      </c>
      <c r="T8" s="25" t="str">
        <f aca="false">IF($A8="","",IF(COUNTIFS('Chapter Data'!$A$2:$A$2500,T$2,'Chapter Data'!$D$2:$D$2500,$A8,'Chapter Data'!$G$2:$G$2500,"&lt;&gt;")=0,"",SUMIFS('Chapter Data'!$G$2:$G$2500,'Chapter Data'!$A$2:$A$2500,T$2,'Chapter Data'!$D$2:$D$2500,$A8)))</f>
        <v/>
      </c>
      <c r="U8" s="25" t="str">
        <f aca="false">IF($A8="","",IF(COUNTIFS('Chapter Data'!$A$2:$A$2500,U$2,'Chapter Data'!$D$2:$D$2500,$A8,'Chapter Data'!$G$2:$G$2500,"&lt;&gt;")=0,"",SUMIFS('Chapter Data'!$G$2:$G$2500,'Chapter Data'!$A$2:$A$2500,U$2,'Chapter Data'!$D$2:$D$2500,$A8)))</f>
        <v/>
      </c>
    </row>
    <row r="9" customFormat="false" ht="15" hidden="false" customHeight="false" outlineLevel="0" collapsed="false">
      <c r="A9" s="8" t="str">
        <f aca="false">IF(Lists!$D$8="","",Lists!$D$8)</f>
        <v>Beta Theta Pi</v>
      </c>
      <c r="B9" s="25" t="n">
        <f aca="false">IF($A9="","",IF(COUNTIFS('Chapter Data'!$A$2:$A$2500,B$2,'Chapter Data'!$D$2:$D$2500,$A9,'Chapter Data'!$G$2:$G$2500,"&lt;&gt;")=0,"",SUMIFS('Chapter Data'!$G$2:$G$2500,'Chapter Data'!$A$2:$A$2500,B$2,'Chapter Data'!$D$2:$D$2500,$A9)))</f>
        <v>3.426</v>
      </c>
      <c r="C9" s="25" t="n">
        <f aca="false">IF($A9="","",IF(COUNTIFS('Chapter Data'!$A$2:$A$2500,C$2,'Chapter Data'!$D$2:$D$2500,$A9,'Chapter Data'!$G$2:$G$2500,"&lt;&gt;")=0,"",SUMIFS('Chapter Data'!$G$2:$G$2500,'Chapter Data'!$A$2:$A$2500,C$2,'Chapter Data'!$D$2:$D$2500,$A9)))</f>
        <v>3.463</v>
      </c>
      <c r="D9" s="25" t="n">
        <f aca="false">IF($A9="","",IF(COUNTIFS('Chapter Data'!$A$2:$A$2500,D$2,'Chapter Data'!$D$2:$D$2500,$A9,'Chapter Data'!$G$2:$G$2500,"&lt;&gt;")=0,"",SUMIFS('Chapter Data'!$G$2:$G$2500,'Chapter Data'!$A$2:$A$2500,D$2,'Chapter Data'!$D$2:$D$2500,$A9)))</f>
        <v>3.442</v>
      </c>
      <c r="E9" s="25" t="str">
        <f aca="false">IF($A9="","",IF(COUNTIFS('Chapter Data'!$A$2:$A$2500,E$2,'Chapter Data'!$D$2:$D$2500,$A9,'Chapter Data'!$G$2:$G$2500,"&lt;&gt;")=0,"",SUMIFS('Chapter Data'!$G$2:$G$2500,'Chapter Data'!$A$2:$A$2500,E$2,'Chapter Data'!$D$2:$D$2500,$A9)))</f>
        <v/>
      </c>
      <c r="F9" s="25" t="n">
        <f aca="false">IF($A9="","",IF(COUNTIFS('Chapter Data'!$A$2:$A$2500,F$2,'Chapter Data'!$D$2:$D$2500,$A9,'Chapter Data'!$G$2:$G$2500,"&lt;&gt;")=0,"",SUMIFS('Chapter Data'!$G$2:$G$2500,'Chapter Data'!$A$2:$A$2500,F$2,'Chapter Data'!$D$2:$D$2500,$A9)))</f>
        <v>3.457</v>
      </c>
      <c r="G9" s="25" t="n">
        <f aca="false">IF($A9="","",IF(COUNTIFS('Chapter Data'!$A$2:$A$2500,G$2,'Chapter Data'!$D$2:$D$2500,$A9,'Chapter Data'!$G$2:$G$2500,"&lt;&gt;")=0,"",SUMIFS('Chapter Data'!$G$2:$G$2500,'Chapter Data'!$A$2:$A$2500,G$2,'Chapter Data'!$D$2:$D$2500,$A9)))</f>
        <v>3.51</v>
      </c>
      <c r="H9" s="25" t="n">
        <f aca="false">IF($A9="","",IF(COUNTIFS('Chapter Data'!$A$2:$A$2500,H$2,'Chapter Data'!$D$2:$D$2500,$A9,'Chapter Data'!$G$2:$G$2500,"&lt;&gt;")=0,"",SUMIFS('Chapter Data'!$G$2:$G$2500,'Chapter Data'!$A$2:$A$2500,H$2,'Chapter Data'!$D$2:$D$2500,$A9)))</f>
        <v>3.281</v>
      </c>
      <c r="I9" s="25" t="n">
        <f aca="false">IF($A9="","",IF(COUNTIFS('Chapter Data'!$A$2:$A$2500,I$2,'Chapter Data'!$D$2:$D$2500,$A9,'Chapter Data'!$G$2:$G$2500,"&lt;&gt;")=0,"",SUMIFS('Chapter Data'!$G$2:$G$2500,'Chapter Data'!$A$2:$A$2500,I$2,'Chapter Data'!$D$2:$D$2500,$A9)))</f>
        <v>3.446</v>
      </c>
      <c r="J9" s="25" t="n">
        <f aca="false">IF($A9="","",IF(COUNTIFS('Chapter Data'!$A$2:$A$2500,J$2,'Chapter Data'!$D$2:$D$2500,$A9,'Chapter Data'!$G$2:$G$2500,"&lt;&gt;")=0,"",SUMIFS('Chapter Data'!$G$2:$G$2500,'Chapter Data'!$A$2:$A$2500,J$2,'Chapter Data'!$D$2:$D$2500,$A9)))</f>
        <v>3.572</v>
      </c>
      <c r="K9" s="25" t="n">
        <f aca="false">IF($A9="","",IF(COUNTIFS('Chapter Data'!$A$2:$A$2500,K$2,'Chapter Data'!$D$2:$D$2500,$A9,'Chapter Data'!$G$2:$G$2500,"&lt;&gt;")=0,"",SUMIFS('Chapter Data'!$G$2:$G$2500,'Chapter Data'!$A$2:$A$2500,K$2,'Chapter Data'!$D$2:$D$2500,$A9)))</f>
        <v>3.539</v>
      </c>
      <c r="L9" s="25" t="n">
        <f aca="false">IF($A9="","",IF(COUNTIFS('Chapter Data'!$A$2:$A$2500,L$2,'Chapter Data'!$D$2:$D$2500,$A9,'Chapter Data'!$G$2:$G$2500,"&lt;&gt;")=0,"",SUMIFS('Chapter Data'!$G$2:$G$2500,'Chapter Data'!$A$2:$A$2500,L$2,'Chapter Data'!$D$2:$D$2500,$A9)))</f>
        <v>3.583</v>
      </c>
      <c r="M9" s="25" t="n">
        <f aca="false">IF($A9="","",IF(COUNTIFS('Chapter Data'!$A$2:$A$2500,M$2,'Chapter Data'!$D$2:$D$2500,$A9,'Chapter Data'!$G$2:$G$2500,"&lt;&gt;")=0,"",SUMIFS('Chapter Data'!$G$2:$G$2500,'Chapter Data'!$A$2:$A$2500,M$2,'Chapter Data'!$D$2:$D$2500,$A9)))</f>
        <v>3.524</v>
      </c>
      <c r="N9" s="25" t="n">
        <f aca="false">IF($A9="","",IF(COUNTIFS('Chapter Data'!$A$2:$A$2500,N$2,'Chapter Data'!$D$2:$D$2500,$A9,'Chapter Data'!$G$2:$G$2500,"&lt;&gt;")=0,"",SUMIFS('Chapter Data'!$G$2:$G$2500,'Chapter Data'!$A$2:$A$2500,N$2,'Chapter Data'!$D$2:$D$2500,$A9)))</f>
        <v>3.623</v>
      </c>
      <c r="O9" s="25" t="n">
        <f aca="false">IF($A9="","",IF(COUNTIFS('Chapter Data'!$A$2:$A$2500,O$2,'Chapter Data'!$D$2:$D$2500,$A9,'Chapter Data'!$G$2:$G$2500,"&lt;&gt;")=0,"",SUMIFS('Chapter Data'!$G$2:$G$2500,'Chapter Data'!$A$2:$A$2500,O$2,'Chapter Data'!$D$2:$D$2500,$A9)))</f>
        <v>3.624</v>
      </c>
      <c r="P9" s="25" t="n">
        <f aca="false">IF($A9="","",IF(COUNTIFS('Chapter Data'!$A$2:$A$2500,P$2,'Chapter Data'!$D$2:$D$2500,$A9,'Chapter Data'!$G$2:$G$2500,"&lt;&gt;")=0,"",SUMIFS('Chapter Data'!$G$2:$G$2500,'Chapter Data'!$A$2:$A$2500,P$2,'Chapter Data'!$D$2:$D$2500,$A9)))</f>
        <v>3.65</v>
      </c>
      <c r="Q9" s="25" t="n">
        <f aca="false">IF($A9="","",IF(COUNTIFS('Chapter Data'!$A$2:$A$2500,Q$2,'Chapter Data'!$D$2:$D$2500,$A9,'Chapter Data'!$G$2:$G$2500,"&lt;&gt;")=0,"",SUMIFS('Chapter Data'!$G$2:$G$2500,'Chapter Data'!$A$2:$A$2500,Q$2,'Chapter Data'!$D$2:$D$2500,$A9)))</f>
        <v>3.607</v>
      </c>
      <c r="R9" s="25" t="str">
        <f aca="false">IF($A9="","",IF(COUNTIFS('Chapter Data'!$A$2:$A$2500,R$2,'Chapter Data'!$D$2:$D$2500,$A9,'Chapter Data'!$G$2:$G$2500,"&lt;&gt;")=0,"",SUMIFS('Chapter Data'!$G$2:$G$2500,'Chapter Data'!$A$2:$A$2500,R$2,'Chapter Data'!$D$2:$D$2500,$A9)))</f>
        <v/>
      </c>
      <c r="S9" s="25" t="str">
        <f aca="false">IF($A9="","",IF(COUNTIFS('Chapter Data'!$A$2:$A$2500,S$2,'Chapter Data'!$D$2:$D$2500,$A9,'Chapter Data'!$G$2:$G$2500,"&lt;&gt;")=0,"",SUMIFS('Chapter Data'!$G$2:$G$2500,'Chapter Data'!$A$2:$A$2500,S$2,'Chapter Data'!$D$2:$D$2500,$A9)))</f>
        <v/>
      </c>
      <c r="T9" s="25" t="str">
        <f aca="false">IF($A9="","",IF(COUNTIFS('Chapter Data'!$A$2:$A$2500,T$2,'Chapter Data'!$D$2:$D$2500,$A9,'Chapter Data'!$G$2:$G$2500,"&lt;&gt;")=0,"",SUMIFS('Chapter Data'!$G$2:$G$2500,'Chapter Data'!$A$2:$A$2500,T$2,'Chapter Data'!$D$2:$D$2500,$A9)))</f>
        <v/>
      </c>
      <c r="U9" s="25" t="str">
        <f aca="false">IF($A9="","",IF(COUNTIFS('Chapter Data'!$A$2:$A$2500,U$2,'Chapter Data'!$D$2:$D$2500,$A9,'Chapter Data'!$G$2:$G$2500,"&lt;&gt;")=0,"",SUMIFS('Chapter Data'!$G$2:$G$2500,'Chapter Data'!$A$2:$A$2500,U$2,'Chapter Data'!$D$2:$D$2500,$A9)))</f>
        <v/>
      </c>
    </row>
    <row r="10" customFormat="false" ht="15" hidden="false" customHeight="false" outlineLevel="0" collapsed="false">
      <c r="A10" s="8" t="str">
        <f aca="false">IF(Lists!$D$9="","",Lists!$D$9)</f>
        <v>Chi Phi</v>
      </c>
      <c r="B10" s="25" t="n">
        <f aca="false">IF($A10="","",IF(COUNTIFS('Chapter Data'!$A$2:$A$2500,B$2,'Chapter Data'!$D$2:$D$2500,$A10,'Chapter Data'!$G$2:$G$2500,"&lt;&gt;")=0,"",SUMIFS('Chapter Data'!$G$2:$G$2500,'Chapter Data'!$A$2:$A$2500,B$2,'Chapter Data'!$D$2:$D$2500,$A10)))</f>
        <v>2.742</v>
      </c>
      <c r="C10" s="25" t="n">
        <f aca="false">IF($A10="","",IF(COUNTIFS('Chapter Data'!$A$2:$A$2500,C$2,'Chapter Data'!$D$2:$D$2500,$A10,'Chapter Data'!$G$2:$G$2500,"&lt;&gt;")=0,"",SUMIFS('Chapter Data'!$G$2:$G$2500,'Chapter Data'!$A$2:$A$2500,C$2,'Chapter Data'!$D$2:$D$2500,$A10)))</f>
        <v>2.772</v>
      </c>
      <c r="D10" s="25" t="n">
        <f aca="false">IF($A10="","",IF(COUNTIFS('Chapter Data'!$A$2:$A$2500,D$2,'Chapter Data'!$D$2:$D$2500,$A10,'Chapter Data'!$G$2:$G$2500,"&lt;&gt;")=0,"",SUMIFS('Chapter Data'!$G$2:$G$2500,'Chapter Data'!$A$2:$A$2500,D$2,'Chapter Data'!$D$2:$D$2500,$A10)))</f>
        <v>3.336</v>
      </c>
      <c r="E10" s="25" t="str">
        <f aca="false">IF($A10="","",IF(COUNTIFS('Chapter Data'!$A$2:$A$2500,E$2,'Chapter Data'!$D$2:$D$2500,$A10,'Chapter Data'!$G$2:$G$2500,"&lt;&gt;")=0,"",SUMIFS('Chapter Data'!$G$2:$G$2500,'Chapter Data'!$A$2:$A$2500,E$2,'Chapter Data'!$D$2:$D$2500,$A10)))</f>
        <v/>
      </c>
      <c r="F10" s="25" t="n">
        <f aca="false">IF($A10="","",IF(COUNTIFS('Chapter Data'!$A$2:$A$2500,F$2,'Chapter Data'!$D$2:$D$2500,$A10,'Chapter Data'!$G$2:$G$2500,"&lt;&gt;")=0,"",SUMIFS('Chapter Data'!$G$2:$G$2500,'Chapter Data'!$A$2:$A$2500,F$2,'Chapter Data'!$D$2:$D$2500,$A10)))</f>
        <v>3.269</v>
      </c>
      <c r="G10" s="25" t="n">
        <f aca="false">IF($A10="","",IF(COUNTIFS('Chapter Data'!$A$2:$A$2500,G$2,'Chapter Data'!$D$2:$D$2500,$A10,'Chapter Data'!$G$2:$G$2500,"&lt;&gt;")=0,"",SUMIFS('Chapter Data'!$G$2:$G$2500,'Chapter Data'!$A$2:$A$2500,G$2,'Chapter Data'!$D$2:$D$2500,$A10)))</f>
        <v>3.135</v>
      </c>
      <c r="H10" s="25" t="n">
        <f aca="false">IF($A10="","",IF(COUNTIFS('Chapter Data'!$A$2:$A$2500,H$2,'Chapter Data'!$D$2:$D$2500,$A10,'Chapter Data'!$G$2:$G$2500,"&lt;&gt;")=0,"",SUMIFS('Chapter Data'!$G$2:$G$2500,'Chapter Data'!$A$2:$A$2500,H$2,'Chapter Data'!$D$2:$D$2500,$A10)))</f>
        <v>3.724</v>
      </c>
      <c r="I10" s="25" t="n">
        <f aca="false">IF($A10="","",IF(COUNTIFS('Chapter Data'!$A$2:$A$2500,I$2,'Chapter Data'!$D$2:$D$2500,$A10,'Chapter Data'!$G$2:$G$2500,"&lt;&gt;")=0,"",SUMIFS('Chapter Data'!$G$2:$G$2500,'Chapter Data'!$A$2:$A$2500,I$2,'Chapter Data'!$D$2:$D$2500,$A10)))</f>
        <v>3.632</v>
      </c>
      <c r="J10" s="25" t="n">
        <f aca="false">IF($A10="","",IF(COUNTIFS('Chapter Data'!$A$2:$A$2500,J$2,'Chapter Data'!$D$2:$D$2500,$A10,'Chapter Data'!$G$2:$G$2500,"&lt;&gt;")=0,"",SUMIFS('Chapter Data'!$G$2:$G$2500,'Chapter Data'!$A$2:$A$2500,J$2,'Chapter Data'!$D$2:$D$2500,$A10)))</f>
        <v>3.379</v>
      </c>
      <c r="K10" s="25" t="n">
        <f aca="false">IF($A10="","",IF(COUNTIFS('Chapter Data'!$A$2:$A$2500,K$2,'Chapter Data'!$D$2:$D$2500,$A10,'Chapter Data'!$G$2:$G$2500,"&lt;&gt;")=0,"",SUMIFS('Chapter Data'!$G$2:$G$2500,'Chapter Data'!$A$2:$A$2500,K$2,'Chapter Data'!$D$2:$D$2500,$A10)))</f>
        <v>3.288</v>
      </c>
      <c r="L10" s="25" t="n">
        <f aca="false">IF($A10="","",IF(COUNTIFS('Chapter Data'!$A$2:$A$2500,L$2,'Chapter Data'!$D$2:$D$2500,$A10,'Chapter Data'!$G$2:$G$2500,"&lt;&gt;")=0,"",SUMIFS('Chapter Data'!$G$2:$G$2500,'Chapter Data'!$A$2:$A$2500,L$2,'Chapter Data'!$D$2:$D$2500,$A10)))</f>
        <v>2.643</v>
      </c>
      <c r="M10" s="25" t="n">
        <f aca="false">IF($A10="","",IF(COUNTIFS('Chapter Data'!$A$2:$A$2500,M$2,'Chapter Data'!$D$2:$D$2500,$A10,'Chapter Data'!$G$2:$G$2500,"&lt;&gt;")=0,"",SUMIFS('Chapter Data'!$G$2:$G$2500,'Chapter Data'!$A$2:$A$2500,M$2,'Chapter Data'!$D$2:$D$2500,$A10)))</f>
        <v>2.985</v>
      </c>
      <c r="N10" s="25" t="n">
        <f aca="false">IF($A10="","",IF(COUNTIFS('Chapter Data'!$A$2:$A$2500,N$2,'Chapter Data'!$D$2:$D$2500,$A10,'Chapter Data'!$G$2:$G$2500,"&lt;&gt;")=0,"",SUMIFS('Chapter Data'!$G$2:$G$2500,'Chapter Data'!$A$2:$A$2500,N$2,'Chapter Data'!$D$2:$D$2500,$A10)))</f>
        <v>2.78</v>
      </c>
      <c r="O10" s="25" t="n">
        <f aca="false">IF($A10="","",IF(COUNTIFS('Chapter Data'!$A$2:$A$2500,O$2,'Chapter Data'!$D$2:$D$2500,$A10,'Chapter Data'!$G$2:$G$2500,"&lt;&gt;")=0,"",SUMIFS('Chapter Data'!$G$2:$G$2500,'Chapter Data'!$A$2:$A$2500,O$2,'Chapter Data'!$D$2:$D$2500,$A10)))</f>
        <v>3.019</v>
      </c>
      <c r="P10" s="25" t="n">
        <f aca="false">IF($A10="","",IF(COUNTIFS('Chapter Data'!$A$2:$A$2500,P$2,'Chapter Data'!$D$2:$D$2500,$A10,'Chapter Data'!$G$2:$G$2500,"&lt;&gt;")=0,"",SUMIFS('Chapter Data'!$G$2:$G$2500,'Chapter Data'!$A$2:$A$2500,P$2,'Chapter Data'!$D$2:$D$2500,$A10)))</f>
        <v>2.903</v>
      </c>
      <c r="Q10" s="25" t="n">
        <f aca="false">IF($A10="","",IF(COUNTIFS('Chapter Data'!$A$2:$A$2500,Q$2,'Chapter Data'!$D$2:$D$2500,$A10,'Chapter Data'!$G$2:$G$2500,"&lt;&gt;")=0,"",SUMIFS('Chapter Data'!$G$2:$G$2500,'Chapter Data'!$A$2:$A$2500,Q$2,'Chapter Data'!$D$2:$D$2500,$A10)))</f>
        <v>2.687</v>
      </c>
      <c r="R10" s="25" t="str">
        <f aca="false">IF($A10="","",IF(COUNTIFS('Chapter Data'!$A$2:$A$2500,R$2,'Chapter Data'!$D$2:$D$2500,$A10,'Chapter Data'!$G$2:$G$2500,"&lt;&gt;")=0,"",SUMIFS('Chapter Data'!$G$2:$G$2500,'Chapter Data'!$A$2:$A$2500,R$2,'Chapter Data'!$D$2:$D$2500,$A10)))</f>
        <v/>
      </c>
      <c r="S10" s="25" t="str">
        <f aca="false">IF($A10="","",IF(COUNTIFS('Chapter Data'!$A$2:$A$2500,S$2,'Chapter Data'!$D$2:$D$2500,$A10,'Chapter Data'!$G$2:$G$2500,"&lt;&gt;")=0,"",SUMIFS('Chapter Data'!$G$2:$G$2500,'Chapter Data'!$A$2:$A$2500,S$2,'Chapter Data'!$D$2:$D$2500,$A10)))</f>
        <v/>
      </c>
      <c r="T10" s="25" t="str">
        <f aca="false">IF($A10="","",IF(COUNTIFS('Chapter Data'!$A$2:$A$2500,T$2,'Chapter Data'!$D$2:$D$2500,$A10,'Chapter Data'!$G$2:$G$2500,"&lt;&gt;")=0,"",SUMIFS('Chapter Data'!$G$2:$G$2500,'Chapter Data'!$A$2:$A$2500,T$2,'Chapter Data'!$D$2:$D$2500,$A10)))</f>
        <v/>
      </c>
      <c r="U10" s="25" t="str">
        <f aca="false">IF($A10="","",IF(COUNTIFS('Chapter Data'!$A$2:$A$2500,U$2,'Chapter Data'!$D$2:$D$2500,$A10,'Chapter Data'!$G$2:$G$2500,"&lt;&gt;")=0,"",SUMIFS('Chapter Data'!$G$2:$G$2500,'Chapter Data'!$A$2:$A$2500,U$2,'Chapter Data'!$D$2:$D$2500,$A10)))</f>
        <v/>
      </c>
    </row>
    <row r="11" customFormat="false" ht="15" hidden="false" customHeight="false" outlineLevel="0" collapsed="false">
      <c r="A11" s="8" t="str">
        <f aca="false">IF(Lists!$D$10="","",Lists!$D$10)</f>
        <v>Delta Sigma Phi</v>
      </c>
      <c r="B11" s="25" t="str">
        <f aca="false">IF($A11="","",IF(COUNTIFS('Chapter Data'!$A$2:$A$2500,B$2,'Chapter Data'!$D$2:$D$2500,$A11,'Chapter Data'!$G$2:$G$2500,"&lt;&gt;")=0,"",SUMIFS('Chapter Data'!$G$2:$G$2500,'Chapter Data'!$A$2:$A$2500,B$2,'Chapter Data'!$D$2:$D$2500,$A11)))</f>
        <v/>
      </c>
      <c r="C11" s="25" t="str">
        <f aca="false">IF($A11="","",IF(COUNTIFS('Chapter Data'!$A$2:$A$2500,C$2,'Chapter Data'!$D$2:$D$2500,$A11,'Chapter Data'!$G$2:$G$2500,"&lt;&gt;")=0,"",SUMIFS('Chapter Data'!$G$2:$G$2500,'Chapter Data'!$A$2:$A$2500,C$2,'Chapter Data'!$D$2:$D$2500,$A11)))</f>
        <v/>
      </c>
      <c r="D11" s="25" t="str">
        <f aca="false">IF($A11="","",IF(COUNTIFS('Chapter Data'!$A$2:$A$2500,D$2,'Chapter Data'!$D$2:$D$2500,$A11,'Chapter Data'!$G$2:$G$2500,"&lt;&gt;")=0,"",SUMIFS('Chapter Data'!$G$2:$G$2500,'Chapter Data'!$A$2:$A$2500,D$2,'Chapter Data'!$D$2:$D$2500,$A11)))</f>
        <v/>
      </c>
      <c r="E11" s="25" t="str">
        <f aca="false">IF($A11="","",IF(COUNTIFS('Chapter Data'!$A$2:$A$2500,E$2,'Chapter Data'!$D$2:$D$2500,$A11,'Chapter Data'!$G$2:$G$2500,"&lt;&gt;")=0,"",SUMIFS('Chapter Data'!$G$2:$G$2500,'Chapter Data'!$A$2:$A$2500,E$2,'Chapter Data'!$D$2:$D$2500,$A11)))</f>
        <v/>
      </c>
      <c r="F11" s="25" t="str">
        <f aca="false">IF($A11="","",IF(COUNTIFS('Chapter Data'!$A$2:$A$2500,F$2,'Chapter Data'!$D$2:$D$2500,$A11,'Chapter Data'!$G$2:$G$2500,"&lt;&gt;")=0,"",SUMIFS('Chapter Data'!$G$2:$G$2500,'Chapter Data'!$A$2:$A$2500,F$2,'Chapter Data'!$D$2:$D$2500,$A11)))</f>
        <v/>
      </c>
      <c r="G11" s="25" t="str">
        <f aca="false">IF($A11="","",IF(COUNTIFS('Chapter Data'!$A$2:$A$2500,G$2,'Chapter Data'!$D$2:$D$2500,$A11,'Chapter Data'!$G$2:$G$2500,"&lt;&gt;")=0,"",SUMIFS('Chapter Data'!$G$2:$G$2500,'Chapter Data'!$A$2:$A$2500,G$2,'Chapter Data'!$D$2:$D$2500,$A11)))</f>
        <v/>
      </c>
      <c r="H11" s="25" t="n">
        <f aca="false">IF($A11="","",IF(COUNTIFS('Chapter Data'!$A$2:$A$2500,H$2,'Chapter Data'!$D$2:$D$2500,$A11,'Chapter Data'!$G$2:$G$2500,"&lt;&gt;")=0,"",SUMIFS('Chapter Data'!$G$2:$G$2500,'Chapter Data'!$A$2:$A$2500,H$2,'Chapter Data'!$D$2:$D$2500,$A11)))</f>
        <v>3.057</v>
      </c>
      <c r="I11" s="25" t="n">
        <f aca="false">IF($A11="","",IF(COUNTIFS('Chapter Data'!$A$2:$A$2500,I$2,'Chapter Data'!$D$2:$D$2500,$A11,'Chapter Data'!$G$2:$G$2500,"&lt;&gt;")=0,"",SUMIFS('Chapter Data'!$G$2:$G$2500,'Chapter Data'!$A$2:$A$2500,I$2,'Chapter Data'!$D$2:$D$2500,$A11)))</f>
        <v>3.263</v>
      </c>
      <c r="J11" s="25" t="n">
        <f aca="false">IF($A11="","",IF(COUNTIFS('Chapter Data'!$A$2:$A$2500,J$2,'Chapter Data'!$D$2:$D$2500,$A11,'Chapter Data'!$G$2:$G$2500,"&lt;&gt;")=0,"",SUMIFS('Chapter Data'!$G$2:$G$2500,'Chapter Data'!$A$2:$A$2500,J$2,'Chapter Data'!$D$2:$D$2500,$A11)))</f>
        <v>3.146</v>
      </c>
      <c r="K11" s="25" t="n">
        <f aca="false">IF($A11="","",IF(COUNTIFS('Chapter Data'!$A$2:$A$2500,K$2,'Chapter Data'!$D$2:$D$2500,$A11,'Chapter Data'!$G$2:$G$2500,"&lt;&gt;")=0,"",SUMIFS('Chapter Data'!$G$2:$G$2500,'Chapter Data'!$A$2:$A$2500,K$2,'Chapter Data'!$D$2:$D$2500,$A11)))</f>
        <v>3.225</v>
      </c>
      <c r="L11" s="25" t="n">
        <f aca="false">IF($A11="","",IF(COUNTIFS('Chapter Data'!$A$2:$A$2500,L$2,'Chapter Data'!$D$2:$D$2500,$A11,'Chapter Data'!$G$2:$G$2500,"&lt;&gt;")=0,"",SUMIFS('Chapter Data'!$G$2:$G$2500,'Chapter Data'!$A$2:$A$2500,L$2,'Chapter Data'!$D$2:$D$2500,$A11)))</f>
        <v>3.18</v>
      </c>
      <c r="M11" s="25" t="n">
        <f aca="false">IF($A11="","",IF(COUNTIFS('Chapter Data'!$A$2:$A$2500,M$2,'Chapter Data'!$D$2:$D$2500,$A11,'Chapter Data'!$G$2:$G$2500,"&lt;&gt;")=0,"",SUMIFS('Chapter Data'!$G$2:$G$2500,'Chapter Data'!$A$2:$A$2500,M$2,'Chapter Data'!$D$2:$D$2500,$A11)))</f>
        <v>3.434</v>
      </c>
      <c r="N11" s="25" t="n">
        <f aca="false">IF($A11="","",IF(COUNTIFS('Chapter Data'!$A$2:$A$2500,N$2,'Chapter Data'!$D$2:$D$2500,$A11,'Chapter Data'!$G$2:$G$2500,"&lt;&gt;")=0,"",SUMIFS('Chapter Data'!$G$2:$G$2500,'Chapter Data'!$A$2:$A$2500,N$2,'Chapter Data'!$D$2:$D$2500,$A11)))</f>
        <v>2.967</v>
      </c>
      <c r="O11" s="25" t="str">
        <f aca="false">IF($A11="","",IF(COUNTIFS('Chapter Data'!$A$2:$A$2500,O$2,'Chapter Data'!$D$2:$D$2500,$A11,'Chapter Data'!$G$2:$G$2500,"&lt;&gt;")=0,"",SUMIFS('Chapter Data'!$G$2:$G$2500,'Chapter Data'!$A$2:$A$2500,O$2,'Chapter Data'!$D$2:$D$2500,$A11)))</f>
        <v/>
      </c>
      <c r="P11" s="25" t="str">
        <f aca="false">IF($A11="","",IF(COUNTIFS('Chapter Data'!$A$2:$A$2500,P$2,'Chapter Data'!$D$2:$D$2500,$A11,'Chapter Data'!$G$2:$G$2500,"&lt;&gt;")=0,"",SUMIFS('Chapter Data'!$G$2:$G$2500,'Chapter Data'!$A$2:$A$2500,P$2,'Chapter Data'!$D$2:$D$2500,$A11)))</f>
        <v/>
      </c>
      <c r="Q11" s="25" t="str">
        <f aca="false">IF($A11="","",IF(COUNTIFS('Chapter Data'!$A$2:$A$2500,Q$2,'Chapter Data'!$D$2:$D$2500,$A11,'Chapter Data'!$G$2:$G$2500,"&lt;&gt;")=0,"",SUMIFS('Chapter Data'!$G$2:$G$2500,'Chapter Data'!$A$2:$A$2500,Q$2,'Chapter Data'!$D$2:$D$2500,$A11)))</f>
        <v/>
      </c>
      <c r="R11" s="25" t="str">
        <f aca="false">IF($A11="","",IF(COUNTIFS('Chapter Data'!$A$2:$A$2500,R$2,'Chapter Data'!$D$2:$D$2500,$A11,'Chapter Data'!$G$2:$G$2500,"&lt;&gt;")=0,"",SUMIFS('Chapter Data'!$G$2:$G$2500,'Chapter Data'!$A$2:$A$2500,R$2,'Chapter Data'!$D$2:$D$2500,$A11)))</f>
        <v/>
      </c>
      <c r="S11" s="25" t="str">
        <f aca="false">IF($A11="","",IF(COUNTIFS('Chapter Data'!$A$2:$A$2500,S$2,'Chapter Data'!$D$2:$D$2500,$A11,'Chapter Data'!$G$2:$G$2500,"&lt;&gt;")=0,"",SUMIFS('Chapter Data'!$G$2:$G$2500,'Chapter Data'!$A$2:$A$2500,S$2,'Chapter Data'!$D$2:$D$2500,$A11)))</f>
        <v/>
      </c>
      <c r="T11" s="25" t="str">
        <f aca="false">IF($A11="","",IF(COUNTIFS('Chapter Data'!$A$2:$A$2500,T$2,'Chapter Data'!$D$2:$D$2500,$A11,'Chapter Data'!$G$2:$G$2500,"&lt;&gt;")=0,"",SUMIFS('Chapter Data'!$G$2:$G$2500,'Chapter Data'!$A$2:$A$2500,T$2,'Chapter Data'!$D$2:$D$2500,$A11)))</f>
        <v/>
      </c>
      <c r="U11" s="25" t="str">
        <f aca="false">IF($A11="","",IF(COUNTIFS('Chapter Data'!$A$2:$A$2500,U$2,'Chapter Data'!$D$2:$D$2500,$A11,'Chapter Data'!$G$2:$G$2500,"&lt;&gt;")=0,"",SUMIFS('Chapter Data'!$G$2:$G$2500,'Chapter Data'!$A$2:$A$2500,U$2,'Chapter Data'!$D$2:$D$2500,$A11)))</f>
        <v/>
      </c>
    </row>
    <row r="12" customFormat="false" ht="15" hidden="false" customHeight="false" outlineLevel="0" collapsed="false">
      <c r="A12" s="8" t="str">
        <f aca="false">IF(Lists!$D$11="","",Lists!$D$11)</f>
        <v>Delta Tau Delta</v>
      </c>
      <c r="B12" s="25" t="str">
        <f aca="false">IF($A12="","",IF(COUNTIFS('Chapter Data'!$A$2:$A$2500,B$2,'Chapter Data'!$D$2:$D$2500,$A12,'Chapter Data'!$G$2:$G$2500,"&lt;&gt;")=0,"",SUMIFS('Chapter Data'!$G$2:$G$2500,'Chapter Data'!$A$2:$A$2500,B$2,'Chapter Data'!$D$2:$D$2500,$A12)))</f>
        <v/>
      </c>
      <c r="C12" s="25" t="str">
        <f aca="false">IF($A12="","",IF(COUNTIFS('Chapter Data'!$A$2:$A$2500,C$2,'Chapter Data'!$D$2:$D$2500,$A12,'Chapter Data'!$G$2:$G$2500,"&lt;&gt;")=0,"",SUMIFS('Chapter Data'!$G$2:$G$2500,'Chapter Data'!$A$2:$A$2500,C$2,'Chapter Data'!$D$2:$D$2500,$A12)))</f>
        <v/>
      </c>
      <c r="D12" s="25" t="n">
        <f aca="false">IF($A12="","",IF(COUNTIFS('Chapter Data'!$A$2:$A$2500,D$2,'Chapter Data'!$D$2:$D$2500,$A12,'Chapter Data'!$G$2:$G$2500,"&lt;&gt;")=0,"",SUMIFS('Chapter Data'!$G$2:$G$2500,'Chapter Data'!$A$2:$A$2500,D$2,'Chapter Data'!$D$2:$D$2500,$A12)))</f>
        <v>3.075</v>
      </c>
      <c r="E12" s="25" t="str">
        <f aca="false">IF($A12="","",IF(COUNTIFS('Chapter Data'!$A$2:$A$2500,E$2,'Chapter Data'!$D$2:$D$2500,$A12,'Chapter Data'!$G$2:$G$2500,"&lt;&gt;")=0,"",SUMIFS('Chapter Data'!$G$2:$G$2500,'Chapter Data'!$A$2:$A$2500,E$2,'Chapter Data'!$D$2:$D$2500,$A12)))</f>
        <v/>
      </c>
      <c r="F12" s="25" t="n">
        <f aca="false">IF($A12="","",IF(COUNTIFS('Chapter Data'!$A$2:$A$2500,F$2,'Chapter Data'!$D$2:$D$2500,$A12,'Chapter Data'!$G$2:$G$2500,"&lt;&gt;")=0,"",SUMIFS('Chapter Data'!$G$2:$G$2500,'Chapter Data'!$A$2:$A$2500,F$2,'Chapter Data'!$D$2:$D$2500,$A12)))</f>
        <v>2.992</v>
      </c>
      <c r="G12" s="25" t="n">
        <f aca="false">IF($A12="","",IF(COUNTIFS('Chapter Data'!$A$2:$A$2500,G$2,'Chapter Data'!$D$2:$D$2500,$A12,'Chapter Data'!$G$2:$G$2500,"&lt;&gt;")=0,"",SUMIFS('Chapter Data'!$G$2:$G$2500,'Chapter Data'!$A$2:$A$2500,G$2,'Chapter Data'!$D$2:$D$2500,$A12)))</f>
        <v>3.059</v>
      </c>
      <c r="H12" s="25" t="n">
        <f aca="false">IF($A12="","",IF(COUNTIFS('Chapter Data'!$A$2:$A$2500,H$2,'Chapter Data'!$D$2:$D$2500,$A12,'Chapter Data'!$G$2:$G$2500,"&lt;&gt;")=0,"",SUMIFS('Chapter Data'!$G$2:$G$2500,'Chapter Data'!$A$2:$A$2500,H$2,'Chapter Data'!$D$2:$D$2500,$A12)))</f>
        <v>3.006</v>
      </c>
      <c r="I12" s="25" t="n">
        <f aca="false">IF($A12="","",IF(COUNTIFS('Chapter Data'!$A$2:$A$2500,I$2,'Chapter Data'!$D$2:$D$2500,$A12,'Chapter Data'!$G$2:$G$2500,"&lt;&gt;")=0,"",SUMIFS('Chapter Data'!$G$2:$G$2500,'Chapter Data'!$A$2:$A$2500,I$2,'Chapter Data'!$D$2:$D$2500,$A12)))</f>
        <v>3.29</v>
      </c>
      <c r="J12" s="25" t="n">
        <f aca="false">IF($A12="","",IF(COUNTIFS('Chapter Data'!$A$2:$A$2500,J$2,'Chapter Data'!$D$2:$D$2500,$A12,'Chapter Data'!$G$2:$G$2500,"&lt;&gt;")=0,"",SUMIFS('Chapter Data'!$G$2:$G$2500,'Chapter Data'!$A$2:$A$2500,J$2,'Chapter Data'!$D$2:$D$2500,$A12)))</f>
        <v>3.156</v>
      </c>
      <c r="K12" s="25" t="n">
        <f aca="false">IF($A12="","",IF(COUNTIFS('Chapter Data'!$A$2:$A$2500,K$2,'Chapter Data'!$D$2:$D$2500,$A12,'Chapter Data'!$G$2:$G$2500,"&lt;&gt;")=0,"",SUMIFS('Chapter Data'!$G$2:$G$2500,'Chapter Data'!$A$2:$A$2500,K$2,'Chapter Data'!$D$2:$D$2500,$A12)))</f>
        <v>3.23</v>
      </c>
      <c r="L12" s="25" t="n">
        <f aca="false">IF($A12="","",IF(COUNTIFS('Chapter Data'!$A$2:$A$2500,L$2,'Chapter Data'!$D$2:$D$2500,$A12,'Chapter Data'!$G$2:$G$2500,"&lt;&gt;")=0,"",SUMIFS('Chapter Data'!$G$2:$G$2500,'Chapter Data'!$A$2:$A$2500,L$2,'Chapter Data'!$D$2:$D$2500,$A12)))</f>
        <v>3.03</v>
      </c>
      <c r="M12" s="25" t="n">
        <f aca="false">IF($A12="","",IF(COUNTIFS('Chapter Data'!$A$2:$A$2500,M$2,'Chapter Data'!$D$2:$D$2500,$A12,'Chapter Data'!$G$2:$G$2500,"&lt;&gt;")=0,"",SUMIFS('Chapter Data'!$G$2:$G$2500,'Chapter Data'!$A$2:$A$2500,M$2,'Chapter Data'!$D$2:$D$2500,$A12)))</f>
        <v>3.364</v>
      </c>
      <c r="N12" s="25" t="n">
        <f aca="false">IF($A12="","",IF(COUNTIFS('Chapter Data'!$A$2:$A$2500,N$2,'Chapter Data'!$D$2:$D$2500,$A12,'Chapter Data'!$G$2:$G$2500,"&lt;&gt;")=0,"",SUMIFS('Chapter Data'!$G$2:$G$2500,'Chapter Data'!$A$2:$A$2500,N$2,'Chapter Data'!$D$2:$D$2500,$A12)))</f>
        <v>3.278</v>
      </c>
      <c r="O12" s="25" t="n">
        <f aca="false">IF($A12="","",IF(COUNTIFS('Chapter Data'!$A$2:$A$2500,O$2,'Chapter Data'!$D$2:$D$2500,$A12,'Chapter Data'!$G$2:$G$2500,"&lt;&gt;")=0,"",SUMIFS('Chapter Data'!$G$2:$G$2500,'Chapter Data'!$A$2:$A$2500,O$2,'Chapter Data'!$D$2:$D$2500,$A12)))</f>
        <v>3.3</v>
      </c>
      <c r="P12" s="25" t="n">
        <f aca="false">IF($A12="","",IF(COUNTIFS('Chapter Data'!$A$2:$A$2500,P$2,'Chapter Data'!$D$2:$D$2500,$A12,'Chapter Data'!$G$2:$G$2500,"&lt;&gt;")=0,"",SUMIFS('Chapter Data'!$G$2:$G$2500,'Chapter Data'!$A$2:$A$2500,P$2,'Chapter Data'!$D$2:$D$2500,$A12)))</f>
        <v>3.243</v>
      </c>
      <c r="Q12" s="25" t="str">
        <f aca="false">IF($A12="","",IF(COUNTIFS('Chapter Data'!$A$2:$A$2500,Q$2,'Chapter Data'!$D$2:$D$2500,$A12,'Chapter Data'!$G$2:$G$2500,"&lt;&gt;")=0,"",SUMIFS('Chapter Data'!$G$2:$G$2500,'Chapter Data'!$A$2:$A$2500,Q$2,'Chapter Data'!$D$2:$D$2500,$A12)))</f>
        <v/>
      </c>
      <c r="R12" s="25" t="str">
        <f aca="false">IF($A12="","",IF(COUNTIFS('Chapter Data'!$A$2:$A$2500,R$2,'Chapter Data'!$D$2:$D$2500,$A12,'Chapter Data'!$G$2:$G$2500,"&lt;&gt;")=0,"",SUMIFS('Chapter Data'!$G$2:$G$2500,'Chapter Data'!$A$2:$A$2500,R$2,'Chapter Data'!$D$2:$D$2500,$A12)))</f>
        <v/>
      </c>
      <c r="S12" s="25" t="str">
        <f aca="false">IF($A12="","",IF(COUNTIFS('Chapter Data'!$A$2:$A$2500,S$2,'Chapter Data'!$D$2:$D$2500,$A12,'Chapter Data'!$G$2:$G$2500,"&lt;&gt;")=0,"",SUMIFS('Chapter Data'!$G$2:$G$2500,'Chapter Data'!$A$2:$A$2500,S$2,'Chapter Data'!$D$2:$D$2500,$A12)))</f>
        <v/>
      </c>
      <c r="T12" s="25" t="str">
        <f aca="false">IF($A12="","",IF(COUNTIFS('Chapter Data'!$A$2:$A$2500,T$2,'Chapter Data'!$D$2:$D$2500,$A12,'Chapter Data'!$G$2:$G$2500,"&lt;&gt;")=0,"",SUMIFS('Chapter Data'!$G$2:$G$2500,'Chapter Data'!$A$2:$A$2500,T$2,'Chapter Data'!$D$2:$D$2500,$A12)))</f>
        <v/>
      </c>
      <c r="U12" s="25" t="str">
        <f aca="false">IF($A12="","",IF(COUNTIFS('Chapter Data'!$A$2:$A$2500,U$2,'Chapter Data'!$D$2:$D$2500,$A12,'Chapter Data'!$G$2:$G$2500,"&lt;&gt;")=0,"",SUMIFS('Chapter Data'!$G$2:$G$2500,'Chapter Data'!$A$2:$A$2500,U$2,'Chapter Data'!$D$2:$D$2500,$A12)))</f>
        <v/>
      </c>
    </row>
    <row r="13" customFormat="false" ht="15" hidden="false" customHeight="false" outlineLevel="0" collapsed="false">
      <c r="A13" s="8" t="str">
        <f aca="false">IF(Lists!$D$12="","",Lists!$D$12)</f>
        <v>Delta Upsilon</v>
      </c>
      <c r="B13" s="25" t="n">
        <f aca="false">IF($A13="","",IF(COUNTIFS('Chapter Data'!$A$2:$A$2500,B$2,'Chapter Data'!$D$2:$D$2500,$A13,'Chapter Data'!$G$2:$G$2500,"&lt;&gt;")=0,"",SUMIFS('Chapter Data'!$G$2:$G$2500,'Chapter Data'!$A$2:$A$2500,B$2,'Chapter Data'!$D$2:$D$2500,$A13)))</f>
        <v>3.153</v>
      </c>
      <c r="C13" s="25" t="n">
        <f aca="false">IF($A13="","",IF(COUNTIFS('Chapter Data'!$A$2:$A$2500,C$2,'Chapter Data'!$D$2:$D$2500,$A13,'Chapter Data'!$G$2:$G$2500,"&lt;&gt;")=0,"",SUMIFS('Chapter Data'!$G$2:$G$2500,'Chapter Data'!$A$2:$A$2500,C$2,'Chapter Data'!$D$2:$D$2500,$A13)))</f>
        <v>3.147</v>
      </c>
      <c r="D13" s="25" t="n">
        <f aca="false">IF($A13="","",IF(COUNTIFS('Chapter Data'!$A$2:$A$2500,D$2,'Chapter Data'!$D$2:$D$2500,$A13,'Chapter Data'!$G$2:$G$2500,"&lt;&gt;")=0,"",SUMIFS('Chapter Data'!$G$2:$G$2500,'Chapter Data'!$A$2:$A$2500,D$2,'Chapter Data'!$D$2:$D$2500,$A13)))</f>
        <v>3.189</v>
      </c>
      <c r="E13" s="25" t="str">
        <f aca="false">IF($A13="","",IF(COUNTIFS('Chapter Data'!$A$2:$A$2500,E$2,'Chapter Data'!$D$2:$D$2500,$A13,'Chapter Data'!$G$2:$G$2500,"&lt;&gt;")=0,"",SUMIFS('Chapter Data'!$G$2:$G$2500,'Chapter Data'!$A$2:$A$2500,E$2,'Chapter Data'!$D$2:$D$2500,$A13)))</f>
        <v/>
      </c>
      <c r="F13" s="25" t="n">
        <f aca="false">IF($A13="","",IF(COUNTIFS('Chapter Data'!$A$2:$A$2500,F$2,'Chapter Data'!$D$2:$D$2500,$A13,'Chapter Data'!$G$2:$G$2500,"&lt;&gt;")=0,"",SUMIFS('Chapter Data'!$G$2:$G$2500,'Chapter Data'!$A$2:$A$2500,F$2,'Chapter Data'!$D$2:$D$2500,$A13)))</f>
        <v>3.315</v>
      </c>
      <c r="G13" s="25" t="n">
        <f aca="false">IF($A13="","",IF(COUNTIFS('Chapter Data'!$A$2:$A$2500,G$2,'Chapter Data'!$D$2:$D$2500,$A13,'Chapter Data'!$G$2:$G$2500,"&lt;&gt;")=0,"",SUMIFS('Chapter Data'!$G$2:$G$2500,'Chapter Data'!$A$2:$A$2500,G$2,'Chapter Data'!$D$2:$D$2500,$A13)))</f>
        <v>3.338</v>
      </c>
      <c r="H13" s="25" t="n">
        <f aca="false">IF($A13="","",IF(COUNTIFS('Chapter Data'!$A$2:$A$2500,H$2,'Chapter Data'!$D$2:$D$2500,$A13,'Chapter Data'!$G$2:$G$2500,"&lt;&gt;")=0,"",SUMIFS('Chapter Data'!$G$2:$G$2500,'Chapter Data'!$A$2:$A$2500,H$2,'Chapter Data'!$D$2:$D$2500,$A13)))</f>
        <v>3.227</v>
      </c>
      <c r="I13" s="25" t="n">
        <f aca="false">IF($A13="","",IF(COUNTIFS('Chapter Data'!$A$2:$A$2500,I$2,'Chapter Data'!$D$2:$D$2500,$A13,'Chapter Data'!$G$2:$G$2500,"&lt;&gt;")=0,"",SUMIFS('Chapter Data'!$G$2:$G$2500,'Chapter Data'!$A$2:$A$2500,I$2,'Chapter Data'!$D$2:$D$2500,$A13)))</f>
        <v>3.263</v>
      </c>
      <c r="J13" s="25" t="n">
        <f aca="false">IF($A13="","",IF(COUNTIFS('Chapter Data'!$A$2:$A$2500,J$2,'Chapter Data'!$D$2:$D$2500,$A13,'Chapter Data'!$G$2:$G$2500,"&lt;&gt;")=0,"",SUMIFS('Chapter Data'!$G$2:$G$2500,'Chapter Data'!$A$2:$A$2500,J$2,'Chapter Data'!$D$2:$D$2500,$A13)))</f>
        <v>3.255</v>
      </c>
      <c r="K13" s="25" t="n">
        <f aca="false">IF($A13="","",IF(COUNTIFS('Chapter Data'!$A$2:$A$2500,K$2,'Chapter Data'!$D$2:$D$2500,$A13,'Chapter Data'!$G$2:$G$2500,"&lt;&gt;")=0,"",SUMIFS('Chapter Data'!$G$2:$G$2500,'Chapter Data'!$A$2:$A$2500,K$2,'Chapter Data'!$D$2:$D$2500,$A13)))</f>
        <v>3.427</v>
      </c>
      <c r="L13" s="25" t="n">
        <f aca="false">IF($A13="","",IF(COUNTIFS('Chapter Data'!$A$2:$A$2500,L$2,'Chapter Data'!$D$2:$D$2500,$A13,'Chapter Data'!$G$2:$G$2500,"&lt;&gt;")=0,"",SUMIFS('Chapter Data'!$G$2:$G$2500,'Chapter Data'!$A$2:$A$2500,L$2,'Chapter Data'!$D$2:$D$2500,$A13)))</f>
        <v>3.249</v>
      </c>
      <c r="M13" s="25" t="n">
        <f aca="false">IF($A13="","",IF(COUNTIFS('Chapter Data'!$A$2:$A$2500,M$2,'Chapter Data'!$D$2:$D$2500,$A13,'Chapter Data'!$G$2:$G$2500,"&lt;&gt;")=0,"",SUMIFS('Chapter Data'!$G$2:$G$2500,'Chapter Data'!$A$2:$A$2500,M$2,'Chapter Data'!$D$2:$D$2500,$A13)))</f>
        <v>3.31</v>
      </c>
      <c r="N13" s="25" t="n">
        <f aca="false">IF($A13="","",IF(COUNTIFS('Chapter Data'!$A$2:$A$2500,N$2,'Chapter Data'!$D$2:$D$2500,$A13,'Chapter Data'!$G$2:$G$2500,"&lt;&gt;")=0,"",SUMIFS('Chapter Data'!$G$2:$G$2500,'Chapter Data'!$A$2:$A$2500,N$2,'Chapter Data'!$D$2:$D$2500,$A13)))</f>
        <v>3.327</v>
      </c>
      <c r="O13" s="25" t="n">
        <f aca="false">IF($A13="","",IF(COUNTIFS('Chapter Data'!$A$2:$A$2500,O$2,'Chapter Data'!$D$2:$D$2500,$A13,'Chapter Data'!$G$2:$G$2500,"&lt;&gt;")=0,"",SUMIFS('Chapter Data'!$G$2:$G$2500,'Chapter Data'!$A$2:$A$2500,O$2,'Chapter Data'!$D$2:$D$2500,$A13)))</f>
        <v>3.29</v>
      </c>
      <c r="P13" s="25" t="n">
        <f aca="false">IF($A13="","",IF(COUNTIFS('Chapter Data'!$A$2:$A$2500,P$2,'Chapter Data'!$D$2:$D$2500,$A13,'Chapter Data'!$G$2:$G$2500,"&lt;&gt;")=0,"",SUMIFS('Chapter Data'!$G$2:$G$2500,'Chapter Data'!$A$2:$A$2500,P$2,'Chapter Data'!$D$2:$D$2500,$A13)))</f>
        <v>3.134</v>
      </c>
      <c r="Q13" s="25" t="n">
        <f aca="false">IF($A13="","",IF(COUNTIFS('Chapter Data'!$A$2:$A$2500,Q$2,'Chapter Data'!$D$2:$D$2500,$A13,'Chapter Data'!$G$2:$G$2500,"&lt;&gt;")=0,"",SUMIFS('Chapter Data'!$G$2:$G$2500,'Chapter Data'!$A$2:$A$2500,Q$2,'Chapter Data'!$D$2:$D$2500,$A13)))</f>
        <v>3.195</v>
      </c>
      <c r="R13" s="25" t="str">
        <f aca="false">IF($A13="","",IF(COUNTIFS('Chapter Data'!$A$2:$A$2500,R$2,'Chapter Data'!$D$2:$D$2500,$A13,'Chapter Data'!$G$2:$G$2500,"&lt;&gt;")=0,"",SUMIFS('Chapter Data'!$G$2:$G$2500,'Chapter Data'!$A$2:$A$2500,R$2,'Chapter Data'!$D$2:$D$2500,$A13)))</f>
        <v/>
      </c>
      <c r="S13" s="25" t="str">
        <f aca="false">IF($A13="","",IF(COUNTIFS('Chapter Data'!$A$2:$A$2500,S$2,'Chapter Data'!$D$2:$D$2500,$A13,'Chapter Data'!$G$2:$G$2500,"&lt;&gt;")=0,"",SUMIFS('Chapter Data'!$G$2:$G$2500,'Chapter Data'!$A$2:$A$2500,S$2,'Chapter Data'!$D$2:$D$2500,$A13)))</f>
        <v/>
      </c>
      <c r="T13" s="25" t="str">
        <f aca="false">IF($A13="","",IF(COUNTIFS('Chapter Data'!$A$2:$A$2500,T$2,'Chapter Data'!$D$2:$D$2500,$A13,'Chapter Data'!$G$2:$G$2500,"&lt;&gt;")=0,"",SUMIFS('Chapter Data'!$G$2:$G$2500,'Chapter Data'!$A$2:$A$2500,T$2,'Chapter Data'!$D$2:$D$2500,$A13)))</f>
        <v/>
      </c>
      <c r="U13" s="25" t="str">
        <f aca="false">IF($A13="","",IF(COUNTIFS('Chapter Data'!$A$2:$A$2500,U$2,'Chapter Data'!$D$2:$D$2500,$A13,'Chapter Data'!$G$2:$G$2500,"&lt;&gt;")=0,"",SUMIFS('Chapter Data'!$G$2:$G$2500,'Chapter Data'!$A$2:$A$2500,U$2,'Chapter Data'!$D$2:$D$2500,$A13)))</f>
        <v/>
      </c>
    </row>
    <row r="14" customFormat="false" ht="15" hidden="false" customHeight="false" outlineLevel="0" collapsed="false">
      <c r="A14" s="8" t="str">
        <f aca="false">IF(Lists!$D$13="","",Lists!$D$13)</f>
        <v>Farmhouse</v>
      </c>
      <c r="B14" s="25" t="n">
        <f aca="false">IF($A14="","",IF(COUNTIFS('Chapter Data'!$A$2:$A$2500,B$2,'Chapter Data'!$D$2:$D$2500,$A14,'Chapter Data'!$G$2:$G$2500,"&lt;&gt;")=0,"",SUMIFS('Chapter Data'!$G$2:$G$2500,'Chapter Data'!$A$2:$A$2500,B$2,'Chapter Data'!$D$2:$D$2500,$A14)))</f>
        <v>3.508</v>
      </c>
      <c r="C14" s="25" t="n">
        <f aca="false">IF($A14="","",IF(COUNTIFS('Chapter Data'!$A$2:$A$2500,C$2,'Chapter Data'!$D$2:$D$2500,$A14,'Chapter Data'!$G$2:$G$2500,"&lt;&gt;")=0,"",SUMIFS('Chapter Data'!$G$2:$G$2500,'Chapter Data'!$A$2:$A$2500,C$2,'Chapter Data'!$D$2:$D$2500,$A14)))</f>
        <v>3.466</v>
      </c>
      <c r="D14" s="25" t="n">
        <f aca="false">IF($A14="","",IF(COUNTIFS('Chapter Data'!$A$2:$A$2500,D$2,'Chapter Data'!$D$2:$D$2500,$A14,'Chapter Data'!$G$2:$G$2500,"&lt;&gt;")=0,"",SUMIFS('Chapter Data'!$G$2:$G$2500,'Chapter Data'!$A$2:$A$2500,D$2,'Chapter Data'!$D$2:$D$2500,$A14)))</f>
        <v>3.546</v>
      </c>
      <c r="E14" s="25" t="str">
        <f aca="false">IF($A14="","",IF(COUNTIFS('Chapter Data'!$A$2:$A$2500,E$2,'Chapter Data'!$D$2:$D$2500,$A14,'Chapter Data'!$G$2:$G$2500,"&lt;&gt;")=0,"",SUMIFS('Chapter Data'!$G$2:$G$2500,'Chapter Data'!$A$2:$A$2500,E$2,'Chapter Data'!$D$2:$D$2500,$A14)))</f>
        <v/>
      </c>
      <c r="F14" s="25" t="n">
        <f aca="false">IF($A14="","",IF(COUNTIFS('Chapter Data'!$A$2:$A$2500,F$2,'Chapter Data'!$D$2:$D$2500,$A14,'Chapter Data'!$G$2:$G$2500,"&lt;&gt;")=0,"",SUMIFS('Chapter Data'!$G$2:$G$2500,'Chapter Data'!$A$2:$A$2500,F$2,'Chapter Data'!$D$2:$D$2500,$A14)))</f>
        <v>3.502</v>
      </c>
      <c r="G14" s="25" t="n">
        <f aca="false">IF($A14="","",IF(COUNTIFS('Chapter Data'!$A$2:$A$2500,G$2,'Chapter Data'!$D$2:$D$2500,$A14,'Chapter Data'!$G$2:$G$2500,"&lt;&gt;")=0,"",SUMIFS('Chapter Data'!$G$2:$G$2500,'Chapter Data'!$A$2:$A$2500,G$2,'Chapter Data'!$D$2:$D$2500,$A14)))</f>
        <v>3.525</v>
      </c>
      <c r="H14" s="25" t="n">
        <f aca="false">IF($A14="","",IF(COUNTIFS('Chapter Data'!$A$2:$A$2500,H$2,'Chapter Data'!$D$2:$D$2500,$A14,'Chapter Data'!$G$2:$G$2500,"&lt;&gt;")=0,"",SUMIFS('Chapter Data'!$G$2:$G$2500,'Chapter Data'!$A$2:$A$2500,H$2,'Chapter Data'!$D$2:$D$2500,$A14)))</f>
        <v>3.598</v>
      </c>
      <c r="I14" s="25" t="n">
        <f aca="false">IF($A14="","",IF(COUNTIFS('Chapter Data'!$A$2:$A$2500,I$2,'Chapter Data'!$D$2:$D$2500,$A14,'Chapter Data'!$G$2:$G$2500,"&lt;&gt;")=0,"",SUMIFS('Chapter Data'!$G$2:$G$2500,'Chapter Data'!$A$2:$A$2500,I$2,'Chapter Data'!$D$2:$D$2500,$A14)))</f>
        <v>3.6</v>
      </c>
      <c r="J14" s="25" t="n">
        <f aca="false">IF($A14="","",IF(COUNTIFS('Chapter Data'!$A$2:$A$2500,J$2,'Chapter Data'!$D$2:$D$2500,$A14,'Chapter Data'!$G$2:$G$2500,"&lt;&gt;")=0,"",SUMIFS('Chapter Data'!$G$2:$G$2500,'Chapter Data'!$A$2:$A$2500,J$2,'Chapter Data'!$D$2:$D$2500,$A14)))</f>
        <v>3.758</v>
      </c>
      <c r="K14" s="25" t="n">
        <f aca="false">IF($A14="","",IF(COUNTIFS('Chapter Data'!$A$2:$A$2500,K$2,'Chapter Data'!$D$2:$D$2500,$A14,'Chapter Data'!$G$2:$G$2500,"&lt;&gt;")=0,"",SUMIFS('Chapter Data'!$G$2:$G$2500,'Chapter Data'!$A$2:$A$2500,K$2,'Chapter Data'!$D$2:$D$2500,$A14)))</f>
        <v>3.695</v>
      </c>
      <c r="L14" s="25" t="n">
        <f aca="false">IF($A14="","",IF(COUNTIFS('Chapter Data'!$A$2:$A$2500,L$2,'Chapter Data'!$D$2:$D$2500,$A14,'Chapter Data'!$G$2:$G$2500,"&lt;&gt;")=0,"",SUMIFS('Chapter Data'!$G$2:$G$2500,'Chapter Data'!$A$2:$A$2500,L$2,'Chapter Data'!$D$2:$D$2500,$A14)))</f>
        <v>3.678</v>
      </c>
      <c r="M14" s="25" t="n">
        <f aca="false">IF($A14="","",IF(COUNTIFS('Chapter Data'!$A$2:$A$2500,M$2,'Chapter Data'!$D$2:$D$2500,$A14,'Chapter Data'!$G$2:$G$2500,"&lt;&gt;")=0,"",SUMIFS('Chapter Data'!$G$2:$G$2500,'Chapter Data'!$A$2:$A$2500,M$2,'Chapter Data'!$D$2:$D$2500,$A14)))</f>
        <v>3.656</v>
      </c>
      <c r="N14" s="25" t="n">
        <f aca="false">IF($A14="","",IF(COUNTIFS('Chapter Data'!$A$2:$A$2500,N$2,'Chapter Data'!$D$2:$D$2500,$A14,'Chapter Data'!$G$2:$G$2500,"&lt;&gt;")=0,"",SUMIFS('Chapter Data'!$G$2:$G$2500,'Chapter Data'!$A$2:$A$2500,N$2,'Chapter Data'!$D$2:$D$2500,$A14)))</f>
        <v>3.707</v>
      </c>
      <c r="O14" s="25" t="n">
        <f aca="false">IF($A14="","",IF(COUNTIFS('Chapter Data'!$A$2:$A$2500,O$2,'Chapter Data'!$D$2:$D$2500,$A14,'Chapter Data'!$G$2:$G$2500,"&lt;&gt;")=0,"",SUMIFS('Chapter Data'!$G$2:$G$2500,'Chapter Data'!$A$2:$A$2500,O$2,'Chapter Data'!$D$2:$D$2500,$A14)))</f>
        <v>3.722</v>
      </c>
      <c r="P14" s="25" t="n">
        <f aca="false">IF($A14="","",IF(COUNTIFS('Chapter Data'!$A$2:$A$2500,P$2,'Chapter Data'!$D$2:$D$2500,$A14,'Chapter Data'!$G$2:$G$2500,"&lt;&gt;")=0,"",SUMIFS('Chapter Data'!$G$2:$G$2500,'Chapter Data'!$A$2:$A$2500,P$2,'Chapter Data'!$D$2:$D$2500,$A14)))</f>
        <v>3.653</v>
      </c>
      <c r="Q14" s="25" t="n">
        <f aca="false">IF($A14="","",IF(COUNTIFS('Chapter Data'!$A$2:$A$2500,Q$2,'Chapter Data'!$D$2:$D$2500,$A14,'Chapter Data'!$G$2:$G$2500,"&lt;&gt;")=0,"",SUMIFS('Chapter Data'!$G$2:$G$2500,'Chapter Data'!$A$2:$A$2500,Q$2,'Chapter Data'!$D$2:$D$2500,$A14)))</f>
        <v>3.683</v>
      </c>
      <c r="R14" s="25" t="str">
        <f aca="false">IF($A14="","",IF(COUNTIFS('Chapter Data'!$A$2:$A$2500,R$2,'Chapter Data'!$D$2:$D$2500,$A14,'Chapter Data'!$G$2:$G$2500,"&lt;&gt;")=0,"",SUMIFS('Chapter Data'!$G$2:$G$2500,'Chapter Data'!$A$2:$A$2500,R$2,'Chapter Data'!$D$2:$D$2500,$A14)))</f>
        <v/>
      </c>
      <c r="S14" s="25" t="str">
        <f aca="false">IF($A14="","",IF(COUNTIFS('Chapter Data'!$A$2:$A$2500,S$2,'Chapter Data'!$D$2:$D$2500,$A14,'Chapter Data'!$G$2:$G$2500,"&lt;&gt;")=0,"",SUMIFS('Chapter Data'!$G$2:$G$2500,'Chapter Data'!$A$2:$A$2500,S$2,'Chapter Data'!$D$2:$D$2500,$A14)))</f>
        <v/>
      </c>
      <c r="T14" s="25" t="str">
        <f aca="false">IF($A14="","",IF(COUNTIFS('Chapter Data'!$A$2:$A$2500,T$2,'Chapter Data'!$D$2:$D$2500,$A14,'Chapter Data'!$G$2:$G$2500,"&lt;&gt;")=0,"",SUMIFS('Chapter Data'!$G$2:$G$2500,'Chapter Data'!$A$2:$A$2500,T$2,'Chapter Data'!$D$2:$D$2500,$A14)))</f>
        <v/>
      </c>
      <c r="U14" s="25" t="str">
        <f aca="false">IF($A14="","",IF(COUNTIFS('Chapter Data'!$A$2:$A$2500,U$2,'Chapter Data'!$D$2:$D$2500,$A14,'Chapter Data'!$G$2:$G$2500,"&lt;&gt;")=0,"",SUMIFS('Chapter Data'!$G$2:$G$2500,'Chapter Data'!$A$2:$A$2500,U$2,'Chapter Data'!$D$2:$D$2500,$A14)))</f>
        <v/>
      </c>
    </row>
    <row r="15" customFormat="false" ht="15" hidden="false" customHeight="false" outlineLevel="0" collapsed="false">
      <c r="A15" s="8" t="str">
        <f aca="false">IF(Lists!$D$14="","",Lists!$D$14)</f>
        <v>Kappa Sigma</v>
      </c>
      <c r="B15" s="25" t="n">
        <f aca="false">IF($A15="","",IF(COUNTIFS('Chapter Data'!$A$2:$A$2500,B$2,'Chapter Data'!$D$2:$D$2500,$A15,'Chapter Data'!$G$2:$G$2500,"&lt;&gt;")=0,"",SUMIFS('Chapter Data'!$G$2:$G$2500,'Chapter Data'!$A$2:$A$2500,B$2,'Chapter Data'!$D$2:$D$2500,$A15)))</f>
        <v>2.677</v>
      </c>
      <c r="C15" s="25" t="n">
        <f aca="false">IF($A15="","",IF(COUNTIFS('Chapter Data'!$A$2:$A$2500,C$2,'Chapter Data'!$D$2:$D$2500,$A15,'Chapter Data'!$G$2:$G$2500,"&lt;&gt;")=0,"",SUMIFS('Chapter Data'!$G$2:$G$2500,'Chapter Data'!$A$2:$A$2500,C$2,'Chapter Data'!$D$2:$D$2500,$A15)))</f>
        <v>2.806</v>
      </c>
      <c r="D15" s="25" t="n">
        <f aca="false">IF($A15="","",IF(COUNTIFS('Chapter Data'!$A$2:$A$2500,D$2,'Chapter Data'!$D$2:$D$2500,$A15,'Chapter Data'!$G$2:$G$2500,"&lt;&gt;")=0,"",SUMIFS('Chapter Data'!$G$2:$G$2500,'Chapter Data'!$A$2:$A$2500,D$2,'Chapter Data'!$D$2:$D$2500,$A15)))</f>
        <v>2.741</v>
      </c>
      <c r="E15" s="25" t="str">
        <f aca="false">IF($A15="","",IF(COUNTIFS('Chapter Data'!$A$2:$A$2500,E$2,'Chapter Data'!$D$2:$D$2500,$A15,'Chapter Data'!$G$2:$G$2500,"&lt;&gt;")=0,"",SUMIFS('Chapter Data'!$G$2:$G$2500,'Chapter Data'!$A$2:$A$2500,E$2,'Chapter Data'!$D$2:$D$2500,$A15)))</f>
        <v/>
      </c>
      <c r="F15" s="25" t="n">
        <f aca="false">IF($A15="","",IF(COUNTIFS('Chapter Data'!$A$2:$A$2500,F$2,'Chapter Data'!$D$2:$D$2500,$A15,'Chapter Data'!$G$2:$G$2500,"&lt;&gt;")=0,"",SUMIFS('Chapter Data'!$G$2:$G$2500,'Chapter Data'!$A$2:$A$2500,F$2,'Chapter Data'!$D$2:$D$2500,$A15)))</f>
        <v>2.838</v>
      </c>
      <c r="G15" s="25" t="n">
        <f aca="false">IF($A15="","",IF(COUNTIFS('Chapter Data'!$A$2:$A$2500,G$2,'Chapter Data'!$D$2:$D$2500,$A15,'Chapter Data'!$G$2:$G$2500,"&lt;&gt;")=0,"",SUMIFS('Chapter Data'!$G$2:$G$2500,'Chapter Data'!$A$2:$A$2500,G$2,'Chapter Data'!$D$2:$D$2500,$A15)))</f>
        <v>3.019</v>
      </c>
      <c r="H15" s="25" t="n">
        <f aca="false">IF($A15="","",IF(COUNTIFS('Chapter Data'!$A$2:$A$2500,H$2,'Chapter Data'!$D$2:$D$2500,$A15,'Chapter Data'!$G$2:$G$2500,"&lt;&gt;")=0,"",SUMIFS('Chapter Data'!$G$2:$G$2500,'Chapter Data'!$A$2:$A$2500,H$2,'Chapter Data'!$D$2:$D$2500,$A15)))</f>
        <v>2.801</v>
      </c>
      <c r="I15" s="25" t="n">
        <f aca="false">IF($A15="","",IF(COUNTIFS('Chapter Data'!$A$2:$A$2500,I$2,'Chapter Data'!$D$2:$D$2500,$A15,'Chapter Data'!$G$2:$G$2500,"&lt;&gt;")=0,"",SUMIFS('Chapter Data'!$G$2:$G$2500,'Chapter Data'!$A$2:$A$2500,I$2,'Chapter Data'!$D$2:$D$2500,$A15)))</f>
        <v>2.901</v>
      </c>
      <c r="J15" s="25" t="n">
        <f aca="false">IF($A15="","",IF(COUNTIFS('Chapter Data'!$A$2:$A$2500,J$2,'Chapter Data'!$D$2:$D$2500,$A15,'Chapter Data'!$G$2:$G$2500,"&lt;&gt;")=0,"",SUMIFS('Chapter Data'!$G$2:$G$2500,'Chapter Data'!$A$2:$A$2500,J$2,'Chapter Data'!$D$2:$D$2500,$A15)))</f>
        <v>2.724</v>
      </c>
      <c r="K15" s="25" t="n">
        <f aca="false">IF($A15="","",IF(COUNTIFS('Chapter Data'!$A$2:$A$2500,K$2,'Chapter Data'!$D$2:$D$2500,$A15,'Chapter Data'!$G$2:$G$2500,"&lt;&gt;")=0,"",SUMIFS('Chapter Data'!$G$2:$G$2500,'Chapter Data'!$A$2:$A$2500,K$2,'Chapter Data'!$D$2:$D$2500,$A15)))</f>
        <v>2.878</v>
      </c>
      <c r="L15" s="25" t="n">
        <f aca="false">IF($A15="","",IF(COUNTIFS('Chapter Data'!$A$2:$A$2500,L$2,'Chapter Data'!$D$2:$D$2500,$A15,'Chapter Data'!$G$2:$G$2500,"&lt;&gt;")=0,"",SUMIFS('Chapter Data'!$G$2:$G$2500,'Chapter Data'!$A$2:$A$2500,L$2,'Chapter Data'!$D$2:$D$2500,$A15)))</f>
        <v>2.965</v>
      </c>
      <c r="M15" s="25" t="n">
        <f aca="false">IF($A15="","",IF(COUNTIFS('Chapter Data'!$A$2:$A$2500,M$2,'Chapter Data'!$D$2:$D$2500,$A15,'Chapter Data'!$G$2:$G$2500,"&lt;&gt;")=0,"",SUMIFS('Chapter Data'!$G$2:$G$2500,'Chapter Data'!$A$2:$A$2500,M$2,'Chapter Data'!$D$2:$D$2500,$A15)))</f>
        <v>2.756</v>
      </c>
      <c r="N15" s="25" t="n">
        <f aca="false">IF($A15="","",IF(COUNTIFS('Chapter Data'!$A$2:$A$2500,N$2,'Chapter Data'!$D$2:$D$2500,$A15,'Chapter Data'!$G$2:$G$2500,"&lt;&gt;")=0,"",SUMIFS('Chapter Data'!$G$2:$G$2500,'Chapter Data'!$A$2:$A$2500,N$2,'Chapter Data'!$D$2:$D$2500,$A15)))</f>
        <v>2.956</v>
      </c>
      <c r="O15" s="25" t="n">
        <f aca="false">IF($A15="","",IF(COUNTIFS('Chapter Data'!$A$2:$A$2500,O$2,'Chapter Data'!$D$2:$D$2500,$A15,'Chapter Data'!$G$2:$G$2500,"&lt;&gt;")=0,"",SUMIFS('Chapter Data'!$G$2:$G$2500,'Chapter Data'!$A$2:$A$2500,O$2,'Chapter Data'!$D$2:$D$2500,$A15)))</f>
        <v>2.919</v>
      </c>
      <c r="P15" s="25" t="n">
        <f aca="false">IF($A15="","",IF(COUNTIFS('Chapter Data'!$A$2:$A$2500,P$2,'Chapter Data'!$D$2:$D$2500,$A15,'Chapter Data'!$G$2:$G$2500,"&lt;&gt;")=0,"",SUMIFS('Chapter Data'!$G$2:$G$2500,'Chapter Data'!$A$2:$A$2500,P$2,'Chapter Data'!$D$2:$D$2500,$A15)))</f>
        <v>2.671</v>
      </c>
      <c r="Q15" s="25" t="n">
        <f aca="false">IF($A15="","",IF(COUNTIFS('Chapter Data'!$A$2:$A$2500,Q$2,'Chapter Data'!$D$2:$D$2500,$A15,'Chapter Data'!$G$2:$G$2500,"&lt;&gt;")=0,"",SUMIFS('Chapter Data'!$G$2:$G$2500,'Chapter Data'!$A$2:$A$2500,Q$2,'Chapter Data'!$D$2:$D$2500,$A15)))</f>
        <v>3.041</v>
      </c>
      <c r="R15" s="25" t="str">
        <f aca="false">IF($A15="","",IF(COUNTIFS('Chapter Data'!$A$2:$A$2500,R$2,'Chapter Data'!$D$2:$D$2500,$A15,'Chapter Data'!$G$2:$G$2500,"&lt;&gt;")=0,"",SUMIFS('Chapter Data'!$G$2:$G$2500,'Chapter Data'!$A$2:$A$2500,R$2,'Chapter Data'!$D$2:$D$2500,$A15)))</f>
        <v/>
      </c>
      <c r="S15" s="25" t="str">
        <f aca="false">IF($A15="","",IF(COUNTIFS('Chapter Data'!$A$2:$A$2500,S$2,'Chapter Data'!$D$2:$D$2500,$A15,'Chapter Data'!$G$2:$G$2500,"&lt;&gt;")=0,"",SUMIFS('Chapter Data'!$G$2:$G$2500,'Chapter Data'!$A$2:$A$2500,S$2,'Chapter Data'!$D$2:$D$2500,$A15)))</f>
        <v/>
      </c>
      <c r="T15" s="25" t="str">
        <f aca="false">IF($A15="","",IF(COUNTIFS('Chapter Data'!$A$2:$A$2500,T$2,'Chapter Data'!$D$2:$D$2500,$A15,'Chapter Data'!$G$2:$G$2500,"&lt;&gt;")=0,"",SUMIFS('Chapter Data'!$G$2:$G$2500,'Chapter Data'!$A$2:$A$2500,T$2,'Chapter Data'!$D$2:$D$2500,$A15)))</f>
        <v/>
      </c>
      <c r="U15" s="25" t="str">
        <f aca="false">IF($A15="","",IF(COUNTIFS('Chapter Data'!$A$2:$A$2500,U$2,'Chapter Data'!$D$2:$D$2500,$A15,'Chapter Data'!$G$2:$G$2500,"&lt;&gt;")=0,"",SUMIFS('Chapter Data'!$G$2:$G$2500,'Chapter Data'!$A$2:$A$2500,U$2,'Chapter Data'!$D$2:$D$2500,$A15)))</f>
        <v/>
      </c>
    </row>
    <row r="16" customFormat="false" ht="15" hidden="false" customHeight="false" outlineLevel="0" collapsed="false">
      <c r="A16" s="8" t="str">
        <f aca="false">IF(Lists!$D$15="","",Lists!$D$15)</f>
        <v>Lambda Chi Alpha</v>
      </c>
      <c r="B16" s="25" t="str">
        <f aca="false">IF($A16="","",IF(COUNTIFS('Chapter Data'!$A$2:$A$2500,B$2,'Chapter Data'!$D$2:$D$2500,$A16,'Chapter Data'!$G$2:$G$2500,"&lt;&gt;")=0,"",SUMIFS('Chapter Data'!$G$2:$G$2500,'Chapter Data'!$A$2:$A$2500,B$2,'Chapter Data'!$D$2:$D$2500,$A16)))</f>
        <v/>
      </c>
      <c r="C16" s="25" t="str">
        <f aca="false">IF($A16="","",IF(COUNTIFS('Chapter Data'!$A$2:$A$2500,C$2,'Chapter Data'!$D$2:$D$2500,$A16,'Chapter Data'!$G$2:$G$2500,"&lt;&gt;")=0,"",SUMIFS('Chapter Data'!$G$2:$G$2500,'Chapter Data'!$A$2:$A$2500,C$2,'Chapter Data'!$D$2:$D$2500,$A16)))</f>
        <v/>
      </c>
      <c r="D16" s="25" t="str">
        <f aca="false">IF($A16="","",IF(COUNTIFS('Chapter Data'!$A$2:$A$2500,D$2,'Chapter Data'!$D$2:$D$2500,$A16,'Chapter Data'!$G$2:$G$2500,"&lt;&gt;")=0,"",SUMIFS('Chapter Data'!$G$2:$G$2500,'Chapter Data'!$A$2:$A$2500,D$2,'Chapter Data'!$D$2:$D$2500,$A16)))</f>
        <v/>
      </c>
      <c r="E16" s="25" t="str">
        <f aca="false">IF($A16="","",IF(COUNTIFS('Chapter Data'!$A$2:$A$2500,E$2,'Chapter Data'!$D$2:$D$2500,$A16,'Chapter Data'!$G$2:$G$2500,"&lt;&gt;")=0,"",SUMIFS('Chapter Data'!$G$2:$G$2500,'Chapter Data'!$A$2:$A$2500,E$2,'Chapter Data'!$D$2:$D$2500,$A16)))</f>
        <v/>
      </c>
      <c r="F16" s="25" t="str">
        <f aca="false">IF($A16="","",IF(COUNTIFS('Chapter Data'!$A$2:$A$2500,F$2,'Chapter Data'!$D$2:$D$2500,$A16,'Chapter Data'!$G$2:$G$2500,"&lt;&gt;")=0,"",SUMIFS('Chapter Data'!$G$2:$G$2500,'Chapter Data'!$A$2:$A$2500,F$2,'Chapter Data'!$D$2:$D$2500,$A16)))</f>
        <v/>
      </c>
      <c r="G16" s="25" t="str">
        <f aca="false">IF($A16="","",IF(COUNTIFS('Chapter Data'!$A$2:$A$2500,G$2,'Chapter Data'!$D$2:$D$2500,$A16,'Chapter Data'!$G$2:$G$2500,"&lt;&gt;")=0,"",SUMIFS('Chapter Data'!$G$2:$G$2500,'Chapter Data'!$A$2:$A$2500,G$2,'Chapter Data'!$D$2:$D$2500,$A16)))</f>
        <v/>
      </c>
      <c r="H16" s="25" t="str">
        <f aca="false">IF($A16="","",IF(COUNTIFS('Chapter Data'!$A$2:$A$2500,H$2,'Chapter Data'!$D$2:$D$2500,$A16,'Chapter Data'!$G$2:$G$2500,"&lt;&gt;")=0,"",SUMIFS('Chapter Data'!$G$2:$G$2500,'Chapter Data'!$A$2:$A$2500,H$2,'Chapter Data'!$D$2:$D$2500,$A16)))</f>
        <v/>
      </c>
      <c r="I16" s="25" t="str">
        <f aca="false">IF($A16="","",IF(COUNTIFS('Chapter Data'!$A$2:$A$2500,I$2,'Chapter Data'!$D$2:$D$2500,$A16,'Chapter Data'!$G$2:$G$2500,"&lt;&gt;")=0,"",SUMIFS('Chapter Data'!$G$2:$G$2500,'Chapter Data'!$A$2:$A$2500,I$2,'Chapter Data'!$D$2:$D$2500,$A16)))</f>
        <v/>
      </c>
      <c r="J16" s="25" t="str">
        <f aca="false">IF($A16="","",IF(COUNTIFS('Chapter Data'!$A$2:$A$2500,J$2,'Chapter Data'!$D$2:$D$2500,$A16,'Chapter Data'!$G$2:$G$2500,"&lt;&gt;")=0,"",SUMIFS('Chapter Data'!$G$2:$G$2500,'Chapter Data'!$A$2:$A$2500,J$2,'Chapter Data'!$D$2:$D$2500,$A16)))</f>
        <v/>
      </c>
      <c r="K16" s="25" t="str">
        <f aca="false">IF($A16="","",IF(COUNTIFS('Chapter Data'!$A$2:$A$2500,K$2,'Chapter Data'!$D$2:$D$2500,$A16,'Chapter Data'!$G$2:$G$2500,"&lt;&gt;")=0,"",SUMIFS('Chapter Data'!$G$2:$G$2500,'Chapter Data'!$A$2:$A$2500,K$2,'Chapter Data'!$D$2:$D$2500,$A16)))</f>
        <v/>
      </c>
      <c r="L16" s="25" t="str">
        <f aca="false">IF($A16="","",IF(COUNTIFS('Chapter Data'!$A$2:$A$2500,L$2,'Chapter Data'!$D$2:$D$2500,$A16,'Chapter Data'!$G$2:$G$2500,"&lt;&gt;")=0,"",SUMIFS('Chapter Data'!$G$2:$G$2500,'Chapter Data'!$A$2:$A$2500,L$2,'Chapter Data'!$D$2:$D$2500,$A16)))</f>
        <v/>
      </c>
      <c r="M16" s="25" t="str">
        <f aca="false">IF($A16="","",IF(COUNTIFS('Chapter Data'!$A$2:$A$2500,M$2,'Chapter Data'!$D$2:$D$2500,$A16,'Chapter Data'!$G$2:$G$2500,"&lt;&gt;")=0,"",SUMIFS('Chapter Data'!$G$2:$G$2500,'Chapter Data'!$A$2:$A$2500,M$2,'Chapter Data'!$D$2:$D$2500,$A16)))</f>
        <v/>
      </c>
      <c r="N16" s="25" t="n">
        <f aca="false">IF($A16="","",IF(COUNTIFS('Chapter Data'!$A$2:$A$2500,N$2,'Chapter Data'!$D$2:$D$2500,$A16,'Chapter Data'!$G$2:$G$2500,"&lt;&gt;")=0,"",SUMIFS('Chapter Data'!$G$2:$G$2500,'Chapter Data'!$A$2:$A$2500,N$2,'Chapter Data'!$D$2:$D$2500,$A16)))</f>
        <v>3.12</v>
      </c>
      <c r="O16" s="25" t="n">
        <f aca="false">IF($A16="","",IF(COUNTIFS('Chapter Data'!$A$2:$A$2500,O$2,'Chapter Data'!$D$2:$D$2500,$A16,'Chapter Data'!$G$2:$G$2500,"&lt;&gt;")=0,"",SUMIFS('Chapter Data'!$G$2:$G$2500,'Chapter Data'!$A$2:$A$2500,O$2,'Chapter Data'!$D$2:$D$2500,$A16)))</f>
        <v>3.378</v>
      </c>
      <c r="P16" s="25" t="n">
        <f aca="false">IF($A16="","",IF(COUNTIFS('Chapter Data'!$A$2:$A$2500,P$2,'Chapter Data'!$D$2:$D$2500,$A16,'Chapter Data'!$G$2:$G$2500,"&lt;&gt;")=0,"",SUMIFS('Chapter Data'!$G$2:$G$2500,'Chapter Data'!$A$2:$A$2500,P$2,'Chapter Data'!$D$2:$D$2500,$A16)))</f>
        <v>3.052</v>
      </c>
      <c r="Q16" s="25" t="n">
        <f aca="false">IF($A16="","",IF(COUNTIFS('Chapter Data'!$A$2:$A$2500,Q$2,'Chapter Data'!$D$2:$D$2500,$A16,'Chapter Data'!$G$2:$G$2500,"&lt;&gt;")=0,"",SUMIFS('Chapter Data'!$G$2:$G$2500,'Chapter Data'!$A$2:$A$2500,Q$2,'Chapter Data'!$D$2:$D$2500,$A16)))</f>
        <v>3.216</v>
      </c>
      <c r="R16" s="25" t="str">
        <f aca="false">IF($A16="","",IF(COUNTIFS('Chapter Data'!$A$2:$A$2500,R$2,'Chapter Data'!$D$2:$D$2500,$A16,'Chapter Data'!$G$2:$G$2500,"&lt;&gt;")=0,"",SUMIFS('Chapter Data'!$G$2:$G$2500,'Chapter Data'!$A$2:$A$2500,R$2,'Chapter Data'!$D$2:$D$2500,$A16)))</f>
        <v/>
      </c>
      <c r="S16" s="25" t="str">
        <f aca="false">IF($A16="","",IF(COUNTIFS('Chapter Data'!$A$2:$A$2500,S$2,'Chapter Data'!$D$2:$D$2500,$A16,'Chapter Data'!$G$2:$G$2500,"&lt;&gt;")=0,"",SUMIFS('Chapter Data'!$G$2:$G$2500,'Chapter Data'!$A$2:$A$2500,S$2,'Chapter Data'!$D$2:$D$2500,$A16)))</f>
        <v/>
      </c>
      <c r="T16" s="25" t="str">
        <f aca="false">IF($A16="","",IF(COUNTIFS('Chapter Data'!$A$2:$A$2500,T$2,'Chapter Data'!$D$2:$D$2500,$A16,'Chapter Data'!$G$2:$G$2500,"&lt;&gt;")=0,"",SUMIFS('Chapter Data'!$G$2:$G$2500,'Chapter Data'!$A$2:$A$2500,T$2,'Chapter Data'!$D$2:$D$2500,$A16)))</f>
        <v/>
      </c>
      <c r="U16" s="25" t="str">
        <f aca="false">IF($A16="","",IF(COUNTIFS('Chapter Data'!$A$2:$A$2500,U$2,'Chapter Data'!$D$2:$D$2500,$A16,'Chapter Data'!$G$2:$G$2500,"&lt;&gt;")=0,"",SUMIFS('Chapter Data'!$G$2:$G$2500,'Chapter Data'!$A$2:$A$2500,U$2,'Chapter Data'!$D$2:$D$2500,$A16)))</f>
        <v/>
      </c>
    </row>
    <row r="17" customFormat="false" ht="15" hidden="false" customHeight="false" outlineLevel="0" collapsed="false">
      <c r="A17" s="8" t="str">
        <f aca="false">IF(Lists!$D$16="","",Lists!$D$16)</f>
        <v>Phi Delta Theta</v>
      </c>
      <c r="B17" s="25" t="n">
        <f aca="false">IF($A17="","",IF(COUNTIFS('Chapter Data'!$A$2:$A$2500,B$2,'Chapter Data'!$D$2:$D$2500,$A17,'Chapter Data'!$G$2:$G$2500,"&lt;&gt;")=0,"",SUMIFS('Chapter Data'!$G$2:$G$2500,'Chapter Data'!$A$2:$A$2500,B$2,'Chapter Data'!$D$2:$D$2500,$A17)))</f>
        <v>3.292</v>
      </c>
      <c r="C17" s="25" t="n">
        <f aca="false">IF($A17="","",IF(COUNTIFS('Chapter Data'!$A$2:$A$2500,C$2,'Chapter Data'!$D$2:$D$2500,$A17,'Chapter Data'!$G$2:$G$2500,"&lt;&gt;")=0,"",SUMIFS('Chapter Data'!$G$2:$G$2500,'Chapter Data'!$A$2:$A$2500,C$2,'Chapter Data'!$D$2:$D$2500,$A17)))</f>
        <v>3.256</v>
      </c>
      <c r="D17" s="25" t="n">
        <f aca="false">IF($A17="","",IF(COUNTIFS('Chapter Data'!$A$2:$A$2500,D$2,'Chapter Data'!$D$2:$D$2500,$A17,'Chapter Data'!$G$2:$G$2500,"&lt;&gt;")=0,"",SUMIFS('Chapter Data'!$G$2:$G$2500,'Chapter Data'!$A$2:$A$2500,D$2,'Chapter Data'!$D$2:$D$2500,$A17)))</f>
        <v>3.245</v>
      </c>
      <c r="E17" s="25" t="str">
        <f aca="false">IF($A17="","",IF(COUNTIFS('Chapter Data'!$A$2:$A$2500,E$2,'Chapter Data'!$D$2:$D$2500,$A17,'Chapter Data'!$G$2:$G$2500,"&lt;&gt;")=0,"",SUMIFS('Chapter Data'!$G$2:$G$2500,'Chapter Data'!$A$2:$A$2500,E$2,'Chapter Data'!$D$2:$D$2500,$A17)))</f>
        <v/>
      </c>
      <c r="F17" s="25" t="n">
        <f aca="false">IF($A17="","",IF(COUNTIFS('Chapter Data'!$A$2:$A$2500,F$2,'Chapter Data'!$D$2:$D$2500,$A17,'Chapter Data'!$G$2:$G$2500,"&lt;&gt;")=0,"",SUMIFS('Chapter Data'!$G$2:$G$2500,'Chapter Data'!$A$2:$A$2500,F$2,'Chapter Data'!$D$2:$D$2500,$A17)))</f>
        <v>3.271</v>
      </c>
      <c r="G17" s="25" t="n">
        <f aca="false">IF($A17="","",IF(COUNTIFS('Chapter Data'!$A$2:$A$2500,G$2,'Chapter Data'!$D$2:$D$2500,$A17,'Chapter Data'!$G$2:$G$2500,"&lt;&gt;")=0,"",SUMIFS('Chapter Data'!$G$2:$G$2500,'Chapter Data'!$A$2:$A$2500,G$2,'Chapter Data'!$D$2:$D$2500,$A17)))</f>
        <v>3.458</v>
      </c>
      <c r="H17" s="25" t="n">
        <f aca="false">IF($A17="","",IF(COUNTIFS('Chapter Data'!$A$2:$A$2500,H$2,'Chapter Data'!$D$2:$D$2500,$A17,'Chapter Data'!$G$2:$G$2500,"&lt;&gt;")=0,"",SUMIFS('Chapter Data'!$G$2:$G$2500,'Chapter Data'!$A$2:$A$2500,H$2,'Chapter Data'!$D$2:$D$2500,$A17)))</f>
        <v>3.346</v>
      </c>
      <c r="I17" s="25" t="n">
        <f aca="false">IF($A17="","",IF(COUNTIFS('Chapter Data'!$A$2:$A$2500,I$2,'Chapter Data'!$D$2:$D$2500,$A17,'Chapter Data'!$G$2:$G$2500,"&lt;&gt;")=0,"",SUMIFS('Chapter Data'!$G$2:$G$2500,'Chapter Data'!$A$2:$A$2500,I$2,'Chapter Data'!$D$2:$D$2500,$A17)))</f>
        <v>3.352</v>
      </c>
      <c r="J17" s="25" t="n">
        <f aca="false">IF($A17="","",IF(COUNTIFS('Chapter Data'!$A$2:$A$2500,J$2,'Chapter Data'!$D$2:$D$2500,$A17,'Chapter Data'!$G$2:$G$2500,"&lt;&gt;")=0,"",SUMIFS('Chapter Data'!$G$2:$G$2500,'Chapter Data'!$A$2:$A$2500,J$2,'Chapter Data'!$D$2:$D$2500,$A17)))</f>
        <v>3.224</v>
      </c>
      <c r="K17" s="25" t="n">
        <f aca="false">IF($A17="","",IF(COUNTIFS('Chapter Data'!$A$2:$A$2500,K$2,'Chapter Data'!$D$2:$D$2500,$A17,'Chapter Data'!$G$2:$G$2500,"&lt;&gt;")=0,"",SUMIFS('Chapter Data'!$G$2:$G$2500,'Chapter Data'!$A$2:$A$2500,K$2,'Chapter Data'!$D$2:$D$2500,$A17)))</f>
        <v>3.315</v>
      </c>
      <c r="L17" s="25" t="n">
        <f aca="false">IF($A17="","",IF(COUNTIFS('Chapter Data'!$A$2:$A$2500,L$2,'Chapter Data'!$D$2:$D$2500,$A17,'Chapter Data'!$G$2:$G$2500,"&lt;&gt;")=0,"",SUMIFS('Chapter Data'!$G$2:$G$2500,'Chapter Data'!$A$2:$A$2500,L$2,'Chapter Data'!$D$2:$D$2500,$A17)))</f>
        <v>3.199</v>
      </c>
      <c r="M17" s="25" t="n">
        <f aca="false">IF($A17="","",IF(COUNTIFS('Chapter Data'!$A$2:$A$2500,M$2,'Chapter Data'!$D$2:$D$2500,$A17,'Chapter Data'!$G$2:$G$2500,"&lt;&gt;")=0,"",SUMIFS('Chapter Data'!$G$2:$G$2500,'Chapter Data'!$A$2:$A$2500,M$2,'Chapter Data'!$D$2:$D$2500,$A17)))</f>
        <v>3.357</v>
      </c>
      <c r="N17" s="25" t="n">
        <f aca="false">IF($A17="","",IF(COUNTIFS('Chapter Data'!$A$2:$A$2500,N$2,'Chapter Data'!$D$2:$D$2500,$A17,'Chapter Data'!$G$2:$G$2500,"&lt;&gt;")=0,"",SUMIFS('Chapter Data'!$G$2:$G$2500,'Chapter Data'!$A$2:$A$2500,N$2,'Chapter Data'!$D$2:$D$2500,$A17)))</f>
        <v>3.298</v>
      </c>
      <c r="O17" s="25" t="n">
        <f aca="false">IF($A17="","",IF(COUNTIFS('Chapter Data'!$A$2:$A$2500,O$2,'Chapter Data'!$D$2:$D$2500,$A17,'Chapter Data'!$G$2:$G$2500,"&lt;&gt;")=0,"",SUMIFS('Chapter Data'!$G$2:$G$2500,'Chapter Data'!$A$2:$A$2500,O$2,'Chapter Data'!$D$2:$D$2500,$A17)))</f>
        <v>3.339</v>
      </c>
      <c r="P17" s="25" t="n">
        <f aca="false">IF($A17="","",IF(COUNTIFS('Chapter Data'!$A$2:$A$2500,P$2,'Chapter Data'!$D$2:$D$2500,$A17,'Chapter Data'!$G$2:$G$2500,"&lt;&gt;")=0,"",SUMIFS('Chapter Data'!$G$2:$G$2500,'Chapter Data'!$A$2:$A$2500,P$2,'Chapter Data'!$D$2:$D$2500,$A17)))</f>
        <v>3.191</v>
      </c>
      <c r="Q17" s="25" t="n">
        <f aca="false">IF($A17="","",IF(COUNTIFS('Chapter Data'!$A$2:$A$2500,Q$2,'Chapter Data'!$D$2:$D$2500,$A17,'Chapter Data'!$G$2:$G$2500,"&lt;&gt;")=0,"",SUMIFS('Chapter Data'!$G$2:$G$2500,'Chapter Data'!$A$2:$A$2500,Q$2,'Chapter Data'!$D$2:$D$2500,$A17)))</f>
        <v>3.427</v>
      </c>
      <c r="R17" s="25" t="str">
        <f aca="false">IF($A17="","",IF(COUNTIFS('Chapter Data'!$A$2:$A$2500,R$2,'Chapter Data'!$D$2:$D$2500,$A17,'Chapter Data'!$G$2:$G$2500,"&lt;&gt;")=0,"",SUMIFS('Chapter Data'!$G$2:$G$2500,'Chapter Data'!$A$2:$A$2500,R$2,'Chapter Data'!$D$2:$D$2500,$A17)))</f>
        <v/>
      </c>
      <c r="S17" s="25" t="str">
        <f aca="false">IF($A17="","",IF(COUNTIFS('Chapter Data'!$A$2:$A$2500,S$2,'Chapter Data'!$D$2:$D$2500,$A17,'Chapter Data'!$G$2:$G$2500,"&lt;&gt;")=0,"",SUMIFS('Chapter Data'!$G$2:$G$2500,'Chapter Data'!$A$2:$A$2500,S$2,'Chapter Data'!$D$2:$D$2500,$A17)))</f>
        <v/>
      </c>
      <c r="T17" s="25" t="str">
        <f aca="false">IF($A17="","",IF(COUNTIFS('Chapter Data'!$A$2:$A$2500,T$2,'Chapter Data'!$D$2:$D$2500,$A17,'Chapter Data'!$G$2:$G$2500,"&lt;&gt;")=0,"",SUMIFS('Chapter Data'!$G$2:$G$2500,'Chapter Data'!$A$2:$A$2500,T$2,'Chapter Data'!$D$2:$D$2500,$A17)))</f>
        <v/>
      </c>
      <c r="U17" s="25" t="str">
        <f aca="false">IF($A17="","",IF(COUNTIFS('Chapter Data'!$A$2:$A$2500,U$2,'Chapter Data'!$D$2:$D$2500,$A17,'Chapter Data'!$G$2:$G$2500,"&lt;&gt;")=0,"",SUMIFS('Chapter Data'!$G$2:$G$2500,'Chapter Data'!$A$2:$A$2500,U$2,'Chapter Data'!$D$2:$D$2500,$A17)))</f>
        <v/>
      </c>
    </row>
    <row r="18" customFormat="false" ht="15" hidden="false" customHeight="false" outlineLevel="0" collapsed="false">
      <c r="A18" s="8" t="str">
        <f aca="false">IF(Lists!$D$17="","",Lists!$D$17)</f>
        <v>Phi Gamma Delta</v>
      </c>
      <c r="B18" s="25" t="str">
        <f aca="false">IF($A18="","",IF(COUNTIFS('Chapter Data'!$A$2:$A$2500,B$2,'Chapter Data'!$D$2:$D$2500,$A18,'Chapter Data'!$G$2:$G$2500,"&lt;&gt;")=0,"",SUMIFS('Chapter Data'!$G$2:$G$2500,'Chapter Data'!$A$2:$A$2500,B$2,'Chapter Data'!$D$2:$D$2500,$A18)))</f>
        <v/>
      </c>
      <c r="C18" s="25" t="str">
        <f aca="false">IF($A18="","",IF(COUNTIFS('Chapter Data'!$A$2:$A$2500,C$2,'Chapter Data'!$D$2:$D$2500,$A18,'Chapter Data'!$G$2:$G$2500,"&lt;&gt;")=0,"",SUMIFS('Chapter Data'!$G$2:$G$2500,'Chapter Data'!$A$2:$A$2500,C$2,'Chapter Data'!$D$2:$D$2500,$A18)))</f>
        <v/>
      </c>
      <c r="D18" s="25" t="n">
        <f aca="false">IF($A18="","",IF(COUNTIFS('Chapter Data'!$A$2:$A$2500,D$2,'Chapter Data'!$D$2:$D$2500,$A18,'Chapter Data'!$G$2:$G$2500,"&lt;&gt;")=0,"",SUMIFS('Chapter Data'!$G$2:$G$2500,'Chapter Data'!$A$2:$A$2500,D$2,'Chapter Data'!$D$2:$D$2500,$A18)))</f>
        <v>2.832</v>
      </c>
      <c r="E18" s="25" t="str">
        <f aca="false">IF($A18="","",IF(COUNTIFS('Chapter Data'!$A$2:$A$2500,E$2,'Chapter Data'!$D$2:$D$2500,$A18,'Chapter Data'!$G$2:$G$2500,"&lt;&gt;")=0,"",SUMIFS('Chapter Data'!$G$2:$G$2500,'Chapter Data'!$A$2:$A$2500,E$2,'Chapter Data'!$D$2:$D$2500,$A18)))</f>
        <v/>
      </c>
      <c r="F18" s="25" t="n">
        <f aca="false">IF($A18="","",IF(COUNTIFS('Chapter Data'!$A$2:$A$2500,F$2,'Chapter Data'!$D$2:$D$2500,$A18,'Chapter Data'!$G$2:$G$2500,"&lt;&gt;")=0,"",SUMIFS('Chapter Data'!$G$2:$G$2500,'Chapter Data'!$A$2:$A$2500,F$2,'Chapter Data'!$D$2:$D$2500,$A18)))</f>
        <v>3.069</v>
      </c>
      <c r="G18" s="25" t="n">
        <f aca="false">IF($A18="","",IF(COUNTIFS('Chapter Data'!$A$2:$A$2500,G$2,'Chapter Data'!$D$2:$D$2500,$A18,'Chapter Data'!$G$2:$G$2500,"&lt;&gt;")=0,"",SUMIFS('Chapter Data'!$G$2:$G$2500,'Chapter Data'!$A$2:$A$2500,G$2,'Chapter Data'!$D$2:$D$2500,$A18)))</f>
        <v>3.082</v>
      </c>
      <c r="H18" s="25" t="str">
        <f aca="false">IF($A18="","",IF(COUNTIFS('Chapter Data'!$A$2:$A$2500,H$2,'Chapter Data'!$D$2:$D$2500,$A18,'Chapter Data'!$G$2:$G$2500,"&lt;&gt;")=0,"",SUMIFS('Chapter Data'!$G$2:$G$2500,'Chapter Data'!$A$2:$A$2500,H$2,'Chapter Data'!$D$2:$D$2500,$A18)))</f>
        <v/>
      </c>
      <c r="I18" s="25" t="str">
        <f aca="false">IF($A18="","",IF(COUNTIFS('Chapter Data'!$A$2:$A$2500,I$2,'Chapter Data'!$D$2:$D$2500,$A18,'Chapter Data'!$G$2:$G$2500,"&lt;&gt;")=0,"",SUMIFS('Chapter Data'!$G$2:$G$2500,'Chapter Data'!$A$2:$A$2500,I$2,'Chapter Data'!$D$2:$D$2500,$A18)))</f>
        <v/>
      </c>
      <c r="J18" s="25" t="str">
        <f aca="false">IF($A18="","",IF(COUNTIFS('Chapter Data'!$A$2:$A$2500,J$2,'Chapter Data'!$D$2:$D$2500,$A18,'Chapter Data'!$G$2:$G$2500,"&lt;&gt;")=0,"",SUMIFS('Chapter Data'!$G$2:$G$2500,'Chapter Data'!$A$2:$A$2500,J$2,'Chapter Data'!$D$2:$D$2500,$A18)))</f>
        <v/>
      </c>
      <c r="K18" s="25" t="str">
        <f aca="false">IF($A18="","",IF(COUNTIFS('Chapter Data'!$A$2:$A$2500,K$2,'Chapter Data'!$D$2:$D$2500,$A18,'Chapter Data'!$G$2:$G$2500,"&lt;&gt;")=0,"",SUMIFS('Chapter Data'!$G$2:$G$2500,'Chapter Data'!$A$2:$A$2500,K$2,'Chapter Data'!$D$2:$D$2500,$A18)))</f>
        <v/>
      </c>
      <c r="L18" s="25" t="str">
        <f aca="false">IF($A18="","",IF(COUNTIFS('Chapter Data'!$A$2:$A$2500,L$2,'Chapter Data'!$D$2:$D$2500,$A18,'Chapter Data'!$G$2:$G$2500,"&lt;&gt;")=0,"",SUMIFS('Chapter Data'!$G$2:$G$2500,'Chapter Data'!$A$2:$A$2500,L$2,'Chapter Data'!$D$2:$D$2500,$A18)))</f>
        <v/>
      </c>
      <c r="M18" s="25" t="str">
        <f aca="false">IF($A18="","",IF(COUNTIFS('Chapter Data'!$A$2:$A$2500,M$2,'Chapter Data'!$D$2:$D$2500,$A18,'Chapter Data'!$G$2:$G$2500,"&lt;&gt;")=0,"",SUMIFS('Chapter Data'!$G$2:$G$2500,'Chapter Data'!$A$2:$A$2500,M$2,'Chapter Data'!$D$2:$D$2500,$A18)))</f>
        <v/>
      </c>
      <c r="N18" s="25" t="str">
        <f aca="false">IF($A18="","",IF(COUNTIFS('Chapter Data'!$A$2:$A$2500,N$2,'Chapter Data'!$D$2:$D$2500,$A18,'Chapter Data'!$G$2:$G$2500,"&lt;&gt;")=0,"",SUMIFS('Chapter Data'!$G$2:$G$2500,'Chapter Data'!$A$2:$A$2500,N$2,'Chapter Data'!$D$2:$D$2500,$A18)))</f>
        <v/>
      </c>
      <c r="O18" s="25" t="str">
        <f aca="false">IF($A18="","",IF(COUNTIFS('Chapter Data'!$A$2:$A$2500,O$2,'Chapter Data'!$D$2:$D$2500,$A18,'Chapter Data'!$G$2:$G$2500,"&lt;&gt;")=0,"",SUMIFS('Chapter Data'!$G$2:$G$2500,'Chapter Data'!$A$2:$A$2500,O$2,'Chapter Data'!$D$2:$D$2500,$A18)))</f>
        <v/>
      </c>
      <c r="P18" s="25" t="n">
        <f aca="false">IF($A18="","",IF(COUNTIFS('Chapter Data'!$A$2:$A$2500,P$2,'Chapter Data'!$D$2:$D$2500,$A18,'Chapter Data'!$G$2:$G$2500,"&lt;&gt;")=0,"",SUMIFS('Chapter Data'!$G$2:$G$2500,'Chapter Data'!$A$2:$A$2500,P$2,'Chapter Data'!$D$2:$D$2500,$A18)))</f>
        <v>3.101</v>
      </c>
      <c r="Q18" s="25" t="n">
        <f aca="false">IF($A18="","",IF(COUNTIFS('Chapter Data'!$A$2:$A$2500,Q$2,'Chapter Data'!$D$2:$D$2500,$A18,'Chapter Data'!$G$2:$G$2500,"&lt;&gt;")=0,"",SUMIFS('Chapter Data'!$G$2:$G$2500,'Chapter Data'!$A$2:$A$2500,Q$2,'Chapter Data'!$D$2:$D$2500,$A18)))</f>
        <v>3.509</v>
      </c>
      <c r="R18" s="25" t="str">
        <f aca="false">IF($A18="","",IF(COUNTIFS('Chapter Data'!$A$2:$A$2500,R$2,'Chapter Data'!$D$2:$D$2500,$A18,'Chapter Data'!$G$2:$G$2500,"&lt;&gt;")=0,"",SUMIFS('Chapter Data'!$G$2:$G$2500,'Chapter Data'!$A$2:$A$2500,R$2,'Chapter Data'!$D$2:$D$2500,$A18)))</f>
        <v/>
      </c>
      <c r="S18" s="25" t="str">
        <f aca="false">IF($A18="","",IF(COUNTIFS('Chapter Data'!$A$2:$A$2500,S$2,'Chapter Data'!$D$2:$D$2500,$A18,'Chapter Data'!$G$2:$G$2500,"&lt;&gt;")=0,"",SUMIFS('Chapter Data'!$G$2:$G$2500,'Chapter Data'!$A$2:$A$2500,S$2,'Chapter Data'!$D$2:$D$2500,$A18)))</f>
        <v/>
      </c>
      <c r="T18" s="25" t="str">
        <f aca="false">IF($A18="","",IF(COUNTIFS('Chapter Data'!$A$2:$A$2500,T$2,'Chapter Data'!$D$2:$D$2500,$A18,'Chapter Data'!$G$2:$G$2500,"&lt;&gt;")=0,"",SUMIFS('Chapter Data'!$G$2:$G$2500,'Chapter Data'!$A$2:$A$2500,T$2,'Chapter Data'!$D$2:$D$2500,$A18)))</f>
        <v/>
      </c>
      <c r="U18" s="25" t="str">
        <f aca="false">IF($A18="","",IF(COUNTIFS('Chapter Data'!$A$2:$A$2500,U$2,'Chapter Data'!$D$2:$D$2500,$A18,'Chapter Data'!$G$2:$G$2500,"&lt;&gt;")=0,"",SUMIFS('Chapter Data'!$G$2:$G$2500,'Chapter Data'!$A$2:$A$2500,U$2,'Chapter Data'!$D$2:$D$2500,$A18)))</f>
        <v/>
      </c>
    </row>
    <row r="19" customFormat="false" ht="15" hidden="false" customHeight="false" outlineLevel="0" collapsed="false">
      <c r="A19" s="8" t="str">
        <f aca="false">IF(Lists!$D$18="","",Lists!$D$18)</f>
        <v>Phi Kappa Psi</v>
      </c>
      <c r="B19" s="25" t="n">
        <f aca="false">IF($A19="","",IF(COUNTIFS('Chapter Data'!$A$2:$A$2500,B$2,'Chapter Data'!$D$2:$D$2500,$A19,'Chapter Data'!$G$2:$G$2500,"&lt;&gt;")=0,"",SUMIFS('Chapter Data'!$G$2:$G$2500,'Chapter Data'!$A$2:$A$2500,B$2,'Chapter Data'!$D$2:$D$2500,$A19)))</f>
        <v>3.043</v>
      </c>
      <c r="C19" s="25" t="n">
        <f aca="false">IF($A19="","",IF(COUNTIFS('Chapter Data'!$A$2:$A$2500,C$2,'Chapter Data'!$D$2:$D$2500,$A19,'Chapter Data'!$G$2:$G$2500,"&lt;&gt;")=0,"",SUMIFS('Chapter Data'!$G$2:$G$2500,'Chapter Data'!$A$2:$A$2500,C$2,'Chapter Data'!$D$2:$D$2500,$A19)))</f>
        <v>2.936</v>
      </c>
      <c r="D19" s="25" t="n">
        <f aca="false">IF($A19="","",IF(COUNTIFS('Chapter Data'!$A$2:$A$2500,D$2,'Chapter Data'!$D$2:$D$2500,$A19,'Chapter Data'!$G$2:$G$2500,"&lt;&gt;")=0,"",SUMIFS('Chapter Data'!$G$2:$G$2500,'Chapter Data'!$A$2:$A$2500,D$2,'Chapter Data'!$D$2:$D$2500,$A19)))</f>
        <v>2.868</v>
      </c>
      <c r="E19" s="25" t="str">
        <f aca="false">IF($A19="","",IF(COUNTIFS('Chapter Data'!$A$2:$A$2500,E$2,'Chapter Data'!$D$2:$D$2500,$A19,'Chapter Data'!$G$2:$G$2500,"&lt;&gt;")=0,"",SUMIFS('Chapter Data'!$G$2:$G$2500,'Chapter Data'!$A$2:$A$2500,E$2,'Chapter Data'!$D$2:$D$2500,$A19)))</f>
        <v/>
      </c>
      <c r="F19" s="25" t="n">
        <f aca="false">IF($A19="","",IF(COUNTIFS('Chapter Data'!$A$2:$A$2500,F$2,'Chapter Data'!$D$2:$D$2500,$A19,'Chapter Data'!$G$2:$G$2500,"&lt;&gt;")=0,"",SUMIFS('Chapter Data'!$G$2:$G$2500,'Chapter Data'!$A$2:$A$2500,F$2,'Chapter Data'!$D$2:$D$2500,$A19)))</f>
        <v>2.66</v>
      </c>
      <c r="G19" s="25" t="n">
        <f aca="false">IF($A19="","",IF(COUNTIFS('Chapter Data'!$A$2:$A$2500,G$2,'Chapter Data'!$D$2:$D$2500,$A19,'Chapter Data'!$G$2:$G$2500,"&lt;&gt;")=0,"",SUMIFS('Chapter Data'!$G$2:$G$2500,'Chapter Data'!$A$2:$A$2500,G$2,'Chapter Data'!$D$2:$D$2500,$A19)))</f>
        <v>2.935</v>
      </c>
      <c r="H19" s="25" t="n">
        <f aca="false">IF($A19="","",IF(COUNTIFS('Chapter Data'!$A$2:$A$2500,H$2,'Chapter Data'!$D$2:$D$2500,$A19,'Chapter Data'!$G$2:$G$2500,"&lt;&gt;")=0,"",SUMIFS('Chapter Data'!$G$2:$G$2500,'Chapter Data'!$A$2:$A$2500,H$2,'Chapter Data'!$D$2:$D$2500,$A19)))</f>
        <v>2.798</v>
      </c>
      <c r="I19" s="25" t="n">
        <f aca="false">IF($A19="","",IF(COUNTIFS('Chapter Data'!$A$2:$A$2500,I$2,'Chapter Data'!$D$2:$D$2500,$A19,'Chapter Data'!$G$2:$G$2500,"&lt;&gt;")=0,"",SUMIFS('Chapter Data'!$G$2:$G$2500,'Chapter Data'!$A$2:$A$2500,I$2,'Chapter Data'!$D$2:$D$2500,$A19)))</f>
        <v>2.841</v>
      </c>
      <c r="J19" s="25" t="n">
        <f aca="false">IF($A19="","",IF(COUNTIFS('Chapter Data'!$A$2:$A$2500,J$2,'Chapter Data'!$D$2:$D$2500,$A19,'Chapter Data'!$G$2:$G$2500,"&lt;&gt;")=0,"",SUMIFS('Chapter Data'!$G$2:$G$2500,'Chapter Data'!$A$2:$A$2500,J$2,'Chapter Data'!$D$2:$D$2500,$A19)))</f>
        <v>2.681</v>
      </c>
      <c r="K19" s="25" t="n">
        <f aca="false">IF($A19="","",IF(COUNTIFS('Chapter Data'!$A$2:$A$2500,K$2,'Chapter Data'!$D$2:$D$2500,$A19,'Chapter Data'!$G$2:$G$2500,"&lt;&gt;")=0,"",SUMIFS('Chapter Data'!$G$2:$G$2500,'Chapter Data'!$A$2:$A$2500,K$2,'Chapter Data'!$D$2:$D$2500,$A19)))</f>
        <v>2.974</v>
      </c>
      <c r="L19" s="25" t="n">
        <f aca="false">IF($A19="","",IF(COUNTIFS('Chapter Data'!$A$2:$A$2500,L$2,'Chapter Data'!$D$2:$D$2500,$A19,'Chapter Data'!$G$2:$G$2500,"&lt;&gt;")=0,"",SUMIFS('Chapter Data'!$G$2:$G$2500,'Chapter Data'!$A$2:$A$2500,L$2,'Chapter Data'!$D$2:$D$2500,$A19)))</f>
        <v>2.998</v>
      </c>
      <c r="M19" s="25" t="n">
        <f aca="false">IF($A19="","",IF(COUNTIFS('Chapter Data'!$A$2:$A$2500,M$2,'Chapter Data'!$D$2:$D$2500,$A19,'Chapter Data'!$G$2:$G$2500,"&lt;&gt;")=0,"",SUMIFS('Chapter Data'!$G$2:$G$2500,'Chapter Data'!$A$2:$A$2500,M$2,'Chapter Data'!$D$2:$D$2500,$A19)))</f>
        <v>2.99</v>
      </c>
      <c r="N19" s="25" t="n">
        <f aca="false">IF($A19="","",IF(COUNTIFS('Chapter Data'!$A$2:$A$2500,N$2,'Chapter Data'!$D$2:$D$2500,$A19,'Chapter Data'!$G$2:$G$2500,"&lt;&gt;")=0,"",SUMIFS('Chapter Data'!$G$2:$G$2500,'Chapter Data'!$A$2:$A$2500,N$2,'Chapter Data'!$D$2:$D$2500,$A19)))</f>
        <v>3.13</v>
      </c>
      <c r="O19" s="25" t="n">
        <f aca="false">IF($A19="","",IF(COUNTIFS('Chapter Data'!$A$2:$A$2500,O$2,'Chapter Data'!$D$2:$D$2500,$A19,'Chapter Data'!$G$2:$G$2500,"&lt;&gt;")=0,"",SUMIFS('Chapter Data'!$G$2:$G$2500,'Chapter Data'!$A$2:$A$2500,O$2,'Chapter Data'!$D$2:$D$2500,$A19)))</f>
        <v>3.211</v>
      </c>
      <c r="P19" s="25" t="n">
        <f aca="false">IF($A19="","",IF(COUNTIFS('Chapter Data'!$A$2:$A$2500,P$2,'Chapter Data'!$D$2:$D$2500,$A19,'Chapter Data'!$G$2:$G$2500,"&lt;&gt;")=0,"",SUMIFS('Chapter Data'!$G$2:$G$2500,'Chapter Data'!$A$2:$A$2500,P$2,'Chapter Data'!$D$2:$D$2500,$A19)))</f>
        <v>2.929</v>
      </c>
      <c r="Q19" s="25" t="n">
        <f aca="false">IF($A19="","",IF(COUNTIFS('Chapter Data'!$A$2:$A$2500,Q$2,'Chapter Data'!$D$2:$D$2500,$A19,'Chapter Data'!$G$2:$G$2500,"&lt;&gt;")=0,"",SUMIFS('Chapter Data'!$G$2:$G$2500,'Chapter Data'!$A$2:$A$2500,Q$2,'Chapter Data'!$D$2:$D$2500,$A19)))</f>
        <v>2.876</v>
      </c>
      <c r="R19" s="25" t="str">
        <f aca="false">IF($A19="","",IF(COUNTIFS('Chapter Data'!$A$2:$A$2500,R$2,'Chapter Data'!$D$2:$D$2500,$A19,'Chapter Data'!$G$2:$G$2500,"&lt;&gt;")=0,"",SUMIFS('Chapter Data'!$G$2:$G$2500,'Chapter Data'!$A$2:$A$2500,R$2,'Chapter Data'!$D$2:$D$2500,$A19)))</f>
        <v/>
      </c>
      <c r="S19" s="25" t="str">
        <f aca="false">IF($A19="","",IF(COUNTIFS('Chapter Data'!$A$2:$A$2500,S$2,'Chapter Data'!$D$2:$D$2500,$A19,'Chapter Data'!$G$2:$G$2500,"&lt;&gt;")=0,"",SUMIFS('Chapter Data'!$G$2:$G$2500,'Chapter Data'!$A$2:$A$2500,S$2,'Chapter Data'!$D$2:$D$2500,$A19)))</f>
        <v/>
      </c>
      <c r="T19" s="25" t="str">
        <f aca="false">IF($A19="","",IF(COUNTIFS('Chapter Data'!$A$2:$A$2500,T$2,'Chapter Data'!$D$2:$D$2500,$A19,'Chapter Data'!$G$2:$G$2500,"&lt;&gt;")=0,"",SUMIFS('Chapter Data'!$G$2:$G$2500,'Chapter Data'!$A$2:$A$2500,T$2,'Chapter Data'!$D$2:$D$2500,$A19)))</f>
        <v/>
      </c>
      <c r="U19" s="25" t="str">
        <f aca="false">IF($A19="","",IF(COUNTIFS('Chapter Data'!$A$2:$A$2500,U$2,'Chapter Data'!$D$2:$D$2500,$A19,'Chapter Data'!$G$2:$G$2500,"&lt;&gt;")=0,"",SUMIFS('Chapter Data'!$G$2:$G$2500,'Chapter Data'!$A$2:$A$2500,U$2,'Chapter Data'!$D$2:$D$2500,$A19)))</f>
        <v/>
      </c>
    </row>
    <row r="20" customFormat="false" ht="15" hidden="false" customHeight="false" outlineLevel="0" collapsed="false">
      <c r="A20" s="8" t="str">
        <f aca="false">IF(Lists!$D$19="","",Lists!$D$19)</f>
        <v>Phi Kappa Theta</v>
      </c>
      <c r="B20" s="25" t="n">
        <f aca="false">IF($A20="","",IF(COUNTIFS('Chapter Data'!$A$2:$A$2500,B$2,'Chapter Data'!$D$2:$D$2500,$A20,'Chapter Data'!$G$2:$G$2500,"&lt;&gt;")=0,"",SUMIFS('Chapter Data'!$G$2:$G$2500,'Chapter Data'!$A$2:$A$2500,B$2,'Chapter Data'!$D$2:$D$2500,$A20)))</f>
        <v>3.255</v>
      </c>
      <c r="C20" s="25" t="n">
        <f aca="false">IF($A20="","",IF(COUNTIFS('Chapter Data'!$A$2:$A$2500,C$2,'Chapter Data'!$D$2:$D$2500,$A20,'Chapter Data'!$G$2:$G$2500,"&lt;&gt;")=0,"",SUMIFS('Chapter Data'!$G$2:$G$2500,'Chapter Data'!$A$2:$A$2500,C$2,'Chapter Data'!$D$2:$D$2500,$A20)))</f>
        <v>3.42</v>
      </c>
      <c r="D20" s="25" t="n">
        <f aca="false">IF($A20="","",IF(COUNTIFS('Chapter Data'!$A$2:$A$2500,D$2,'Chapter Data'!$D$2:$D$2500,$A20,'Chapter Data'!$G$2:$G$2500,"&lt;&gt;")=0,"",SUMIFS('Chapter Data'!$G$2:$G$2500,'Chapter Data'!$A$2:$A$2500,D$2,'Chapter Data'!$D$2:$D$2500,$A20)))</f>
        <v>3.419</v>
      </c>
      <c r="E20" s="25" t="str">
        <f aca="false">IF($A20="","",IF(COUNTIFS('Chapter Data'!$A$2:$A$2500,E$2,'Chapter Data'!$D$2:$D$2500,$A20,'Chapter Data'!$G$2:$G$2500,"&lt;&gt;")=0,"",SUMIFS('Chapter Data'!$G$2:$G$2500,'Chapter Data'!$A$2:$A$2500,E$2,'Chapter Data'!$D$2:$D$2500,$A20)))</f>
        <v/>
      </c>
      <c r="F20" s="25" t="n">
        <f aca="false">IF($A20="","",IF(COUNTIFS('Chapter Data'!$A$2:$A$2500,F$2,'Chapter Data'!$D$2:$D$2500,$A20,'Chapter Data'!$G$2:$G$2500,"&lt;&gt;")=0,"",SUMIFS('Chapter Data'!$G$2:$G$2500,'Chapter Data'!$A$2:$A$2500,F$2,'Chapter Data'!$D$2:$D$2500,$A20)))</f>
        <v>3.399</v>
      </c>
      <c r="G20" s="25" t="n">
        <f aca="false">IF($A20="","",IF(COUNTIFS('Chapter Data'!$A$2:$A$2500,G$2,'Chapter Data'!$D$2:$D$2500,$A20,'Chapter Data'!$G$2:$G$2500,"&lt;&gt;")=0,"",SUMIFS('Chapter Data'!$G$2:$G$2500,'Chapter Data'!$A$2:$A$2500,G$2,'Chapter Data'!$D$2:$D$2500,$A20)))</f>
        <v>3.382</v>
      </c>
      <c r="H20" s="25" t="n">
        <f aca="false">IF($A20="","",IF(COUNTIFS('Chapter Data'!$A$2:$A$2500,H$2,'Chapter Data'!$D$2:$D$2500,$A20,'Chapter Data'!$G$2:$G$2500,"&lt;&gt;")=0,"",SUMIFS('Chapter Data'!$G$2:$G$2500,'Chapter Data'!$A$2:$A$2500,H$2,'Chapter Data'!$D$2:$D$2500,$A20)))</f>
        <v>3.267</v>
      </c>
      <c r="I20" s="25" t="n">
        <f aca="false">IF($A20="","",IF(COUNTIFS('Chapter Data'!$A$2:$A$2500,I$2,'Chapter Data'!$D$2:$D$2500,$A20,'Chapter Data'!$G$2:$G$2500,"&lt;&gt;")=0,"",SUMIFS('Chapter Data'!$G$2:$G$2500,'Chapter Data'!$A$2:$A$2500,I$2,'Chapter Data'!$D$2:$D$2500,$A20)))</f>
        <v>3.505</v>
      </c>
      <c r="J20" s="25" t="n">
        <f aca="false">IF($A20="","",IF(COUNTIFS('Chapter Data'!$A$2:$A$2500,J$2,'Chapter Data'!$D$2:$D$2500,$A20,'Chapter Data'!$G$2:$G$2500,"&lt;&gt;")=0,"",SUMIFS('Chapter Data'!$G$2:$G$2500,'Chapter Data'!$A$2:$A$2500,J$2,'Chapter Data'!$D$2:$D$2500,$A20)))</f>
        <v>3.508</v>
      </c>
      <c r="K20" s="25" t="n">
        <f aca="false">IF($A20="","",IF(COUNTIFS('Chapter Data'!$A$2:$A$2500,K$2,'Chapter Data'!$D$2:$D$2500,$A20,'Chapter Data'!$G$2:$G$2500,"&lt;&gt;")=0,"",SUMIFS('Chapter Data'!$G$2:$G$2500,'Chapter Data'!$A$2:$A$2500,K$2,'Chapter Data'!$D$2:$D$2500,$A20)))</f>
        <v>3.529</v>
      </c>
      <c r="L20" s="25" t="n">
        <f aca="false">IF($A20="","",IF(COUNTIFS('Chapter Data'!$A$2:$A$2500,L$2,'Chapter Data'!$D$2:$D$2500,$A20,'Chapter Data'!$G$2:$G$2500,"&lt;&gt;")=0,"",SUMIFS('Chapter Data'!$G$2:$G$2500,'Chapter Data'!$A$2:$A$2500,L$2,'Chapter Data'!$D$2:$D$2500,$A20)))</f>
        <v>3.443</v>
      </c>
      <c r="M20" s="25" t="n">
        <f aca="false">IF($A20="","",IF(COUNTIFS('Chapter Data'!$A$2:$A$2500,M$2,'Chapter Data'!$D$2:$D$2500,$A20,'Chapter Data'!$G$2:$G$2500,"&lt;&gt;")=0,"",SUMIFS('Chapter Data'!$G$2:$G$2500,'Chapter Data'!$A$2:$A$2500,M$2,'Chapter Data'!$D$2:$D$2500,$A20)))</f>
        <v>3.35</v>
      </c>
      <c r="N20" s="25" t="n">
        <f aca="false">IF($A20="","",IF(COUNTIFS('Chapter Data'!$A$2:$A$2500,N$2,'Chapter Data'!$D$2:$D$2500,$A20,'Chapter Data'!$G$2:$G$2500,"&lt;&gt;")=0,"",SUMIFS('Chapter Data'!$G$2:$G$2500,'Chapter Data'!$A$2:$A$2500,N$2,'Chapter Data'!$D$2:$D$2500,$A20)))</f>
        <v>3.474</v>
      </c>
      <c r="O20" s="25" t="n">
        <f aca="false">IF($A20="","",IF(COUNTIFS('Chapter Data'!$A$2:$A$2500,O$2,'Chapter Data'!$D$2:$D$2500,$A20,'Chapter Data'!$G$2:$G$2500,"&lt;&gt;")=0,"",SUMIFS('Chapter Data'!$G$2:$G$2500,'Chapter Data'!$A$2:$A$2500,O$2,'Chapter Data'!$D$2:$D$2500,$A20)))</f>
        <v>3.383</v>
      </c>
      <c r="P20" s="25" t="n">
        <f aca="false">IF($A20="","",IF(COUNTIFS('Chapter Data'!$A$2:$A$2500,P$2,'Chapter Data'!$D$2:$D$2500,$A20,'Chapter Data'!$G$2:$G$2500,"&lt;&gt;")=0,"",SUMIFS('Chapter Data'!$G$2:$G$2500,'Chapter Data'!$A$2:$A$2500,P$2,'Chapter Data'!$D$2:$D$2500,$A20)))</f>
        <v>3.458</v>
      </c>
      <c r="Q20" s="25" t="n">
        <f aca="false">IF($A20="","",IF(COUNTIFS('Chapter Data'!$A$2:$A$2500,Q$2,'Chapter Data'!$D$2:$D$2500,$A20,'Chapter Data'!$G$2:$G$2500,"&lt;&gt;")=0,"",SUMIFS('Chapter Data'!$G$2:$G$2500,'Chapter Data'!$A$2:$A$2500,Q$2,'Chapter Data'!$D$2:$D$2500,$A20)))</f>
        <v>3.351</v>
      </c>
      <c r="R20" s="25" t="str">
        <f aca="false">IF($A20="","",IF(COUNTIFS('Chapter Data'!$A$2:$A$2500,R$2,'Chapter Data'!$D$2:$D$2500,$A20,'Chapter Data'!$G$2:$G$2500,"&lt;&gt;")=0,"",SUMIFS('Chapter Data'!$G$2:$G$2500,'Chapter Data'!$A$2:$A$2500,R$2,'Chapter Data'!$D$2:$D$2500,$A20)))</f>
        <v/>
      </c>
      <c r="S20" s="25" t="str">
        <f aca="false">IF($A20="","",IF(COUNTIFS('Chapter Data'!$A$2:$A$2500,S$2,'Chapter Data'!$D$2:$D$2500,$A20,'Chapter Data'!$G$2:$G$2500,"&lt;&gt;")=0,"",SUMIFS('Chapter Data'!$G$2:$G$2500,'Chapter Data'!$A$2:$A$2500,S$2,'Chapter Data'!$D$2:$D$2500,$A20)))</f>
        <v/>
      </c>
      <c r="T20" s="25" t="str">
        <f aca="false">IF($A20="","",IF(COUNTIFS('Chapter Data'!$A$2:$A$2500,T$2,'Chapter Data'!$D$2:$D$2500,$A20,'Chapter Data'!$G$2:$G$2500,"&lt;&gt;")=0,"",SUMIFS('Chapter Data'!$G$2:$G$2500,'Chapter Data'!$A$2:$A$2500,T$2,'Chapter Data'!$D$2:$D$2500,$A20)))</f>
        <v/>
      </c>
      <c r="U20" s="25" t="str">
        <f aca="false">IF($A20="","",IF(COUNTIFS('Chapter Data'!$A$2:$A$2500,U$2,'Chapter Data'!$D$2:$D$2500,$A20,'Chapter Data'!$G$2:$G$2500,"&lt;&gt;")=0,"",SUMIFS('Chapter Data'!$G$2:$G$2500,'Chapter Data'!$A$2:$A$2500,U$2,'Chapter Data'!$D$2:$D$2500,$A20)))</f>
        <v/>
      </c>
    </row>
    <row r="21" customFormat="false" ht="15" hidden="false" customHeight="false" outlineLevel="0" collapsed="false">
      <c r="A21" s="8" t="str">
        <f aca="false">IF(Lists!$D$20="","",Lists!$D$20)</f>
        <v>Pi Kappa Alpha</v>
      </c>
      <c r="B21" s="25" t="n">
        <f aca="false">IF($A21="","",IF(COUNTIFS('Chapter Data'!$A$2:$A$2500,B$2,'Chapter Data'!$D$2:$D$2500,$A21,'Chapter Data'!$G$2:$G$2500,"&lt;&gt;")=0,"",SUMIFS('Chapter Data'!$G$2:$G$2500,'Chapter Data'!$A$2:$A$2500,B$2,'Chapter Data'!$D$2:$D$2500,$A21)))</f>
        <v>3.387</v>
      </c>
      <c r="C21" s="25" t="n">
        <f aca="false">IF($A21="","",IF(COUNTIFS('Chapter Data'!$A$2:$A$2500,C$2,'Chapter Data'!$D$2:$D$2500,$A21,'Chapter Data'!$G$2:$G$2500,"&lt;&gt;")=0,"",SUMIFS('Chapter Data'!$G$2:$G$2500,'Chapter Data'!$A$2:$A$2500,C$2,'Chapter Data'!$D$2:$D$2500,$A21)))</f>
        <v>3.355</v>
      </c>
      <c r="D21" s="25" t="n">
        <f aca="false">IF($A21="","",IF(COUNTIFS('Chapter Data'!$A$2:$A$2500,D$2,'Chapter Data'!$D$2:$D$2500,$A21,'Chapter Data'!$G$2:$G$2500,"&lt;&gt;")=0,"",SUMIFS('Chapter Data'!$G$2:$G$2500,'Chapter Data'!$A$2:$A$2500,D$2,'Chapter Data'!$D$2:$D$2500,$A21)))</f>
        <v>3.457</v>
      </c>
      <c r="E21" s="25" t="str">
        <f aca="false">IF($A21="","",IF(COUNTIFS('Chapter Data'!$A$2:$A$2500,E$2,'Chapter Data'!$D$2:$D$2500,$A21,'Chapter Data'!$G$2:$G$2500,"&lt;&gt;")=0,"",SUMIFS('Chapter Data'!$G$2:$G$2500,'Chapter Data'!$A$2:$A$2500,E$2,'Chapter Data'!$D$2:$D$2500,$A21)))</f>
        <v/>
      </c>
      <c r="F21" s="25" t="n">
        <f aca="false">IF($A21="","",IF(COUNTIFS('Chapter Data'!$A$2:$A$2500,F$2,'Chapter Data'!$D$2:$D$2500,$A21,'Chapter Data'!$G$2:$G$2500,"&lt;&gt;")=0,"",SUMIFS('Chapter Data'!$G$2:$G$2500,'Chapter Data'!$A$2:$A$2500,F$2,'Chapter Data'!$D$2:$D$2500,$A21)))</f>
        <v>3.382</v>
      </c>
      <c r="G21" s="25" t="n">
        <f aca="false">IF($A21="","",IF(COUNTIFS('Chapter Data'!$A$2:$A$2500,G$2,'Chapter Data'!$D$2:$D$2500,$A21,'Chapter Data'!$G$2:$G$2500,"&lt;&gt;")=0,"",SUMIFS('Chapter Data'!$G$2:$G$2500,'Chapter Data'!$A$2:$A$2500,G$2,'Chapter Data'!$D$2:$D$2500,$A21)))</f>
        <v>3.546</v>
      </c>
      <c r="H21" s="25" t="n">
        <f aca="false">IF($A21="","",IF(COUNTIFS('Chapter Data'!$A$2:$A$2500,H$2,'Chapter Data'!$D$2:$D$2500,$A21,'Chapter Data'!$G$2:$G$2500,"&lt;&gt;")=0,"",SUMIFS('Chapter Data'!$G$2:$G$2500,'Chapter Data'!$A$2:$A$2500,H$2,'Chapter Data'!$D$2:$D$2500,$A21)))</f>
        <v>3.43</v>
      </c>
      <c r="I21" s="25" t="n">
        <f aca="false">IF($A21="","",IF(COUNTIFS('Chapter Data'!$A$2:$A$2500,I$2,'Chapter Data'!$D$2:$D$2500,$A21,'Chapter Data'!$G$2:$G$2500,"&lt;&gt;")=0,"",SUMIFS('Chapter Data'!$G$2:$G$2500,'Chapter Data'!$A$2:$A$2500,I$2,'Chapter Data'!$D$2:$D$2500,$A21)))</f>
        <v>3.478</v>
      </c>
      <c r="J21" s="25" t="n">
        <f aca="false">IF($A21="","",IF(COUNTIFS('Chapter Data'!$A$2:$A$2500,J$2,'Chapter Data'!$D$2:$D$2500,$A21,'Chapter Data'!$G$2:$G$2500,"&lt;&gt;")=0,"",SUMIFS('Chapter Data'!$G$2:$G$2500,'Chapter Data'!$A$2:$A$2500,J$2,'Chapter Data'!$D$2:$D$2500,$A21)))</f>
        <v>3.48</v>
      </c>
      <c r="K21" s="25" t="n">
        <f aca="false">IF($A21="","",IF(COUNTIFS('Chapter Data'!$A$2:$A$2500,K$2,'Chapter Data'!$D$2:$D$2500,$A21,'Chapter Data'!$G$2:$G$2500,"&lt;&gt;")=0,"",SUMIFS('Chapter Data'!$G$2:$G$2500,'Chapter Data'!$A$2:$A$2500,K$2,'Chapter Data'!$D$2:$D$2500,$A21)))</f>
        <v>3.58</v>
      </c>
      <c r="L21" s="25" t="n">
        <f aca="false">IF($A21="","",IF(COUNTIFS('Chapter Data'!$A$2:$A$2500,L$2,'Chapter Data'!$D$2:$D$2500,$A21,'Chapter Data'!$G$2:$G$2500,"&lt;&gt;")=0,"",SUMIFS('Chapter Data'!$G$2:$G$2500,'Chapter Data'!$A$2:$A$2500,L$2,'Chapter Data'!$D$2:$D$2500,$A21)))</f>
        <v>3.47</v>
      </c>
      <c r="M21" s="25" t="n">
        <f aca="false">IF($A21="","",IF(COUNTIFS('Chapter Data'!$A$2:$A$2500,M$2,'Chapter Data'!$D$2:$D$2500,$A21,'Chapter Data'!$G$2:$G$2500,"&lt;&gt;")=0,"",SUMIFS('Chapter Data'!$G$2:$G$2500,'Chapter Data'!$A$2:$A$2500,M$2,'Chapter Data'!$D$2:$D$2500,$A21)))</f>
        <v>3.485</v>
      </c>
      <c r="N21" s="25" t="n">
        <f aca="false">IF($A21="","",IF(COUNTIFS('Chapter Data'!$A$2:$A$2500,N$2,'Chapter Data'!$D$2:$D$2500,$A21,'Chapter Data'!$G$2:$G$2500,"&lt;&gt;")=0,"",SUMIFS('Chapter Data'!$G$2:$G$2500,'Chapter Data'!$A$2:$A$2500,N$2,'Chapter Data'!$D$2:$D$2500,$A21)))</f>
        <v>3.533</v>
      </c>
      <c r="O21" s="25" t="n">
        <f aca="false">IF($A21="","",IF(COUNTIFS('Chapter Data'!$A$2:$A$2500,O$2,'Chapter Data'!$D$2:$D$2500,$A21,'Chapter Data'!$G$2:$G$2500,"&lt;&gt;")=0,"",SUMIFS('Chapter Data'!$G$2:$G$2500,'Chapter Data'!$A$2:$A$2500,O$2,'Chapter Data'!$D$2:$D$2500,$A21)))</f>
        <v>3.548</v>
      </c>
      <c r="P21" s="25" t="n">
        <f aca="false">IF($A21="","",IF(COUNTIFS('Chapter Data'!$A$2:$A$2500,P$2,'Chapter Data'!$D$2:$D$2500,$A21,'Chapter Data'!$G$2:$G$2500,"&lt;&gt;")=0,"",SUMIFS('Chapter Data'!$G$2:$G$2500,'Chapter Data'!$A$2:$A$2500,P$2,'Chapter Data'!$D$2:$D$2500,$A21)))</f>
        <v>3.556</v>
      </c>
      <c r="Q21" s="25" t="n">
        <f aca="false">IF($A21="","",IF(COUNTIFS('Chapter Data'!$A$2:$A$2500,Q$2,'Chapter Data'!$D$2:$D$2500,$A21,'Chapter Data'!$G$2:$G$2500,"&lt;&gt;")=0,"",SUMIFS('Chapter Data'!$G$2:$G$2500,'Chapter Data'!$A$2:$A$2500,Q$2,'Chapter Data'!$D$2:$D$2500,$A21)))</f>
        <v>3.577</v>
      </c>
      <c r="R21" s="25" t="str">
        <f aca="false">IF($A21="","",IF(COUNTIFS('Chapter Data'!$A$2:$A$2500,R$2,'Chapter Data'!$D$2:$D$2500,$A21,'Chapter Data'!$G$2:$G$2500,"&lt;&gt;")=0,"",SUMIFS('Chapter Data'!$G$2:$G$2500,'Chapter Data'!$A$2:$A$2500,R$2,'Chapter Data'!$D$2:$D$2500,$A21)))</f>
        <v/>
      </c>
      <c r="S21" s="25" t="str">
        <f aca="false">IF($A21="","",IF(COUNTIFS('Chapter Data'!$A$2:$A$2500,S$2,'Chapter Data'!$D$2:$D$2500,$A21,'Chapter Data'!$G$2:$G$2500,"&lt;&gt;")=0,"",SUMIFS('Chapter Data'!$G$2:$G$2500,'Chapter Data'!$A$2:$A$2500,S$2,'Chapter Data'!$D$2:$D$2500,$A21)))</f>
        <v/>
      </c>
      <c r="T21" s="25" t="str">
        <f aca="false">IF($A21="","",IF(COUNTIFS('Chapter Data'!$A$2:$A$2500,T$2,'Chapter Data'!$D$2:$D$2500,$A21,'Chapter Data'!$G$2:$G$2500,"&lt;&gt;")=0,"",SUMIFS('Chapter Data'!$G$2:$G$2500,'Chapter Data'!$A$2:$A$2500,T$2,'Chapter Data'!$D$2:$D$2500,$A21)))</f>
        <v/>
      </c>
      <c r="U21" s="25" t="str">
        <f aca="false">IF($A21="","",IF(COUNTIFS('Chapter Data'!$A$2:$A$2500,U$2,'Chapter Data'!$D$2:$D$2500,$A21,'Chapter Data'!$G$2:$G$2500,"&lt;&gt;")=0,"",SUMIFS('Chapter Data'!$G$2:$G$2500,'Chapter Data'!$A$2:$A$2500,U$2,'Chapter Data'!$D$2:$D$2500,$A21)))</f>
        <v/>
      </c>
    </row>
    <row r="22" customFormat="false" ht="15" hidden="false" customHeight="false" outlineLevel="0" collapsed="false">
      <c r="A22" s="8" t="str">
        <f aca="false">IF(Lists!$D$21="","",Lists!$D$21)</f>
        <v>Pi Kappa Phi</v>
      </c>
      <c r="B22" s="25" t="n">
        <f aca="false">IF($A22="","",IF(COUNTIFS('Chapter Data'!$A$2:$A$2500,B$2,'Chapter Data'!$D$2:$D$2500,$A22,'Chapter Data'!$G$2:$G$2500,"&lt;&gt;")=0,"",SUMIFS('Chapter Data'!$G$2:$G$2500,'Chapter Data'!$A$2:$A$2500,B$2,'Chapter Data'!$D$2:$D$2500,$A22)))</f>
        <v>3.149</v>
      </c>
      <c r="C22" s="25" t="n">
        <f aca="false">IF($A22="","",IF(COUNTIFS('Chapter Data'!$A$2:$A$2500,C$2,'Chapter Data'!$D$2:$D$2500,$A22,'Chapter Data'!$G$2:$G$2500,"&lt;&gt;")=0,"",SUMIFS('Chapter Data'!$G$2:$G$2500,'Chapter Data'!$A$2:$A$2500,C$2,'Chapter Data'!$D$2:$D$2500,$A22)))</f>
        <v>3.05</v>
      </c>
      <c r="D22" s="25" t="n">
        <f aca="false">IF($A22="","",IF(COUNTIFS('Chapter Data'!$A$2:$A$2500,D$2,'Chapter Data'!$D$2:$D$2500,$A22,'Chapter Data'!$G$2:$G$2500,"&lt;&gt;")=0,"",SUMIFS('Chapter Data'!$G$2:$G$2500,'Chapter Data'!$A$2:$A$2500,D$2,'Chapter Data'!$D$2:$D$2500,$A22)))</f>
        <v>3.02</v>
      </c>
      <c r="E22" s="25" t="str">
        <f aca="false">IF($A22="","",IF(COUNTIFS('Chapter Data'!$A$2:$A$2500,E$2,'Chapter Data'!$D$2:$D$2500,$A22,'Chapter Data'!$G$2:$G$2500,"&lt;&gt;")=0,"",SUMIFS('Chapter Data'!$G$2:$G$2500,'Chapter Data'!$A$2:$A$2500,E$2,'Chapter Data'!$D$2:$D$2500,$A22)))</f>
        <v/>
      </c>
      <c r="F22" s="25" t="n">
        <f aca="false">IF($A22="","",IF(COUNTIFS('Chapter Data'!$A$2:$A$2500,F$2,'Chapter Data'!$D$2:$D$2500,$A22,'Chapter Data'!$G$2:$G$2500,"&lt;&gt;")=0,"",SUMIFS('Chapter Data'!$G$2:$G$2500,'Chapter Data'!$A$2:$A$2500,F$2,'Chapter Data'!$D$2:$D$2500,$A22)))</f>
        <v>3.071</v>
      </c>
      <c r="G22" s="25" t="n">
        <f aca="false">IF($A22="","",IF(COUNTIFS('Chapter Data'!$A$2:$A$2500,G$2,'Chapter Data'!$D$2:$D$2500,$A22,'Chapter Data'!$G$2:$G$2500,"&lt;&gt;")=0,"",SUMIFS('Chapter Data'!$G$2:$G$2500,'Chapter Data'!$A$2:$A$2500,G$2,'Chapter Data'!$D$2:$D$2500,$A22)))</f>
        <v>2.906</v>
      </c>
      <c r="H22" s="25" t="n">
        <f aca="false">IF($A22="","",IF(COUNTIFS('Chapter Data'!$A$2:$A$2500,H$2,'Chapter Data'!$D$2:$D$2500,$A22,'Chapter Data'!$G$2:$G$2500,"&lt;&gt;")=0,"",SUMIFS('Chapter Data'!$G$2:$G$2500,'Chapter Data'!$A$2:$A$2500,H$2,'Chapter Data'!$D$2:$D$2500,$A22)))</f>
        <v>2.644</v>
      </c>
      <c r="I22" s="25" t="n">
        <f aca="false">IF($A22="","",IF(COUNTIFS('Chapter Data'!$A$2:$A$2500,I$2,'Chapter Data'!$D$2:$D$2500,$A22,'Chapter Data'!$G$2:$G$2500,"&lt;&gt;")=0,"",SUMIFS('Chapter Data'!$G$2:$G$2500,'Chapter Data'!$A$2:$A$2500,I$2,'Chapter Data'!$D$2:$D$2500,$A22)))</f>
        <v>2.793</v>
      </c>
      <c r="J22" s="25" t="n">
        <f aca="false">IF($A22="","",IF(COUNTIFS('Chapter Data'!$A$2:$A$2500,J$2,'Chapter Data'!$D$2:$D$2500,$A22,'Chapter Data'!$G$2:$G$2500,"&lt;&gt;")=0,"",SUMIFS('Chapter Data'!$G$2:$G$2500,'Chapter Data'!$A$2:$A$2500,J$2,'Chapter Data'!$D$2:$D$2500,$A22)))</f>
        <v>2.64</v>
      </c>
      <c r="K22" s="25" t="n">
        <f aca="false">IF($A22="","",IF(COUNTIFS('Chapter Data'!$A$2:$A$2500,K$2,'Chapter Data'!$D$2:$D$2500,$A22,'Chapter Data'!$G$2:$G$2500,"&lt;&gt;")=0,"",SUMIFS('Chapter Data'!$G$2:$G$2500,'Chapter Data'!$A$2:$A$2500,K$2,'Chapter Data'!$D$2:$D$2500,$A22)))</f>
        <v>2.964</v>
      </c>
      <c r="L22" s="25" t="n">
        <f aca="false">IF($A22="","",IF(COUNTIFS('Chapter Data'!$A$2:$A$2500,L$2,'Chapter Data'!$D$2:$D$2500,$A22,'Chapter Data'!$G$2:$G$2500,"&lt;&gt;")=0,"",SUMIFS('Chapter Data'!$G$2:$G$2500,'Chapter Data'!$A$2:$A$2500,L$2,'Chapter Data'!$D$2:$D$2500,$A22)))</f>
        <v>2.856</v>
      </c>
      <c r="M22" s="25" t="n">
        <f aca="false">IF($A22="","",IF(COUNTIFS('Chapter Data'!$A$2:$A$2500,M$2,'Chapter Data'!$D$2:$D$2500,$A22,'Chapter Data'!$G$2:$G$2500,"&lt;&gt;")=0,"",SUMIFS('Chapter Data'!$G$2:$G$2500,'Chapter Data'!$A$2:$A$2500,M$2,'Chapter Data'!$D$2:$D$2500,$A22)))</f>
        <v>2.955</v>
      </c>
      <c r="N22" s="25" t="n">
        <f aca="false">IF($A22="","",IF(COUNTIFS('Chapter Data'!$A$2:$A$2500,N$2,'Chapter Data'!$D$2:$D$2500,$A22,'Chapter Data'!$G$2:$G$2500,"&lt;&gt;")=0,"",SUMIFS('Chapter Data'!$G$2:$G$2500,'Chapter Data'!$A$2:$A$2500,N$2,'Chapter Data'!$D$2:$D$2500,$A22)))</f>
        <v>2.789</v>
      </c>
      <c r="O22" s="25" t="n">
        <f aca="false">IF($A22="","",IF(COUNTIFS('Chapter Data'!$A$2:$A$2500,O$2,'Chapter Data'!$D$2:$D$2500,$A22,'Chapter Data'!$G$2:$G$2500,"&lt;&gt;")=0,"",SUMIFS('Chapter Data'!$G$2:$G$2500,'Chapter Data'!$A$2:$A$2500,O$2,'Chapter Data'!$D$2:$D$2500,$A22)))</f>
        <v>2.684</v>
      </c>
      <c r="P22" s="25" t="n">
        <f aca="false">IF($A22="","",IF(COUNTIFS('Chapter Data'!$A$2:$A$2500,P$2,'Chapter Data'!$D$2:$D$2500,$A22,'Chapter Data'!$G$2:$G$2500,"&lt;&gt;")=0,"",SUMIFS('Chapter Data'!$G$2:$G$2500,'Chapter Data'!$A$2:$A$2500,P$2,'Chapter Data'!$D$2:$D$2500,$A22)))</f>
        <v>2.844</v>
      </c>
      <c r="Q22" s="25" t="str">
        <f aca="false">IF($A22="","",IF(COUNTIFS('Chapter Data'!$A$2:$A$2500,Q$2,'Chapter Data'!$D$2:$D$2500,$A22,'Chapter Data'!$G$2:$G$2500,"&lt;&gt;")=0,"",SUMIFS('Chapter Data'!$G$2:$G$2500,'Chapter Data'!$A$2:$A$2500,Q$2,'Chapter Data'!$D$2:$D$2500,$A22)))</f>
        <v/>
      </c>
      <c r="R22" s="25" t="str">
        <f aca="false">IF($A22="","",IF(COUNTIFS('Chapter Data'!$A$2:$A$2500,R$2,'Chapter Data'!$D$2:$D$2500,$A22,'Chapter Data'!$G$2:$G$2500,"&lt;&gt;")=0,"",SUMIFS('Chapter Data'!$G$2:$G$2500,'Chapter Data'!$A$2:$A$2500,R$2,'Chapter Data'!$D$2:$D$2500,$A22)))</f>
        <v/>
      </c>
      <c r="S22" s="25" t="str">
        <f aca="false">IF($A22="","",IF(COUNTIFS('Chapter Data'!$A$2:$A$2500,S$2,'Chapter Data'!$D$2:$D$2500,$A22,'Chapter Data'!$G$2:$G$2500,"&lt;&gt;")=0,"",SUMIFS('Chapter Data'!$G$2:$G$2500,'Chapter Data'!$A$2:$A$2500,S$2,'Chapter Data'!$D$2:$D$2500,$A22)))</f>
        <v/>
      </c>
      <c r="T22" s="25" t="str">
        <f aca="false">IF($A22="","",IF(COUNTIFS('Chapter Data'!$A$2:$A$2500,T$2,'Chapter Data'!$D$2:$D$2500,$A22,'Chapter Data'!$G$2:$G$2500,"&lt;&gt;")=0,"",SUMIFS('Chapter Data'!$G$2:$G$2500,'Chapter Data'!$A$2:$A$2500,T$2,'Chapter Data'!$D$2:$D$2500,$A22)))</f>
        <v/>
      </c>
      <c r="U22" s="25" t="str">
        <f aca="false">IF($A22="","",IF(COUNTIFS('Chapter Data'!$A$2:$A$2500,U$2,'Chapter Data'!$D$2:$D$2500,$A22,'Chapter Data'!$G$2:$G$2500,"&lt;&gt;")=0,"",SUMIFS('Chapter Data'!$G$2:$G$2500,'Chapter Data'!$A$2:$A$2500,U$2,'Chapter Data'!$D$2:$D$2500,$A22)))</f>
        <v/>
      </c>
    </row>
    <row r="23" customFormat="false" ht="15" hidden="false" customHeight="false" outlineLevel="0" collapsed="false">
      <c r="A23" s="8" t="str">
        <f aca="false">IF(Lists!$D$22="","",Lists!$D$22)</f>
        <v>Sigma Alpha Epsilon</v>
      </c>
      <c r="B23" s="25" t="n">
        <f aca="false">IF($A23="","",IF(COUNTIFS('Chapter Data'!$A$2:$A$2500,B$2,'Chapter Data'!$D$2:$D$2500,$A23,'Chapter Data'!$G$2:$G$2500,"&lt;&gt;")=0,"",SUMIFS('Chapter Data'!$G$2:$G$2500,'Chapter Data'!$A$2:$A$2500,B$2,'Chapter Data'!$D$2:$D$2500,$A23)))</f>
        <v>2.983</v>
      </c>
      <c r="C23" s="25" t="n">
        <f aca="false">IF($A23="","",IF(COUNTIFS('Chapter Data'!$A$2:$A$2500,C$2,'Chapter Data'!$D$2:$D$2500,$A23,'Chapter Data'!$G$2:$G$2500,"&lt;&gt;")=0,"",SUMIFS('Chapter Data'!$G$2:$G$2500,'Chapter Data'!$A$2:$A$2500,C$2,'Chapter Data'!$D$2:$D$2500,$A23)))</f>
        <v>3.007</v>
      </c>
      <c r="D23" s="25" t="n">
        <f aca="false">IF($A23="","",IF(COUNTIFS('Chapter Data'!$A$2:$A$2500,D$2,'Chapter Data'!$D$2:$D$2500,$A23,'Chapter Data'!$G$2:$G$2500,"&lt;&gt;")=0,"",SUMIFS('Chapter Data'!$G$2:$G$2500,'Chapter Data'!$A$2:$A$2500,D$2,'Chapter Data'!$D$2:$D$2500,$A23)))</f>
        <v>3.084</v>
      </c>
      <c r="E23" s="25" t="str">
        <f aca="false">IF($A23="","",IF(COUNTIFS('Chapter Data'!$A$2:$A$2500,E$2,'Chapter Data'!$D$2:$D$2500,$A23,'Chapter Data'!$G$2:$G$2500,"&lt;&gt;")=0,"",SUMIFS('Chapter Data'!$G$2:$G$2500,'Chapter Data'!$A$2:$A$2500,E$2,'Chapter Data'!$D$2:$D$2500,$A23)))</f>
        <v/>
      </c>
      <c r="F23" s="25" t="n">
        <f aca="false">IF($A23="","",IF(COUNTIFS('Chapter Data'!$A$2:$A$2500,F$2,'Chapter Data'!$D$2:$D$2500,$A23,'Chapter Data'!$G$2:$G$2500,"&lt;&gt;")=0,"",SUMIFS('Chapter Data'!$G$2:$G$2500,'Chapter Data'!$A$2:$A$2500,F$2,'Chapter Data'!$D$2:$D$2500,$A23)))</f>
        <v>3.218</v>
      </c>
      <c r="G23" s="25" t="n">
        <f aca="false">IF($A23="","",IF(COUNTIFS('Chapter Data'!$A$2:$A$2500,G$2,'Chapter Data'!$D$2:$D$2500,$A23,'Chapter Data'!$G$2:$G$2500,"&lt;&gt;")=0,"",SUMIFS('Chapter Data'!$G$2:$G$2500,'Chapter Data'!$A$2:$A$2500,G$2,'Chapter Data'!$D$2:$D$2500,$A23)))</f>
        <v>3.329</v>
      </c>
      <c r="H23" s="25" t="n">
        <f aca="false">IF($A23="","",IF(COUNTIFS('Chapter Data'!$A$2:$A$2500,H$2,'Chapter Data'!$D$2:$D$2500,$A23,'Chapter Data'!$G$2:$G$2500,"&lt;&gt;")=0,"",SUMIFS('Chapter Data'!$G$2:$G$2500,'Chapter Data'!$A$2:$A$2500,H$2,'Chapter Data'!$D$2:$D$2500,$A23)))</f>
        <v>3.296</v>
      </c>
      <c r="I23" s="25" t="n">
        <f aca="false">IF($A23="","",IF(COUNTIFS('Chapter Data'!$A$2:$A$2500,I$2,'Chapter Data'!$D$2:$D$2500,$A23,'Chapter Data'!$G$2:$G$2500,"&lt;&gt;")=0,"",SUMIFS('Chapter Data'!$G$2:$G$2500,'Chapter Data'!$A$2:$A$2500,I$2,'Chapter Data'!$D$2:$D$2500,$A23)))</f>
        <v>3.266</v>
      </c>
      <c r="J23" s="25" t="n">
        <f aca="false">IF($A23="","",IF(COUNTIFS('Chapter Data'!$A$2:$A$2500,J$2,'Chapter Data'!$D$2:$D$2500,$A23,'Chapter Data'!$G$2:$G$2500,"&lt;&gt;")=0,"",SUMIFS('Chapter Data'!$G$2:$G$2500,'Chapter Data'!$A$2:$A$2500,J$2,'Chapter Data'!$D$2:$D$2500,$A23)))</f>
        <v>3.228</v>
      </c>
      <c r="K23" s="25" t="n">
        <f aca="false">IF($A23="","",IF(COUNTIFS('Chapter Data'!$A$2:$A$2500,K$2,'Chapter Data'!$D$2:$D$2500,$A23,'Chapter Data'!$G$2:$G$2500,"&lt;&gt;")=0,"",SUMIFS('Chapter Data'!$G$2:$G$2500,'Chapter Data'!$A$2:$A$2500,K$2,'Chapter Data'!$D$2:$D$2500,$A23)))</f>
        <v>3.257</v>
      </c>
      <c r="L23" s="25" t="n">
        <f aca="false">IF($A23="","",IF(COUNTIFS('Chapter Data'!$A$2:$A$2500,L$2,'Chapter Data'!$D$2:$D$2500,$A23,'Chapter Data'!$G$2:$G$2500,"&lt;&gt;")=0,"",SUMIFS('Chapter Data'!$G$2:$G$2500,'Chapter Data'!$A$2:$A$2500,L$2,'Chapter Data'!$D$2:$D$2500,$A23)))</f>
        <v>3.23</v>
      </c>
      <c r="M23" s="25" t="n">
        <f aca="false">IF($A23="","",IF(COUNTIFS('Chapter Data'!$A$2:$A$2500,M$2,'Chapter Data'!$D$2:$D$2500,$A23,'Chapter Data'!$G$2:$G$2500,"&lt;&gt;")=0,"",SUMIFS('Chapter Data'!$G$2:$G$2500,'Chapter Data'!$A$2:$A$2500,M$2,'Chapter Data'!$D$2:$D$2500,$A23)))</f>
        <v>3.321</v>
      </c>
      <c r="N23" s="25" t="n">
        <f aca="false">IF($A23="","",IF(COUNTIFS('Chapter Data'!$A$2:$A$2500,N$2,'Chapter Data'!$D$2:$D$2500,$A23,'Chapter Data'!$G$2:$G$2500,"&lt;&gt;")=0,"",SUMIFS('Chapter Data'!$G$2:$G$2500,'Chapter Data'!$A$2:$A$2500,N$2,'Chapter Data'!$D$2:$D$2500,$A23)))</f>
        <v>3.341</v>
      </c>
      <c r="O23" s="25" t="n">
        <f aca="false">IF($A23="","",IF(COUNTIFS('Chapter Data'!$A$2:$A$2500,O$2,'Chapter Data'!$D$2:$D$2500,$A23,'Chapter Data'!$G$2:$G$2500,"&lt;&gt;")=0,"",SUMIFS('Chapter Data'!$G$2:$G$2500,'Chapter Data'!$A$2:$A$2500,O$2,'Chapter Data'!$D$2:$D$2500,$A23)))</f>
        <v>3.394</v>
      </c>
      <c r="P23" s="25" t="n">
        <f aca="false">IF($A23="","",IF(COUNTIFS('Chapter Data'!$A$2:$A$2500,P$2,'Chapter Data'!$D$2:$D$2500,$A23,'Chapter Data'!$G$2:$G$2500,"&lt;&gt;")=0,"",SUMIFS('Chapter Data'!$G$2:$G$2500,'Chapter Data'!$A$2:$A$2500,P$2,'Chapter Data'!$D$2:$D$2500,$A23)))</f>
        <v>3.286</v>
      </c>
      <c r="Q23" s="25" t="n">
        <f aca="false">IF($A23="","",IF(COUNTIFS('Chapter Data'!$A$2:$A$2500,Q$2,'Chapter Data'!$D$2:$D$2500,$A23,'Chapter Data'!$G$2:$G$2500,"&lt;&gt;")=0,"",SUMIFS('Chapter Data'!$G$2:$G$2500,'Chapter Data'!$A$2:$A$2500,Q$2,'Chapter Data'!$D$2:$D$2500,$A23)))</f>
        <v>3.299</v>
      </c>
      <c r="R23" s="25" t="str">
        <f aca="false">IF($A23="","",IF(COUNTIFS('Chapter Data'!$A$2:$A$2500,R$2,'Chapter Data'!$D$2:$D$2500,$A23,'Chapter Data'!$G$2:$G$2500,"&lt;&gt;")=0,"",SUMIFS('Chapter Data'!$G$2:$G$2500,'Chapter Data'!$A$2:$A$2500,R$2,'Chapter Data'!$D$2:$D$2500,$A23)))</f>
        <v/>
      </c>
      <c r="S23" s="25" t="str">
        <f aca="false">IF($A23="","",IF(COUNTIFS('Chapter Data'!$A$2:$A$2500,S$2,'Chapter Data'!$D$2:$D$2500,$A23,'Chapter Data'!$G$2:$G$2500,"&lt;&gt;")=0,"",SUMIFS('Chapter Data'!$G$2:$G$2500,'Chapter Data'!$A$2:$A$2500,S$2,'Chapter Data'!$D$2:$D$2500,$A23)))</f>
        <v/>
      </c>
      <c r="T23" s="25" t="str">
        <f aca="false">IF($A23="","",IF(COUNTIFS('Chapter Data'!$A$2:$A$2500,T$2,'Chapter Data'!$D$2:$D$2500,$A23,'Chapter Data'!$G$2:$G$2500,"&lt;&gt;")=0,"",SUMIFS('Chapter Data'!$G$2:$G$2500,'Chapter Data'!$A$2:$A$2500,T$2,'Chapter Data'!$D$2:$D$2500,$A23)))</f>
        <v/>
      </c>
      <c r="U23" s="25" t="str">
        <f aca="false">IF($A23="","",IF(COUNTIFS('Chapter Data'!$A$2:$A$2500,U$2,'Chapter Data'!$D$2:$D$2500,$A23,'Chapter Data'!$G$2:$G$2500,"&lt;&gt;")=0,"",SUMIFS('Chapter Data'!$G$2:$G$2500,'Chapter Data'!$A$2:$A$2500,U$2,'Chapter Data'!$D$2:$D$2500,$A23)))</f>
        <v/>
      </c>
    </row>
    <row r="24" customFormat="false" ht="15" hidden="false" customHeight="false" outlineLevel="0" collapsed="false">
      <c r="A24" s="8" t="str">
        <f aca="false">IF(Lists!$D$23="","",Lists!$D$23)</f>
        <v>Sigma Alpha Mu</v>
      </c>
      <c r="B24" s="25" t="n">
        <f aca="false">IF($A24="","",IF(COUNTIFS('Chapter Data'!$A$2:$A$2500,B$2,'Chapter Data'!$D$2:$D$2500,$A24,'Chapter Data'!$G$2:$G$2500,"&lt;&gt;")=0,"",SUMIFS('Chapter Data'!$G$2:$G$2500,'Chapter Data'!$A$2:$A$2500,B$2,'Chapter Data'!$D$2:$D$2500,$A24)))</f>
        <v>3.162</v>
      </c>
      <c r="C24" s="25" t="n">
        <f aca="false">IF($A24="","",IF(COUNTIFS('Chapter Data'!$A$2:$A$2500,C$2,'Chapter Data'!$D$2:$D$2500,$A24,'Chapter Data'!$G$2:$G$2500,"&lt;&gt;")=0,"",SUMIFS('Chapter Data'!$G$2:$G$2500,'Chapter Data'!$A$2:$A$2500,C$2,'Chapter Data'!$D$2:$D$2500,$A24)))</f>
        <v>3.114</v>
      </c>
      <c r="D24" s="25" t="n">
        <f aca="false">IF($A24="","",IF(COUNTIFS('Chapter Data'!$A$2:$A$2500,D$2,'Chapter Data'!$D$2:$D$2500,$A24,'Chapter Data'!$G$2:$G$2500,"&lt;&gt;")=0,"",SUMIFS('Chapter Data'!$G$2:$G$2500,'Chapter Data'!$A$2:$A$2500,D$2,'Chapter Data'!$D$2:$D$2500,$A24)))</f>
        <v>2.941</v>
      </c>
      <c r="E24" s="25" t="str">
        <f aca="false">IF($A24="","",IF(COUNTIFS('Chapter Data'!$A$2:$A$2500,E$2,'Chapter Data'!$D$2:$D$2500,$A24,'Chapter Data'!$G$2:$G$2500,"&lt;&gt;")=0,"",SUMIFS('Chapter Data'!$G$2:$G$2500,'Chapter Data'!$A$2:$A$2500,E$2,'Chapter Data'!$D$2:$D$2500,$A24)))</f>
        <v/>
      </c>
      <c r="F24" s="25" t="str">
        <f aca="false">IF($A24="","",IF(COUNTIFS('Chapter Data'!$A$2:$A$2500,F$2,'Chapter Data'!$D$2:$D$2500,$A24,'Chapter Data'!$G$2:$G$2500,"&lt;&gt;")=0,"",SUMIFS('Chapter Data'!$G$2:$G$2500,'Chapter Data'!$A$2:$A$2500,F$2,'Chapter Data'!$D$2:$D$2500,$A24)))</f>
        <v/>
      </c>
      <c r="G24" s="25" t="n">
        <f aca="false">IF($A24="","",IF(COUNTIFS('Chapter Data'!$A$2:$A$2500,G$2,'Chapter Data'!$D$2:$D$2500,$A24,'Chapter Data'!$G$2:$G$2500,"&lt;&gt;")=0,"",SUMIFS('Chapter Data'!$G$2:$G$2500,'Chapter Data'!$A$2:$A$2500,G$2,'Chapter Data'!$D$2:$D$2500,$A24)))</f>
        <v>3.349</v>
      </c>
      <c r="H24" s="25" t="n">
        <f aca="false">IF($A24="","",IF(COUNTIFS('Chapter Data'!$A$2:$A$2500,H$2,'Chapter Data'!$D$2:$D$2500,$A24,'Chapter Data'!$G$2:$G$2500,"&lt;&gt;")=0,"",SUMIFS('Chapter Data'!$G$2:$G$2500,'Chapter Data'!$A$2:$A$2500,H$2,'Chapter Data'!$D$2:$D$2500,$A24)))</f>
        <v>3.009</v>
      </c>
      <c r="I24" s="25" t="n">
        <f aca="false">IF($A24="","",IF(COUNTIFS('Chapter Data'!$A$2:$A$2500,I$2,'Chapter Data'!$D$2:$D$2500,$A24,'Chapter Data'!$G$2:$G$2500,"&lt;&gt;")=0,"",SUMIFS('Chapter Data'!$G$2:$G$2500,'Chapter Data'!$A$2:$A$2500,I$2,'Chapter Data'!$D$2:$D$2500,$A24)))</f>
        <v>2.979</v>
      </c>
      <c r="J24" s="25" t="n">
        <f aca="false">IF($A24="","",IF(COUNTIFS('Chapter Data'!$A$2:$A$2500,J$2,'Chapter Data'!$D$2:$D$2500,$A24,'Chapter Data'!$G$2:$G$2500,"&lt;&gt;")=0,"",SUMIFS('Chapter Data'!$G$2:$G$2500,'Chapter Data'!$A$2:$A$2500,J$2,'Chapter Data'!$D$2:$D$2500,$A24)))</f>
        <v>3.319</v>
      </c>
      <c r="K24" s="25" t="n">
        <f aca="false">IF($A24="","",IF(COUNTIFS('Chapter Data'!$A$2:$A$2500,K$2,'Chapter Data'!$D$2:$D$2500,$A24,'Chapter Data'!$G$2:$G$2500,"&lt;&gt;")=0,"",SUMIFS('Chapter Data'!$G$2:$G$2500,'Chapter Data'!$A$2:$A$2500,K$2,'Chapter Data'!$D$2:$D$2500,$A24)))</f>
        <v>3.02</v>
      </c>
      <c r="L24" s="25" t="n">
        <f aca="false">IF($A24="","",IF(COUNTIFS('Chapter Data'!$A$2:$A$2500,L$2,'Chapter Data'!$D$2:$D$2500,$A24,'Chapter Data'!$G$2:$G$2500,"&lt;&gt;")=0,"",SUMIFS('Chapter Data'!$G$2:$G$2500,'Chapter Data'!$A$2:$A$2500,L$2,'Chapter Data'!$D$2:$D$2500,$A24)))</f>
        <v>2.967</v>
      </c>
      <c r="M24" s="25" t="n">
        <f aca="false">IF($A24="","",IF(COUNTIFS('Chapter Data'!$A$2:$A$2500,M$2,'Chapter Data'!$D$2:$D$2500,$A24,'Chapter Data'!$G$2:$G$2500,"&lt;&gt;")=0,"",SUMIFS('Chapter Data'!$G$2:$G$2500,'Chapter Data'!$A$2:$A$2500,M$2,'Chapter Data'!$D$2:$D$2500,$A24)))</f>
        <v>3.14</v>
      </c>
      <c r="N24" s="25" t="n">
        <f aca="false">IF($A24="","",IF(COUNTIFS('Chapter Data'!$A$2:$A$2500,N$2,'Chapter Data'!$D$2:$D$2500,$A24,'Chapter Data'!$G$2:$G$2500,"&lt;&gt;")=0,"",SUMIFS('Chapter Data'!$G$2:$G$2500,'Chapter Data'!$A$2:$A$2500,N$2,'Chapter Data'!$D$2:$D$2500,$A24)))</f>
        <v>3.082</v>
      </c>
      <c r="O24" s="25" t="n">
        <f aca="false">IF($A24="","",IF(COUNTIFS('Chapter Data'!$A$2:$A$2500,O$2,'Chapter Data'!$D$2:$D$2500,$A24,'Chapter Data'!$G$2:$G$2500,"&lt;&gt;")=0,"",SUMIFS('Chapter Data'!$G$2:$G$2500,'Chapter Data'!$A$2:$A$2500,O$2,'Chapter Data'!$D$2:$D$2500,$A24)))</f>
        <v>3.207</v>
      </c>
      <c r="P24" s="25" t="n">
        <f aca="false">IF($A24="","",IF(COUNTIFS('Chapter Data'!$A$2:$A$2500,P$2,'Chapter Data'!$D$2:$D$2500,$A24,'Chapter Data'!$G$2:$G$2500,"&lt;&gt;")=0,"",SUMIFS('Chapter Data'!$G$2:$G$2500,'Chapter Data'!$A$2:$A$2500,P$2,'Chapter Data'!$D$2:$D$2500,$A24)))</f>
        <v>3.332</v>
      </c>
      <c r="Q24" s="25" t="n">
        <f aca="false">IF($A24="","",IF(COUNTIFS('Chapter Data'!$A$2:$A$2500,Q$2,'Chapter Data'!$D$2:$D$2500,$A24,'Chapter Data'!$G$2:$G$2500,"&lt;&gt;")=0,"",SUMIFS('Chapter Data'!$G$2:$G$2500,'Chapter Data'!$A$2:$A$2500,Q$2,'Chapter Data'!$D$2:$D$2500,$A24)))</f>
        <v>3.376</v>
      </c>
      <c r="R24" s="25" t="str">
        <f aca="false">IF($A24="","",IF(COUNTIFS('Chapter Data'!$A$2:$A$2500,R$2,'Chapter Data'!$D$2:$D$2500,$A24,'Chapter Data'!$G$2:$G$2500,"&lt;&gt;")=0,"",SUMIFS('Chapter Data'!$G$2:$G$2500,'Chapter Data'!$A$2:$A$2500,R$2,'Chapter Data'!$D$2:$D$2500,$A24)))</f>
        <v/>
      </c>
      <c r="S24" s="25" t="str">
        <f aca="false">IF($A24="","",IF(COUNTIFS('Chapter Data'!$A$2:$A$2500,S$2,'Chapter Data'!$D$2:$D$2500,$A24,'Chapter Data'!$G$2:$G$2500,"&lt;&gt;")=0,"",SUMIFS('Chapter Data'!$G$2:$G$2500,'Chapter Data'!$A$2:$A$2500,S$2,'Chapter Data'!$D$2:$D$2500,$A24)))</f>
        <v/>
      </c>
      <c r="T24" s="25" t="str">
        <f aca="false">IF($A24="","",IF(COUNTIFS('Chapter Data'!$A$2:$A$2500,T$2,'Chapter Data'!$D$2:$D$2500,$A24,'Chapter Data'!$G$2:$G$2500,"&lt;&gt;")=0,"",SUMIFS('Chapter Data'!$G$2:$G$2500,'Chapter Data'!$A$2:$A$2500,T$2,'Chapter Data'!$D$2:$D$2500,$A24)))</f>
        <v/>
      </c>
      <c r="U24" s="25" t="str">
        <f aca="false">IF($A24="","",IF(COUNTIFS('Chapter Data'!$A$2:$A$2500,U$2,'Chapter Data'!$D$2:$D$2500,$A24,'Chapter Data'!$G$2:$G$2500,"&lt;&gt;")=0,"",SUMIFS('Chapter Data'!$G$2:$G$2500,'Chapter Data'!$A$2:$A$2500,U$2,'Chapter Data'!$D$2:$D$2500,$A24)))</f>
        <v/>
      </c>
    </row>
    <row r="25" customFormat="false" ht="15" hidden="false" customHeight="false" outlineLevel="0" collapsed="false">
      <c r="A25" s="8" t="str">
        <f aca="false">IF(Lists!$D$24="","",Lists!$D$24)</f>
        <v>Sigma Chi</v>
      </c>
      <c r="B25" s="25" t="n">
        <f aca="false">IF($A25="","",IF(COUNTIFS('Chapter Data'!$A$2:$A$2500,B$2,'Chapter Data'!$D$2:$D$2500,$A25,'Chapter Data'!$G$2:$G$2500,"&lt;&gt;")=0,"",SUMIFS('Chapter Data'!$G$2:$G$2500,'Chapter Data'!$A$2:$A$2500,B$2,'Chapter Data'!$D$2:$D$2500,$A25)))</f>
        <v>3.15</v>
      </c>
      <c r="C25" s="25" t="n">
        <f aca="false">IF($A25="","",IF(COUNTIFS('Chapter Data'!$A$2:$A$2500,C$2,'Chapter Data'!$D$2:$D$2500,$A25,'Chapter Data'!$G$2:$G$2500,"&lt;&gt;")=0,"",SUMIFS('Chapter Data'!$G$2:$G$2500,'Chapter Data'!$A$2:$A$2500,C$2,'Chapter Data'!$D$2:$D$2500,$A25)))</f>
        <v>2.935</v>
      </c>
      <c r="D25" s="25" t="n">
        <f aca="false">IF($A25="","",IF(COUNTIFS('Chapter Data'!$A$2:$A$2500,D$2,'Chapter Data'!$D$2:$D$2500,$A25,'Chapter Data'!$G$2:$G$2500,"&lt;&gt;")=0,"",SUMIFS('Chapter Data'!$G$2:$G$2500,'Chapter Data'!$A$2:$A$2500,D$2,'Chapter Data'!$D$2:$D$2500,$A25)))</f>
        <v>3.041</v>
      </c>
      <c r="E25" s="25" t="str">
        <f aca="false">IF($A25="","",IF(COUNTIFS('Chapter Data'!$A$2:$A$2500,E$2,'Chapter Data'!$D$2:$D$2500,$A25,'Chapter Data'!$G$2:$G$2500,"&lt;&gt;")=0,"",SUMIFS('Chapter Data'!$G$2:$G$2500,'Chapter Data'!$A$2:$A$2500,E$2,'Chapter Data'!$D$2:$D$2500,$A25)))</f>
        <v/>
      </c>
      <c r="F25" s="25" t="n">
        <f aca="false">IF($A25="","",IF(COUNTIFS('Chapter Data'!$A$2:$A$2500,F$2,'Chapter Data'!$D$2:$D$2500,$A25,'Chapter Data'!$G$2:$G$2500,"&lt;&gt;")=0,"",SUMIFS('Chapter Data'!$G$2:$G$2500,'Chapter Data'!$A$2:$A$2500,F$2,'Chapter Data'!$D$2:$D$2500,$A25)))</f>
        <v>2.966</v>
      </c>
      <c r="G25" s="25" t="n">
        <f aca="false">IF($A25="","",IF(COUNTIFS('Chapter Data'!$A$2:$A$2500,G$2,'Chapter Data'!$D$2:$D$2500,$A25,'Chapter Data'!$G$2:$G$2500,"&lt;&gt;")=0,"",SUMIFS('Chapter Data'!$G$2:$G$2500,'Chapter Data'!$A$2:$A$2500,G$2,'Chapter Data'!$D$2:$D$2500,$A25)))</f>
        <v>3.405</v>
      </c>
      <c r="H25" s="25" t="n">
        <f aca="false">IF($A25="","",IF(COUNTIFS('Chapter Data'!$A$2:$A$2500,H$2,'Chapter Data'!$D$2:$D$2500,$A25,'Chapter Data'!$G$2:$G$2500,"&lt;&gt;")=0,"",SUMIFS('Chapter Data'!$G$2:$G$2500,'Chapter Data'!$A$2:$A$2500,H$2,'Chapter Data'!$D$2:$D$2500,$A25)))</f>
        <v>3.247</v>
      </c>
      <c r="I25" s="25" t="n">
        <f aca="false">IF($A25="","",IF(COUNTIFS('Chapter Data'!$A$2:$A$2500,I$2,'Chapter Data'!$D$2:$D$2500,$A25,'Chapter Data'!$G$2:$G$2500,"&lt;&gt;")=0,"",SUMIFS('Chapter Data'!$G$2:$G$2500,'Chapter Data'!$A$2:$A$2500,I$2,'Chapter Data'!$D$2:$D$2500,$A25)))</f>
        <v>3.428</v>
      </c>
      <c r="J25" s="25" t="n">
        <f aca="false">IF($A25="","",IF(COUNTIFS('Chapter Data'!$A$2:$A$2500,J$2,'Chapter Data'!$D$2:$D$2500,$A25,'Chapter Data'!$G$2:$G$2500,"&lt;&gt;")=0,"",SUMIFS('Chapter Data'!$G$2:$G$2500,'Chapter Data'!$A$2:$A$2500,J$2,'Chapter Data'!$D$2:$D$2500,$A25)))</f>
        <v>3.325</v>
      </c>
      <c r="K25" s="25" t="n">
        <f aca="false">IF($A25="","",IF(COUNTIFS('Chapter Data'!$A$2:$A$2500,K$2,'Chapter Data'!$D$2:$D$2500,$A25,'Chapter Data'!$G$2:$G$2500,"&lt;&gt;")=0,"",SUMIFS('Chapter Data'!$G$2:$G$2500,'Chapter Data'!$A$2:$A$2500,K$2,'Chapter Data'!$D$2:$D$2500,$A25)))</f>
        <v>3.463</v>
      </c>
      <c r="L25" s="25" t="n">
        <f aca="false">IF($A25="","",IF(COUNTIFS('Chapter Data'!$A$2:$A$2500,L$2,'Chapter Data'!$D$2:$D$2500,$A25,'Chapter Data'!$G$2:$G$2500,"&lt;&gt;")=0,"",SUMIFS('Chapter Data'!$G$2:$G$2500,'Chapter Data'!$A$2:$A$2500,L$2,'Chapter Data'!$D$2:$D$2500,$A25)))</f>
        <v>3.311</v>
      </c>
      <c r="M25" s="25" t="n">
        <f aca="false">IF($A25="","",IF(COUNTIFS('Chapter Data'!$A$2:$A$2500,M$2,'Chapter Data'!$D$2:$D$2500,$A25,'Chapter Data'!$G$2:$G$2500,"&lt;&gt;")=0,"",SUMIFS('Chapter Data'!$G$2:$G$2500,'Chapter Data'!$A$2:$A$2500,M$2,'Chapter Data'!$D$2:$D$2500,$A25)))</f>
        <v>3.363</v>
      </c>
      <c r="N25" s="25" t="n">
        <f aca="false">IF($A25="","",IF(COUNTIFS('Chapter Data'!$A$2:$A$2500,N$2,'Chapter Data'!$D$2:$D$2500,$A25,'Chapter Data'!$G$2:$G$2500,"&lt;&gt;")=0,"",SUMIFS('Chapter Data'!$G$2:$G$2500,'Chapter Data'!$A$2:$A$2500,N$2,'Chapter Data'!$D$2:$D$2500,$A25)))</f>
        <v>3.384</v>
      </c>
      <c r="O25" s="25" t="n">
        <f aca="false">IF($A25="","",IF(COUNTIFS('Chapter Data'!$A$2:$A$2500,O$2,'Chapter Data'!$D$2:$D$2500,$A25,'Chapter Data'!$G$2:$G$2500,"&lt;&gt;")=0,"",SUMIFS('Chapter Data'!$G$2:$G$2500,'Chapter Data'!$A$2:$A$2500,O$2,'Chapter Data'!$D$2:$D$2500,$A25)))</f>
        <v>3.433</v>
      </c>
      <c r="P25" s="25" t="n">
        <f aca="false">IF($A25="","",IF(COUNTIFS('Chapter Data'!$A$2:$A$2500,P$2,'Chapter Data'!$D$2:$D$2500,$A25,'Chapter Data'!$G$2:$G$2500,"&lt;&gt;")=0,"",SUMIFS('Chapter Data'!$G$2:$G$2500,'Chapter Data'!$A$2:$A$2500,P$2,'Chapter Data'!$D$2:$D$2500,$A25)))</f>
        <v>3.288</v>
      </c>
      <c r="Q25" s="25" t="n">
        <f aca="false">IF($A25="","",IF(COUNTIFS('Chapter Data'!$A$2:$A$2500,Q$2,'Chapter Data'!$D$2:$D$2500,$A25,'Chapter Data'!$G$2:$G$2500,"&lt;&gt;")=0,"",SUMIFS('Chapter Data'!$G$2:$G$2500,'Chapter Data'!$A$2:$A$2500,Q$2,'Chapter Data'!$D$2:$D$2500,$A25)))</f>
        <v>3.464</v>
      </c>
      <c r="R25" s="25" t="str">
        <f aca="false">IF($A25="","",IF(COUNTIFS('Chapter Data'!$A$2:$A$2500,R$2,'Chapter Data'!$D$2:$D$2500,$A25,'Chapter Data'!$G$2:$G$2500,"&lt;&gt;")=0,"",SUMIFS('Chapter Data'!$G$2:$G$2500,'Chapter Data'!$A$2:$A$2500,R$2,'Chapter Data'!$D$2:$D$2500,$A25)))</f>
        <v/>
      </c>
      <c r="S25" s="25" t="str">
        <f aca="false">IF($A25="","",IF(COUNTIFS('Chapter Data'!$A$2:$A$2500,S$2,'Chapter Data'!$D$2:$D$2500,$A25,'Chapter Data'!$G$2:$G$2500,"&lt;&gt;")=0,"",SUMIFS('Chapter Data'!$G$2:$G$2500,'Chapter Data'!$A$2:$A$2500,S$2,'Chapter Data'!$D$2:$D$2500,$A25)))</f>
        <v/>
      </c>
      <c r="T25" s="25" t="str">
        <f aca="false">IF($A25="","",IF(COUNTIFS('Chapter Data'!$A$2:$A$2500,T$2,'Chapter Data'!$D$2:$D$2500,$A25,'Chapter Data'!$G$2:$G$2500,"&lt;&gt;")=0,"",SUMIFS('Chapter Data'!$G$2:$G$2500,'Chapter Data'!$A$2:$A$2500,T$2,'Chapter Data'!$D$2:$D$2500,$A25)))</f>
        <v/>
      </c>
      <c r="U25" s="25" t="str">
        <f aca="false">IF($A25="","",IF(COUNTIFS('Chapter Data'!$A$2:$A$2500,U$2,'Chapter Data'!$D$2:$D$2500,$A25,'Chapter Data'!$G$2:$G$2500,"&lt;&gt;")=0,"",SUMIFS('Chapter Data'!$G$2:$G$2500,'Chapter Data'!$A$2:$A$2500,U$2,'Chapter Data'!$D$2:$D$2500,$A25)))</f>
        <v/>
      </c>
    </row>
    <row r="26" customFormat="false" ht="15" hidden="false" customHeight="false" outlineLevel="0" collapsed="false">
      <c r="A26" s="8" t="str">
        <f aca="false">IF(Lists!$D$25="","",Lists!$D$25)</f>
        <v>Sigma Nu</v>
      </c>
      <c r="B26" s="25" t="n">
        <f aca="false">IF($A26="","",IF(COUNTIFS('Chapter Data'!$A$2:$A$2500,B$2,'Chapter Data'!$D$2:$D$2500,$A26,'Chapter Data'!$G$2:$G$2500,"&lt;&gt;")=0,"",SUMIFS('Chapter Data'!$G$2:$G$2500,'Chapter Data'!$A$2:$A$2500,B$2,'Chapter Data'!$D$2:$D$2500,$A26)))</f>
        <v>2.927</v>
      </c>
      <c r="C26" s="25" t="n">
        <f aca="false">IF($A26="","",IF(COUNTIFS('Chapter Data'!$A$2:$A$2500,C$2,'Chapter Data'!$D$2:$D$2500,$A26,'Chapter Data'!$G$2:$G$2500,"&lt;&gt;")=0,"",SUMIFS('Chapter Data'!$G$2:$G$2500,'Chapter Data'!$A$2:$A$2500,C$2,'Chapter Data'!$D$2:$D$2500,$A26)))</f>
        <v>3.012</v>
      </c>
      <c r="D26" s="25" t="n">
        <f aca="false">IF($A26="","",IF(COUNTIFS('Chapter Data'!$A$2:$A$2500,D$2,'Chapter Data'!$D$2:$D$2500,$A26,'Chapter Data'!$G$2:$G$2500,"&lt;&gt;")=0,"",SUMIFS('Chapter Data'!$G$2:$G$2500,'Chapter Data'!$A$2:$A$2500,D$2,'Chapter Data'!$D$2:$D$2500,$A26)))</f>
        <v>2.922</v>
      </c>
      <c r="E26" s="25" t="str">
        <f aca="false">IF($A26="","",IF(COUNTIFS('Chapter Data'!$A$2:$A$2500,E$2,'Chapter Data'!$D$2:$D$2500,$A26,'Chapter Data'!$G$2:$G$2500,"&lt;&gt;")=0,"",SUMIFS('Chapter Data'!$G$2:$G$2500,'Chapter Data'!$A$2:$A$2500,E$2,'Chapter Data'!$D$2:$D$2500,$A26)))</f>
        <v/>
      </c>
      <c r="F26" s="25" t="n">
        <f aca="false">IF($A26="","",IF(COUNTIFS('Chapter Data'!$A$2:$A$2500,F$2,'Chapter Data'!$D$2:$D$2500,$A26,'Chapter Data'!$G$2:$G$2500,"&lt;&gt;")=0,"",SUMIFS('Chapter Data'!$G$2:$G$2500,'Chapter Data'!$A$2:$A$2500,F$2,'Chapter Data'!$D$2:$D$2500,$A26)))</f>
        <v>2.792</v>
      </c>
      <c r="G26" s="25" t="n">
        <f aca="false">IF($A26="","",IF(COUNTIFS('Chapter Data'!$A$2:$A$2500,G$2,'Chapter Data'!$D$2:$D$2500,$A26,'Chapter Data'!$G$2:$G$2500,"&lt;&gt;")=0,"",SUMIFS('Chapter Data'!$G$2:$G$2500,'Chapter Data'!$A$2:$A$2500,G$2,'Chapter Data'!$D$2:$D$2500,$A26)))</f>
        <v>3.098</v>
      </c>
      <c r="H26" s="25" t="n">
        <f aca="false">IF($A26="","",IF(COUNTIFS('Chapter Data'!$A$2:$A$2500,H$2,'Chapter Data'!$D$2:$D$2500,$A26,'Chapter Data'!$G$2:$G$2500,"&lt;&gt;")=0,"",SUMIFS('Chapter Data'!$G$2:$G$2500,'Chapter Data'!$A$2:$A$2500,H$2,'Chapter Data'!$D$2:$D$2500,$A26)))</f>
        <v>2.864</v>
      </c>
      <c r="I26" s="25" t="n">
        <f aca="false">IF($A26="","",IF(COUNTIFS('Chapter Data'!$A$2:$A$2500,I$2,'Chapter Data'!$D$2:$D$2500,$A26,'Chapter Data'!$G$2:$G$2500,"&lt;&gt;")=0,"",SUMIFS('Chapter Data'!$G$2:$G$2500,'Chapter Data'!$A$2:$A$2500,I$2,'Chapter Data'!$D$2:$D$2500,$A26)))</f>
        <v>2.884</v>
      </c>
      <c r="J26" s="25" t="n">
        <f aca="false">IF($A26="","",IF(COUNTIFS('Chapter Data'!$A$2:$A$2500,J$2,'Chapter Data'!$D$2:$D$2500,$A26,'Chapter Data'!$G$2:$G$2500,"&lt;&gt;")=0,"",SUMIFS('Chapter Data'!$G$2:$G$2500,'Chapter Data'!$A$2:$A$2500,J$2,'Chapter Data'!$D$2:$D$2500,$A26)))</f>
        <v>2.827</v>
      </c>
      <c r="K26" s="25" t="n">
        <f aca="false">IF($A26="","",IF(COUNTIFS('Chapter Data'!$A$2:$A$2500,K$2,'Chapter Data'!$D$2:$D$2500,$A26,'Chapter Data'!$G$2:$G$2500,"&lt;&gt;")=0,"",SUMIFS('Chapter Data'!$G$2:$G$2500,'Chapter Data'!$A$2:$A$2500,K$2,'Chapter Data'!$D$2:$D$2500,$A26)))</f>
        <v>3.125</v>
      </c>
      <c r="L26" s="25" t="n">
        <f aca="false">IF($A26="","",IF(COUNTIFS('Chapter Data'!$A$2:$A$2500,L$2,'Chapter Data'!$D$2:$D$2500,$A26,'Chapter Data'!$G$2:$G$2500,"&lt;&gt;")=0,"",SUMIFS('Chapter Data'!$G$2:$G$2500,'Chapter Data'!$A$2:$A$2500,L$2,'Chapter Data'!$D$2:$D$2500,$A26)))</f>
        <v>3.094</v>
      </c>
      <c r="M26" s="25" t="n">
        <f aca="false">IF($A26="","",IF(COUNTIFS('Chapter Data'!$A$2:$A$2500,M$2,'Chapter Data'!$D$2:$D$2500,$A26,'Chapter Data'!$G$2:$G$2500,"&lt;&gt;")=0,"",SUMIFS('Chapter Data'!$G$2:$G$2500,'Chapter Data'!$A$2:$A$2500,M$2,'Chapter Data'!$D$2:$D$2500,$A26)))</f>
        <v>3.234</v>
      </c>
      <c r="N26" s="25" t="str">
        <f aca="false">IF($A26="","",IF(COUNTIFS('Chapter Data'!$A$2:$A$2500,N$2,'Chapter Data'!$D$2:$D$2500,$A26,'Chapter Data'!$G$2:$G$2500,"&lt;&gt;")=0,"",SUMIFS('Chapter Data'!$G$2:$G$2500,'Chapter Data'!$A$2:$A$2500,N$2,'Chapter Data'!$D$2:$D$2500,$A26)))</f>
        <v/>
      </c>
      <c r="O26" s="25" t="str">
        <f aca="false">IF($A26="","",IF(COUNTIFS('Chapter Data'!$A$2:$A$2500,O$2,'Chapter Data'!$D$2:$D$2500,$A26,'Chapter Data'!$G$2:$G$2500,"&lt;&gt;")=0,"",SUMIFS('Chapter Data'!$G$2:$G$2500,'Chapter Data'!$A$2:$A$2500,O$2,'Chapter Data'!$D$2:$D$2500,$A26)))</f>
        <v/>
      </c>
      <c r="P26" s="25" t="str">
        <f aca="false">IF($A26="","",IF(COUNTIFS('Chapter Data'!$A$2:$A$2500,P$2,'Chapter Data'!$D$2:$D$2500,$A26,'Chapter Data'!$G$2:$G$2500,"&lt;&gt;")=0,"",SUMIFS('Chapter Data'!$G$2:$G$2500,'Chapter Data'!$A$2:$A$2500,P$2,'Chapter Data'!$D$2:$D$2500,$A26)))</f>
        <v/>
      </c>
      <c r="Q26" s="25" t="str">
        <f aca="false">IF($A26="","",IF(COUNTIFS('Chapter Data'!$A$2:$A$2500,Q$2,'Chapter Data'!$D$2:$D$2500,$A26,'Chapter Data'!$G$2:$G$2500,"&lt;&gt;")=0,"",SUMIFS('Chapter Data'!$G$2:$G$2500,'Chapter Data'!$A$2:$A$2500,Q$2,'Chapter Data'!$D$2:$D$2500,$A26)))</f>
        <v/>
      </c>
      <c r="R26" s="25" t="str">
        <f aca="false">IF($A26="","",IF(COUNTIFS('Chapter Data'!$A$2:$A$2500,R$2,'Chapter Data'!$D$2:$D$2500,$A26,'Chapter Data'!$G$2:$G$2500,"&lt;&gt;")=0,"",SUMIFS('Chapter Data'!$G$2:$G$2500,'Chapter Data'!$A$2:$A$2500,R$2,'Chapter Data'!$D$2:$D$2500,$A26)))</f>
        <v/>
      </c>
      <c r="S26" s="25" t="str">
        <f aca="false">IF($A26="","",IF(COUNTIFS('Chapter Data'!$A$2:$A$2500,S$2,'Chapter Data'!$D$2:$D$2500,$A26,'Chapter Data'!$G$2:$G$2500,"&lt;&gt;")=0,"",SUMIFS('Chapter Data'!$G$2:$G$2500,'Chapter Data'!$A$2:$A$2500,S$2,'Chapter Data'!$D$2:$D$2500,$A26)))</f>
        <v/>
      </c>
      <c r="T26" s="25" t="str">
        <f aca="false">IF($A26="","",IF(COUNTIFS('Chapter Data'!$A$2:$A$2500,T$2,'Chapter Data'!$D$2:$D$2500,$A26,'Chapter Data'!$G$2:$G$2500,"&lt;&gt;")=0,"",SUMIFS('Chapter Data'!$G$2:$G$2500,'Chapter Data'!$A$2:$A$2500,T$2,'Chapter Data'!$D$2:$D$2500,$A26)))</f>
        <v/>
      </c>
      <c r="U26" s="25" t="str">
        <f aca="false">IF($A26="","",IF(COUNTIFS('Chapter Data'!$A$2:$A$2500,U$2,'Chapter Data'!$D$2:$D$2500,$A26,'Chapter Data'!$G$2:$G$2500,"&lt;&gt;")=0,"",SUMIFS('Chapter Data'!$G$2:$G$2500,'Chapter Data'!$A$2:$A$2500,U$2,'Chapter Data'!$D$2:$D$2500,$A26)))</f>
        <v/>
      </c>
    </row>
    <row r="27" customFormat="false" ht="15" hidden="false" customHeight="false" outlineLevel="0" collapsed="false">
      <c r="A27" s="8" t="str">
        <f aca="false">IF(Lists!$D$26="","",Lists!$D$26)</f>
        <v>Sigma Phi Epsilon</v>
      </c>
      <c r="B27" s="25" t="n">
        <f aca="false">IF($A27="","",IF(COUNTIFS('Chapter Data'!$A$2:$A$2500,B$2,'Chapter Data'!$D$2:$D$2500,$A27,'Chapter Data'!$G$2:$G$2500,"&lt;&gt;")=0,"",SUMIFS('Chapter Data'!$G$2:$G$2500,'Chapter Data'!$A$2:$A$2500,B$2,'Chapter Data'!$D$2:$D$2500,$A27)))</f>
        <v>3.437</v>
      </c>
      <c r="C27" s="25" t="n">
        <f aca="false">IF($A27="","",IF(COUNTIFS('Chapter Data'!$A$2:$A$2500,C$2,'Chapter Data'!$D$2:$D$2500,$A27,'Chapter Data'!$G$2:$G$2500,"&lt;&gt;")=0,"",SUMIFS('Chapter Data'!$G$2:$G$2500,'Chapter Data'!$A$2:$A$2500,C$2,'Chapter Data'!$D$2:$D$2500,$A27)))</f>
        <v>3.333</v>
      </c>
      <c r="D27" s="25" t="n">
        <f aca="false">IF($A27="","",IF(COUNTIFS('Chapter Data'!$A$2:$A$2500,D$2,'Chapter Data'!$D$2:$D$2500,$A27,'Chapter Data'!$G$2:$G$2500,"&lt;&gt;")=0,"",SUMIFS('Chapter Data'!$G$2:$G$2500,'Chapter Data'!$A$2:$A$2500,D$2,'Chapter Data'!$D$2:$D$2500,$A27)))</f>
        <v>3.345</v>
      </c>
      <c r="E27" s="25" t="str">
        <f aca="false">IF($A27="","",IF(COUNTIFS('Chapter Data'!$A$2:$A$2500,E$2,'Chapter Data'!$D$2:$D$2500,$A27,'Chapter Data'!$G$2:$G$2500,"&lt;&gt;")=0,"",SUMIFS('Chapter Data'!$G$2:$G$2500,'Chapter Data'!$A$2:$A$2500,E$2,'Chapter Data'!$D$2:$D$2500,$A27)))</f>
        <v/>
      </c>
      <c r="F27" s="25" t="n">
        <f aca="false">IF($A27="","",IF(COUNTIFS('Chapter Data'!$A$2:$A$2500,F$2,'Chapter Data'!$D$2:$D$2500,$A27,'Chapter Data'!$G$2:$G$2500,"&lt;&gt;")=0,"",SUMIFS('Chapter Data'!$G$2:$G$2500,'Chapter Data'!$A$2:$A$2500,F$2,'Chapter Data'!$D$2:$D$2500,$A27)))</f>
        <v>3.444</v>
      </c>
      <c r="G27" s="25" t="n">
        <f aca="false">IF($A27="","",IF(COUNTIFS('Chapter Data'!$A$2:$A$2500,G$2,'Chapter Data'!$D$2:$D$2500,$A27,'Chapter Data'!$G$2:$G$2500,"&lt;&gt;")=0,"",SUMIFS('Chapter Data'!$G$2:$G$2500,'Chapter Data'!$A$2:$A$2500,G$2,'Chapter Data'!$D$2:$D$2500,$A27)))</f>
        <v>3.551</v>
      </c>
      <c r="H27" s="25" t="n">
        <f aca="false">IF($A27="","",IF(COUNTIFS('Chapter Data'!$A$2:$A$2500,H$2,'Chapter Data'!$D$2:$D$2500,$A27,'Chapter Data'!$G$2:$G$2500,"&lt;&gt;")=0,"",SUMIFS('Chapter Data'!$G$2:$G$2500,'Chapter Data'!$A$2:$A$2500,H$2,'Chapter Data'!$D$2:$D$2500,$A27)))</f>
        <v>3.459</v>
      </c>
      <c r="I27" s="25" t="n">
        <f aca="false">IF($A27="","",IF(COUNTIFS('Chapter Data'!$A$2:$A$2500,I$2,'Chapter Data'!$D$2:$D$2500,$A27,'Chapter Data'!$G$2:$G$2500,"&lt;&gt;")=0,"",SUMIFS('Chapter Data'!$G$2:$G$2500,'Chapter Data'!$A$2:$A$2500,I$2,'Chapter Data'!$D$2:$D$2500,$A27)))</f>
        <v>3.527</v>
      </c>
      <c r="J27" s="25" t="n">
        <f aca="false">IF($A27="","",IF(COUNTIFS('Chapter Data'!$A$2:$A$2500,J$2,'Chapter Data'!$D$2:$D$2500,$A27,'Chapter Data'!$G$2:$G$2500,"&lt;&gt;")=0,"",SUMIFS('Chapter Data'!$G$2:$G$2500,'Chapter Data'!$A$2:$A$2500,J$2,'Chapter Data'!$D$2:$D$2500,$A27)))</f>
        <v>3.533</v>
      </c>
      <c r="K27" s="25" t="n">
        <f aca="false">IF($A27="","",IF(COUNTIFS('Chapter Data'!$A$2:$A$2500,K$2,'Chapter Data'!$D$2:$D$2500,$A27,'Chapter Data'!$G$2:$G$2500,"&lt;&gt;")=0,"",SUMIFS('Chapter Data'!$G$2:$G$2500,'Chapter Data'!$A$2:$A$2500,K$2,'Chapter Data'!$D$2:$D$2500,$A27)))</f>
        <v>3.573</v>
      </c>
      <c r="L27" s="25" t="n">
        <f aca="false">IF($A27="","",IF(COUNTIFS('Chapter Data'!$A$2:$A$2500,L$2,'Chapter Data'!$D$2:$D$2500,$A27,'Chapter Data'!$G$2:$G$2500,"&lt;&gt;")=0,"",SUMIFS('Chapter Data'!$G$2:$G$2500,'Chapter Data'!$A$2:$A$2500,L$2,'Chapter Data'!$D$2:$D$2500,$A27)))</f>
        <v>3.612</v>
      </c>
      <c r="M27" s="25" t="n">
        <f aca="false">IF($A27="","",IF(COUNTIFS('Chapter Data'!$A$2:$A$2500,M$2,'Chapter Data'!$D$2:$D$2500,$A27,'Chapter Data'!$G$2:$G$2500,"&lt;&gt;")=0,"",SUMIFS('Chapter Data'!$G$2:$G$2500,'Chapter Data'!$A$2:$A$2500,M$2,'Chapter Data'!$D$2:$D$2500,$A27)))</f>
        <v>3.637</v>
      </c>
      <c r="N27" s="25" t="n">
        <f aca="false">IF($A27="","",IF(COUNTIFS('Chapter Data'!$A$2:$A$2500,N$2,'Chapter Data'!$D$2:$D$2500,$A27,'Chapter Data'!$G$2:$G$2500,"&lt;&gt;")=0,"",SUMIFS('Chapter Data'!$G$2:$G$2500,'Chapter Data'!$A$2:$A$2500,N$2,'Chapter Data'!$D$2:$D$2500,$A27)))</f>
        <v>3.693</v>
      </c>
      <c r="O27" s="25" t="n">
        <f aca="false">IF($A27="","",IF(COUNTIFS('Chapter Data'!$A$2:$A$2500,O$2,'Chapter Data'!$D$2:$D$2500,$A27,'Chapter Data'!$G$2:$G$2500,"&lt;&gt;")=0,"",SUMIFS('Chapter Data'!$G$2:$G$2500,'Chapter Data'!$A$2:$A$2500,O$2,'Chapter Data'!$D$2:$D$2500,$A27)))</f>
        <v>3.684</v>
      </c>
      <c r="P27" s="25" t="n">
        <f aca="false">IF($A27="","",IF(COUNTIFS('Chapter Data'!$A$2:$A$2500,P$2,'Chapter Data'!$D$2:$D$2500,$A27,'Chapter Data'!$G$2:$G$2500,"&lt;&gt;")=0,"",SUMIFS('Chapter Data'!$G$2:$G$2500,'Chapter Data'!$A$2:$A$2500,P$2,'Chapter Data'!$D$2:$D$2500,$A27)))</f>
        <v>3.606</v>
      </c>
      <c r="Q27" s="25" t="n">
        <f aca="false">IF($A27="","",IF(COUNTIFS('Chapter Data'!$A$2:$A$2500,Q$2,'Chapter Data'!$D$2:$D$2500,$A27,'Chapter Data'!$G$2:$G$2500,"&lt;&gt;")=0,"",SUMIFS('Chapter Data'!$G$2:$G$2500,'Chapter Data'!$A$2:$A$2500,Q$2,'Chapter Data'!$D$2:$D$2500,$A27)))</f>
        <v>3.664</v>
      </c>
      <c r="R27" s="25" t="str">
        <f aca="false">IF($A27="","",IF(COUNTIFS('Chapter Data'!$A$2:$A$2500,R$2,'Chapter Data'!$D$2:$D$2500,$A27,'Chapter Data'!$G$2:$G$2500,"&lt;&gt;")=0,"",SUMIFS('Chapter Data'!$G$2:$G$2500,'Chapter Data'!$A$2:$A$2500,R$2,'Chapter Data'!$D$2:$D$2500,$A27)))</f>
        <v/>
      </c>
      <c r="S27" s="25" t="str">
        <f aca="false">IF($A27="","",IF(COUNTIFS('Chapter Data'!$A$2:$A$2500,S$2,'Chapter Data'!$D$2:$D$2500,$A27,'Chapter Data'!$G$2:$G$2500,"&lt;&gt;")=0,"",SUMIFS('Chapter Data'!$G$2:$G$2500,'Chapter Data'!$A$2:$A$2500,S$2,'Chapter Data'!$D$2:$D$2500,$A27)))</f>
        <v/>
      </c>
      <c r="T27" s="25" t="str">
        <f aca="false">IF($A27="","",IF(COUNTIFS('Chapter Data'!$A$2:$A$2500,T$2,'Chapter Data'!$D$2:$D$2500,$A27,'Chapter Data'!$G$2:$G$2500,"&lt;&gt;")=0,"",SUMIFS('Chapter Data'!$G$2:$G$2500,'Chapter Data'!$A$2:$A$2500,T$2,'Chapter Data'!$D$2:$D$2500,$A27)))</f>
        <v/>
      </c>
      <c r="U27" s="25" t="str">
        <f aca="false">IF($A27="","",IF(COUNTIFS('Chapter Data'!$A$2:$A$2500,U$2,'Chapter Data'!$D$2:$D$2500,$A27,'Chapter Data'!$G$2:$G$2500,"&lt;&gt;")=0,"",SUMIFS('Chapter Data'!$G$2:$G$2500,'Chapter Data'!$A$2:$A$2500,U$2,'Chapter Data'!$D$2:$D$2500,$A27)))</f>
        <v/>
      </c>
    </row>
    <row r="28" customFormat="false" ht="15" hidden="false" customHeight="false" outlineLevel="0" collapsed="false">
      <c r="A28" s="8" t="str">
        <f aca="false">IF(Lists!$D$27="","",Lists!$D$27)</f>
        <v>Sigma Tau Gamma</v>
      </c>
      <c r="B28" s="25" t="str">
        <f aca="false">IF($A28="","",IF(COUNTIFS('Chapter Data'!$A$2:$A$2500,B$2,'Chapter Data'!$D$2:$D$2500,$A28,'Chapter Data'!$G$2:$G$2500,"&lt;&gt;")=0,"",SUMIFS('Chapter Data'!$G$2:$G$2500,'Chapter Data'!$A$2:$A$2500,B$2,'Chapter Data'!$D$2:$D$2500,$A28)))</f>
        <v/>
      </c>
      <c r="C28" s="25" t="str">
        <f aca="false">IF($A28="","",IF(COUNTIFS('Chapter Data'!$A$2:$A$2500,C$2,'Chapter Data'!$D$2:$D$2500,$A28,'Chapter Data'!$G$2:$G$2500,"&lt;&gt;")=0,"",SUMIFS('Chapter Data'!$G$2:$G$2500,'Chapter Data'!$A$2:$A$2500,C$2,'Chapter Data'!$D$2:$D$2500,$A28)))</f>
        <v/>
      </c>
      <c r="D28" s="25" t="str">
        <f aca="false">IF($A28="","",IF(COUNTIFS('Chapter Data'!$A$2:$A$2500,D$2,'Chapter Data'!$D$2:$D$2500,$A28,'Chapter Data'!$G$2:$G$2500,"&lt;&gt;")=0,"",SUMIFS('Chapter Data'!$G$2:$G$2500,'Chapter Data'!$A$2:$A$2500,D$2,'Chapter Data'!$D$2:$D$2500,$A28)))</f>
        <v/>
      </c>
      <c r="E28" s="25" t="str">
        <f aca="false">IF($A28="","",IF(COUNTIFS('Chapter Data'!$A$2:$A$2500,E$2,'Chapter Data'!$D$2:$D$2500,$A28,'Chapter Data'!$G$2:$G$2500,"&lt;&gt;")=0,"",SUMIFS('Chapter Data'!$G$2:$G$2500,'Chapter Data'!$A$2:$A$2500,E$2,'Chapter Data'!$D$2:$D$2500,$A28)))</f>
        <v/>
      </c>
      <c r="F28" s="25" t="str">
        <f aca="false">IF($A28="","",IF(COUNTIFS('Chapter Data'!$A$2:$A$2500,F$2,'Chapter Data'!$D$2:$D$2500,$A28,'Chapter Data'!$G$2:$G$2500,"&lt;&gt;")=0,"",SUMIFS('Chapter Data'!$G$2:$G$2500,'Chapter Data'!$A$2:$A$2500,F$2,'Chapter Data'!$D$2:$D$2500,$A28)))</f>
        <v/>
      </c>
      <c r="G28" s="25" t="n">
        <f aca="false">IF($A28="","",IF(COUNTIFS('Chapter Data'!$A$2:$A$2500,G$2,'Chapter Data'!$D$2:$D$2500,$A28,'Chapter Data'!$G$2:$G$2500,"&lt;&gt;")=0,"",SUMIFS('Chapter Data'!$G$2:$G$2500,'Chapter Data'!$A$2:$A$2500,G$2,'Chapter Data'!$D$2:$D$2500,$A28)))</f>
        <v>2.8</v>
      </c>
      <c r="H28" s="25" t="n">
        <f aca="false">IF($A28="","",IF(COUNTIFS('Chapter Data'!$A$2:$A$2500,H$2,'Chapter Data'!$D$2:$D$2500,$A28,'Chapter Data'!$G$2:$G$2500,"&lt;&gt;")=0,"",SUMIFS('Chapter Data'!$G$2:$G$2500,'Chapter Data'!$A$2:$A$2500,H$2,'Chapter Data'!$D$2:$D$2500,$A28)))</f>
        <v>2.888</v>
      </c>
      <c r="I28" s="25" t="n">
        <f aca="false">IF($A28="","",IF(COUNTIFS('Chapter Data'!$A$2:$A$2500,I$2,'Chapter Data'!$D$2:$D$2500,$A28,'Chapter Data'!$G$2:$G$2500,"&lt;&gt;")=0,"",SUMIFS('Chapter Data'!$G$2:$G$2500,'Chapter Data'!$A$2:$A$2500,I$2,'Chapter Data'!$D$2:$D$2500,$A28)))</f>
        <v>2.755</v>
      </c>
      <c r="J28" s="25" t="str">
        <f aca="false">IF($A28="","",IF(COUNTIFS('Chapter Data'!$A$2:$A$2500,J$2,'Chapter Data'!$D$2:$D$2500,$A28,'Chapter Data'!$G$2:$G$2500,"&lt;&gt;")=0,"",SUMIFS('Chapter Data'!$G$2:$G$2500,'Chapter Data'!$A$2:$A$2500,J$2,'Chapter Data'!$D$2:$D$2500,$A28)))</f>
        <v/>
      </c>
      <c r="K28" s="25" t="str">
        <f aca="false">IF($A28="","",IF(COUNTIFS('Chapter Data'!$A$2:$A$2500,K$2,'Chapter Data'!$D$2:$D$2500,$A28,'Chapter Data'!$G$2:$G$2500,"&lt;&gt;")=0,"",SUMIFS('Chapter Data'!$G$2:$G$2500,'Chapter Data'!$A$2:$A$2500,K$2,'Chapter Data'!$D$2:$D$2500,$A28)))</f>
        <v/>
      </c>
      <c r="L28" s="25" t="str">
        <f aca="false">IF($A28="","",IF(COUNTIFS('Chapter Data'!$A$2:$A$2500,L$2,'Chapter Data'!$D$2:$D$2500,$A28,'Chapter Data'!$G$2:$G$2500,"&lt;&gt;")=0,"",SUMIFS('Chapter Data'!$G$2:$G$2500,'Chapter Data'!$A$2:$A$2500,L$2,'Chapter Data'!$D$2:$D$2500,$A28)))</f>
        <v/>
      </c>
      <c r="M28" s="25" t="str">
        <f aca="false">IF($A28="","",IF(COUNTIFS('Chapter Data'!$A$2:$A$2500,M$2,'Chapter Data'!$D$2:$D$2500,$A28,'Chapter Data'!$G$2:$G$2500,"&lt;&gt;")=0,"",SUMIFS('Chapter Data'!$G$2:$G$2500,'Chapter Data'!$A$2:$A$2500,M$2,'Chapter Data'!$D$2:$D$2500,$A28)))</f>
        <v/>
      </c>
      <c r="N28" s="25" t="str">
        <f aca="false">IF($A28="","",IF(COUNTIFS('Chapter Data'!$A$2:$A$2500,N$2,'Chapter Data'!$D$2:$D$2500,$A28,'Chapter Data'!$G$2:$G$2500,"&lt;&gt;")=0,"",SUMIFS('Chapter Data'!$G$2:$G$2500,'Chapter Data'!$A$2:$A$2500,N$2,'Chapter Data'!$D$2:$D$2500,$A28)))</f>
        <v/>
      </c>
      <c r="O28" s="25" t="str">
        <f aca="false">IF($A28="","",IF(COUNTIFS('Chapter Data'!$A$2:$A$2500,O$2,'Chapter Data'!$D$2:$D$2500,$A28,'Chapter Data'!$G$2:$G$2500,"&lt;&gt;")=0,"",SUMIFS('Chapter Data'!$G$2:$G$2500,'Chapter Data'!$A$2:$A$2500,O$2,'Chapter Data'!$D$2:$D$2500,$A28)))</f>
        <v/>
      </c>
      <c r="P28" s="25" t="str">
        <f aca="false">IF($A28="","",IF(COUNTIFS('Chapter Data'!$A$2:$A$2500,P$2,'Chapter Data'!$D$2:$D$2500,$A28,'Chapter Data'!$G$2:$G$2500,"&lt;&gt;")=0,"",SUMIFS('Chapter Data'!$G$2:$G$2500,'Chapter Data'!$A$2:$A$2500,P$2,'Chapter Data'!$D$2:$D$2500,$A28)))</f>
        <v/>
      </c>
      <c r="Q28" s="25" t="str">
        <f aca="false">IF($A28="","",IF(COUNTIFS('Chapter Data'!$A$2:$A$2500,Q$2,'Chapter Data'!$D$2:$D$2500,$A28,'Chapter Data'!$G$2:$G$2500,"&lt;&gt;")=0,"",SUMIFS('Chapter Data'!$G$2:$G$2500,'Chapter Data'!$A$2:$A$2500,Q$2,'Chapter Data'!$D$2:$D$2500,$A28)))</f>
        <v/>
      </c>
      <c r="R28" s="25" t="str">
        <f aca="false">IF($A28="","",IF(COUNTIFS('Chapter Data'!$A$2:$A$2500,R$2,'Chapter Data'!$D$2:$D$2500,$A28,'Chapter Data'!$G$2:$G$2500,"&lt;&gt;")=0,"",SUMIFS('Chapter Data'!$G$2:$G$2500,'Chapter Data'!$A$2:$A$2500,R$2,'Chapter Data'!$D$2:$D$2500,$A28)))</f>
        <v/>
      </c>
      <c r="S28" s="25" t="str">
        <f aca="false">IF($A28="","",IF(COUNTIFS('Chapter Data'!$A$2:$A$2500,S$2,'Chapter Data'!$D$2:$D$2500,$A28,'Chapter Data'!$G$2:$G$2500,"&lt;&gt;")=0,"",SUMIFS('Chapter Data'!$G$2:$G$2500,'Chapter Data'!$A$2:$A$2500,S$2,'Chapter Data'!$D$2:$D$2500,$A28)))</f>
        <v/>
      </c>
      <c r="T28" s="25" t="str">
        <f aca="false">IF($A28="","",IF(COUNTIFS('Chapter Data'!$A$2:$A$2500,T$2,'Chapter Data'!$D$2:$D$2500,$A28,'Chapter Data'!$G$2:$G$2500,"&lt;&gt;")=0,"",SUMIFS('Chapter Data'!$G$2:$G$2500,'Chapter Data'!$A$2:$A$2500,T$2,'Chapter Data'!$D$2:$D$2500,$A28)))</f>
        <v/>
      </c>
      <c r="U28" s="25" t="str">
        <f aca="false">IF($A28="","",IF(COUNTIFS('Chapter Data'!$A$2:$A$2500,U$2,'Chapter Data'!$D$2:$D$2500,$A28,'Chapter Data'!$G$2:$G$2500,"&lt;&gt;")=0,"",SUMIFS('Chapter Data'!$G$2:$G$2500,'Chapter Data'!$A$2:$A$2500,U$2,'Chapter Data'!$D$2:$D$2500,$A28)))</f>
        <v/>
      </c>
    </row>
    <row r="29" customFormat="false" ht="15" hidden="false" customHeight="false" outlineLevel="0" collapsed="false">
      <c r="A29" s="8" t="str">
        <f aca="false">IF(Lists!$D$28="","",Lists!$D$28)</f>
        <v>Tau Kappa Epsilon</v>
      </c>
      <c r="B29" s="25" t="n">
        <f aca="false">IF($A29="","",IF(COUNTIFS('Chapter Data'!$A$2:$A$2500,B$2,'Chapter Data'!$D$2:$D$2500,$A29,'Chapter Data'!$G$2:$G$2500,"&lt;&gt;")=0,"",SUMIFS('Chapter Data'!$G$2:$G$2500,'Chapter Data'!$A$2:$A$2500,B$2,'Chapter Data'!$D$2:$D$2500,$A29)))</f>
        <v>2.941</v>
      </c>
      <c r="C29" s="25" t="n">
        <f aca="false">IF($A29="","",IF(COUNTIFS('Chapter Data'!$A$2:$A$2500,C$2,'Chapter Data'!$D$2:$D$2500,$A29,'Chapter Data'!$G$2:$G$2500,"&lt;&gt;")=0,"",SUMIFS('Chapter Data'!$G$2:$G$2500,'Chapter Data'!$A$2:$A$2500,C$2,'Chapter Data'!$D$2:$D$2500,$A29)))</f>
        <v>3.012</v>
      </c>
      <c r="D29" s="25" t="n">
        <f aca="false">IF($A29="","",IF(COUNTIFS('Chapter Data'!$A$2:$A$2500,D$2,'Chapter Data'!$D$2:$D$2500,$A29,'Chapter Data'!$G$2:$G$2500,"&lt;&gt;")=0,"",SUMIFS('Chapter Data'!$G$2:$G$2500,'Chapter Data'!$A$2:$A$2500,D$2,'Chapter Data'!$D$2:$D$2500,$A29)))</f>
        <v>3.196</v>
      </c>
      <c r="E29" s="25" t="str">
        <f aca="false">IF($A29="","",IF(COUNTIFS('Chapter Data'!$A$2:$A$2500,E$2,'Chapter Data'!$D$2:$D$2500,$A29,'Chapter Data'!$G$2:$G$2500,"&lt;&gt;")=0,"",SUMIFS('Chapter Data'!$G$2:$G$2500,'Chapter Data'!$A$2:$A$2500,E$2,'Chapter Data'!$D$2:$D$2500,$A29)))</f>
        <v/>
      </c>
      <c r="F29" s="25" t="str">
        <f aca="false">IF($A29="","",IF(COUNTIFS('Chapter Data'!$A$2:$A$2500,F$2,'Chapter Data'!$D$2:$D$2500,$A29,'Chapter Data'!$G$2:$G$2500,"&lt;&gt;")=0,"",SUMIFS('Chapter Data'!$G$2:$G$2500,'Chapter Data'!$A$2:$A$2500,F$2,'Chapter Data'!$D$2:$D$2500,$A29)))</f>
        <v/>
      </c>
      <c r="G29" s="25" t="str">
        <f aca="false">IF($A29="","",IF(COUNTIFS('Chapter Data'!$A$2:$A$2500,G$2,'Chapter Data'!$D$2:$D$2500,$A29,'Chapter Data'!$G$2:$G$2500,"&lt;&gt;")=0,"",SUMIFS('Chapter Data'!$G$2:$G$2500,'Chapter Data'!$A$2:$A$2500,G$2,'Chapter Data'!$D$2:$D$2500,$A29)))</f>
        <v/>
      </c>
      <c r="H29" s="25" t="str">
        <f aca="false">IF($A29="","",IF(COUNTIFS('Chapter Data'!$A$2:$A$2500,H$2,'Chapter Data'!$D$2:$D$2500,$A29,'Chapter Data'!$G$2:$G$2500,"&lt;&gt;")=0,"",SUMIFS('Chapter Data'!$G$2:$G$2500,'Chapter Data'!$A$2:$A$2500,H$2,'Chapter Data'!$D$2:$D$2500,$A29)))</f>
        <v/>
      </c>
      <c r="I29" s="25" t="str">
        <f aca="false">IF($A29="","",IF(COUNTIFS('Chapter Data'!$A$2:$A$2500,I$2,'Chapter Data'!$D$2:$D$2500,$A29,'Chapter Data'!$G$2:$G$2500,"&lt;&gt;")=0,"",SUMIFS('Chapter Data'!$G$2:$G$2500,'Chapter Data'!$A$2:$A$2500,I$2,'Chapter Data'!$D$2:$D$2500,$A29)))</f>
        <v/>
      </c>
      <c r="J29" s="25" t="str">
        <f aca="false">IF($A29="","",IF(COUNTIFS('Chapter Data'!$A$2:$A$2500,J$2,'Chapter Data'!$D$2:$D$2500,$A29,'Chapter Data'!$G$2:$G$2500,"&lt;&gt;")=0,"",SUMIFS('Chapter Data'!$G$2:$G$2500,'Chapter Data'!$A$2:$A$2500,J$2,'Chapter Data'!$D$2:$D$2500,$A29)))</f>
        <v/>
      </c>
      <c r="K29" s="25" t="str">
        <f aca="false">IF($A29="","",IF(COUNTIFS('Chapter Data'!$A$2:$A$2500,K$2,'Chapter Data'!$D$2:$D$2500,$A29,'Chapter Data'!$G$2:$G$2500,"&lt;&gt;")=0,"",SUMIFS('Chapter Data'!$G$2:$G$2500,'Chapter Data'!$A$2:$A$2500,K$2,'Chapter Data'!$D$2:$D$2500,$A29)))</f>
        <v/>
      </c>
      <c r="L29" s="25" t="str">
        <f aca="false">IF($A29="","",IF(COUNTIFS('Chapter Data'!$A$2:$A$2500,L$2,'Chapter Data'!$D$2:$D$2500,$A29,'Chapter Data'!$G$2:$G$2500,"&lt;&gt;")=0,"",SUMIFS('Chapter Data'!$G$2:$G$2500,'Chapter Data'!$A$2:$A$2500,L$2,'Chapter Data'!$D$2:$D$2500,$A29)))</f>
        <v/>
      </c>
      <c r="M29" s="25" t="str">
        <f aca="false">IF($A29="","",IF(COUNTIFS('Chapter Data'!$A$2:$A$2500,M$2,'Chapter Data'!$D$2:$D$2500,$A29,'Chapter Data'!$G$2:$G$2500,"&lt;&gt;")=0,"",SUMIFS('Chapter Data'!$G$2:$G$2500,'Chapter Data'!$A$2:$A$2500,M$2,'Chapter Data'!$D$2:$D$2500,$A29)))</f>
        <v/>
      </c>
      <c r="N29" s="25" t="str">
        <f aca="false">IF($A29="","",IF(COUNTIFS('Chapter Data'!$A$2:$A$2500,N$2,'Chapter Data'!$D$2:$D$2500,$A29,'Chapter Data'!$G$2:$G$2500,"&lt;&gt;")=0,"",SUMIFS('Chapter Data'!$G$2:$G$2500,'Chapter Data'!$A$2:$A$2500,N$2,'Chapter Data'!$D$2:$D$2500,$A29)))</f>
        <v/>
      </c>
      <c r="O29" s="25" t="str">
        <f aca="false">IF($A29="","",IF(COUNTIFS('Chapter Data'!$A$2:$A$2500,O$2,'Chapter Data'!$D$2:$D$2500,$A29,'Chapter Data'!$G$2:$G$2500,"&lt;&gt;")=0,"",SUMIFS('Chapter Data'!$G$2:$G$2500,'Chapter Data'!$A$2:$A$2500,O$2,'Chapter Data'!$D$2:$D$2500,$A29)))</f>
        <v/>
      </c>
      <c r="P29" s="25" t="str">
        <f aca="false">IF($A29="","",IF(COUNTIFS('Chapter Data'!$A$2:$A$2500,P$2,'Chapter Data'!$D$2:$D$2500,$A29,'Chapter Data'!$G$2:$G$2500,"&lt;&gt;")=0,"",SUMIFS('Chapter Data'!$G$2:$G$2500,'Chapter Data'!$A$2:$A$2500,P$2,'Chapter Data'!$D$2:$D$2500,$A29)))</f>
        <v/>
      </c>
      <c r="Q29" s="25" t="str">
        <f aca="false">IF($A29="","",IF(COUNTIFS('Chapter Data'!$A$2:$A$2500,Q$2,'Chapter Data'!$D$2:$D$2500,$A29,'Chapter Data'!$G$2:$G$2500,"&lt;&gt;")=0,"",SUMIFS('Chapter Data'!$G$2:$G$2500,'Chapter Data'!$A$2:$A$2500,Q$2,'Chapter Data'!$D$2:$D$2500,$A29)))</f>
        <v/>
      </c>
      <c r="R29" s="25" t="str">
        <f aca="false">IF($A29="","",IF(COUNTIFS('Chapter Data'!$A$2:$A$2500,R$2,'Chapter Data'!$D$2:$D$2500,$A29,'Chapter Data'!$G$2:$G$2500,"&lt;&gt;")=0,"",SUMIFS('Chapter Data'!$G$2:$G$2500,'Chapter Data'!$A$2:$A$2500,R$2,'Chapter Data'!$D$2:$D$2500,$A29)))</f>
        <v/>
      </c>
      <c r="S29" s="25" t="str">
        <f aca="false">IF($A29="","",IF(COUNTIFS('Chapter Data'!$A$2:$A$2500,S$2,'Chapter Data'!$D$2:$D$2500,$A29,'Chapter Data'!$G$2:$G$2500,"&lt;&gt;")=0,"",SUMIFS('Chapter Data'!$G$2:$G$2500,'Chapter Data'!$A$2:$A$2500,S$2,'Chapter Data'!$D$2:$D$2500,$A29)))</f>
        <v/>
      </c>
      <c r="T29" s="25" t="str">
        <f aca="false">IF($A29="","",IF(COUNTIFS('Chapter Data'!$A$2:$A$2500,T$2,'Chapter Data'!$D$2:$D$2500,$A29,'Chapter Data'!$G$2:$G$2500,"&lt;&gt;")=0,"",SUMIFS('Chapter Data'!$G$2:$G$2500,'Chapter Data'!$A$2:$A$2500,T$2,'Chapter Data'!$D$2:$D$2500,$A29)))</f>
        <v/>
      </c>
      <c r="U29" s="25" t="str">
        <f aca="false">IF($A29="","",IF(COUNTIFS('Chapter Data'!$A$2:$A$2500,U$2,'Chapter Data'!$D$2:$D$2500,$A29,'Chapter Data'!$G$2:$G$2500,"&lt;&gt;")=0,"",SUMIFS('Chapter Data'!$G$2:$G$2500,'Chapter Data'!$A$2:$A$2500,U$2,'Chapter Data'!$D$2:$D$2500,$A29)))</f>
        <v/>
      </c>
    </row>
    <row r="30" customFormat="false" ht="15" hidden="false" customHeight="false" outlineLevel="0" collapsed="false">
      <c r="A30" s="8" t="str">
        <f aca="false">IF(Lists!$D$29="","",Lists!$D$29)</f>
        <v>Theta Chi</v>
      </c>
      <c r="B30" s="25" t="n">
        <f aca="false">IF($A30="","",IF(COUNTIFS('Chapter Data'!$A$2:$A$2500,B$2,'Chapter Data'!$D$2:$D$2500,$A30,'Chapter Data'!$G$2:$G$2500,"&lt;&gt;")=0,"",SUMIFS('Chapter Data'!$G$2:$G$2500,'Chapter Data'!$A$2:$A$2500,B$2,'Chapter Data'!$D$2:$D$2500,$A30)))</f>
        <v>2.489</v>
      </c>
      <c r="C30" s="25" t="str">
        <f aca="false">IF($A30="","",IF(COUNTIFS('Chapter Data'!$A$2:$A$2500,C$2,'Chapter Data'!$D$2:$D$2500,$A30,'Chapter Data'!$G$2:$G$2500,"&lt;&gt;")=0,"",SUMIFS('Chapter Data'!$G$2:$G$2500,'Chapter Data'!$A$2:$A$2500,C$2,'Chapter Data'!$D$2:$D$2500,$A30)))</f>
        <v/>
      </c>
      <c r="D30" s="25" t="n">
        <f aca="false">IF($A30="","",IF(COUNTIFS('Chapter Data'!$A$2:$A$2500,D$2,'Chapter Data'!$D$2:$D$2500,$A30,'Chapter Data'!$G$2:$G$2500,"&lt;&gt;")=0,"",SUMIFS('Chapter Data'!$G$2:$G$2500,'Chapter Data'!$A$2:$A$2500,D$2,'Chapter Data'!$D$2:$D$2500,$A30)))</f>
        <v>2.281</v>
      </c>
      <c r="E30" s="25" t="str">
        <f aca="false">IF($A30="","",IF(COUNTIFS('Chapter Data'!$A$2:$A$2500,E$2,'Chapter Data'!$D$2:$D$2500,$A30,'Chapter Data'!$G$2:$G$2500,"&lt;&gt;")=0,"",SUMIFS('Chapter Data'!$G$2:$G$2500,'Chapter Data'!$A$2:$A$2500,E$2,'Chapter Data'!$D$2:$D$2500,$A30)))</f>
        <v/>
      </c>
      <c r="F30" s="25" t="str">
        <f aca="false">IF($A30="","",IF(COUNTIFS('Chapter Data'!$A$2:$A$2500,F$2,'Chapter Data'!$D$2:$D$2500,$A30,'Chapter Data'!$G$2:$G$2500,"&lt;&gt;")=0,"",SUMIFS('Chapter Data'!$G$2:$G$2500,'Chapter Data'!$A$2:$A$2500,F$2,'Chapter Data'!$D$2:$D$2500,$A30)))</f>
        <v/>
      </c>
      <c r="G30" s="25" t="str">
        <f aca="false">IF($A30="","",IF(COUNTIFS('Chapter Data'!$A$2:$A$2500,G$2,'Chapter Data'!$D$2:$D$2500,$A30,'Chapter Data'!$G$2:$G$2500,"&lt;&gt;")=0,"",SUMIFS('Chapter Data'!$G$2:$G$2500,'Chapter Data'!$A$2:$A$2500,G$2,'Chapter Data'!$D$2:$D$2500,$A30)))</f>
        <v/>
      </c>
      <c r="H30" s="25" t="str">
        <f aca="false">IF($A30="","",IF(COUNTIFS('Chapter Data'!$A$2:$A$2500,H$2,'Chapter Data'!$D$2:$D$2500,$A30,'Chapter Data'!$G$2:$G$2500,"&lt;&gt;")=0,"",SUMIFS('Chapter Data'!$G$2:$G$2500,'Chapter Data'!$A$2:$A$2500,H$2,'Chapter Data'!$D$2:$D$2500,$A30)))</f>
        <v/>
      </c>
      <c r="I30" s="25" t="str">
        <f aca="false">IF($A30="","",IF(COUNTIFS('Chapter Data'!$A$2:$A$2500,I$2,'Chapter Data'!$D$2:$D$2500,$A30,'Chapter Data'!$G$2:$G$2500,"&lt;&gt;")=0,"",SUMIFS('Chapter Data'!$G$2:$G$2500,'Chapter Data'!$A$2:$A$2500,I$2,'Chapter Data'!$D$2:$D$2500,$A30)))</f>
        <v/>
      </c>
      <c r="J30" s="25" t="str">
        <f aca="false">IF($A30="","",IF(COUNTIFS('Chapter Data'!$A$2:$A$2500,J$2,'Chapter Data'!$D$2:$D$2500,$A30,'Chapter Data'!$G$2:$G$2500,"&lt;&gt;")=0,"",SUMIFS('Chapter Data'!$G$2:$G$2500,'Chapter Data'!$A$2:$A$2500,J$2,'Chapter Data'!$D$2:$D$2500,$A30)))</f>
        <v/>
      </c>
      <c r="K30" s="25" t="n">
        <f aca="false">IF($A30="","",IF(COUNTIFS('Chapter Data'!$A$2:$A$2500,K$2,'Chapter Data'!$D$2:$D$2500,$A30,'Chapter Data'!$G$2:$G$2500,"&lt;&gt;")=0,"",SUMIFS('Chapter Data'!$G$2:$G$2500,'Chapter Data'!$A$2:$A$2500,K$2,'Chapter Data'!$D$2:$D$2500,$A30)))</f>
        <v>3.115</v>
      </c>
      <c r="L30" s="25" t="n">
        <f aca="false">IF($A30="","",IF(COUNTIFS('Chapter Data'!$A$2:$A$2500,L$2,'Chapter Data'!$D$2:$D$2500,$A30,'Chapter Data'!$G$2:$G$2500,"&lt;&gt;")=0,"",SUMIFS('Chapter Data'!$G$2:$G$2500,'Chapter Data'!$A$2:$A$2500,L$2,'Chapter Data'!$D$2:$D$2500,$A30)))</f>
        <v>2.746</v>
      </c>
      <c r="M30" s="25" t="n">
        <f aca="false">IF($A30="","",IF(COUNTIFS('Chapter Data'!$A$2:$A$2500,M$2,'Chapter Data'!$D$2:$D$2500,$A30,'Chapter Data'!$G$2:$G$2500,"&lt;&gt;")=0,"",SUMIFS('Chapter Data'!$G$2:$G$2500,'Chapter Data'!$A$2:$A$2500,M$2,'Chapter Data'!$D$2:$D$2500,$A30)))</f>
        <v>2.668</v>
      </c>
      <c r="N30" s="25" t="n">
        <f aca="false">IF($A30="","",IF(COUNTIFS('Chapter Data'!$A$2:$A$2500,N$2,'Chapter Data'!$D$2:$D$2500,$A30,'Chapter Data'!$G$2:$G$2500,"&lt;&gt;")=0,"",SUMIFS('Chapter Data'!$G$2:$G$2500,'Chapter Data'!$A$2:$A$2500,N$2,'Chapter Data'!$D$2:$D$2500,$A30)))</f>
        <v>2.948</v>
      </c>
      <c r="O30" s="25" t="n">
        <f aca="false">IF($A30="","",IF(COUNTIFS('Chapter Data'!$A$2:$A$2500,O$2,'Chapter Data'!$D$2:$D$2500,$A30,'Chapter Data'!$G$2:$G$2500,"&lt;&gt;")=0,"",SUMIFS('Chapter Data'!$G$2:$G$2500,'Chapter Data'!$A$2:$A$2500,O$2,'Chapter Data'!$D$2:$D$2500,$A30)))</f>
        <v>3.088</v>
      </c>
      <c r="P30" s="25" t="n">
        <f aca="false">IF($A30="","",IF(COUNTIFS('Chapter Data'!$A$2:$A$2500,P$2,'Chapter Data'!$D$2:$D$2500,$A30,'Chapter Data'!$G$2:$G$2500,"&lt;&gt;")=0,"",SUMIFS('Chapter Data'!$G$2:$G$2500,'Chapter Data'!$A$2:$A$2500,P$2,'Chapter Data'!$D$2:$D$2500,$A30)))</f>
        <v>2.922</v>
      </c>
      <c r="Q30" s="25" t="n">
        <f aca="false">IF($A30="","",IF(COUNTIFS('Chapter Data'!$A$2:$A$2500,Q$2,'Chapter Data'!$D$2:$D$2500,$A30,'Chapter Data'!$G$2:$G$2500,"&lt;&gt;")=0,"",SUMIFS('Chapter Data'!$G$2:$G$2500,'Chapter Data'!$A$2:$A$2500,Q$2,'Chapter Data'!$D$2:$D$2500,$A30)))</f>
        <v>2.807</v>
      </c>
      <c r="R30" s="25" t="str">
        <f aca="false">IF($A30="","",IF(COUNTIFS('Chapter Data'!$A$2:$A$2500,R$2,'Chapter Data'!$D$2:$D$2500,$A30,'Chapter Data'!$G$2:$G$2500,"&lt;&gt;")=0,"",SUMIFS('Chapter Data'!$G$2:$G$2500,'Chapter Data'!$A$2:$A$2500,R$2,'Chapter Data'!$D$2:$D$2500,$A30)))</f>
        <v/>
      </c>
      <c r="S30" s="25" t="str">
        <f aca="false">IF($A30="","",IF(COUNTIFS('Chapter Data'!$A$2:$A$2500,S$2,'Chapter Data'!$D$2:$D$2500,$A30,'Chapter Data'!$G$2:$G$2500,"&lt;&gt;")=0,"",SUMIFS('Chapter Data'!$G$2:$G$2500,'Chapter Data'!$A$2:$A$2500,S$2,'Chapter Data'!$D$2:$D$2500,$A30)))</f>
        <v/>
      </c>
      <c r="T30" s="25" t="str">
        <f aca="false">IF($A30="","",IF(COUNTIFS('Chapter Data'!$A$2:$A$2500,T$2,'Chapter Data'!$D$2:$D$2500,$A30,'Chapter Data'!$G$2:$G$2500,"&lt;&gt;")=0,"",SUMIFS('Chapter Data'!$G$2:$G$2500,'Chapter Data'!$A$2:$A$2500,T$2,'Chapter Data'!$D$2:$D$2500,$A30)))</f>
        <v/>
      </c>
      <c r="U30" s="25" t="str">
        <f aca="false">IF($A30="","",IF(COUNTIFS('Chapter Data'!$A$2:$A$2500,U$2,'Chapter Data'!$D$2:$D$2500,$A30,'Chapter Data'!$G$2:$G$2500,"&lt;&gt;")=0,"",SUMIFS('Chapter Data'!$G$2:$G$2500,'Chapter Data'!$A$2:$A$2500,U$2,'Chapter Data'!$D$2:$D$2500,$A30)))</f>
        <v/>
      </c>
    </row>
    <row r="31" customFormat="false" ht="15" hidden="false" customHeight="false" outlineLevel="0" collapsed="false">
      <c r="A31" s="8" t="str">
        <f aca="false">IF(Lists!$D$30="","",Lists!$D$30)</f>
        <v>Theta Xi</v>
      </c>
      <c r="B31" s="25" t="n">
        <f aca="false">IF($A31="","",IF(COUNTIFS('Chapter Data'!$A$2:$A$2500,B$2,'Chapter Data'!$D$2:$D$2500,$A31,'Chapter Data'!$G$2:$G$2500,"&lt;&gt;")=0,"",SUMIFS('Chapter Data'!$G$2:$G$2500,'Chapter Data'!$A$2:$A$2500,B$2,'Chapter Data'!$D$2:$D$2500,$A31)))</f>
        <v>2.733</v>
      </c>
      <c r="C31" s="25" t="n">
        <f aca="false">IF($A31="","",IF(COUNTIFS('Chapter Data'!$A$2:$A$2500,C$2,'Chapter Data'!$D$2:$D$2500,$A31,'Chapter Data'!$G$2:$G$2500,"&lt;&gt;")=0,"",SUMIFS('Chapter Data'!$G$2:$G$2500,'Chapter Data'!$A$2:$A$2500,C$2,'Chapter Data'!$D$2:$D$2500,$A31)))</f>
        <v>2.919</v>
      </c>
      <c r="D31" s="25" t="n">
        <f aca="false">IF($A31="","",IF(COUNTIFS('Chapter Data'!$A$2:$A$2500,D$2,'Chapter Data'!$D$2:$D$2500,$A31,'Chapter Data'!$G$2:$G$2500,"&lt;&gt;")=0,"",SUMIFS('Chapter Data'!$G$2:$G$2500,'Chapter Data'!$A$2:$A$2500,D$2,'Chapter Data'!$D$2:$D$2500,$A31)))</f>
        <v>2.819</v>
      </c>
      <c r="E31" s="25" t="str">
        <f aca="false">IF($A31="","",IF(COUNTIFS('Chapter Data'!$A$2:$A$2500,E$2,'Chapter Data'!$D$2:$D$2500,$A31,'Chapter Data'!$G$2:$G$2500,"&lt;&gt;")=0,"",SUMIFS('Chapter Data'!$G$2:$G$2500,'Chapter Data'!$A$2:$A$2500,E$2,'Chapter Data'!$D$2:$D$2500,$A31)))</f>
        <v/>
      </c>
      <c r="F31" s="25" t="n">
        <f aca="false">IF($A31="","",IF(COUNTIFS('Chapter Data'!$A$2:$A$2500,F$2,'Chapter Data'!$D$2:$D$2500,$A31,'Chapter Data'!$G$2:$G$2500,"&lt;&gt;")=0,"",SUMIFS('Chapter Data'!$G$2:$G$2500,'Chapter Data'!$A$2:$A$2500,F$2,'Chapter Data'!$D$2:$D$2500,$A31)))</f>
        <v>2.957</v>
      </c>
      <c r="G31" s="25" t="n">
        <f aca="false">IF($A31="","",IF(COUNTIFS('Chapter Data'!$A$2:$A$2500,G$2,'Chapter Data'!$D$2:$D$2500,$A31,'Chapter Data'!$G$2:$G$2500,"&lt;&gt;")=0,"",SUMIFS('Chapter Data'!$G$2:$G$2500,'Chapter Data'!$A$2:$A$2500,G$2,'Chapter Data'!$D$2:$D$2500,$A31)))</f>
        <v>3.267</v>
      </c>
      <c r="H31" s="25" t="n">
        <f aca="false">IF($A31="","",IF(COUNTIFS('Chapter Data'!$A$2:$A$2500,H$2,'Chapter Data'!$D$2:$D$2500,$A31,'Chapter Data'!$G$2:$G$2500,"&lt;&gt;")=0,"",SUMIFS('Chapter Data'!$G$2:$G$2500,'Chapter Data'!$A$2:$A$2500,H$2,'Chapter Data'!$D$2:$D$2500,$A31)))</f>
        <v>3.167</v>
      </c>
      <c r="I31" s="25" t="n">
        <f aca="false">IF($A31="","",IF(COUNTIFS('Chapter Data'!$A$2:$A$2500,I$2,'Chapter Data'!$D$2:$D$2500,$A31,'Chapter Data'!$G$2:$G$2500,"&lt;&gt;")=0,"",SUMIFS('Chapter Data'!$G$2:$G$2500,'Chapter Data'!$A$2:$A$2500,I$2,'Chapter Data'!$D$2:$D$2500,$A31)))</f>
        <v>3.316</v>
      </c>
      <c r="J31" s="25" t="n">
        <f aca="false">IF($A31="","",IF(COUNTIFS('Chapter Data'!$A$2:$A$2500,J$2,'Chapter Data'!$D$2:$D$2500,$A31,'Chapter Data'!$G$2:$G$2500,"&lt;&gt;")=0,"",SUMIFS('Chapter Data'!$G$2:$G$2500,'Chapter Data'!$A$2:$A$2500,J$2,'Chapter Data'!$D$2:$D$2500,$A31)))</f>
        <v>3.096</v>
      </c>
      <c r="K31" s="25" t="n">
        <f aca="false">IF($A31="","",IF(COUNTIFS('Chapter Data'!$A$2:$A$2500,K$2,'Chapter Data'!$D$2:$D$2500,$A31,'Chapter Data'!$G$2:$G$2500,"&lt;&gt;")=0,"",SUMIFS('Chapter Data'!$G$2:$G$2500,'Chapter Data'!$A$2:$A$2500,K$2,'Chapter Data'!$D$2:$D$2500,$A31)))</f>
        <v>3.121</v>
      </c>
      <c r="L31" s="25" t="n">
        <f aca="false">IF($A31="","",IF(COUNTIFS('Chapter Data'!$A$2:$A$2500,L$2,'Chapter Data'!$D$2:$D$2500,$A31,'Chapter Data'!$G$2:$G$2500,"&lt;&gt;")=0,"",SUMIFS('Chapter Data'!$G$2:$G$2500,'Chapter Data'!$A$2:$A$2500,L$2,'Chapter Data'!$D$2:$D$2500,$A31)))</f>
        <v>2.997</v>
      </c>
      <c r="M31" s="25" t="n">
        <f aca="false">IF($A31="","",IF(COUNTIFS('Chapter Data'!$A$2:$A$2500,M$2,'Chapter Data'!$D$2:$D$2500,$A31,'Chapter Data'!$G$2:$G$2500,"&lt;&gt;")=0,"",SUMIFS('Chapter Data'!$G$2:$G$2500,'Chapter Data'!$A$2:$A$2500,M$2,'Chapter Data'!$D$2:$D$2500,$A31)))</f>
        <v>3.321</v>
      </c>
      <c r="N31" s="25" t="n">
        <f aca="false">IF($A31="","",IF(COUNTIFS('Chapter Data'!$A$2:$A$2500,N$2,'Chapter Data'!$D$2:$D$2500,$A31,'Chapter Data'!$G$2:$G$2500,"&lt;&gt;")=0,"",SUMIFS('Chapter Data'!$G$2:$G$2500,'Chapter Data'!$A$2:$A$2500,N$2,'Chapter Data'!$D$2:$D$2500,$A31)))</f>
        <v>3.216</v>
      </c>
      <c r="O31" s="25" t="n">
        <f aca="false">IF($A31="","",IF(COUNTIFS('Chapter Data'!$A$2:$A$2500,O$2,'Chapter Data'!$D$2:$D$2500,$A31,'Chapter Data'!$G$2:$G$2500,"&lt;&gt;")=0,"",SUMIFS('Chapter Data'!$G$2:$G$2500,'Chapter Data'!$A$2:$A$2500,O$2,'Chapter Data'!$D$2:$D$2500,$A31)))</f>
        <v>3.053</v>
      </c>
      <c r="P31" s="25" t="n">
        <f aca="false">IF($A31="","",IF(COUNTIFS('Chapter Data'!$A$2:$A$2500,P$2,'Chapter Data'!$D$2:$D$2500,$A31,'Chapter Data'!$G$2:$G$2500,"&lt;&gt;")=0,"",SUMIFS('Chapter Data'!$G$2:$G$2500,'Chapter Data'!$A$2:$A$2500,P$2,'Chapter Data'!$D$2:$D$2500,$A31)))</f>
        <v>3.033</v>
      </c>
      <c r="Q31" s="25" t="n">
        <f aca="false">IF($A31="","",IF(COUNTIFS('Chapter Data'!$A$2:$A$2500,Q$2,'Chapter Data'!$D$2:$D$2500,$A31,'Chapter Data'!$G$2:$G$2500,"&lt;&gt;")=0,"",SUMIFS('Chapter Data'!$G$2:$G$2500,'Chapter Data'!$A$2:$A$2500,Q$2,'Chapter Data'!$D$2:$D$2500,$A31)))</f>
        <v>3.163</v>
      </c>
      <c r="R31" s="25" t="str">
        <f aca="false">IF($A31="","",IF(COUNTIFS('Chapter Data'!$A$2:$A$2500,R$2,'Chapter Data'!$D$2:$D$2500,$A31,'Chapter Data'!$G$2:$G$2500,"&lt;&gt;")=0,"",SUMIFS('Chapter Data'!$G$2:$G$2500,'Chapter Data'!$A$2:$A$2500,R$2,'Chapter Data'!$D$2:$D$2500,$A31)))</f>
        <v/>
      </c>
      <c r="S31" s="25" t="str">
        <f aca="false">IF($A31="","",IF(COUNTIFS('Chapter Data'!$A$2:$A$2500,S$2,'Chapter Data'!$D$2:$D$2500,$A31,'Chapter Data'!$G$2:$G$2500,"&lt;&gt;")=0,"",SUMIFS('Chapter Data'!$G$2:$G$2500,'Chapter Data'!$A$2:$A$2500,S$2,'Chapter Data'!$D$2:$D$2500,$A31)))</f>
        <v/>
      </c>
      <c r="T31" s="25" t="str">
        <f aca="false">IF($A31="","",IF(COUNTIFS('Chapter Data'!$A$2:$A$2500,T$2,'Chapter Data'!$D$2:$D$2500,$A31,'Chapter Data'!$G$2:$G$2500,"&lt;&gt;")=0,"",SUMIFS('Chapter Data'!$G$2:$G$2500,'Chapter Data'!$A$2:$A$2500,T$2,'Chapter Data'!$D$2:$D$2500,$A31)))</f>
        <v/>
      </c>
      <c r="U31" s="25" t="str">
        <f aca="false">IF($A31="","",IF(COUNTIFS('Chapter Data'!$A$2:$A$2500,U$2,'Chapter Data'!$D$2:$D$2500,$A31,'Chapter Data'!$G$2:$G$2500,"&lt;&gt;")=0,"",SUMIFS('Chapter Data'!$G$2:$G$2500,'Chapter Data'!$A$2:$A$2500,U$2,'Chapter Data'!$D$2:$D$2500,$A31)))</f>
        <v/>
      </c>
    </row>
    <row r="32" customFormat="false" ht="15" hidden="false" customHeight="false" outlineLevel="0" collapsed="false">
      <c r="A32" s="8" t="str">
        <f aca="false">IF(Lists!$D$31="","",Lists!$D$31)</f>
        <v>Triangle</v>
      </c>
      <c r="B32" s="25" t="n">
        <f aca="false">IF($A32="","",IF(COUNTIFS('Chapter Data'!$A$2:$A$2500,B$2,'Chapter Data'!$D$2:$D$2500,$A32,'Chapter Data'!$G$2:$G$2500,"&lt;&gt;")=0,"",SUMIFS('Chapter Data'!$G$2:$G$2500,'Chapter Data'!$A$2:$A$2500,B$2,'Chapter Data'!$D$2:$D$2500,$A32)))</f>
        <v>2.898</v>
      </c>
      <c r="C32" s="25" t="n">
        <f aca="false">IF($A32="","",IF(COUNTIFS('Chapter Data'!$A$2:$A$2500,C$2,'Chapter Data'!$D$2:$D$2500,$A32,'Chapter Data'!$G$2:$G$2500,"&lt;&gt;")=0,"",SUMIFS('Chapter Data'!$G$2:$G$2500,'Chapter Data'!$A$2:$A$2500,C$2,'Chapter Data'!$D$2:$D$2500,$A32)))</f>
        <v>2.695</v>
      </c>
      <c r="D32" s="25" t="n">
        <f aca="false">IF($A32="","",IF(COUNTIFS('Chapter Data'!$A$2:$A$2500,D$2,'Chapter Data'!$D$2:$D$2500,$A32,'Chapter Data'!$G$2:$G$2500,"&lt;&gt;")=0,"",SUMIFS('Chapter Data'!$G$2:$G$2500,'Chapter Data'!$A$2:$A$2500,D$2,'Chapter Data'!$D$2:$D$2500,$A32)))</f>
        <v>3.152</v>
      </c>
      <c r="E32" s="25" t="str">
        <f aca="false">IF($A32="","",IF(COUNTIFS('Chapter Data'!$A$2:$A$2500,E$2,'Chapter Data'!$D$2:$D$2500,$A32,'Chapter Data'!$G$2:$G$2500,"&lt;&gt;")=0,"",SUMIFS('Chapter Data'!$G$2:$G$2500,'Chapter Data'!$A$2:$A$2500,E$2,'Chapter Data'!$D$2:$D$2500,$A32)))</f>
        <v/>
      </c>
      <c r="F32" s="25" t="n">
        <f aca="false">IF($A32="","",IF(COUNTIFS('Chapter Data'!$A$2:$A$2500,F$2,'Chapter Data'!$D$2:$D$2500,$A32,'Chapter Data'!$G$2:$G$2500,"&lt;&gt;")=0,"",SUMIFS('Chapter Data'!$G$2:$G$2500,'Chapter Data'!$A$2:$A$2500,F$2,'Chapter Data'!$D$2:$D$2500,$A32)))</f>
        <v>2.97</v>
      </c>
      <c r="G32" s="25" t="n">
        <f aca="false">IF($A32="","",IF(COUNTIFS('Chapter Data'!$A$2:$A$2500,G$2,'Chapter Data'!$D$2:$D$2500,$A32,'Chapter Data'!$G$2:$G$2500,"&lt;&gt;")=0,"",SUMIFS('Chapter Data'!$G$2:$G$2500,'Chapter Data'!$A$2:$A$2500,G$2,'Chapter Data'!$D$2:$D$2500,$A32)))</f>
        <v>3.15</v>
      </c>
      <c r="H32" s="25" t="n">
        <f aca="false">IF($A32="","",IF(COUNTIFS('Chapter Data'!$A$2:$A$2500,H$2,'Chapter Data'!$D$2:$D$2500,$A32,'Chapter Data'!$G$2:$G$2500,"&lt;&gt;")=0,"",SUMIFS('Chapter Data'!$G$2:$G$2500,'Chapter Data'!$A$2:$A$2500,H$2,'Chapter Data'!$D$2:$D$2500,$A32)))</f>
        <v>3.055</v>
      </c>
      <c r="I32" s="25" t="n">
        <f aca="false">IF($A32="","",IF(COUNTIFS('Chapter Data'!$A$2:$A$2500,I$2,'Chapter Data'!$D$2:$D$2500,$A32,'Chapter Data'!$G$2:$G$2500,"&lt;&gt;")=0,"",SUMIFS('Chapter Data'!$G$2:$G$2500,'Chapter Data'!$A$2:$A$2500,I$2,'Chapter Data'!$D$2:$D$2500,$A32)))</f>
        <v>3.223</v>
      </c>
      <c r="J32" s="25" t="n">
        <f aca="false">IF($A32="","",IF(COUNTIFS('Chapter Data'!$A$2:$A$2500,J$2,'Chapter Data'!$D$2:$D$2500,$A32,'Chapter Data'!$G$2:$G$2500,"&lt;&gt;")=0,"",SUMIFS('Chapter Data'!$G$2:$G$2500,'Chapter Data'!$A$2:$A$2500,J$2,'Chapter Data'!$D$2:$D$2500,$A32)))</f>
        <v>3.058</v>
      </c>
      <c r="K32" s="25" t="n">
        <f aca="false">IF($A32="","",IF(COUNTIFS('Chapter Data'!$A$2:$A$2500,K$2,'Chapter Data'!$D$2:$D$2500,$A32,'Chapter Data'!$G$2:$G$2500,"&lt;&gt;")=0,"",SUMIFS('Chapter Data'!$G$2:$G$2500,'Chapter Data'!$A$2:$A$2500,K$2,'Chapter Data'!$D$2:$D$2500,$A32)))</f>
        <v>2.843</v>
      </c>
      <c r="L32" s="25" t="n">
        <f aca="false">IF($A32="","",IF(COUNTIFS('Chapter Data'!$A$2:$A$2500,L$2,'Chapter Data'!$D$2:$D$2500,$A32,'Chapter Data'!$G$2:$G$2500,"&lt;&gt;")=0,"",SUMIFS('Chapter Data'!$G$2:$G$2500,'Chapter Data'!$A$2:$A$2500,L$2,'Chapter Data'!$D$2:$D$2500,$A32)))</f>
        <v>2.763</v>
      </c>
      <c r="M32" s="25" t="n">
        <f aca="false">IF($A32="","",IF(COUNTIFS('Chapter Data'!$A$2:$A$2500,M$2,'Chapter Data'!$D$2:$D$2500,$A32,'Chapter Data'!$G$2:$G$2500,"&lt;&gt;")=0,"",SUMIFS('Chapter Data'!$G$2:$G$2500,'Chapter Data'!$A$2:$A$2500,M$2,'Chapter Data'!$D$2:$D$2500,$A32)))</f>
        <v>2.495</v>
      </c>
      <c r="N32" s="25" t="n">
        <f aca="false">IF($A32="","",IF(COUNTIFS('Chapter Data'!$A$2:$A$2500,N$2,'Chapter Data'!$D$2:$D$2500,$A32,'Chapter Data'!$G$2:$G$2500,"&lt;&gt;")=0,"",SUMIFS('Chapter Data'!$G$2:$G$2500,'Chapter Data'!$A$2:$A$2500,N$2,'Chapter Data'!$D$2:$D$2500,$A32)))</f>
        <v>2.862</v>
      </c>
      <c r="O32" s="25" t="n">
        <f aca="false">IF($A32="","",IF(COUNTIFS('Chapter Data'!$A$2:$A$2500,O$2,'Chapter Data'!$D$2:$D$2500,$A32,'Chapter Data'!$G$2:$G$2500,"&lt;&gt;")=0,"",SUMIFS('Chapter Data'!$G$2:$G$2500,'Chapter Data'!$A$2:$A$2500,O$2,'Chapter Data'!$D$2:$D$2500,$A32)))</f>
        <v>2.706</v>
      </c>
      <c r="P32" s="25" t="n">
        <f aca="false">IF($A32="","",IF(COUNTIFS('Chapter Data'!$A$2:$A$2500,P$2,'Chapter Data'!$D$2:$D$2500,$A32,'Chapter Data'!$G$2:$G$2500,"&lt;&gt;")=0,"",SUMIFS('Chapter Data'!$G$2:$G$2500,'Chapter Data'!$A$2:$A$2500,P$2,'Chapter Data'!$D$2:$D$2500,$A32)))</f>
        <v>2.782</v>
      </c>
      <c r="Q32" s="25" t="n">
        <f aca="false">IF($A32="","",IF(COUNTIFS('Chapter Data'!$A$2:$A$2500,Q$2,'Chapter Data'!$D$2:$D$2500,$A32,'Chapter Data'!$G$2:$G$2500,"&lt;&gt;")=0,"",SUMIFS('Chapter Data'!$G$2:$G$2500,'Chapter Data'!$A$2:$A$2500,Q$2,'Chapter Data'!$D$2:$D$2500,$A32)))</f>
        <v>3.058</v>
      </c>
      <c r="R32" s="25" t="str">
        <f aca="false">IF($A32="","",IF(COUNTIFS('Chapter Data'!$A$2:$A$2500,R$2,'Chapter Data'!$D$2:$D$2500,$A32,'Chapter Data'!$G$2:$G$2500,"&lt;&gt;")=0,"",SUMIFS('Chapter Data'!$G$2:$G$2500,'Chapter Data'!$A$2:$A$2500,R$2,'Chapter Data'!$D$2:$D$2500,$A32)))</f>
        <v/>
      </c>
      <c r="S32" s="25" t="str">
        <f aca="false">IF($A32="","",IF(COUNTIFS('Chapter Data'!$A$2:$A$2500,S$2,'Chapter Data'!$D$2:$D$2500,$A32,'Chapter Data'!$G$2:$G$2500,"&lt;&gt;")=0,"",SUMIFS('Chapter Data'!$G$2:$G$2500,'Chapter Data'!$A$2:$A$2500,S$2,'Chapter Data'!$D$2:$D$2500,$A32)))</f>
        <v/>
      </c>
      <c r="T32" s="25" t="str">
        <f aca="false">IF($A32="","",IF(COUNTIFS('Chapter Data'!$A$2:$A$2500,T$2,'Chapter Data'!$D$2:$D$2500,$A32,'Chapter Data'!$G$2:$G$2500,"&lt;&gt;")=0,"",SUMIFS('Chapter Data'!$G$2:$G$2500,'Chapter Data'!$A$2:$A$2500,T$2,'Chapter Data'!$D$2:$D$2500,$A32)))</f>
        <v/>
      </c>
      <c r="U32" s="25" t="str">
        <f aca="false">IF($A32="","",IF(COUNTIFS('Chapter Data'!$A$2:$A$2500,U$2,'Chapter Data'!$D$2:$D$2500,$A32,'Chapter Data'!$G$2:$G$2500,"&lt;&gt;")=0,"",SUMIFS('Chapter Data'!$G$2:$G$2500,'Chapter Data'!$A$2:$A$2500,U$2,'Chapter Data'!$D$2:$D$2500,$A32)))</f>
        <v/>
      </c>
    </row>
    <row r="33" customFormat="false" ht="15" hidden="false" customHeight="false" outlineLevel="0" collapsed="false">
      <c r="A33" s="8" t="str">
        <f aca="false">IF(Lists!$D$32="","",Lists!$D$32)</f>
        <v/>
      </c>
      <c r="B33" s="25" t="str">
        <f aca="false">IF($A33="","",IF(COUNTIFS('Chapter Data'!$A$2:$A$2500,B$2,'Chapter Data'!$D$2:$D$2500,$A33,'Chapter Data'!$G$2:$G$2500,"&lt;&gt;")=0,"",SUMIFS('Chapter Data'!$G$2:$G$2500,'Chapter Data'!$A$2:$A$2500,B$2,'Chapter Data'!$D$2:$D$2500,$A33)))</f>
        <v/>
      </c>
      <c r="C33" s="25" t="str">
        <f aca="false">IF($A33="","",IF(COUNTIFS('Chapter Data'!$A$2:$A$2500,C$2,'Chapter Data'!$D$2:$D$2500,$A33,'Chapter Data'!$G$2:$G$2500,"&lt;&gt;")=0,"",SUMIFS('Chapter Data'!$G$2:$G$2500,'Chapter Data'!$A$2:$A$2500,C$2,'Chapter Data'!$D$2:$D$2500,$A33)))</f>
        <v/>
      </c>
      <c r="D33" s="25" t="str">
        <f aca="false">IF($A33="","",IF(COUNTIFS('Chapter Data'!$A$2:$A$2500,D$2,'Chapter Data'!$D$2:$D$2500,$A33,'Chapter Data'!$G$2:$G$2500,"&lt;&gt;")=0,"",SUMIFS('Chapter Data'!$G$2:$G$2500,'Chapter Data'!$A$2:$A$2500,D$2,'Chapter Data'!$D$2:$D$2500,$A33)))</f>
        <v/>
      </c>
      <c r="E33" s="25" t="str">
        <f aca="false">IF($A33="","",IF(COUNTIFS('Chapter Data'!$A$2:$A$2500,E$2,'Chapter Data'!$D$2:$D$2500,$A33,'Chapter Data'!$G$2:$G$2500,"&lt;&gt;")=0,"",SUMIFS('Chapter Data'!$G$2:$G$2500,'Chapter Data'!$A$2:$A$2500,E$2,'Chapter Data'!$D$2:$D$2500,$A33)))</f>
        <v/>
      </c>
      <c r="F33" s="25" t="str">
        <f aca="false">IF($A33="","",IF(COUNTIFS('Chapter Data'!$A$2:$A$2500,F$2,'Chapter Data'!$D$2:$D$2500,$A33,'Chapter Data'!$G$2:$G$2500,"&lt;&gt;")=0,"",SUMIFS('Chapter Data'!$G$2:$G$2500,'Chapter Data'!$A$2:$A$2500,F$2,'Chapter Data'!$D$2:$D$2500,$A33)))</f>
        <v/>
      </c>
      <c r="G33" s="25" t="str">
        <f aca="false">IF($A33="","",IF(COUNTIFS('Chapter Data'!$A$2:$A$2500,G$2,'Chapter Data'!$D$2:$D$2500,$A33,'Chapter Data'!$G$2:$G$2500,"&lt;&gt;")=0,"",SUMIFS('Chapter Data'!$G$2:$G$2500,'Chapter Data'!$A$2:$A$2500,G$2,'Chapter Data'!$D$2:$D$2500,$A33)))</f>
        <v/>
      </c>
      <c r="H33" s="25" t="str">
        <f aca="false">IF($A33="","",IF(COUNTIFS('Chapter Data'!$A$2:$A$2500,H$2,'Chapter Data'!$D$2:$D$2500,$A33,'Chapter Data'!$G$2:$G$2500,"&lt;&gt;")=0,"",SUMIFS('Chapter Data'!$G$2:$G$2500,'Chapter Data'!$A$2:$A$2500,H$2,'Chapter Data'!$D$2:$D$2500,$A33)))</f>
        <v/>
      </c>
      <c r="I33" s="25" t="str">
        <f aca="false">IF($A33="","",IF(COUNTIFS('Chapter Data'!$A$2:$A$2500,I$2,'Chapter Data'!$D$2:$D$2500,$A33,'Chapter Data'!$G$2:$G$2500,"&lt;&gt;")=0,"",SUMIFS('Chapter Data'!$G$2:$G$2500,'Chapter Data'!$A$2:$A$2500,I$2,'Chapter Data'!$D$2:$D$2500,$A33)))</f>
        <v/>
      </c>
      <c r="J33" s="25" t="str">
        <f aca="false">IF($A33="","",IF(COUNTIFS('Chapter Data'!$A$2:$A$2500,J$2,'Chapter Data'!$D$2:$D$2500,$A33,'Chapter Data'!$G$2:$G$2500,"&lt;&gt;")=0,"",SUMIFS('Chapter Data'!$G$2:$G$2500,'Chapter Data'!$A$2:$A$2500,J$2,'Chapter Data'!$D$2:$D$2500,$A33)))</f>
        <v/>
      </c>
      <c r="K33" s="25" t="str">
        <f aca="false">IF($A33="","",IF(COUNTIFS('Chapter Data'!$A$2:$A$2500,K$2,'Chapter Data'!$D$2:$D$2500,$A33,'Chapter Data'!$G$2:$G$2500,"&lt;&gt;")=0,"",SUMIFS('Chapter Data'!$G$2:$G$2500,'Chapter Data'!$A$2:$A$2500,K$2,'Chapter Data'!$D$2:$D$2500,$A33)))</f>
        <v/>
      </c>
      <c r="L33" s="25" t="str">
        <f aca="false">IF($A33="","",IF(COUNTIFS('Chapter Data'!$A$2:$A$2500,L$2,'Chapter Data'!$D$2:$D$2500,$A33,'Chapter Data'!$G$2:$G$2500,"&lt;&gt;")=0,"",SUMIFS('Chapter Data'!$G$2:$G$2500,'Chapter Data'!$A$2:$A$2500,L$2,'Chapter Data'!$D$2:$D$2500,$A33)))</f>
        <v/>
      </c>
      <c r="M33" s="25" t="str">
        <f aca="false">IF($A33="","",IF(COUNTIFS('Chapter Data'!$A$2:$A$2500,M$2,'Chapter Data'!$D$2:$D$2500,$A33,'Chapter Data'!$G$2:$G$2500,"&lt;&gt;")=0,"",SUMIFS('Chapter Data'!$G$2:$G$2500,'Chapter Data'!$A$2:$A$2500,M$2,'Chapter Data'!$D$2:$D$2500,$A33)))</f>
        <v/>
      </c>
      <c r="N33" s="25" t="str">
        <f aca="false">IF($A33="","",IF(COUNTIFS('Chapter Data'!$A$2:$A$2500,N$2,'Chapter Data'!$D$2:$D$2500,$A33,'Chapter Data'!$G$2:$G$2500,"&lt;&gt;")=0,"",SUMIFS('Chapter Data'!$G$2:$G$2500,'Chapter Data'!$A$2:$A$2500,N$2,'Chapter Data'!$D$2:$D$2500,$A33)))</f>
        <v/>
      </c>
      <c r="O33" s="25" t="str">
        <f aca="false">IF($A33="","",IF(COUNTIFS('Chapter Data'!$A$2:$A$2500,O$2,'Chapter Data'!$D$2:$D$2500,$A33,'Chapter Data'!$G$2:$G$2500,"&lt;&gt;")=0,"",SUMIFS('Chapter Data'!$G$2:$G$2500,'Chapter Data'!$A$2:$A$2500,O$2,'Chapter Data'!$D$2:$D$2500,$A33)))</f>
        <v/>
      </c>
      <c r="P33" s="25" t="str">
        <f aca="false">IF($A33="","",IF(COUNTIFS('Chapter Data'!$A$2:$A$2500,P$2,'Chapter Data'!$D$2:$D$2500,$A33,'Chapter Data'!$G$2:$G$2500,"&lt;&gt;")=0,"",SUMIFS('Chapter Data'!$G$2:$G$2500,'Chapter Data'!$A$2:$A$2500,P$2,'Chapter Data'!$D$2:$D$2500,$A33)))</f>
        <v/>
      </c>
      <c r="Q33" s="25" t="str">
        <f aca="false">IF($A33="","",IF(COUNTIFS('Chapter Data'!$A$2:$A$2500,Q$2,'Chapter Data'!$D$2:$D$2500,$A33,'Chapter Data'!$G$2:$G$2500,"&lt;&gt;")=0,"",SUMIFS('Chapter Data'!$G$2:$G$2500,'Chapter Data'!$A$2:$A$2500,Q$2,'Chapter Data'!$D$2:$D$2500,$A33)))</f>
        <v/>
      </c>
      <c r="R33" s="25" t="str">
        <f aca="false">IF($A33="","",IF(COUNTIFS('Chapter Data'!$A$2:$A$2500,R$2,'Chapter Data'!$D$2:$D$2500,$A33,'Chapter Data'!$G$2:$G$2500,"&lt;&gt;")=0,"",SUMIFS('Chapter Data'!$G$2:$G$2500,'Chapter Data'!$A$2:$A$2500,R$2,'Chapter Data'!$D$2:$D$2500,$A33)))</f>
        <v/>
      </c>
      <c r="S33" s="25" t="str">
        <f aca="false">IF($A33="","",IF(COUNTIFS('Chapter Data'!$A$2:$A$2500,S$2,'Chapter Data'!$D$2:$D$2500,$A33,'Chapter Data'!$G$2:$G$2500,"&lt;&gt;")=0,"",SUMIFS('Chapter Data'!$G$2:$G$2500,'Chapter Data'!$A$2:$A$2500,S$2,'Chapter Data'!$D$2:$D$2500,$A33)))</f>
        <v/>
      </c>
      <c r="T33" s="25" t="str">
        <f aca="false">IF($A33="","",IF(COUNTIFS('Chapter Data'!$A$2:$A$2500,T$2,'Chapter Data'!$D$2:$D$2500,$A33,'Chapter Data'!$G$2:$G$2500,"&lt;&gt;")=0,"",SUMIFS('Chapter Data'!$G$2:$G$2500,'Chapter Data'!$A$2:$A$2500,T$2,'Chapter Data'!$D$2:$D$2500,$A33)))</f>
        <v/>
      </c>
      <c r="U33" s="25" t="str">
        <f aca="false">IF($A33="","",IF(COUNTIFS('Chapter Data'!$A$2:$A$2500,U$2,'Chapter Data'!$D$2:$D$2500,$A33,'Chapter Data'!$G$2:$G$2500,"&lt;&gt;")=0,"",SUMIFS('Chapter Data'!$G$2:$G$2500,'Chapter Data'!$A$2:$A$2500,U$2,'Chapter Data'!$D$2:$D$2500,$A33)))</f>
        <v/>
      </c>
    </row>
    <row r="34" customFormat="false" ht="15" hidden="false" customHeight="false" outlineLevel="0" collapsed="false">
      <c r="A34" s="8" t="str">
        <f aca="false">IF(Lists!$D$33="","",Lists!$D$33)</f>
        <v/>
      </c>
      <c r="B34" s="25" t="str">
        <f aca="false">IF($A34="","",IF(COUNTIFS('Chapter Data'!$A$2:$A$2500,B$2,'Chapter Data'!$D$2:$D$2500,$A34,'Chapter Data'!$G$2:$G$2500,"&lt;&gt;")=0,"",SUMIFS('Chapter Data'!$G$2:$G$2500,'Chapter Data'!$A$2:$A$2500,B$2,'Chapter Data'!$D$2:$D$2500,$A34)))</f>
        <v/>
      </c>
      <c r="C34" s="25" t="str">
        <f aca="false">IF($A34="","",IF(COUNTIFS('Chapter Data'!$A$2:$A$2500,C$2,'Chapter Data'!$D$2:$D$2500,$A34,'Chapter Data'!$G$2:$G$2500,"&lt;&gt;")=0,"",SUMIFS('Chapter Data'!$G$2:$G$2500,'Chapter Data'!$A$2:$A$2500,C$2,'Chapter Data'!$D$2:$D$2500,$A34)))</f>
        <v/>
      </c>
      <c r="D34" s="25" t="str">
        <f aca="false">IF($A34="","",IF(COUNTIFS('Chapter Data'!$A$2:$A$2500,D$2,'Chapter Data'!$D$2:$D$2500,$A34,'Chapter Data'!$G$2:$G$2500,"&lt;&gt;")=0,"",SUMIFS('Chapter Data'!$G$2:$G$2500,'Chapter Data'!$A$2:$A$2500,D$2,'Chapter Data'!$D$2:$D$2500,$A34)))</f>
        <v/>
      </c>
      <c r="E34" s="25" t="str">
        <f aca="false">IF($A34="","",IF(COUNTIFS('Chapter Data'!$A$2:$A$2500,E$2,'Chapter Data'!$D$2:$D$2500,$A34,'Chapter Data'!$G$2:$G$2500,"&lt;&gt;")=0,"",SUMIFS('Chapter Data'!$G$2:$G$2500,'Chapter Data'!$A$2:$A$2500,E$2,'Chapter Data'!$D$2:$D$2500,$A34)))</f>
        <v/>
      </c>
      <c r="F34" s="25" t="str">
        <f aca="false">IF($A34="","",IF(COUNTIFS('Chapter Data'!$A$2:$A$2500,F$2,'Chapter Data'!$D$2:$D$2500,$A34,'Chapter Data'!$G$2:$G$2500,"&lt;&gt;")=0,"",SUMIFS('Chapter Data'!$G$2:$G$2500,'Chapter Data'!$A$2:$A$2500,F$2,'Chapter Data'!$D$2:$D$2500,$A34)))</f>
        <v/>
      </c>
      <c r="G34" s="25" t="str">
        <f aca="false">IF($A34="","",IF(COUNTIFS('Chapter Data'!$A$2:$A$2500,G$2,'Chapter Data'!$D$2:$D$2500,$A34,'Chapter Data'!$G$2:$G$2500,"&lt;&gt;")=0,"",SUMIFS('Chapter Data'!$G$2:$G$2500,'Chapter Data'!$A$2:$A$2500,G$2,'Chapter Data'!$D$2:$D$2500,$A34)))</f>
        <v/>
      </c>
      <c r="H34" s="25" t="str">
        <f aca="false">IF($A34="","",IF(COUNTIFS('Chapter Data'!$A$2:$A$2500,H$2,'Chapter Data'!$D$2:$D$2500,$A34,'Chapter Data'!$G$2:$G$2500,"&lt;&gt;")=0,"",SUMIFS('Chapter Data'!$G$2:$G$2500,'Chapter Data'!$A$2:$A$2500,H$2,'Chapter Data'!$D$2:$D$2500,$A34)))</f>
        <v/>
      </c>
      <c r="I34" s="25" t="str">
        <f aca="false">IF($A34="","",IF(COUNTIFS('Chapter Data'!$A$2:$A$2500,I$2,'Chapter Data'!$D$2:$D$2500,$A34,'Chapter Data'!$G$2:$G$2500,"&lt;&gt;")=0,"",SUMIFS('Chapter Data'!$G$2:$G$2500,'Chapter Data'!$A$2:$A$2500,I$2,'Chapter Data'!$D$2:$D$2500,$A34)))</f>
        <v/>
      </c>
      <c r="J34" s="25" t="str">
        <f aca="false">IF($A34="","",IF(COUNTIFS('Chapter Data'!$A$2:$A$2500,J$2,'Chapter Data'!$D$2:$D$2500,$A34,'Chapter Data'!$G$2:$G$2500,"&lt;&gt;")=0,"",SUMIFS('Chapter Data'!$G$2:$G$2500,'Chapter Data'!$A$2:$A$2500,J$2,'Chapter Data'!$D$2:$D$2500,$A34)))</f>
        <v/>
      </c>
      <c r="K34" s="25" t="str">
        <f aca="false">IF($A34="","",IF(COUNTIFS('Chapter Data'!$A$2:$A$2500,K$2,'Chapter Data'!$D$2:$D$2500,$A34,'Chapter Data'!$G$2:$G$2500,"&lt;&gt;")=0,"",SUMIFS('Chapter Data'!$G$2:$G$2500,'Chapter Data'!$A$2:$A$2500,K$2,'Chapter Data'!$D$2:$D$2500,$A34)))</f>
        <v/>
      </c>
      <c r="L34" s="25" t="str">
        <f aca="false">IF($A34="","",IF(COUNTIFS('Chapter Data'!$A$2:$A$2500,L$2,'Chapter Data'!$D$2:$D$2500,$A34,'Chapter Data'!$G$2:$G$2500,"&lt;&gt;")=0,"",SUMIFS('Chapter Data'!$G$2:$G$2500,'Chapter Data'!$A$2:$A$2500,L$2,'Chapter Data'!$D$2:$D$2500,$A34)))</f>
        <v/>
      </c>
      <c r="M34" s="25" t="str">
        <f aca="false">IF($A34="","",IF(COUNTIFS('Chapter Data'!$A$2:$A$2500,M$2,'Chapter Data'!$D$2:$D$2500,$A34,'Chapter Data'!$G$2:$G$2500,"&lt;&gt;")=0,"",SUMIFS('Chapter Data'!$G$2:$G$2500,'Chapter Data'!$A$2:$A$2500,M$2,'Chapter Data'!$D$2:$D$2500,$A34)))</f>
        <v/>
      </c>
      <c r="N34" s="25" t="str">
        <f aca="false">IF($A34="","",IF(COUNTIFS('Chapter Data'!$A$2:$A$2500,N$2,'Chapter Data'!$D$2:$D$2500,$A34,'Chapter Data'!$G$2:$G$2500,"&lt;&gt;")=0,"",SUMIFS('Chapter Data'!$G$2:$G$2500,'Chapter Data'!$A$2:$A$2500,N$2,'Chapter Data'!$D$2:$D$2500,$A34)))</f>
        <v/>
      </c>
      <c r="O34" s="25" t="str">
        <f aca="false">IF($A34="","",IF(COUNTIFS('Chapter Data'!$A$2:$A$2500,O$2,'Chapter Data'!$D$2:$D$2500,$A34,'Chapter Data'!$G$2:$G$2500,"&lt;&gt;")=0,"",SUMIFS('Chapter Data'!$G$2:$G$2500,'Chapter Data'!$A$2:$A$2500,O$2,'Chapter Data'!$D$2:$D$2500,$A34)))</f>
        <v/>
      </c>
      <c r="P34" s="25" t="str">
        <f aca="false">IF($A34="","",IF(COUNTIFS('Chapter Data'!$A$2:$A$2500,P$2,'Chapter Data'!$D$2:$D$2500,$A34,'Chapter Data'!$G$2:$G$2500,"&lt;&gt;")=0,"",SUMIFS('Chapter Data'!$G$2:$G$2500,'Chapter Data'!$A$2:$A$2500,P$2,'Chapter Data'!$D$2:$D$2500,$A34)))</f>
        <v/>
      </c>
      <c r="Q34" s="25" t="str">
        <f aca="false">IF($A34="","",IF(COUNTIFS('Chapter Data'!$A$2:$A$2500,Q$2,'Chapter Data'!$D$2:$D$2500,$A34,'Chapter Data'!$G$2:$G$2500,"&lt;&gt;")=0,"",SUMIFS('Chapter Data'!$G$2:$G$2500,'Chapter Data'!$A$2:$A$2500,Q$2,'Chapter Data'!$D$2:$D$2500,$A34)))</f>
        <v/>
      </c>
      <c r="R34" s="25" t="str">
        <f aca="false">IF($A34="","",IF(COUNTIFS('Chapter Data'!$A$2:$A$2500,R$2,'Chapter Data'!$D$2:$D$2500,$A34,'Chapter Data'!$G$2:$G$2500,"&lt;&gt;")=0,"",SUMIFS('Chapter Data'!$G$2:$G$2500,'Chapter Data'!$A$2:$A$2500,R$2,'Chapter Data'!$D$2:$D$2500,$A34)))</f>
        <v/>
      </c>
      <c r="S34" s="25" t="str">
        <f aca="false">IF($A34="","",IF(COUNTIFS('Chapter Data'!$A$2:$A$2500,S$2,'Chapter Data'!$D$2:$D$2500,$A34,'Chapter Data'!$G$2:$G$2500,"&lt;&gt;")=0,"",SUMIFS('Chapter Data'!$G$2:$G$2500,'Chapter Data'!$A$2:$A$2500,S$2,'Chapter Data'!$D$2:$D$2500,$A34)))</f>
        <v/>
      </c>
      <c r="T34" s="25" t="str">
        <f aca="false">IF($A34="","",IF(COUNTIFS('Chapter Data'!$A$2:$A$2500,T$2,'Chapter Data'!$D$2:$D$2500,$A34,'Chapter Data'!$G$2:$G$2500,"&lt;&gt;")=0,"",SUMIFS('Chapter Data'!$G$2:$G$2500,'Chapter Data'!$A$2:$A$2500,T$2,'Chapter Data'!$D$2:$D$2500,$A34)))</f>
        <v/>
      </c>
      <c r="U34" s="25" t="str">
        <f aca="false">IF($A34="","",IF(COUNTIFS('Chapter Data'!$A$2:$A$2500,U$2,'Chapter Data'!$D$2:$D$2500,$A34,'Chapter Data'!$G$2:$G$2500,"&lt;&gt;")=0,"",SUMIFS('Chapter Data'!$G$2:$G$2500,'Chapter Data'!$A$2:$A$2500,U$2,'Chapter Data'!$D$2:$D$2500,$A34)))</f>
        <v/>
      </c>
    </row>
    <row r="35" customFormat="false" ht="15" hidden="false" customHeight="false" outlineLevel="0" collapsed="false">
      <c r="A35" s="8" t="str">
        <f aca="false">IF(Lists!$D$34="","",Lists!$D$34)</f>
        <v/>
      </c>
      <c r="B35" s="25" t="str">
        <f aca="false">IF($A35="","",IF(COUNTIFS('Chapter Data'!$A$2:$A$2500,B$2,'Chapter Data'!$D$2:$D$2500,$A35,'Chapter Data'!$G$2:$G$2500,"&lt;&gt;")=0,"",SUMIFS('Chapter Data'!$G$2:$G$2500,'Chapter Data'!$A$2:$A$2500,B$2,'Chapter Data'!$D$2:$D$2500,$A35)))</f>
        <v/>
      </c>
      <c r="C35" s="25" t="str">
        <f aca="false">IF($A35="","",IF(COUNTIFS('Chapter Data'!$A$2:$A$2500,C$2,'Chapter Data'!$D$2:$D$2500,$A35,'Chapter Data'!$G$2:$G$2500,"&lt;&gt;")=0,"",SUMIFS('Chapter Data'!$G$2:$G$2500,'Chapter Data'!$A$2:$A$2500,C$2,'Chapter Data'!$D$2:$D$2500,$A35)))</f>
        <v/>
      </c>
      <c r="D35" s="25" t="str">
        <f aca="false">IF($A35="","",IF(COUNTIFS('Chapter Data'!$A$2:$A$2500,D$2,'Chapter Data'!$D$2:$D$2500,$A35,'Chapter Data'!$G$2:$G$2500,"&lt;&gt;")=0,"",SUMIFS('Chapter Data'!$G$2:$G$2500,'Chapter Data'!$A$2:$A$2500,D$2,'Chapter Data'!$D$2:$D$2500,$A35)))</f>
        <v/>
      </c>
      <c r="E35" s="25" t="str">
        <f aca="false">IF($A35="","",IF(COUNTIFS('Chapter Data'!$A$2:$A$2500,E$2,'Chapter Data'!$D$2:$D$2500,$A35,'Chapter Data'!$G$2:$G$2500,"&lt;&gt;")=0,"",SUMIFS('Chapter Data'!$G$2:$G$2500,'Chapter Data'!$A$2:$A$2500,E$2,'Chapter Data'!$D$2:$D$2500,$A35)))</f>
        <v/>
      </c>
      <c r="F35" s="25" t="str">
        <f aca="false">IF($A35="","",IF(COUNTIFS('Chapter Data'!$A$2:$A$2500,F$2,'Chapter Data'!$D$2:$D$2500,$A35,'Chapter Data'!$G$2:$G$2500,"&lt;&gt;")=0,"",SUMIFS('Chapter Data'!$G$2:$G$2500,'Chapter Data'!$A$2:$A$2500,F$2,'Chapter Data'!$D$2:$D$2500,$A35)))</f>
        <v/>
      </c>
      <c r="G35" s="25" t="str">
        <f aca="false">IF($A35="","",IF(COUNTIFS('Chapter Data'!$A$2:$A$2500,G$2,'Chapter Data'!$D$2:$D$2500,$A35,'Chapter Data'!$G$2:$G$2500,"&lt;&gt;")=0,"",SUMIFS('Chapter Data'!$G$2:$G$2500,'Chapter Data'!$A$2:$A$2500,G$2,'Chapter Data'!$D$2:$D$2500,$A35)))</f>
        <v/>
      </c>
      <c r="H35" s="25" t="str">
        <f aca="false">IF($A35="","",IF(COUNTIFS('Chapter Data'!$A$2:$A$2500,H$2,'Chapter Data'!$D$2:$D$2500,$A35,'Chapter Data'!$G$2:$G$2500,"&lt;&gt;")=0,"",SUMIFS('Chapter Data'!$G$2:$G$2500,'Chapter Data'!$A$2:$A$2500,H$2,'Chapter Data'!$D$2:$D$2500,$A35)))</f>
        <v/>
      </c>
      <c r="I35" s="25" t="str">
        <f aca="false">IF($A35="","",IF(COUNTIFS('Chapter Data'!$A$2:$A$2500,I$2,'Chapter Data'!$D$2:$D$2500,$A35,'Chapter Data'!$G$2:$G$2500,"&lt;&gt;")=0,"",SUMIFS('Chapter Data'!$G$2:$G$2500,'Chapter Data'!$A$2:$A$2500,I$2,'Chapter Data'!$D$2:$D$2500,$A35)))</f>
        <v/>
      </c>
      <c r="J35" s="25" t="str">
        <f aca="false">IF($A35="","",IF(COUNTIFS('Chapter Data'!$A$2:$A$2500,J$2,'Chapter Data'!$D$2:$D$2500,$A35,'Chapter Data'!$G$2:$G$2500,"&lt;&gt;")=0,"",SUMIFS('Chapter Data'!$G$2:$G$2500,'Chapter Data'!$A$2:$A$2500,J$2,'Chapter Data'!$D$2:$D$2500,$A35)))</f>
        <v/>
      </c>
      <c r="K35" s="25" t="str">
        <f aca="false">IF($A35="","",IF(COUNTIFS('Chapter Data'!$A$2:$A$2500,K$2,'Chapter Data'!$D$2:$D$2500,$A35,'Chapter Data'!$G$2:$G$2500,"&lt;&gt;")=0,"",SUMIFS('Chapter Data'!$G$2:$G$2500,'Chapter Data'!$A$2:$A$2500,K$2,'Chapter Data'!$D$2:$D$2500,$A35)))</f>
        <v/>
      </c>
      <c r="L35" s="25" t="str">
        <f aca="false">IF($A35="","",IF(COUNTIFS('Chapter Data'!$A$2:$A$2500,L$2,'Chapter Data'!$D$2:$D$2500,$A35,'Chapter Data'!$G$2:$G$2500,"&lt;&gt;")=0,"",SUMIFS('Chapter Data'!$G$2:$G$2500,'Chapter Data'!$A$2:$A$2500,L$2,'Chapter Data'!$D$2:$D$2500,$A35)))</f>
        <v/>
      </c>
      <c r="M35" s="25" t="str">
        <f aca="false">IF($A35="","",IF(COUNTIFS('Chapter Data'!$A$2:$A$2500,M$2,'Chapter Data'!$D$2:$D$2500,$A35,'Chapter Data'!$G$2:$G$2500,"&lt;&gt;")=0,"",SUMIFS('Chapter Data'!$G$2:$G$2500,'Chapter Data'!$A$2:$A$2500,M$2,'Chapter Data'!$D$2:$D$2500,$A35)))</f>
        <v/>
      </c>
      <c r="N35" s="25" t="str">
        <f aca="false">IF($A35="","",IF(COUNTIFS('Chapter Data'!$A$2:$A$2500,N$2,'Chapter Data'!$D$2:$D$2500,$A35,'Chapter Data'!$G$2:$G$2500,"&lt;&gt;")=0,"",SUMIFS('Chapter Data'!$G$2:$G$2500,'Chapter Data'!$A$2:$A$2500,N$2,'Chapter Data'!$D$2:$D$2500,$A35)))</f>
        <v/>
      </c>
      <c r="O35" s="25" t="str">
        <f aca="false">IF($A35="","",IF(COUNTIFS('Chapter Data'!$A$2:$A$2500,O$2,'Chapter Data'!$D$2:$D$2500,$A35,'Chapter Data'!$G$2:$G$2500,"&lt;&gt;")=0,"",SUMIFS('Chapter Data'!$G$2:$G$2500,'Chapter Data'!$A$2:$A$2500,O$2,'Chapter Data'!$D$2:$D$2500,$A35)))</f>
        <v/>
      </c>
      <c r="P35" s="25" t="str">
        <f aca="false">IF($A35="","",IF(COUNTIFS('Chapter Data'!$A$2:$A$2500,P$2,'Chapter Data'!$D$2:$D$2500,$A35,'Chapter Data'!$G$2:$G$2500,"&lt;&gt;")=0,"",SUMIFS('Chapter Data'!$G$2:$G$2500,'Chapter Data'!$A$2:$A$2500,P$2,'Chapter Data'!$D$2:$D$2500,$A35)))</f>
        <v/>
      </c>
      <c r="Q35" s="25" t="str">
        <f aca="false">IF($A35="","",IF(COUNTIFS('Chapter Data'!$A$2:$A$2500,Q$2,'Chapter Data'!$D$2:$D$2500,$A35,'Chapter Data'!$G$2:$G$2500,"&lt;&gt;")=0,"",SUMIFS('Chapter Data'!$G$2:$G$2500,'Chapter Data'!$A$2:$A$2500,Q$2,'Chapter Data'!$D$2:$D$2500,$A35)))</f>
        <v/>
      </c>
      <c r="R35" s="25" t="str">
        <f aca="false">IF($A35="","",IF(COUNTIFS('Chapter Data'!$A$2:$A$2500,R$2,'Chapter Data'!$D$2:$D$2500,$A35,'Chapter Data'!$G$2:$G$2500,"&lt;&gt;")=0,"",SUMIFS('Chapter Data'!$G$2:$G$2500,'Chapter Data'!$A$2:$A$2500,R$2,'Chapter Data'!$D$2:$D$2500,$A35)))</f>
        <v/>
      </c>
      <c r="S35" s="25" t="str">
        <f aca="false">IF($A35="","",IF(COUNTIFS('Chapter Data'!$A$2:$A$2500,S$2,'Chapter Data'!$D$2:$D$2500,$A35,'Chapter Data'!$G$2:$G$2500,"&lt;&gt;")=0,"",SUMIFS('Chapter Data'!$G$2:$G$2500,'Chapter Data'!$A$2:$A$2500,S$2,'Chapter Data'!$D$2:$D$2500,$A35)))</f>
        <v/>
      </c>
      <c r="T35" s="25" t="str">
        <f aca="false">IF($A35="","",IF(COUNTIFS('Chapter Data'!$A$2:$A$2500,T$2,'Chapter Data'!$D$2:$D$2500,$A35,'Chapter Data'!$G$2:$G$2500,"&lt;&gt;")=0,"",SUMIFS('Chapter Data'!$G$2:$G$2500,'Chapter Data'!$A$2:$A$2500,T$2,'Chapter Data'!$D$2:$D$2500,$A35)))</f>
        <v/>
      </c>
      <c r="U35" s="25" t="str">
        <f aca="false">IF($A35="","",IF(COUNTIFS('Chapter Data'!$A$2:$A$2500,U$2,'Chapter Data'!$D$2:$D$2500,$A35,'Chapter Data'!$G$2:$G$2500,"&lt;&gt;")=0,"",SUMIFS('Chapter Data'!$G$2:$G$2500,'Chapter Data'!$A$2:$A$2500,U$2,'Chapter Data'!$D$2:$D$2500,$A35)))</f>
        <v/>
      </c>
    </row>
    <row r="36" customFormat="false" ht="15" hidden="false" customHeight="false" outlineLevel="0" collapsed="false">
      <c r="A36" s="8" t="str">
        <f aca="false">IF(Lists!$D$35="","",Lists!$D$35)</f>
        <v/>
      </c>
      <c r="B36" s="25" t="str">
        <f aca="false">IF($A36="","",IF(COUNTIFS('Chapter Data'!$A$2:$A$2500,B$2,'Chapter Data'!$D$2:$D$2500,$A36,'Chapter Data'!$G$2:$G$2500,"&lt;&gt;")=0,"",SUMIFS('Chapter Data'!$G$2:$G$2500,'Chapter Data'!$A$2:$A$2500,B$2,'Chapter Data'!$D$2:$D$2500,$A36)))</f>
        <v/>
      </c>
      <c r="C36" s="25" t="str">
        <f aca="false">IF($A36="","",IF(COUNTIFS('Chapter Data'!$A$2:$A$2500,C$2,'Chapter Data'!$D$2:$D$2500,$A36,'Chapter Data'!$G$2:$G$2500,"&lt;&gt;")=0,"",SUMIFS('Chapter Data'!$G$2:$G$2500,'Chapter Data'!$A$2:$A$2500,C$2,'Chapter Data'!$D$2:$D$2500,$A36)))</f>
        <v/>
      </c>
      <c r="D36" s="25" t="str">
        <f aca="false">IF($A36="","",IF(COUNTIFS('Chapter Data'!$A$2:$A$2500,D$2,'Chapter Data'!$D$2:$D$2500,$A36,'Chapter Data'!$G$2:$G$2500,"&lt;&gt;")=0,"",SUMIFS('Chapter Data'!$G$2:$G$2500,'Chapter Data'!$A$2:$A$2500,D$2,'Chapter Data'!$D$2:$D$2500,$A36)))</f>
        <v/>
      </c>
      <c r="E36" s="25" t="str">
        <f aca="false">IF($A36="","",IF(COUNTIFS('Chapter Data'!$A$2:$A$2500,E$2,'Chapter Data'!$D$2:$D$2500,$A36,'Chapter Data'!$G$2:$G$2500,"&lt;&gt;")=0,"",SUMIFS('Chapter Data'!$G$2:$G$2500,'Chapter Data'!$A$2:$A$2500,E$2,'Chapter Data'!$D$2:$D$2500,$A36)))</f>
        <v/>
      </c>
      <c r="F36" s="25" t="str">
        <f aca="false">IF($A36="","",IF(COUNTIFS('Chapter Data'!$A$2:$A$2500,F$2,'Chapter Data'!$D$2:$D$2500,$A36,'Chapter Data'!$G$2:$G$2500,"&lt;&gt;")=0,"",SUMIFS('Chapter Data'!$G$2:$G$2500,'Chapter Data'!$A$2:$A$2500,F$2,'Chapter Data'!$D$2:$D$2500,$A36)))</f>
        <v/>
      </c>
      <c r="G36" s="25" t="str">
        <f aca="false">IF($A36="","",IF(COUNTIFS('Chapter Data'!$A$2:$A$2500,G$2,'Chapter Data'!$D$2:$D$2500,$A36,'Chapter Data'!$G$2:$G$2500,"&lt;&gt;")=0,"",SUMIFS('Chapter Data'!$G$2:$G$2500,'Chapter Data'!$A$2:$A$2500,G$2,'Chapter Data'!$D$2:$D$2500,$A36)))</f>
        <v/>
      </c>
      <c r="H36" s="25" t="str">
        <f aca="false">IF($A36="","",IF(COUNTIFS('Chapter Data'!$A$2:$A$2500,H$2,'Chapter Data'!$D$2:$D$2500,$A36,'Chapter Data'!$G$2:$G$2500,"&lt;&gt;")=0,"",SUMIFS('Chapter Data'!$G$2:$G$2500,'Chapter Data'!$A$2:$A$2500,H$2,'Chapter Data'!$D$2:$D$2500,$A36)))</f>
        <v/>
      </c>
      <c r="I36" s="25" t="str">
        <f aca="false">IF($A36="","",IF(COUNTIFS('Chapter Data'!$A$2:$A$2500,I$2,'Chapter Data'!$D$2:$D$2500,$A36,'Chapter Data'!$G$2:$G$2500,"&lt;&gt;")=0,"",SUMIFS('Chapter Data'!$G$2:$G$2500,'Chapter Data'!$A$2:$A$2500,I$2,'Chapter Data'!$D$2:$D$2500,$A36)))</f>
        <v/>
      </c>
      <c r="J36" s="25" t="str">
        <f aca="false">IF($A36="","",IF(COUNTIFS('Chapter Data'!$A$2:$A$2500,J$2,'Chapter Data'!$D$2:$D$2500,$A36,'Chapter Data'!$G$2:$G$2500,"&lt;&gt;")=0,"",SUMIFS('Chapter Data'!$G$2:$G$2500,'Chapter Data'!$A$2:$A$2500,J$2,'Chapter Data'!$D$2:$D$2500,$A36)))</f>
        <v/>
      </c>
      <c r="K36" s="25" t="str">
        <f aca="false">IF($A36="","",IF(COUNTIFS('Chapter Data'!$A$2:$A$2500,K$2,'Chapter Data'!$D$2:$D$2500,$A36,'Chapter Data'!$G$2:$G$2500,"&lt;&gt;")=0,"",SUMIFS('Chapter Data'!$G$2:$G$2500,'Chapter Data'!$A$2:$A$2500,K$2,'Chapter Data'!$D$2:$D$2500,$A36)))</f>
        <v/>
      </c>
      <c r="L36" s="25" t="str">
        <f aca="false">IF($A36="","",IF(COUNTIFS('Chapter Data'!$A$2:$A$2500,L$2,'Chapter Data'!$D$2:$D$2500,$A36,'Chapter Data'!$G$2:$G$2500,"&lt;&gt;")=0,"",SUMIFS('Chapter Data'!$G$2:$G$2500,'Chapter Data'!$A$2:$A$2500,L$2,'Chapter Data'!$D$2:$D$2500,$A36)))</f>
        <v/>
      </c>
      <c r="M36" s="25" t="str">
        <f aca="false">IF($A36="","",IF(COUNTIFS('Chapter Data'!$A$2:$A$2500,M$2,'Chapter Data'!$D$2:$D$2500,$A36,'Chapter Data'!$G$2:$G$2500,"&lt;&gt;")=0,"",SUMIFS('Chapter Data'!$G$2:$G$2500,'Chapter Data'!$A$2:$A$2500,M$2,'Chapter Data'!$D$2:$D$2500,$A36)))</f>
        <v/>
      </c>
      <c r="N36" s="25" t="str">
        <f aca="false">IF($A36="","",IF(COUNTIFS('Chapter Data'!$A$2:$A$2500,N$2,'Chapter Data'!$D$2:$D$2500,$A36,'Chapter Data'!$G$2:$G$2500,"&lt;&gt;")=0,"",SUMIFS('Chapter Data'!$G$2:$G$2500,'Chapter Data'!$A$2:$A$2500,N$2,'Chapter Data'!$D$2:$D$2500,$A36)))</f>
        <v/>
      </c>
      <c r="O36" s="25" t="str">
        <f aca="false">IF($A36="","",IF(COUNTIFS('Chapter Data'!$A$2:$A$2500,O$2,'Chapter Data'!$D$2:$D$2500,$A36,'Chapter Data'!$G$2:$G$2500,"&lt;&gt;")=0,"",SUMIFS('Chapter Data'!$G$2:$G$2500,'Chapter Data'!$A$2:$A$2500,O$2,'Chapter Data'!$D$2:$D$2500,$A36)))</f>
        <v/>
      </c>
      <c r="P36" s="25" t="str">
        <f aca="false">IF($A36="","",IF(COUNTIFS('Chapter Data'!$A$2:$A$2500,P$2,'Chapter Data'!$D$2:$D$2500,$A36,'Chapter Data'!$G$2:$G$2500,"&lt;&gt;")=0,"",SUMIFS('Chapter Data'!$G$2:$G$2500,'Chapter Data'!$A$2:$A$2500,P$2,'Chapter Data'!$D$2:$D$2500,$A36)))</f>
        <v/>
      </c>
      <c r="Q36" s="25" t="str">
        <f aca="false">IF($A36="","",IF(COUNTIFS('Chapter Data'!$A$2:$A$2500,Q$2,'Chapter Data'!$D$2:$D$2500,$A36,'Chapter Data'!$G$2:$G$2500,"&lt;&gt;")=0,"",SUMIFS('Chapter Data'!$G$2:$G$2500,'Chapter Data'!$A$2:$A$2500,Q$2,'Chapter Data'!$D$2:$D$2500,$A36)))</f>
        <v/>
      </c>
      <c r="R36" s="25" t="str">
        <f aca="false">IF($A36="","",IF(COUNTIFS('Chapter Data'!$A$2:$A$2500,R$2,'Chapter Data'!$D$2:$D$2500,$A36,'Chapter Data'!$G$2:$G$2500,"&lt;&gt;")=0,"",SUMIFS('Chapter Data'!$G$2:$G$2500,'Chapter Data'!$A$2:$A$2500,R$2,'Chapter Data'!$D$2:$D$2500,$A36)))</f>
        <v/>
      </c>
      <c r="S36" s="25" t="str">
        <f aca="false">IF($A36="","",IF(COUNTIFS('Chapter Data'!$A$2:$A$2500,S$2,'Chapter Data'!$D$2:$D$2500,$A36,'Chapter Data'!$G$2:$G$2500,"&lt;&gt;")=0,"",SUMIFS('Chapter Data'!$G$2:$G$2500,'Chapter Data'!$A$2:$A$2500,S$2,'Chapter Data'!$D$2:$D$2500,$A36)))</f>
        <v/>
      </c>
      <c r="T36" s="25" t="str">
        <f aca="false">IF($A36="","",IF(COUNTIFS('Chapter Data'!$A$2:$A$2500,T$2,'Chapter Data'!$D$2:$D$2500,$A36,'Chapter Data'!$G$2:$G$2500,"&lt;&gt;")=0,"",SUMIFS('Chapter Data'!$G$2:$G$2500,'Chapter Data'!$A$2:$A$2500,T$2,'Chapter Data'!$D$2:$D$2500,$A36)))</f>
        <v/>
      </c>
      <c r="U36" s="25" t="str">
        <f aca="false">IF($A36="","",IF(COUNTIFS('Chapter Data'!$A$2:$A$2500,U$2,'Chapter Data'!$D$2:$D$2500,$A36,'Chapter Data'!$G$2:$G$2500,"&lt;&gt;")=0,"",SUMIFS('Chapter Data'!$G$2:$G$2500,'Chapter Data'!$A$2:$A$2500,U$2,'Chapter Data'!$D$2:$D$2500,$A36)))</f>
        <v/>
      </c>
    </row>
    <row r="37" customFormat="false" ht="15" hidden="false" customHeight="false" outlineLevel="0" collapsed="false">
      <c r="A37" s="8" t="str">
        <f aca="false">IF(Lists!$D$36="","",Lists!$D$36)</f>
        <v/>
      </c>
      <c r="B37" s="25" t="str">
        <f aca="false">IF($A37="","",IF(COUNTIFS('Chapter Data'!$A$2:$A$2500,B$2,'Chapter Data'!$D$2:$D$2500,$A37,'Chapter Data'!$G$2:$G$2500,"&lt;&gt;")=0,"",SUMIFS('Chapter Data'!$G$2:$G$2500,'Chapter Data'!$A$2:$A$2500,B$2,'Chapter Data'!$D$2:$D$2500,$A37)))</f>
        <v/>
      </c>
      <c r="C37" s="25" t="str">
        <f aca="false">IF($A37="","",IF(COUNTIFS('Chapter Data'!$A$2:$A$2500,C$2,'Chapter Data'!$D$2:$D$2500,$A37,'Chapter Data'!$G$2:$G$2500,"&lt;&gt;")=0,"",SUMIFS('Chapter Data'!$G$2:$G$2500,'Chapter Data'!$A$2:$A$2500,C$2,'Chapter Data'!$D$2:$D$2500,$A37)))</f>
        <v/>
      </c>
      <c r="D37" s="25" t="str">
        <f aca="false">IF($A37="","",IF(COUNTIFS('Chapter Data'!$A$2:$A$2500,D$2,'Chapter Data'!$D$2:$D$2500,$A37,'Chapter Data'!$G$2:$G$2500,"&lt;&gt;")=0,"",SUMIFS('Chapter Data'!$G$2:$G$2500,'Chapter Data'!$A$2:$A$2500,D$2,'Chapter Data'!$D$2:$D$2500,$A37)))</f>
        <v/>
      </c>
      <c r="E37" s="25" t="str">
        <f aca="false">IF($A37="","",IF(COUNTIFS('Chapter Data'!$A$2:$A$2500,E$2,'Chapter Data'!$D$2:$D$2500,$A37,'Chapter Data'!$G$2:$G$2500,"&lt;&gt;")=0,"",SUMIFS('Chapter Data'!$G$2:$G$2500,'Chapter Data'!$A$2:$A$2500,E$2,'Chapter Data'!$D$2:$D$2500,$A37)))</f>
        <v/>
      </c>
      <c r="F37" s="25" t="str">
        <f aca="false">IF($A37="","",IF(COUNTIFS('Chapter Data'!$A$2:$A$2500,F$2,'Chapter Data'!$D$2:$D$2500,$A37,'Chapter Data'!$G$2:$G$2500,"&lt;&gt;")=0,"",SUMIFS('Chapter Data'!$G$2:$G$2500,'Chapter Data'!$A$2:$A$2500,F$2,'Chapter Data'!$D$2:$D$2500,$A37)))</f>
        <v/>
      </c>
      <c r="G37" s="25" t="str">
        <f aca="false">IF($A37="","",IF(COUNTIFS('Chapter Data'!$A$2:$A$2500,G$2,'Chapter Data'!$D$2:$D$2500,$A37,'Chapter Data'!$G$2:$G$2500,"&lt;&gt;")=0,"",SUMIFS('Chapter Data'!$G$2:$G$2500,'Chapter Data'!$A$2:$A$2500,G$2,'Chapter Data'!$D$2:$D$2500,$A37)))</f>
        <v/>
      </c>
      <c r="H37" s="25" t="str">
        <f aca="false">IF($A37="","",IF(COUNTIFS('Chapter Data'!$A$2:$A$2500,H$2,'Chapter Data'!$D$2:$D$2500,$A37,'Chapter Data'!$G$2:$G$2500,"&lt;&gt;")=0,"",SUMIFS('Chapter Data'!$G$2:$G$2500,'Chapter Data'!$A$2:$A$2500,H$2,'Chapter Data'!$D$2:$D$2500,$A37)))</f>
        <v/>
      </c>
      <c r="I37" s="25" t="str">
        <f aca="false">IF($A37="","",IF(COUNTIFS('Chapter Data'!$A$2:$A$2500,I$2,'Chapter Data'!$D$2:$D$2500,$A37,'Chapter Data'!$G$2:$G$2500,"&lt;&gt;")=0,"",SUMIFS('Chapter Data'!$G$2:$G$2500,'Chapter Data'!$A$2:$A$2500,I$2,'Chapter Data'!$D$2:$D$2500,$A37)))</f>
        <v/>
      </c>
      <c r="J37" s="25" t="str">
        <f aca="false">IF($A37="","",IF(COUNTIFS('Chapter Data'!$A$2:$A$2500,J$2,'Chapter Data'!$D$2:$D$2500,$A37,'Chapter Data'!$G$2:$G$2500,"&lt;&gt;")=0,"",SUMIFS('Chapter Data'!$G$2:$G$2500,'Chapter Data'!$A$2:$A$2500,J$2,'Chapter Data'!$D$2:$D$2500,$A37)))</f>
        <v/>
      </c>
      <c r="K37" s="25" t="str">
        <f aca="false">IF($A37="","",IF(COUNTIFS('Chapter Data'!$A$2:$A$2500,K$2,'Chapter Data'!$D$2:$D$2500,$A37,'Chapter Data'!$G$2:$G$2500,"&lt;&gt;")=0,"",SUMIFS('Chapter Data'!$G$2:$G$2500,'Chapter Data'!$A$2:$A$2500,K$2,'Chapter Data'!$D$2:$D$2500,$A37)))</f>
        <v/>
      </c>
      <c r="L37" s="25" t="str">
        <f aca="false">IF($A37="","",IF(COUNTIFS('Chapter Data'!$A$2:$A$2500,L$2,'Chapter Data'!$D$2:$D$2500,$A37,'Chapter Data'!$G$2:$G$2500,"&lt;&gt;")=0,"",SUMIFS('Chapter Data'!$G$2:$G$2500,'Chapter Data'!$A$2:$A$2500,L$2,'Chapter Data'!$D$2:$D$2500,$A37)))</f>
        <v/>
      </c>
      <c r="M37" s="25" t="str">
        <f aca="false">IF($A37="","",IF(COUNTIFS('Chapter Data'!$A$2:$A$2500,M$2,'Chapter Data'!$D$2:$D$2500,$A37,'Chapter Data'!$G$2:$G$2500,"&lt;&gt;")=0,"",SUMIFS('Chapter Data'!$G$2:$G$2500,'Chapter Data'!$A$2:$A$2500,M$2,'Chapter Data'!$D$2:$D$2500,$A37)))</f>
        <v/>
      </c>
      <c r="N37" s="25" t="str">
        <f aca="false">IF($A37="","",IF(COUNTIFS('Chapter Data'!$A$2:$A$2500,N$2,'Chapter Data'!$D$2:$D$2500,$A37,'Chapter Data'!$G$2:$G$2500,"&lt;&gt;")=0,"",SUMIFS('Chapter Data'!$G$2:$G$2500,'Chapter Data'!$A$2:$A$2500,N$2,'Chapter Data'!$D$2:$D$2500,$A37)))</f>
        <v/>
      </c>
      <c r="O37" s="25" t="str">
        <f aca="false">IF($A37="","",IF(COUNTIFS('Chapter Data'!$A$2:$A$2500,O$2,'Chapter Data'!$D$2:$D$2500,$A37,'Chapter Data'!$G$2:$G$2500,"&lt;&gt;")=0,"",SUMIFS('Chapter Data'!$G$2:$G$2500,'Chapter Data'!$A$2:$A$2500,O$2,'Chapter Data'!$D$2:$D$2500,$A37)))</f>
        <v/>
      </c>
      <c r="P37" s="25" t="str">
        <f aca="false">IF($A37="","",IF(COUNTIFS('Chapter Data'!$A$2:$A$2500,P$2,'Chapter Data'!$D$2:$D$2500,$A37,'Chapter Data'!$G$2:$G$2500,"&lt;&gt;")=0,"",SUMIFS('Chapter Data'!$G$2:$G$2500,'Chapter Data'!$A$2:$A$2500,P$2,'Chapter Data'!$D$2:$D$2500,$A37)))</f>
        <v/>
      </c>
      <c r="Q37" s="25" t="str">
        <f aca="false">IF($A37="","",IF(COUNTIFS('Chapter Data'!$A$2:$A$2500,Q$2,'Chapter Data'!$D$2:$D$2500,$A37,'Chapter Data'!$G$2:$G$2500,"&lt;&gt;")=0,"",SUMIFS('Chapter Data'!$G$2:$G$2500,'Chapter Data'!$A$2:$A$2500,Q$2,'Chapter Data'!$D$2:$D$2500,$A37)))</f>
        <v/>
      </c>
      <c r="R37" s="25" t="str">
        <f aca="false">IF($A37="","",IF(COUNTIFS('Chapter Data'!$A$2:$A$2500,R$2,'Chapter Data'!$D$2:$D$2500,$A37,'Chapter Data'!$G$2:$G$2500,"&lt;&gt;")=0,"",SUMIFS('Chapter Data'!$G$2:$G$2500,'Chapter Data'!$A$2:$A$2500,R$2,'Chapter Data'!$D$2:$D$2500,$A37)))</f>
        <v/>
      </c>
      <c r="S37" s="25" t="str">
        <f aca="false">IF($A37="","",IF(COUNTIFS('Chapter Data'!$A$2:$A$2500,S$2,'Chapter Data'!$D$2:$D$2500,$A37,'Chapter Data'!$G$2:$G$2500,"&lt;&gt;")=0,"",SUMIFS('Chapter Data'!$G$2:$G$2500,'Chapter Data'!$A$2:$A$2500,S$2,'Chapter Data'!$D$2:$D$2500,$A37)))</f>
        <v/>
      </c>
      <c r="T37" s="25" t="str">
        <f aca="false">IF($A37="","",IF(COUNTIFS('Chapter Data'!$A$2:$A$2500,T$2,'Chapter Data'!$D$2:$D$2500,$A37,'Chapter Data'!$G$2:$G$2500,"&lt;&gt;")=0,"",SUMIFS('Chapter Data'!$G$2:$G$2500,'Chapter Data'!$A$2:$A$2500,T$2,'Chapter Data'!$D$2:$D$2500,$A37)))</f>
        <v/>
      </c>
      <c r="U37" s="25" t="str">
        <f aca="false">IF($A37="","",IF(COUNTIFS('Chapter Data'!$A$2:$A$2500,U$2,'Chapter Data'!$D$2:$D$2500,$A37,'Chapter Data'!$G$2:$G$2500,"&lt;&gt;")=0,"",SUMIFS('Chapter Data'!$G$2:$G$2500,'Chapter Data'!$A$2:$A$2500,U$2,'Chapter Data'!$D$2:$D$2500,$A37)))</f>
        <v/>
      </c>
    </row>
    <row r="39" customFormat="false" ht="15" hidden="false" customHeight="false" outlineLevel="0" collapsed="false">
      <c r="A39" s="2" t="s">
        <v>229</v>
      </c>
      <c r="B39" s="34" t="n">
        <f aca="false">COUNT(B$3:B$37)</f>
        <v>25</v>
      </c>
      <c r="C39" s="34" t="n">
        <f aca="false">COUNT(C$3:C$37)</f>
        <v>24</v>
      </c>
      <c r="D39" s="34" t="n">
        <f aca="false">COUNT(D$3:D$37)</f>
        <v>27</v>
      </c>
      <c r="E39" s="34" t="n">
        <f aca="false">COUNT(E$3:E$37)</f>
        <v>0</v>
      </c>
      <c r="F39" s="34" t="n">
        <f aca="false">COUNT(F$3:F$37)</f>
        <v>24</v>
      </c>
      <c r="G39" s="34" t="n">
        <f aca="false">COUNT(G$3:G$37)</f>
        <v>26</v>
      </c>
      <c r="H39" s="34" t="n">
        <f aca="false">COUNT(H$3:H$37)</f>
        <v>25</v>
      </c>
      <c r="I39" s="34" t="n">
        <f aca="false">COUNT(I$3:I$37)</f>
        <v>25</v>
      </c>
      <c r="J39" s="34" t="n">
        <f aca="false">COUNT(J$3:J$37)</f>
        <v>24</v>
      </c>
      <c r="K39" s="34" t="n">
        <f aca="false">COUNT(K$3:K$37)</f>
        <v>25</v>
      </c>
      <c r="L39" s="34" t="n">
        <f aca="false">COUNT(L$3:L$37)</f>
        <v>25</v>
      </c>
      <c r="M39" s="34" t="n">
        <f aca="false">COUNT(M$3:M$37)</f>
        <v>25</v>
      </c>
      <c r="N39" s="34" t="n">
        <f aca="false">COUNT(N$3:N$37)</f>
        <v>25</v>
      </c>
      <c r="O39" s="34" t="n">
        <f aca="false">COUNT(O$3:O$37)</f>
        <v>24</v>
      </c>
      <c r="P39" s="34" t="n">
        <f aca="false">COUNT(P$3:P$37)</f>
        <v>25</v>
      </c>
      <c r="Q39" s="34" t="n">
        <f aca="false">COUNT(Q$3:Q$37)</f>
        <v>23</v>
      </c>
      <c r="R39" s="34" t="n">
        <f aca="false">COUNT(R$3:R$37)</f>
        <v>0</v>
      </c>
      <c r="S39" s="34" t="n">
        <f aca="false">COUNT(S$3:S$37)</f>
        <v>0</v>
      </c>
      <c r="T39" s="34" t="n">
        <f aca="false">COUNT(T$3:T$37)</f>
        <v>0</v>
      </c>
      <c r="U39" s="34" t="n">
        <f aca="false">COUNT(U$3:U$37)</f>
        <v>0</v>
      </c>
    </row>
    <row r="40" customFormat="false" ht="15" hidden="false" customHeight="false" outlineLevel="0" collapsed="false">
      <c r="A40" s="2" t="s">
        <v>230</v>
      </c>
      <c r="B40" s="35" t="n">
        <f aca="false">IF(COUNT(B$3:B$37)&gt;=MinChapters,SUMPRODUCT(B$3:B$37,'Members Matrix'!B$3:B$37)/SUMPRODUCT(--ISNUMBER(B$3:B$37),'Members Matrix'!B$3:B$37),"")</f>
        <v>3.15677818403413</v>
      </c>
      <c r="C40" s="35" t="n">
        <f aca="false">IF(COUNT(C$3:C$37)&gt;=MinChapters,SUMPRODUCT(C$3:C$37,'Members Matrix'!C$3:C$37)/SUMPRODUCT(--ISNUMBER(C$3:C$37),'Members Matrix'!C$3:C$37),"")</f>
        <v>3.16699122257053</v>
      </c>
      <c r="D40" s="35" t="n">
        <f aca="false">IF(COUNT(D$3:D$37)&gt;=MinChapters,SUMPRODUCT(D$3:D$37,'Members Matrix'!D$3:D$37)/SUMPRODUCT(--ISNUMBER(D$3:D$37),'Members Matrix'!D$3:D$37),"")</f>
        <v>3.14305103092784</v>
      </c>
      <c r="E40" s="35" t="str">
        <f aca="false">IF(COUNT(E$3:E$37)&gt;=MinChapters,SUMPRODUCT(E$3:E$37,'Members Matrix'!E$3:E$37)/SUMPRODUCT(--ISNUMBER(E$3:E$37),'Members Matrix'!E$3:E$37),"")</f>
        <v/>
      </c>
      <c r="F40" s="35" t="n">
        <f aca="false">IF(COUNT(F$3:F$37)&gt;=MinChapters,SUMPRODUCT(F$3:F$37,'Members Matrix'!F$3:F$37)/SUMPRODUCT(--ISNUMBER(F$3:F$37),'Members Matrix'!F$3:F$37),"")</f>
        <v>3.19990453074434</v>
      </c>
      <c r="G40" s="35" t="n">
        <f aca="false">IF(COUNT(G$3:G$37)&gt;=MinChapters,SUMPRODUCT(G$3:G$37,'Members Matrix'!G$3:G$37)/SUMPRODUCT(--ISNUMBER(G$3:G$37),'Members Matrix'!G$3:G$37),"")</f>
        <v>3.31592729306488</v>
      </c>
      <c r="H40" s="35" t="n">
        <f aca="false">IF(COUNT(H$3:H$37)&gt;=MinChapters,SUMPRODUCT(H$3:H$37,'Members Matrix'!H$3:H$37)/SUMPRODUCT(--ISNUMBER(H$3:H$37),'Members Matrix'!H$3:H$37),"")</f>
        <v>3.22402217168846</v>
      </c>
      <c r="I40" s="35" t="n">
        <f aca="false">IF(COUNT(I$3:I$37)&gt;=MinChapters,SUMPRODUCT(I$3:I$37,'Members Matrix'!I$3:I$37)/SUMPRODUCT(--ISNUMBER(I$3:I$37),'Members Matrix'!I$3:I$37),"")</f>
        <v>3.30631563593932</v>
      </c>
      <c r="J40" s="35" t="n">
        <f aca="false">IF(COUNT(J$3:J$37)&gt;=MinChapters,SUMPRODUCT(J$3:J$37,'Members Matrix'!J$3:J$37)/SUMPRODUCT(--ISNUMBER(J$3:J$37),'Members Matrix'!J$3:J$37),"")</f>
        <v>3.28022558922559</v>
      </c>
      <c r="K40" s="35" t="n">
        <f aca="false">IF(COUNT(K$3:K$37)&gt;=MinChapters,SUMPRODUCT(K$3:K$37,'Members Matrix'!K$3:K$37)/SUMPRODUCT(--ISNUMBER(K$3:K$37),'Members Matrix'!K$3:K$37),"")</f>
        <v>3.35490017720024</v>
      </c>
      <c r="L40" s="35" t="n">
        <f aca="false">IF(COUNT(L$3:L$37)&gt;=MinChapters,SUMPRODUCT(L$3:L$37,'Members Matrix'!L$3:L$37)/SUMPRODUCT(--ISNUMBER(L$3:L$37),'Members Matrix'!L$3:L$37),"")</f>
        <v>3.28167533185841</v>
      </c>
      <c r="M40" s="35" t="n">
        <f aca="false">IF(COUNT(M$3:M$37)&gt;=MinChapters,SUMPRODUCT(M$3:M$37,'Members Matrix'!M$3:M$37)/SUMPRODUCT(--ISNUMBER(M$3:M$37),'Members Matrix'!M$3:M$37),"")</f>
        <v>3.34171063104036</v>
      </c>
      <c r="N40" s="35" t="n">
        <f aca="false">IF(COUNT(N$3:N$37)&gt;=MinChapters,SUMPRODUCT(N$3:N$37,'Members Matrix'!N$3:N$37)/SUMPRODUCT(--ISNUMBER(N$3:N$37),'Members Matrix'!N$3:N$37),"")</f>
        <v>3.36210368421053</v>
      </c>
      <c r="O40" s="35" t="n">
        <f aca="false">IF(COUNT(O$3:O$37)&gt;=MinChapters,SUMPRODUCT(O$3:O$37,'Members Matrix'!O$3:O$37)/SUMPRODUCT(--ISNUMBER(O$3:O$37),'Members Matrix'!O$3:O$37),"")</f>
        <v>3.37415409139214</v>
      </c>
      <c r="P40" s="35" t="n">
        <f aca="false">IF(COUNT(P$3:P$37)&gt;=MinChapters,SUMPRODUCT(P$3:P$37,'Members Matrix'!P$3:P$37)/SUMPRODUCT(--ISNUMBER(P$3:P$37),'Members Matrix'!P$3:P$37),"")</f>
        <v>3.32755353535354</v>
      </c>
      <c r="Q40" s="35" t="n">
        <f aca="false">IF(COUNT(Q$3:Q$37)&gt;=MinChapters,SUMPRODUCT(Q$3:Q$37,'Members Matrix'!Q$3:Q$37)/SUMPRODUCT(--ISNUMBER(Q$3:Q$37),'Members Matrix'!Q$3:Q$37),"")</f>
        <v>3.39197551252847</v>
      </c>
      <c r="R40" s="35" t="str">
        <f aca="false">IF(COUNT(R$3:R$37)&gt;=MinChapters,SUMPRODUCT(R$3:R$37,'Members Matrix'!R$3:R$37)/SUMPRODUCT(--ISNUMBER(R$3:R$37),'Members Matrix'!R$3:R$37),"")</f>
        <v/>
      </c>
      <c r="S40" s="35" t="str">
        <f aca="false">IF(COUNT(S$3:S$37)&gt;=MinChapters,SUMPRODUCT(S$3:S$37,'Members Matrix'!S$3:S$37)/SUMPRODUCT(--ISNUMBER(S$3:S$37),'Members Matrix'!S$3:S$37),"")</f>
        <v/>
      </c>
      <c r="T40" s="35" t="str">
        <f aca="false">IF(COUNT(T$3:T$37)&gt;=MinChapters,SUMPRODUCT(T$3:T$37,'Members Matrix'!T$3:T$37)/SUMPRODUCT(--ISNUMBER(T$3:T$37),'Members Matrix'!T$3:T$37),"")</f>
        <v/>
      </c>
      <c r="U40" s="35" t="str">
        <f aca="false">IF(COUNT(U$3:U$37)&gt;=MinChapters,SUMPRODUCT(U$3:U$37,'Members Matrix'!U$3:U$37)/SUMPRODUCT(--ISNUMBER(U$3:U$37),'Members Matrix'!U$3:U$37),"")</f>
        <v/>
      </c>
    </row>
    <row r="41" customFormat="false" ht="15" hidden="false" customHeight="false" outlineLevel="0" collapsed="false">
      <c r="A41" s="2" t="s">
        <v>231</v>
      </c>
      <c r="B41" s="35" t="n">
        <f aca="false">IF(COUNT(B$3:B$37)&gt;=MinChapters,MEDIAN(B$3:B$37),"")</f>
        <v>3.074</v>
      </c>
      <c r="C41" s="35" t="n">
        <f aca="false">IF(COUNT(C$3:C$37)&gt;=MinChapters,MEDIAN(C$3:C$37),"")</f>
        <v>3.06</v>
      </c>
      <c r="D41" s="35" t="n">
        <f aca="false">IF(COUNT(D$3:D$37)&gt;=MinChapters,MEDIAN(D$3:D$37),"")</f>
        <v>3.084</v>
      </c>
      <c r="E41" s="35" t="str">
        <f aca="false">IF(COUNT(E$3:E$37)&gt;=MinChapters,MEDIAN(E$3:E$37),"")</f>
        <v/>
      </c>
      <c r="F41" s="35" t="n">
        <f aca="false">IF(COUNT(F$3:F$37)&gt;=MinChapters,MEDIAN(F$3:F$37),"")</f>
        <v>3.223</v>
      </c>
      <c r="G41" s="35" t="n">
        <f aca="false">IF(COUNT(G$3:G$37)&gt;=MinChapters,MEDIAN(G$3:G$37),"")</f>
        <v>3.311</v>
      </c>
      <c r="H41" s="35" t="n">
        <f aca="false">IF(COUNT(H$3:H$37)&gt;=MinChapters,MEDIAN(H$3:H$37),"")</f>
        <v>3.183</v>
      </c>
      <c r="I41" s="35" t="n">
        <f aca="false">IF(COUNT(I$3:I$37)&gt;=MinChapters,MEDIAN(I$3:I$37),"")</f>
        <v>3.266</v>
      </c>
      <c r="J41" s="35" t="n">
        <f aca="false">IF(COUNT(J$3:J$37)&gt;=MinChapters,MEDIAN(J$3:J$37),"")</f>
        <v>3.2415</v>
      </c>
      <c r="K41" s="35" t="n">
        <f aca="false">IF(COUNT(K$3:K$37)&gt;=MinChapters,MEDIAN(K$3:K$37),"")</f>
        <v>3.287</v>
      </c>
      <c r="L41" s="35" t="n">
        <f aca="false">IF(COUNT(L$3:L$37)&gt;=MinChapters,MEDIAN(L$3:L$37),"")</f>
        <v>3.199</v>
      </c>
      <c r="M41" s="35" t="n">
        <f aca="false">IF(COUNT(M$3:M$37)&gt;=MinChapters,MEDIAN(M$3:M$37),"")</f>
        <v>3.313</v>
      </c>
      <c r="N41" s="35" t="n">
        <f aca="false">IF(COUNT(N$3:N$37)&gt;=MinChapters,MEDIAN(N$3:N$37),"")</f>
        <v>3.271</v>
      </c>
      <c r="O41" s="35" t="n">
        <f aca="false">IF(COUNT(O$3:O$37)&gt;=MinChapters,MEDIAN(O$3:O$37),"")</f>
        <v>3.326</v>
      </c>
      <c r="P41" s="35" t="n">
        <f aca="false">IF(COUNT(P$3:P$37)&gt;=MinChapters,MEDIAN(P$3:P$37),"")</f>
        <v>3.286</v>
      </c>
      <c r="Q41" s="35" t="n">
        <f aca="false">IF(COUNT(Q$3:Q$37)&gt;=MinChapters,MEDIAN(Q$3:Q$37),"")</f>
        <v>3.351</v>
      </c>
      <c r="R41" s="35" t="str">
        <f aca="false">IF(COUNT(R$3:R$37)&gt;=MinChapters,MEDIAN(R$3:R$37),"")</f>
        <v/>
      </c>
      <c r="S41" s="35" t="str">
        <f aca="false">IF(COUNT(S$3:S$37)&gt;=MinChapters,MEDIAN(S$3:S$37),"")</f>
        <v/>
      </c>
      <c r="T41" s="35" t="str">
        <f aca="false">IF(COUNT(T$3:T$37)&gt;=MinChapters,MEDIAN(T$3:T$37),"")</f>
        <v/>
      </c>
      <c r="U41" s="35" t="str">
        <f aca="false">IF(COUNT(U$3:U$37)&gt;=MinChapters,MEDIAN(U$3:U$37),"")</f>
        <v/>
      </c>
    </row>
    <row r="42" customFormat="false" ht="15" hidden="false" customHeight="false" outlineLevel="0" collapsed="false">
      <c r="A42" s="2" t="s">
        <v>232</v>
      </c>
      <c r="B42" s="35" t="n">
        <f aca="false">IF(COUNT(B$3:B$37)&gt;=MinChapters,QUARTILE(B$3:B$37,3),"")</f>
        <v>3.255</v>
      </c>
      <c r="C42" s="35" t="n">
        <f aca="false">IF(COUNT(C$3:C$37)&gt;=MinChapters,QUARTILE(C$3:C$37,3),"")</f>
        <v>3.26475</v>
      </c>
      <c r="D42" s="35" t="n">
        <f aca="false">IF(COUNT(D$3:D$37)&gt;=MinChapters,QUARTILE(D$3:D$37,3),"")</f>
        <v>3.265</v>
      </c>
      <c r="E42" s="35" t="str">
        <f aca="false">IF(COUNT(E$3:E$37)&gt;=MinChapters,QUARTILE(E$3:E$37,3),"")</f>
        <v/>
      </c>
      <c r="F42" s="35" t="n">
        <f aca="false">IF(COUNT(F$3:F$37)&gt;=MinChapters,QUARTILE(F$3:F$37,3),"")</f>
        <v>3.319</v>
      </c>
      <c r="G42" s="35" t="n">
        <f aca="false">IF(COUNT(G$3:G$37)&gt;=MinChapters,QUARTILE(G$3:G$37,3),"")</f>
        <v>3.40875</v>
      </c>
      <c r="H42" s="35" t="n">
        <f aca="false">IF(COUNT(H$3:H$37)&gt;=MinChapters,QUARTILE(H$3:H$37,3),"")</f>
        <v>3.296</v>
      </c>
      <c r="I42" s="35" t="n">
        <f aca="false">IF(COUNT(I$3:I$37)&gt;=MinChapters,QUARTILE(I$3:I$37,3),"")</f>
        <v>3.428</v>
      </c>
      <c r="J42" s="35" t="n">
        <f aca="false">IF(COUNT(J$3:J$37)&gt;=MinChapters,QUARTILE(J$3:J$37,3),"")</f>
        <v>3.41175</v>
      </c>
      <c r="K42" s="35" t="n">
        <f aca="false">IF(COUNT(K$3:K$37)&gt;=MinChapters,QUARTILE(K$3:K$37,3),"")</f>
        <v>3.441</v>
      </c>
      <c r="L42" s="35" t="n">
        <f aca="false">IF(COUNT(L$3:L$37)&gt;=MinChapters,QUARTILE(L$3:L$37,3),"")</f>
        <v>3.342</v>
      </c>
      <c r="M42" s="35" t="n">
        <f aca="false">IF(COUNT(M$3:M$37)&gt;=MinChapters,QUARTILE(M$3:M$37,3),"")</f>
        <v>3.364</v>
      </c>
      <c r="N42" s="35" t="n">
        <f aca="false">IF(COUNT(N$3:N$37)&gt;=MinChapters,QUARTILE(N$3:N$37,3),"")</f>
        <v>3.384</v>
      </c>
      <c r="O42" s="35" t="n">
        <f aca="false">IF(COUNT(O$3:O$37)&gt;=MinChapters,QUARTILE(O$3:O$37,3),"")</f>
        <v>3.40375</v>
      </c>
      <c r="P42" s="35" t="n">
        <f aca="false">IF(COUNT(P$3:P$37)&gt;=MinChapters,QUARTILE(P$3:P$37,3),"")</f>
        <v>3.444</v>
      </c>
      <c r="Q42" s="35" t="n">
        <f aca="false">IF(COUNT(Q$3:Q$37)&gt;=MinChapters,QUARTILE(Q$3:Q$37,3),"")</f>
        <v>3.479</v>
      </c>
      <c r="R42" s="35" t="str">
        <f aca="false">IF(COUNT(R$3:R$37)&gt;=MinChapters,QUARTILE(R$3:R$37,3),"")</f>
        <v/>
      </c>
      <c r="S42" s="35" t="str">
        <f aca="false">IF(COUNT(S$3:S$37)&gt;=MinChapters,QUARTILE(S$3:S$37,3),"")</f>
        <v/>
      </c>
      <c r="T42" s="35" t="str">
        <f aca="false">IF(COUNT(T$3:T$37)&gt;=MinChapters,QUARTILE(T$3:T$37,3),"")</f>
        <v/>
      </c>
      <c r="U42" s="35" t="str">
        <f aca="false">IF(COUNT(U$3:U$37)&gt;=MinChapters,QUARTILE(U$3:U$37,3),"")</f>
        <v/>
      </c>
    </row>
    <row r="43" customFormat="false" ht="15" hidden="false" customHeight="false" outlineLevel="0" collapsed="false">
      <c r="A43" s="2" t="s">
        <v>4</v>
      </c>
      <c r="B43" s="35" t="n">
        <f aca="false">IFERROR(IF(INDEX(B$3:B$37,MATCH(OurChapter,$A$3:$A$37,0))="","",INDEX(B$3:B$37,MATCH(OurChapter,$A$3:$A$37,0))),"")</f>
        <v>2.733</v>
      </c>
      <c r="C43" s="35" t="n">
        <f aca="false">IFERROR(IF(INDEX(C$3:C$37,MATCH(OurChapter,$A$3:$A$37,0))="","",INDEX(C$3:C$37,MATCH(OurChapter,$A$3:$A$37,0))),"")</f>
        <v>2.919</v>
      </c>
      <c r="D43" s="35" t="n">
        <f aca="false">IFERROR(IF(INDEX(D$3:D$37,MATCH(OurChapter,$A$3:$A$37,0))="","",INDEX(D$3:D$37,MATCH(OurChapter,$A$3:$A$37,0))),"")</f>
        <v>2.819</v>
      </c>
      <c r="E43" s="35" t="str">
        <f aca="false">IFERROR(IF(INDEX(E$3:E$37,MATCH(OurChapter,$A$3:$A$37,0))="","",INDEX(E$3:E$37,MATCH(OurChapter,$A$3:$A$37,0))),"")</f>
        <v/>
      </c>
      <c r="F43" s="35" t="n">
        <f aca="false">IFERROR(IF(INDEX(F$3:F$37,MATCH(OurChapter,$A$3:$A$37,0))="","",INDEX(F$3:F$37,MATCH(OurChapter,$A$3:$A$37,0))),"")</f>
        <v>2.957</v>
      </c>
      <c r="G43" s="35" t="n">
        <f aca="false">IFERROR(IF(INDEX(G$3:G$37,MATCH(OurChapter,$A$3:$A$37,0))="","",INDEX(G$3:G$37,MATCH(OurChapter,$A$3:$A$37,0))),"")</f>
        <v>3.267</v>
      </c>
      <c r="H43" s="35" t="n">
        <f aca="false">IFERROR(IF(INDEX(H$3:H$37,MATCH(OurChapter,$A$3:$A$37,0))="","",INDEX(H$3:H$37,MATCH(OurChapter,$A$3:$A$37,0))),"")</f>
        <v>3.167</v>
      </c>
      <c r="I43" s="35" t="n">
        <f aca="false">IFERROR(IF(INDEX(I$3:I$37,MATCH(OurChapter,$A$3:$A$37,0))="","",INDEX(I$3:I$37,MATCH(OurChapter,$A$3:$A$37,0))),"")</f>
        <v>3.316</v>
      </c>
      <c r="J43" s="35" t="n">
        <f aca="false">IFERROR(IF(INDEX(J$3:J$37,MATCH(OurChapter,$A$3:$A$37,0))="","",INDEX(J$3:J$37,MATCH(OurChapter,$A$3:$A$37,0))),"")</f>
        <v>3.096</v>
      </c>
      <c r="K43" s="35" t="n">
        <f aca="false">IFERROR(IF(INDEX(K$3:K$37,MATCH(OurChapter,$A$3:$A$37,0))="","",INDEX(K$3:K$37,MATCH(OurChapter,$A$3:$A$37,0))),"")</f>
        <v>3.121</v>
      </c>
      <c r="L43" s="35" t="n">
        <f aca="false">IFERROR(IF(INDEX(L$3:L$37,MATCH(OurChapter,$A$3:$A$37,0))="","",INDEX(L$3:L$37,MATCH(OurChapter,$A$3:$A$37,0))),"")</f>
        <v>2.997</v>
      </c>
      <c r="M43" s="35" t="n">
        <f aca="false">IFERROR(IF(INDEX(M$3:M$37,MATCH(OurChapter,$A$3:$A$37,0))="","",INDEX(M$3:M$37,MATCH(OurChapter,$A$3:$A$37,0))),"")</f>
        <v>3.321</v>
      </c>
      <c r="N43" s="35" t="n">
        <f aca="false">IFERROR(IF(INDEX(N$3:N$37,MATCH(OurChapter,$A$3:$A$37,0))="","",INDEX(N$3:N$37,MATCH(OurChapter,$A$3:$A$37,0))),"")</f>
        <v>3.216</v>
      </c>
      <c r="O43" s="35" t="n">
        <f aca="false">IFERROR(IF(INDEX(O$3:O$37,MATCH(OurChapter,$A$3:$A$37,0))="","",INDEX(O$3:O$37,MATCH(OurChapter,$A$3:$A$37,0))),"")</f>
        <v>3.053</v>
      </c>
      <c r="P43" s="35" t="n">
        <f aca="false">IFERROR(IF(INDEX(P$3:P$37,MATCH(OurChapter,$A$3:$A$37,0))="","",INDEX(P$3:P$37,MATCH(OurChapter,$A$3:$A$37,0))),"")</f>
        <v>3.033</v>
      </c>
      <c r="Q43" s="35" t="n">
        <f aca="false">IFERROR(IF(INDEX(Q$3:Q$37,MATCH(OurChapter,$A$3:$A$37,0))="","",INDEX(Q$3:Q$37,MATCH(OurChapter,$A$3:$A$37,0))),"")</f>
        <v>3.163</v>
      </c>
      <c r="R43" s="35" t="str">
        <f aca="false">IFERROR(IF(INDEX(R$3:R$37,MATCH(OurChapter,$A$3:$A$37,0))="","",INDEX(R$3:R$37,MATCH(OurChapter,$A$3:$A$37,0))),"")</f>
        <v/>
      </c>
      <c r="S43" s="35" t="str">
        <f aca="false">IFERROR(IF(INDEX(S$3:S$37,MATCH(OurChapter,$A$3:$A$37,0))="","",INDEX(S$3:S$37,MATCH(OurChapter,$A$3:$A$37,0))),"")</f>
        <v/>
      </c>
      <c r="T43" s="35" t="str">
        <f aca="false">IFERROR(IF(INDEX(T$3:T$37,MATCH(OurChapter,$A$3:$A$37,0))="","",INDEX(T$3:T$37,MATCH(OurChapter,$A$3:$A$37,0))),"")</f>
        <v/>
      </c>
      <c r="U43" s="35" t="str">
        <f aca="false">IFERROR(IF(INDEX(U$3:U$37,MATCH(OurChapter,$A$3:$A$37,0))="","",INDEX(U$3:U$37,MATCH(OurChapter,$A$3:$A$37,0))),"")</f>
        <v/>
      </c>
    </row>
    <row r="44" customFormat="false" ht="15" hidden="false" customHeight="false" outlineLevel="0" collapsed="false">
      <c r="A44" s="2" t="s">
        <v>233</v>
      </c>
      <c r="B44" s="34" t="n">
        <f aca="false">IF(OR(B43="",NOT(COUNT(B$3:B$37)&gt;=MinChapters)),"",COUNTIF(B$3:B$37,"&gt;"&amp;B43)+1)</f>
        <v>23</v>
      </c>
      <c r="C44" s="34" t="n">
        <f aca="false">IF(OR(C43="",NOT(COUNT(C$3:C$37)&gt;=MinChapters)),"",COUNTIF(C$3:C$37,"&gt;"&amp;C43)+1)</f>
        <v>21</v>
      </c>
      <c r="D44" s="34" t="n">
        <f aca="false">IF(OR(D43="",NOT(COUNT(D$3:D$37)&gt;=MinChapters)),"",COUNTIF(D$3:D$37,"&gt;"&amp;D43)+1)</f>
        <v>24</v>
      </c>
      <c r="E44" s="34" t="str">
        <f aca="false">IF(OR(E43="",NOT(COUNT(E$3:E$37)&gt;=MinChapters)),"",COUNTIF(E$3:E$37,"&gt;"&amp;E43)+1)</f>
        <v/>
      </c>
      <c r="F44" s="34" t="n">
        <f aca="false">IF(OR(F43="",NOT(COUNT(F$3:F$37)&gt;=MinChapters)),"",COUNTIF(F$3:F$37,"&gt;"&amp;F43)+1)</f>
        <v>20</v>
      </c>
      <c r="G44" s="34" t="n">
        <f aca="false">IF(OR(G43="",NOT(COUNT(G$3:G$37)&gt;=MinChapters)),"",COUNTIF(G$3:G$37,"&gt;"&amp;G43)+1)</f>
        <v>15</v>
      </c>
      <c r="H44" s="34" t="n">
        <f aca="false">IF(OR(H43="",NOT(COUNT(H$3:H$37)&gt;=MinChapters)),"",COUNTIF(H$3:H$37,"&gt;"&amp;H43)+1)</f>
        <v>14</v>
      </c>
      <c r="I44" s="34" t="n">
        <f aca="false">IF(OR(I43="",NOT(COUNT(I$3:I$37)&gt;=MinChapters)),"",COUNTIF(I$3:I$37,"&gt;"&amp;I43)+1)</f>
        <v>10</v>
      </c>
      <c r="J44" s="34" t="n">
        <f aca="false">IF(OR(J43="",NOT(COUNT(J$3:J$37)&gt;=MinChapters)),"",COUNTIF(J$3:J$37,"&gt;"&amp;J43)+1)</f>
        <v>18</v>
      </c>
      <c r="K44" s="34" t="n">
        <f aca="false">IF(OR(K43="",NOT(COUNT(K$3:K$37)&gt;=MinChapters)),"",COUNTIF(K$3:K$37,"&gt;"&amp;K43)+1)</f>
        <v>19</v>
      </c>
      <c r="L44" s="34" t="n">
        <f aca="false">IF(OR(L43="",NOT(COUNT(L$3:L$37)&gt;=MinChapters)),"",COUNTIF(L$3:L$37,"&gt;"&amp;L43)+1)</f>
        <v>19</v>
      </c>
      <c r="M44" s="34" t="n">
        <f aca="false">IF(OR(M43="",NOT(COUNT(M$3:M$37)&gt;=MinChapters)),"",COUNTIF(M$3:M$37,"&gt;"&amp;M43)+1)</f>
        <v>11</v>
      </c>
      <c r="N44" s="34" t="n">
        <f aca="false">IF(OR(N43="",NOT(COUNT(N$3:N$37)&gt;=MinChapters)),"",COUNTIF(N$3:N$37,"&gt;"&amp;N43)+1)</f>
        <v>16</v>
      </c>
      <c r="O44" s="34" t="n">
        <f aca="false">IF(OR(O43="",NOT(COUNT(O$3:O$37)&gt;=MinChapters)),"",COUNTIF(O$3:O$37,"&gt;"&amp;O43)+1)</f>
        <v>20</v>
      </c>
      <c r="P44" s="34" t="n">
        <f aca="false">IF(OR(P43="",NOT(COUNT(P$3:P$37)&gt;=MinChapters)),"",COUNTIF(P$3:P$37,"&gt;"&amp;P43)+1)</f>
        <v>19</v>
      </c>
      <c r="Q44" s="34" t="n">
        <f aca="false">IF(OR(Q43="",NOT(COUNT(Q$3:Q$37)&gt;=MinChapters)),"",COUNTIF(Q$3:Q$37,"&gt;"&amp;Q43)+1)</f>
        <v>17</v>
      </c>
      <c r="R44" s="34" t="str">
        <f aca="false">IF(OR(R43="",NOT(COUNT(R$3:R$37)&gt;=MinChapters)),"",COUNTIF(R$3:R$37,"&gt;"&amp;R43)+1)</f>
        <v/>
      </c>
      <c r="S44" s="34" t="str">
        <f aca="false">IF(OR(S43="",NOT(COUNT(S$3:S$37)&gt;=MinChapters)),"",COUNTIF(S$3:S$37,"&gt;"&amp;S43)+1)</f>
        <v/>
      </c>
      <c r="T44" s="34" t="str">
        <f aca="false">IF(OR(T43="",NOT(COUNT(T$3:T$37)&gt;=MinChapters)),"",COUNTIF(T$3:T$37,"&gt;"&amp;T43)+1)</f>
        <v/>
      </c>
      <c r="U44" s="34" t="str">
        <f aca="false">IF(OR(U43="",NOT(COUNT(U$3:U$37)&gt;=MinChapters)),"",COUNTIF(U$3:U$37,"&gt;"&amp;U43)+1)</f>
        <v/>
      </c>
    </row>
    <row r="45" customFormat="false" ht="15" hidden="false" customHeight="false" outlineLevel="0" collapsed="false">
      <c r="A45" s="2" t="s">
        <v>234</v>
      </c>
      <c r="B45" s="36" t="n">
        <f aca="false">IF(B44="","",IF(B39&lt;=1,"",(B39-B44)/(B39-1)))</f>
        <v>0.0833333333333333</v>
      </c>
      <c r="C45" s="36" t="n">
        <f aca="false">IF(C44="","",IF(C39&lt;=1,"",(C39-C44)/(C39-1)))</f>
        <v>0.130434782608696</v>
      </c>
      <c r="D45" s="36" t="n">
        <f aca="false">IF(D44="","",IF(D39&lt;=1,"",(D39-D44)/(D39-1)))</f>
        <v>0.115384615384615</v>
      </c>
      <c r="E45" s="36" t="str">
        <f aca="false">IF(E44="","",IF(E39&lt;=1,"",(E39-E44)/(E39-1)))</f>
        <v/>
      </c>
      <c r="F45" s="36" t="n">
        <f aca="false">IF(F44="","",IF(F39&lt;=1,"",(F39-F44)/(F39-1)))</f>
        <v>0.173913043478261</v>
      </c>
      <c r="G45" s="36" t="n">
        <f aca="false">IF(G44="","",IF(G39&lt;=1,"",(G39-G44)/(G39-1)))</f>
        <v>0.44</v>
      </c>
      <c r="H45" s="36" t="n">
        <f aca="false">IF(H44="","",IF(H39&lt;=1,"",(H39-H44)/(H39-1)))</f>
        <v>0.458333333333333</v>
      </c>
      <c r="I45" s="36" t="n">
        <f aca="false">IF(I44="","",IF(I39&lt;=1,"",(I39-I44)/(I39-1)))</f>
        <v>0.625</v>
      </c>
      <c r="J45" s="36" t="n">
        <f aca="false">IF(J44="","",IF(J39&lt;=1,"",(J39-J44)/(J39-1)))</f>
        <v>0.260869565217391</v>
      </c>
      <c r="K45" s="36" t="n">
        <f aca="false">IF(K44="","",IF(K39&lt;=1,"",(K39-K44)/(K39-1)))</f>
        <v>0.25</v>
      </c>
      <c r="L45" s="36" t="n">
        <f aca="false">IF(L44="","",IF(L39&lt;=1,"",(L39-L44)/(L39-1)))</f>
        <v>0.25</v>
      </c>
      <c r="M45" s="36" t="n">
        <f aca="false">IF(M44="","",IF(M39&lt;=1,"",(M39-M44)/(M39-1)))</f>
        <v>0.583333333333333</v>
      </c>
      <c r="N45" s="36" t="n">
        <f aca="false">IF(N44="","",IF(N39&lt;=1,"",(N39-N44)/(N39-1)))</f>
        <v>0.375</v>
      </c>
      <c r="O45" s="36" t="n">
        <f aca="false">IF(O44="","",IF(O39&lt;=1,"",(O39-O44)/(O39-1)))</f>
        <v>0.173913043478261</v>
      </c>
      <c r="P45" s="36" t="n">
        <f aca="false">IF(P44="","",IF(P39&lt;=1,"",(P39-P44)/(P39-1)))</f>
        <v>0.25</v>
      </c>
      <c r="Q45" s="36" t="n">
        <f aca="false">IF(Q44="","",IF(Q39&lt;=1,"",(Q39-Q44)/(Q39-1)))</f>
        <v>0.272727272727273</v>
      </c>
      <c r="R45" s="36" t="str">
        <f aca="false">IF(R44="","",IF(R39&lt;=1,"",(R39-R44)/(R39-1)))</f>
        <v/>
      </c>
      <c r="S45" s="36" t="str">
        <f aca="false">IF(S44="","",IF(S39&lt;=1,"",(S39-S44)/(S39-1)))</f>
        <v/>
      </c>
      <c r="T45" s="36" t="str">
        <f aca="false">IF(T44="","",IF(T39&lt;=1,"",(T39-T44)/(T39-1)))</f>
        <v/>
      </c>
      <c r="U45" s="36" t="str">
        <f aca="false">IF(U44="","",IF(U39&lt;=1,"",(U39-U44)/(U39-1)))</f>
        <v/>
      </c>
    </row>
    <row r="46" customFormat="false" ht="15" hidden="false" customHeight="false" outlineLevel="0" collapsed="false">
      <c r="A46" s="2" t="s">
        <v>235</v>
      </c>
      <c r="B46" s="37" t="n">
        <f aca="false">IF(OR(B43="",B40=""),"",B43-B40)</f>
        <v>-0.423778184034126</v>
      </c>
      <c r="C46" s="37" t="n">
        <f aca="false">IF(OR(C43="",C40=""),"",C43-C40)</f>
        <v>-0.247991222570533</v>
      </c>
      <c r="D46" s="37" t="n">
        <f aca="false">IF(OR(D43="",D40=""),"",D43-D40)</f>
        <v>-0.324051030927835</v>
      </c>
      <c r="E46" s="37" t="str">
        <f aca="false">IF(OR(E43="",E40=""),"",E43-E40)</f>
        <v/>
      </c>
      <c r="F46" s="37" t="n">
        <f aca="false">IF(OR(F43="",F40=""),"",F43-F40)</f>
        <v>-0.242904530744337</v>
      </c>
      <c r="G46" s="37" t="n">
        <f aca="false">IF(OR(G43="",G40=""),"",G43-G40)</f>
        <v>-0.0489272930648768</v>
      </c>
      <c r="H46" s="37" t="n">
        <f aca="false">IF(OR(H43="",H40=""),"",H43-H40)</f>
        <v>-0.0570221716884598</v>
      </c>
      <c r="I46" s="37" t="n">
        <f aca="false">IF(OR(I43="",I40=""),"",I43-I40)</f>
        <v>0.00968436406067674</v>
      </c>
      <c r="J46" s="37" t="n">
        <f aca="false">IF(OR(J43="",J40=""),"",J43-J40)</f>
        <v>-0.184225589225589</v>
      </c>
      <c r="K46" s="37" t="n">
        <f aca="false">IF(OR(K43="",K40=""),"",K43-K40)</f>
        <v>-0.233900177200236</v>
      </c>
      <c r="L46" s="37" t="n">
        <f aca="false">IF(OR(L43="",L40=""),"",L43-L40)</f>
        <v>-0.284675331858407</v>
      </c>
      <c r="M46" s="37" t="n">
        <f aca="false">IF(OR(M43="",M40=""),"",M43-M40)</f>
        <v>-0.0207106310403637</v>
      </c>
      <c r="N46" s="37" t="n">
        <f aca="false">IF(OR(N43="",N40=""),"",N43-N40)</f>
        <v>-0.146103684210526</v>
      </c>
      <c r="O46" s="37" t="n">
        <f aca="false">IF(OR(O43="",O40=""),"",O43-O40)</f>
        <v>-0.321154091392136</v>
      </c>
      <c r="P46" s="37" t="n">
        <f aca="false">IF(OR(P43="",P40=""),"",P43-P40)</f>
        <v>-0.294553535353536</v>
      </c>
      <c r="Q46" s="37" t="n">
        <f aca="false">IF(OR(Q43="",Q40=""),"",Q43-Q40)</f>
        <v>-0.228975512528474</v>
      </c>
      <c r="R46" s="37" t="str">
        <f aca="false">IF(OR(R43="",R40=""),"",R43-R40)</f>
        <v/>
      </c>
      <c r="S46" s="37" t="str">
        <f aca="false">IF(OR(S43="",S40=""),"",S43-S40)</f>
        <v/>
      </c>
      <c r="T46" s="37" t="str">
        <f aca="false">IF(OR(T43="",T40=""),"",T43-T40)</f>
        <v/>
      </c>
      <c r="U46" s="37" t="str">
        <f aca="false">IF(OR(U43="",U40=""),"",U43-U40)</f>
        <v/>
      </c>
    </row>
  </sheetData>
  <conditionalFormatting sqref="A3:U37">
    <cfRule type="expression" priority="2" aboveAverage="0" equalAverage="0" bottom="0" percent="0" rank="0" text="" dxfId="2">
      <formula>$A3=OurChapter</formula>
    </cfRule>
  </conditionalFormatting>
  <conditionalFormatting sqref="B3:U37">
    <cfRule type="colorScale" priority="3">
      <colorScale>
        <cfvo type="min" val="0"/>
        <cfvo type="percentile" val="50"/>
        <cfvo type="max" val="0"/>
        <color rgb="FFF8696B"/>
        <color rgb="FFFFEB84"/>
        <color rgb="FF63BE7B"/>
      </colorScale>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U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defaultColWidth="8.5390625" defaultRowHeight="15" zeroHeight="false" outlineLevelRow="0" outlineLevelCol="0"/>
  <cols>
    <col collapsed="false" customWidth="true" hidden="false" outlineLevel="0" max="1" min="1" style="0" width="30"/>
    <col collapsed="false" customWidth="true" hidden="false" outlineLevel="0" max="21" min="2" style="0" width="10.5"/>
  </cols>
  <sheetData>
    <row r="1" customFormat="false" ht="15" hidden="false" customHeight="false" outlineLevel="0" collapsed="false">
      <c r="A1" s="13" t="s">
        <v>236</v>
      </c>
    </row>
    <row r="2" customFormat="false" ht="15" hidden="false" customHeight="false" outlineLevel="0" collapsed="false">
      <c r="A2" s="14" t="s">
        <v>174</v>
      </c>
      <c r="B2" s="14" t="s">
        <v>144</v>
      </c>
      <c r="C2" s="14" t="s">
        <v>145</v>
      </c>
      <c r="D2" s="14" t="s">
        <v>146</v>
      </c>
      <c r="E2" s="14" t="s">
        <v>147</v>
      </c>
      <c r="F2" s="14" t="s">
        <v>148</v>
      </c>
      <c r="G2" s="14" t="s">
        <v>149</v>
      </c>
      <c r="H2" s="14" t="s">
        <v>150</v>
      </c>
      <c r="I2" s="14" t="s">
        <v>151</v>
      </c>
      <c r="J2" s="14" t="s">
        <v>152</v>
      </c>
      <c r="K2" s="14" t="s">
        <v>153</v>
      </c>
      <c r="L2" s="14" t="s">
        <v>154</v>
      </c>
      <c r="M2" s="14" t="s">
        <v>155</v>
      </c>
      <c r="N2" s="14" t="s">
        <v>156</v>
      </c>
      <c r="O2" s="14" t="s">
        <v>157</v>
      </c>
      <c r="P2" s="14" t="s">
        <v>158</v>
      </c>
      <c r="Q2" s="14" t="s">
        <v>159</v>
      </c>
      <c r="R2" s="14" t="s">
        <v>160</v>
      </c>
      <c r="S2" s="14" t="s">
        <v>161</v>
      </c>
      <c r="T2" s="14" t="s">
        <v>162</v>
      </c>
      <c r="U2" s="14" t="s">
        <v>163</v>
      </c>
    </row>
    <row r="3" customFormat="false" ht="15" hidden="false" customHeight="false" outlineLevel="0" collapsed="false">
      <c r="A3" s="8" t="str">
        <f aca="false">IF(Lists!$D$2="","",Lists!$D$2)</f>
        <v>Acacia</v>
      </c>
      <c r="B3" s="19" t="n">
        <f aca="false">IF($A3="","",IF(COUNTIFS('Chapter Data'!$A$2:$A$2500,B$2,'Chapter Data'!$D$2:$D$2500,$A3,'Chapter Data'!$E$2:$E$2500,"&lt;&gt;")=0,"",SUMIFS('Chapter Data'!$E$2:$E$2500,'Chapter Data'!$A$2:$A$2500,B$2,'Chapter Data'!$D$2:$D$2500,$A3)))</f>
        <v>28</v>
      </c>
      <c r="C3" s="19" t="n">
        <f aca="false">IF($A3="","",IF(COUNTIFS('Chapter Data'!$A$2:$A$2500,C$2,'Chapter Data'!$D$2:$D$2500,$A3,'Chapter Data'!$E$2:$E$2500,"&lt;&gt;")=0,"",SUMIFS('Chapter Data'!$E$2:$E$2500,'Chapter Data'!$A$2:$A$2500,C$2,'Chapter Data'!$D$2:$D$2500,$A3)))</f>
        <v>23</v>
      </c>
      <c r="D3" s="19" t="n">
        <f aca="false">IF($A3="","",IF(COUNTIFS('Chapter Data'!$A$2:$A$2500,D$2,'Chapter Data'!$D$2:$D$2500,$A3,'Chapter Data'!$E$2:$E$2500,"&lt;&gt;")=0,"",SUMIFS('Chapter Data'!$E$2:$E$2500,'Chapter Data'!$A$2:$A$2500,D$2,'Chapter Data'!$D$2:$D$2500,$A3)))</f>
        <v>33</v>
      </c>
      <c r="E3" s="19" t="n">
        <f aca="false">IF($A3="","",IF(COUNTIFS('Chapter Data'!$A$2:$A$2500,E$2,'Chapter Data'!$D$2:$D$2500,$A3,'Chapter Data'!$E$2:$E$2500,"&lt;&gt;")=0,"",SUMIFS('Chapter Data'!$E$2:$E$2500,'Chapter Data'!$A$2:$A$2500,E$2,'Chapter Data'!$D$2:$D$2500,$A3)))</f>
        <v>31</v>
      </c>
      <c r="F3" s="19" t="n">
        <f aca="false">IF($A3="","",IF(COUNTIFS('Chapter Data'!$A$2:$A$2500,F$2,'Chapter Data'!$D$2:$D$2500,$A3,'Chapter Data'!$E$2:$E$2500,"&lt;&gt;")=0,"",SUMIFS('Chapter Data'!$E$2:$E$2500,'Chapter Data'!$A$2:$A$2500,F$2,'Chapter Data'!$D$2:$D$2500,$A3)))</f>
        <v>44</v>
      </c>
      <c r="G3" s="19" t="n">
        <f aca="false">IF($A3="","",IF(COUNTIFS('Chapter Data'!$A$2:$A$2500,G$2,'Chapter Data'!$D$2:$D$2500,$A3,'Chapter Data'!$E$2:$E$2500,"&lt;&gt;")=0,"",SUMIFS('Chapter Data'!$E$2:$E$2500,'Chapter Data'!$A$2:$A$2500,G$2,'Chapter Data'!$D$2:$D$2500,$A3)))</f>
        <v>40</v>
      </c>
      <c r="H3" s="19" t="n">
        <f aca="false">IF($A3="","",IF(COUNTIFS('Chapter Data'!$A$2:$A$2500,H$2,'Chapter Data'!$D$2:$D$2500,$A3,'Chapter Data'!$E$2:$E$2500,"&lt;&gt;")=0,"",SUMIFS('Chapter Data'!$E$2:$E$2500,'Chapter Data'!$A$2:$A$2500,H$2,'Chapter Data'!$D$2:$D$2500,$A3)))</f>
        <v>48</v>
      </c>
      <c r="I3" s="19" t="n">
        <f aca="false">IF($A3="","",IF(COUNTIFS('Chapter Data'!$A$2:$A$2500,I$2,'Chapter Data'!$D$2:$D$2500,$A3,'Chapter Data'!$E$2:$E$2500,"&lt;&gt;")=0,"",SUMIFS('Chapter Data'!$E$2:$E$2500,'Chapter Data'!$A$2:$A$2500,I$2,'Chapter Data'!$D$2:$D$2500,$A3)))</f>
        <v>45</v>
      </c>
      <c r="J3" s="19" t="n">
        <f aca="false">IF($A3="","",IF(COUNTIFS('Chapter Data'!$A$2:$A$2500,J$2,'Chapter Data'!$D$2:$D$2500,$A3,'Chapter Data'!$E$2:$E$2500,"&lt;&gt;")=0,"",SUMIFS('Chapter Data'!$E$2:$E$2500,'Chapter Data'!$A$2:$A$2500,J$2,'Chapter Data'!$D$2:$D$2500,$A3)))</f>
        <v>39</v>
      </c>
      <c r="K3" s="19" t="n">
        <f aca="false">IF($A3="","",IF(COUNTIFS('Chapter Data'!$A$2:$A$2500,K$2,'Chapter Data'!$D$2:$D$2500,$A3,'Chapter Data'!$E$2:$E$2500,"&lt;&gt;")=0,"",SUMIFS('Chapter Data'!$E$2:$E$2500,'Chapter Data'!$A$2:$A$2500,K$2,'Chapter Data'!$D$2:$D$2500,$A3)))</f>
        <v>39</v>
      </c>
      <c r="L3" s="19" t="n">
        <f aca="false">IF($A3="","",IF(COUNTIFS('Chapter Data'!$A$2:$A$2500,L$2,'Chapter Data'!$D$2:$D$2500,$A3,'Chapter Data'!$E$2:$E$2500,"&lt;&gt;")=0,"",SUMIFS('Chapter Data'!$E$2:$E$2500,'Chapter Data'!$A$2:$A$2500,L$2,'Chapter Data'!$D$2:$D$2500,$A3)))</f>
        <v>39</v>
      </c>
      <c r="M3" s="19" t="n">
        <f aca="false">IF($A3="","",IF(COUNTIFS('Chapter Data'!$A$2:$A$2500,M$2,'Chapter Data'!$D$2:$D$2500,$A3,'Chapter Data'!$E$2:$E$2500,"&lt;&gt;")=0,"",SUMIFS('Chapter Data'!$E$2:$E$2500,'Chapter Data'!$A$2:$A$2500,M$2,'Chapter Data'!$D$2:$D$2500,$A3)))</f>
        <v>37</v>
      </c>
      <c r="N3" s="19" t="n">
        <f aca="false">IF($A3="","",IF(COUNTIFS('Chapter Data'!$A$2:$A$2500,N$2,'Chapter Data'!$D$2:$D$2500,$A3,'Chapter Data'!$E$2:$E$2500,"&lt;&gt;")=0,"",SUMIFS('Chapter Data'!$E$2:$E$2500,'Chapter Data'!$A$2:$A$2500,N$2,'Chapter Data'!$D$2:$D$2500,$A3)))</f>
        <v>37</v>
      </c>
      <c r="O3" s="19" t="n">
        <f aca="false">IF($A3="","",IF(COUNTIFS('Chapter Data'!$A$2:$A$2500,O$2,'Chapter Data'!$D$2:$D$2500,$A3,'Chapter Data'!$E$2:$E$2500,"&lt;&gt;")=0,"",SUMIFS('Chapter Data'!$E$2:$E$2500,'Chapter Data'!$A$2:$A$2500,O$2,'Chapter Data'!$D$2:$D$2500,$A3)))</f>
        <v>36</v>
      </c>
      <c r="P3" s="19" t="n">
        <f aca="false">IF($A3="","",IF(COUNTIFS('Chapter Data'!$A$2:$A$2500,P$2,'Chapter Data'!$D$2:$D$2500,$A3,'Chapter Data'!$E$2:$E$2500,"&lt;&gt;")=0,"",SUMIFS('Chapter Data'!$E$2:$E$2500,'Chapter Data'!$A$2:$A$2500,P$2,'Chapter Data'!$D$2:$D$2500,$A3)))</f>
        <v>34</v>
      </c>
      <c r="Q3" s="19" t="n">
        <f aca="false">IF($A3="","",IF(COUNTIFS('Chapter Data'!$A$2:$A$2500,Q$2,'Chapter Data'!$D$2:$D$2500,$A3,'Chapter Data'!$E$2:$E$2500,"&lt;&gt;")=0,"",SUMIFS('Chapter Data'!$E$2:$E$2500,'Chapter Data'!$A$2:$A$2500,Q$2,'Chapter Data'!$D$2:$D$2500,$A3)))</f>
        <v>33</v>
      </c>
      <c r="R3" s="19" t="str">
        <f aca="false">IF($A3="","",IF(COUNTIFS('Chapter Data'!$A$2:$A$2500,R$2,'Chapter Data'!$D$2:$D$2500,$A3,'Chapter Data'!$E$2:$E$2500,"&lt;&gt;")=0,"",SUMIFS('Chapter Data'!$E$2:$E$2500,'Chapter Data'!$A$2:$A$2500,R$2,'Chapter Data'!$D$2:$D$2500,$A3)))</f>
        <v/>
      </c>
      <c r="S3" s="19" t="str">
        <f aca="false">IF($A3="","",IF(COUNTIFS('Chapter Data'!$A$2:$A$2500,S$2,'Chapter Data'!$D$2:$D$2500,$A3,'Chapter Data'!$E$2:$E$2500,"&lt;&gt;")=0,"",SUMIFS('Chapter Data'!$E$2:$E$2500,'Chapter Data'!$A$2:$A$2500,S$2,'Chapter Data'!$D$2:$D$2500,$A3)))</f>
        <v/>
      </c>
      <c r="T3" s="19" t="str">
        <f aca="false">IF($A3="","",IF(COUNTIFS('Chapter Data'!$A$2:$A$2500,T$2,'Chapter Data'!$D$2:$D$2500,$A3,'Chapter Data'!$E$2:$E$2500,"&lt;&gt;")=0,"",SUMIFS('Chapter Data'!$E$2:$E$2500,'Chapter Data'!$A$2:$A$2500,T$2,'Chapter Data'!$D$2:$D$2500,$A3)))</f>
        <v/>
      </c>
      <c r="U3" s="19" t="str">
        <f aca="false">IF($A3="","",IF(COUNTIFS('Chapter Data'!$A$2:$A$2500,U$2,'Chapter Data'!$D$2:$D$2500,$A3,'Chapter Data'!$E$2:$E$2500,"&lt;&gt;")=0,"",SUMIFS('Chapter Data'!$E$2:$E$2500,'Chapter Data'!$A$2:$A$2500,U$2,'Chapter Data'!$D$2:$D$2500,$A3)))</f>
        <v/>
      </c>
    </row>
    <row r="4" customFormat="false" ht="15" hidden="false" customHeight="false" outlineLevel="0" collapsed="false">
      <c r="A4" s="8" t="str">
        <f aca="false">IF(Lists!$D$3="","",Lists!$D$3)</f>
        <v>Alpha Gamma Nu</v>
      </c>
      <c r="B4" s="19" t="n">
        <f aca="false">IF($A4="","",IF(COUNTIFS('Chapter Data'!$A$2:$A$2500,B$2,'Chapter Data'!$D$2:$D$2500,$A4,'Chapter Data'!$E$2:$E$2500,"&lt;&gt;")=0,"",SUMIFS('Chapter Data'!$E$2:$E$2500,'Chapter Data'!$A$2:$A$2500,B$2,'Chapter Data'!$D$2:$D$2500,$A4)))</f>
        <v>47</v>
      </c>
      <c r="C4" s="19" t="n">
        <f aca="false">IF($A4="","",IF(COUNTIFS('Chapter Data'!$A$2:$A$2500,C$2,'Chapter Data'!$D$2:$D$2500,$A4,'Chapter Data'!$E$2:$E$2500,"&lt;&gt;")=0,"",SUMIFS('Chapter Data'!$E$2:$E$2500,'Chapter Data'!$A$2:$A$2500,C$2,'Chapter Data'!$D$2:$D$2500,$A4)))</f>
        <v>37</v>
      </c>
      <c r="D4" s="19" t="n">
        <f aca="false">IF($A4="","",IF(COUNTIFS('Chapter Data'!$A$2:$A$2500,D$2,'Chapter Data'!$D$2:$D$2500,$A4,'Chapter Data'!$E$2:$E$2500,"&lt;&gt;")=0,"",SUMIFS('Chapter Data'!$E$2:$E$2500,'Chapter Data'!$A$2:$A$2500,D$2,'Chapter Data'!$D$2:$D$2500,$A4)))</f>
        <v>29</v>
      </c>
      <c r="E4" s="19" t="n">
        <f aca="false">IF($A4="","",IF(COUNTIFS('Chapter Data'!$A$2:$A$2500,E$2,'Chapter Data'!$D$2:$D$2500,$A4,'Chapter Data'!$E$2:$E$2500,"&lt;&gt;")=0,"",SUMIFS('Chapter Data'!$E$2:$E$2500,'Chapter Data'!$A$2:$A$2500,E$2,'Chapter Data'!$D$2:$D$2500,$A4)))</f>
        <v>23</v>
      </c>
      <c r="F4" s="19" t="n">
        <f aca="false">IF($A4="","",IF(COUNTIFS('Chapter Data'!$A$2:$A$2500,F$2,'Chapter Data'!$D$2:$D$2500,$A4,'Chapter Data'!$E$2:$E$2500,"&lt;&gt;")=0,"",SUMIFS('Chapter Data'!$E$2:$E$2500,'Chapter Data'!$A$2:$A$2500,F$2,'Chapter Data'!$D$2:$D$2500,$A4)))</f>
        <v>8</v>
      </c>
      <c r="G4" s="19" t="n">
        <f aca="false">IF($A4="","",IF(COUNTIFS('Chapter Data'!$A$2:$A$2500,G$2,'Chapter Data'!$D$2:$D$2500,$A4,'Chapter Data'!$E$2:$E$2500,"&lt;&gt;")=0,"",SUMIFS('Chapter Data'!$E$2:$E$2500,'Chapter Data'!$A$2:$A$2500,G$2,'Chapter Data'!$D$2:$D$2500,$A4)))</f>
        <v>7</v>
      </c>
      <c r="H4" s="19" t="str">
        <f aca="false">IF($A4="","",IF(COUNTIFS('Chapter Data'!$A$2:$A$2500,H$2,'Chapter Data'!$D$2:$D$2500,$A4,'Chapter Data'!$E$2:$E$2500,"&lt;&gt;")=0,"",SUMIFS('Chapter Data'!$E$2:$E$2500,'Chapter Data'!$A$2:$A$2500,H$2,'Chapter Data'!$D$2:$D$2500,$A4)))</f>
        <v/>
      </c>
      <c r="I4" s="19" t="str">
        <f aca="false">IF($A4="","",IF(COUNTIFS('Chapter Data'!$A$2:$A$2500,I$2,'Chapter Data'!$D$2:$D$2500,$A4,'Chapter Data'!$E$2:$E$2500,"&lt;&gt;")=0,"",SUMIFS('Chapter Data'!$E$2:$E$2500,'Chapter Data'!$A$2:$A$2500,I$2,'Chapter Data'!$D$2:$D$2500,$A4)))</f>
        <v/>
      </c>
      <c r="J4" s="19" t="str">
        <f aca="false">IF($A4="","",IF(COUNTIFS('Chapter Data'!$A$2:$A$2500,J$2,'Chapter Data'!$D$2:$D$2500,$A4,'Chapter Data'!$E$2:$E$2500,"&lt;&gt;")=0,"",SUMIFS('Chapter Data'!$E$2:$E$2500,'Chapter Data'!$A$2:$A$2500,J$2,'Chapter Data'!$D$2:$D$2500,$A4)))</f>
        <v/>
      </c>
      <c r="K4" s="19" t="str">
        <f aca="false">IF($A4="","",IF(COUNTIFS('Chapter Data'!$A$2:$A$2500,K$2,'Chapter Data'!$D$2:$D$2500,$A4,'Chapter Data'!$E$2:$E$2500,"&lt;&gt;")=0,"",SUMIFS('Chapter Data'!$E$2:$E$2500,'Chapter Data'!$A$2:$A$2500,K$2,'Chapter Data'!$D$2:$D$2500,$A4)))</f>
        <v/>
      </c>
      <c r="L4" s="19" t="str">
        <f aca="false">IF($A4="","",IF(COUNTIFS('Chapter Data'!$A$2:$A$2500,L$2,'Chapter Data'!$D$2:$D$2500,$A4,'Chapter Data'!$E$2:$E$2500,"&lt;&gt;")=0,"",SUMIFS('Chapter Data'!$E$2:$E$2500,'Chapter Data'!$A$2:$A$2500,L$2,'Chapter Data'!$D$2:$D$2500,$A4)))</f>
        <v/>
      </c>
      <c r="M4" s="19" t="str">
        <f aca="false">IF($A4="","",IF(COUNTIFS('Chapter Data'!$A$2:$A$2500,M$2,'Chapter Data'!$D$2:$D$2500,$A4,'Chapter Data'!$E$2:$E$2500,"&lt;&gt;")=0,"",SUMIFS('Chapter Data'!$E$2:$E$2500,'Chapter Data'!$A$2:$A$2500,M$2,'Chapter Data'!$D$2:$D$2500,$A4)))</f>
        <v/>
      </c>
      <c r="N4" s="19" t="str">
        <f aca="false">IF($A4="","",IF(COUNTIFS('Chapter Data'!$A$2:$A$2500,N$2,'Chapter Data'!$D$2:$D$2500,$A4,'Chapter Data'!$E$2:$E$2500,"&lt;&gt;")=0,"",SUMIFS('Chapter Data'!$E$2:$E$2500,'Chapter Data'!$A$2:$A$2500,N$2,'Chapter Data'!$D$2:$D$2500,$A4)))</f>
        <v/>
      </c>
      <c r="O4" s="19" t="str">
        <f aca="false">IF($A4="","",IF(COUNTIFS('Chapter Data'!$A$2:$A$2500,O$2,'Chapter Data'!$D$2:$D$2500,$A4,'Chapter Data'!$E$2:$E$2500,"&lt;&gt;")=0,"",SUMIFS('Chapter Data'!$E$2:$E$2500,'Chapter Data'!$A$2:$A$2500,O$2,'Chapter Data'!$D$2:$D$2500,$A4)))</f>
        <v/>
      </c>
      <c r="P4" s="19" t="str">
        <f aca="false">IF($A4="","",IF(COUNTIFS('Chapter Data'!$A$2:$A$2500,P$2,'Chapter Data'!$D$2:$D$2500,$A4,'Chapter Data'!$E$2:$E$2500,"&lt;&gt;")=0,"",SUMIFS('Chapter Data'!$E$2:$E$2500,'Chapter Data'!$A$2:$A$2500,P$2,'Chapter Data'!$D$2:$D$2500,$A4)))</f>
        <v/>
      </c>
      <c r="Q4" s="19" t="str">
        <f aca="false">IF($A4="","",IF(COUNTIFS('Chapter Data'!$A$2:$A$2500,Q$2,'Chapter Data'!$D$2:$D$2500,$A4,'Chapter Data'!$E$2:$E$2500,"&lt;&gt;")=0,"",SUMIFS('Chapter Data'!$E$2:$E$2500,'Chapter Data'!$A$2:$A$2500,Q$2,'Chapter Data'!$D$2:$D$2500,$A4)))</f>
        <v/>
      </c>
      <c r="R4" s="19" t="str">
        <f aca="false">IF($A4="","",IF(COUNTIFS('Chapter Data'!$A$2:$A$2500,R$2,'Chapter Data'!$D$2:$D$2500,$A4,'Chapter Data'!$E$2:$E$2500,"&lt;&gt;")=0,"",SUMIFS('Chapter Data'!$E$2:$E$2500,'Chapter Data'!$A$2:$A$2500,R$2,'Chapter Data'!$D$2:$D$2500,$A4)))</f>
        <v/>
      </c>
      <c r="S4" s="19" t="str">
        <f aca="false">IF($A4="","",IF(COUNTIFS('Chapter Data'!$A$2:$A$2500,S$2,'Chapter Data'!$D$2:$D$2500,$A4,'Chapter Data'!$E$2:$E$2500,"&lt;&gt;")=0,"",SUMIFS('Chapter Data'!$E$2:$E$2500,'Chapter Data'!$A$2:$A$2500,S$2,'Chapter Data'!$D$2:$D$2500,$A4)))</f>
        <v/>
      </c>
      <c r="T4" s="19" t="str">
        <f aca="false">IF($A4="","",IF(COUNTIFS('Chapter Data'!$A$2:$A$2500,T$2,'Chapter Data'!$D$2:$D$2500,$A4,'Chapter Data'!$E$2:$E$2500,"&lt;&gt;")=0,"",SUMIFS('Chapter Data'!$E$2:$E$2500,'Chapter Data'!$A$2:$A$2500,T$2,'Chapter Data'!$D$2:$D$2500,$A4)))</f>
        <v/>
      </c>
      <c r="U4" s="19" t="str">
        <f aca="false">IF($A4="","",IF(COUNTIFS('Chapter Data'!$A$2:$A$2500,U$2,'Chapter Data'!$D$2:$D$2500,$A4,'Chapter Data'!$E$2:$E$2500,"&lt;&gt;")=0,"",SUMIFS('Chapter Data'!$E$2:$E$2500,'Chapter Data'!$A$2:$A$2500,U$2,'Chapter Data'!$D$2:$D$2500,$A4)))</f>
        <v/>
      </c>
    </row>
    <row r="5" customFormat="false" ht="15" hidden="false" customHeight="false" outlineLevel="0" collapsed="false">
      <c r="A5" s="8" t="str">
        <f aca="false">IF(Lists!$D$4="","",Lists!$D$4)</f>
        <v>Alpha Gamma Rho</v>
      </c>
      <c r="B5" s="19" t="n">
        <f aca="false">IF($A5="","",IF(COUNTIFS('Chapter Data'!$A$2:$A$2500,B$2,'Chapter Data'!$D$2:$D$2500,$A5,'Chapter Data'!$E$2:$E$2500,"&lt;&gt;")=0,"",SUMIFS('Chapter Data'!$E$2:$E$2500,'Chapter Data'!$A$2:$A$2500,B$2,'Chapter Data'!$D$2:$D$2500,$A5)))</f>
        <v>96</v>
      </c>
      <c r="C5" s="19" t="n">
        <f aca="false">IF($A5="","",IF(COUNTIFS('Chapter Data'!$A$2:$A$2500,C$2,'Chapter Data'!$D$2:$D$2500,$A5,'Chapter Data'!$E$2:$E$2500,"&lt;&gt;")=0,"",SUMIFS('Chapter Data'!$E$2:$E$2500,'Chapter Data'!$A$2:$A$2500,C$2,'Chapter Data'!$D$2:$D$2500,$A5)))</f>
        <v>90</v>
      </c>
      <c r="D5" s="19" t="n">
        <f aca="false">IF($A5="","",IF(COUNTIFS('Chapter Data'!$A$2:$A$2500,D$2,'Chapter Data'!$D$2:$D$2500,$A5,'Chapter Data'!$E$2:$E$2500,"&lt;&gt;")=0,"",SUMIFS('Chapter Data'!$E$2:$E$2500,'Chapter Data'!$A$2:$A$2500,D$2,'Chapter Data'!$D$2:$D$2500,$A5)))</f>
        <v>98</v>
      </c>
      <c r="E5" s="19" t="n">
        <f aca="false">IF($A5="","",IF(COUNTIFS('Chapter Data'!$A$2:$A$2500,E$2,'Chapter Data'!$D$2:$D$2500,$A5,'Chapter Data'!$E$2:$E$2500,"&lt;&gt;")=0,"",SUMIFS('Chapter Data'!$E$2:$E$2500,'Chapter Data'!$A$2:$A$2500,E$2,'Chapter Data'!$D$2:$D$2500,$A5)))</f>
        <v>95</v>
      </c>
      <c r="F5" s="19" t="n">
        <f aca="false">IF($A5="","",IF(COUNTIFS('Chapter Data'!$A$2:$A$2500,F$2,'Chapter Data'!$D$2:$D$2500,$A5,'Chapter Data'!$E$2:$E$2500,"&lt;&gt;")=0,"",SUMIFS('Chapter Data'!$E$2:$E$2500,'Chapter Data'!$A$2:$A$2500,F$2,'Chapter Data'!$D$2:$D$2500,$A5)))</f>
        <v>98</v>
      </c>
      <c r="G5" s="19" t="n">
        <f aca="false">IF($A5="","",IF(COUNTIFS('Chapter Data'!$A$2:$A$2500,G$2,'Chapter Data'!$D$2:$D$2500,$A5,'Chapter Data'!$E$2:$E$2500,"&lt;&gt;")=0,"",SUMIFS('Chapter Data'!$E$2:$E$2500,'Chapter Data'!$A$2:$A$2500,G$2,'Chapter Data'!$D$2:$D$2500,$A5)))</f>
        <v>94</v>
      </c>
      <c r="H5" s="19" t="n">
        <f aca="false">IF($A5="","",IF(COUNTIFS('Chapter Data'!$A$2:$A$2500,H$2,'Chapter Data'!$D$2:$D$2500,$A5,'Chapter Data'!$E$2:$E$2500,"&lt;&gt;")=0,"",SUMIFS('Chapter Data'!$E$2:$E$2500,'Chapter Data'!$A$2:$A$2500,H$2,'Chapter Data'!$D$2:$D$2500,$A5)))</f>
        <v>96</v>
      </c>
      <c r="I5" s="19" t="n">
        <f aca="false">IF($A5="","",IF(COUNTIFS('Chapter Data'!$A$2:$A$2500,I$2,'Chapter Data'!$D$2:$D$2500,$A5,'Chapter Data'!$E$2:$E$2500,"&lt;&gt;")=0,"",SUMIFS('Chapter Data'!$E$2:$E$2500,'Chapter Data'!$A$2:$A$2500,I$2,'Chapter Data'!$D$2:$D$2500,$A5)))</f>
        <v>90</v>
      </c>
      <c r="J5" s="19" t="n">
        <f aca="false">IF($A5="","",IF(COUNTIFS('Chapter Data'!$A$2:$A$2500,J$2,'Chapter Data'!$D$2:$D$2500,$A5,'Chapter Data'!$E$2:$E$2500,"&lt;&gt;")=0,"",SUMIFS('Chapter Data'!$E$2:$E$2500,'Chapter Data'!$A$2:$A$2500,J$2,'Chapter Data'!$D$2:$D$2500,$A5)))</f>
        <v>97</v>
      </c>
      <c r="K5" s="19" t="n">
        <f aca="false">IF($A5="","",IF(COUNTIFS('Chapter Data'!$A$2:$A$2500,K$2,'Chapter Data'!$D$2:$D$2500,$A5,'Chapter Data'!$E$2:$E$2500,"&lt;&gt;")=0,"",SUMIFS('Chapter Data'!$E$2:$E$2500,'Chapter Data'!$A$2:$A$2500,K$2,'Chapter Data'!$D$2:$D$2500,$A5)))</f>
        <v>96</v>
      </c>
      <c r="L5" s="19" t="n">
        <f aca="false">IF($A5="","",IF(COUNTIFS('Chapter Data'!$A$2:$A$2500,L$2,'Chapter Data'!$D$2:$D$2500,$A5,'Chapter Data'!$E$2:$E$2500,"&lt;&gt;")=0,"",SUMIFS('Chapter Data'!$E$2:$E$2500,'Chapter Data'!$A$2:$A$2500,L$2,'Chapter Data'!$D$2:$D$2500,$A5)))</f>
        <v>104</v>
      </c>
      <c r="M5" s="19" t="n">
        <f aca="false">IF($A5="","",IF(COUNTIFS('Chapter Data'!$A$2:$A$2500,M$2,'Chapter Data'!$D$2:$D$2500,$A5,'Chapter Data'!$E$2:$E$2500,"&lt;&gt;")=0,"",SUMIFS('Chapter Data'!$E$2:$E$2500,'Chapter Data'!$A$2:$A$2500,M$2,'Chapter Data'!$D$2:$D$2500,$A5)))</f>
        <v>101</v>
      </c>
      <c r="N5" s="19" t="n">
        <f aca="false">IF($A5="","",IF(COUNTIFS('Chapter Data'!$A$2:$A$2500,N$2,'Chapter Data'!$D$2:$D$2500,$A5,'Chapter Data'!$E$2:$E$2500,"&lt;&gt;")=0,"",SUMIFS('Chapter Data'!$E$2:$E$2500,'Chapter Data'!$A$2:$A$2500,N$2,'Chapter Data'!$D$2:$D$2500,$A5)))</f>
        <v>107</v>
      </c>
      <c r="O5" s="19" t="n">
        <f aca="false">IF($A5="","",IF(COUNTIFS('Chapter Data'!$A$2:$A$2500,O$2,'Chapter Data'!$D$2:$D$2500,$A5,'Chapter Data'!$E$2:$E$2500,"&lt;&gt;")=0,"",SUMIFS('Chapter Data'!$E$2:$E$2500,'Chapter Data'!$A$2:$A$2500,O$2,'Chapter Data'!$D$2:$D$2500,$A5)))</f>
        <v>101</v>
      </c>
      <c r="P5" s="19" t="n">
        <f aca="false">IF($A5="","",IF(COUNTIFS('Chapter Data'!$A$2:$A$2500,P$2,'Chapter Data'!$D$2:$D$2500,$A5,'Chapter Data'!$E$2:$E$2500,"&lt;&gt;")=0,"",SUMIFS('Chapter Data'!$E$2:$E$2500,'Chapter Data'!$A$2:$A$2500,P$2,'Chapter Data'!$D$2:$D$2500,$A5)))</f>
        <v>95</v>
      </c>
      <c r="Q5" s="19" t="n">
        <f aca="false">IF($A5="","",IF(COUNTIFS('Chapter Data'!$A$2:$A$2500,Q$2,'Chapter Data'!$D$2:$D$2500,$A5,'Chapter Data'!$E$2:$E$2500,"&lt;&gt;")=0,"",SUMIFS('Chapter Data'!$E$2:$E$2500,'Chapter Data'!$A$2:$A$2500,Q$2,'Chapter Data'!$D$2:$D$2500,$A5)))</f>
        <v>92</v>
      </c>
      <c r="R5" s="19" t="str">
        <f aca="false">IF($A5="","",IF(COUNTIFS('Chapter Data'!$A$2:$A$2500,R$2,'Chapter Data'!$D$2:$D$2500,$A5,'Chapter Data'!$E$2:$E$2500,"&lt;&gt;")=0,"",SUMIFS('Chapter Data'!$E$2:$E$2500,'Chapter Data'!$A$2:$A$2500,R$2,'Chapter Data'!$D$2:$D$2500,$A5)))</f>
        <v/>
      </c>
      <c r="S5" s="19" t="str">
        <f aca="false">IF($A5="","",IF(COUNTIFS('Chapter Data'!$A$2:$A$2500,S$2,'Chapter Data'!$D$2:$D$2500,$A5,'Chapter Data'!$E$2:$E$2500,"&lt;&gt;")=0,"",SUMIFS('Chapter Data'!$E$2:$E$2500,'Chapter Data'!$A$2:$A$2500,S$2,'Chapter Data'!$D$2:$D$2500,$A5)))</f>
        <v/>
      </c>
      <c r="T5" s="19" t="str">
        <f aca="false">IF($A5="","",IF(COUNTIFS('Chapter Data'!$A$2:$A$2500,T$2,'Chapter Data'!$D$2:$D$2500,$A5,'Chapter Data'!$E$2:$E$2500,"&lt;&gt;")=0,"",SUMIFS('Chapter Data'!$E$2:$E$2500,'Chapter Data'!$A$2:$A$2500,T$2,'Chapter Data'!$D$2:$D$2500,$A5)))</f>
        <v/>
      </c>
      <c r="U5" s="19" t="str">
        <f aca="false">IF($A5="","",IF(COUNTIFS('Chapter Data'!$A$2:$A$2500,U$2,'Chapter Data'!$D$2:$D$2500,$A5,'Chapter Data'!$E$2:$E$2500,"&lt;&gt;")=0,"",SUMIFS('Chapter Data'!$E$2:$E$2500,'Chapter Data'!$A$2:$A$2500,U$2,'Chapter Data'!$D$2:$D$2500,$A5)))</f>
        <v/>
      </c>
    </row>
    <row r="6" customFormat="false" ht="15" hidden="false" customHeight="false" outlineLevel="0" collapsed="false">
      <c r="A6" s="8" t="str">
        <f aca="false">IF(Lists!$D$5="","",Lists!$D$5)</f>
        <v>Alpha Gamma Sigma</v>
      </c>
      <c r="B6" s="19" t="n">
        <f aca="false">IF($A6="","",IF(COUNTIFS('Chapter Data'!$A$2:$A$2500,B$2,'Chapter Data'!$D$2:$D$2500,$A6,'Chapter Data'!$E$2:$E$2500,"&lt;&gt;")=0,"",SUMIFS('Chapter Data'!$E$2:$E$2500,'Chapter Data'!$A$2:$A$2500,B$2,'Chapter Data'!$D$2:$D$2500,$A6)))</f>
        <v>83</v>
      </c>
      <c r="C6" s="19" t="n">
        <f aca="false">IF($A6="","",IF(COUNTIFS('Chapter Data'!$A$2:$A$2500,C$2,'Chapter Data'!$D$2:$D$2500,$A6,'Chapter Data'!$E$2:$E$2500,"&lt;&gt;")=0,"",SUMIFS('Chapter Data'!$E$2:$E$2500,'Chapter Data'!$A$2:$A$2500,C$2,'Chapter Data'!$D$2:$D$2500,$A6)))</f>
        <v>76</v>
      </c>
      <c r="D6" s="19" t="n">
        <f aca="false">IF($A6="","",IF(COUNTIFS('Chapter Data'!$A$2:$A$2500,D$2,'Chapter Data'!$D$2:$D$2500,$A6,'Chapter Data'!$E$2:$E$2500,"&lt;&gt;")=0,"",SUMIFS('Chapter Data'!$E$2:$E$2500,'Chapter Data'!$A$2:$A$2500,D$2,'Chapter Data'!$D$2:$D$2500,$A6)))</f>
        <v>83</v>
      </c>
      <c r="E6" s="19" t="n">
        <f aca="false">IF($A6="","",IF(COUNTIFS('Chapter Data'!$A$2:$A$2500,E$2,'Chapter Data'!$D$2:$D$2500,$A6,'Chapter Data'!$E$2:$E$2500,"&lt;&gt;")=0,"",SUMIFS('Chapter Data'!$E$2:$E$2500,'Chapter Data'!$A$2:$A$2500,E$2,'Chapter Data'!$D$2:$D$2500,$A6)))</f>
        <v>80</v>
      </c>
      <c r="F6" s="19" t="n">
        <f aca="false">IF($A6="","",IF(COUNTIFS('Chapter Data'!$A$2:$A$2500,F$2,'Chapter Data'!$D$2:$D$2500,$A6,'Chapter Data'!$E$2:$E$2500,"&lt;&gt;")=0,"",SUMIFS('Chapter Data'!$E$2:$E$2500,'Chapter Data'!$A$2:$A$2500,F$2,'Chapter Data'!$D$2:$D$2500,$A6)))</f>
        <v>76</v>
      </c>
      <c r="G6" s="19" t="n">
        <f aca="false">IF($A6="","",IF(COUNTIFS('Chapter Data'!$A$2:$A$2500,G$2,'Chapter Data'!$D$2:$D$2500,$A6,'Chapter Data'!$E$2:$E$2500,"&lt;&gt;")=0,"",SUMIFS('Chapter Data'!$E$2:$E$2500,'Chapter Data'!$A$2:$A$2500,G$2,'Chapter Data'!$D$2:$D$2500,$A6)))</f>
        <v>69</v>
      </c>
      <c r="H6" s="19" t="n">
        <f aca="false">IF($A6="","",IF(COUNTIFS('Chapter Data'!$A$2:$A$2500,H$2,'Chapter Data'!$D$2:$D$2500,$A6,'Chapter Data'!$E$2:$E$2500,"&lt;&gt;")=0,"",SUMIFS('Chapter Data'!$E$2:$E$2500,'Chapter Data'!$A$2:$A$2500,H$2,'Chapter Data'!$D$2:$D$2500,$A6)))</f>
        <v>78</v>
      </c>
      <c r="I6" s="19" t="n">
        <f aca="false">IF($A6="","",IF(COUNTIFS('Chapter Data'!$A$2:$A$2500,I$2,'Chapter Data'!$D$2:$D$2500,$A6,'Chapter Data'!$E$2:$E$2500,"&lt;&gt;")=0,"",SUMIFS('Chapter Data'!$E$2:$E$2500,'Chapter Data'!$A$2:$A$2500,I$2,'Chapter Data'!$D$2:$D$2500,$A6)))</f>
        <v>79</v>
      </c>
      <c r="J6" s="19" t="n">
        <f aca="false">IF($A6="","",IF(COUNTIFS('Chapter Data'!$A$2:$A$2500,J$2,'Chapter Data'!$D$2:$D$2500,$A6,'Chapter Data'!$E$2:$E$2500,"&lt;&gt;")=0,"",SUMIFS('Chapter Data'!$E$2:$E$2500,'Chapter Data'!$A$2:$A$2500,J$2,'Chapter Data'!$D$2:$D$2500,$A6)))</f>
        <v>91</v>
      </c>
      <c r="K6" s="19" t="n">
        <f aca="false">IF($A6="","",IF(COUNTIFS('Chapter Data'!$A$2:$A$2500,K$2,'Chapter Data'!$D$2:$D$2500,$A6,'Chapter Data'!$E$2:$E$2500,"&lt;&gt;")=0,"",SUMIFS('Chapter Data'!$E$2:$E$2500,'Chapter Data'!$A$2:$A$2500,K$2,'Chapter Data'!$D$2:$D$2500,$A6)))</f>
        <v>88</v>
      </c>
      <c r="L6" s="19" t="n">
        <f aca="false">IF($A6="","",IF(COUNTIFS('Chapter Data'!$A$2:$A$2500,L$2,'Chapter Data'!$D$2:$D$2500,$A6,'Chapter Data'!$E$2:$E$2500,"&lt;&gt;")=0,"",SUMIFS('Chapter Data'!$E$2:$E$2500,'Chapter Data'!$A$2:$A$2500,L$2,'Chapter Data'!$D$2:$D$2500,$A6)))</f>
        <v>93</v>
      </c>
      <c r="M6" s="19" t="n">
        <f aca="false">IF($A6="","",IF(COUNTIFS('Chapter Data'!$A$2:$A$2500,M$2,'Chapter Data'!$D$2:$D$2500,$A6,'Chapter Data'!$E$2:$E$2500,"&lt;&gt;")=0,"",SUMIFS('Chapter Data'!$E$2:$E$2500,'Chapter Data'!$A$2:$A$2500,M$2,'Chapter Data'!$D$2:$D$2500,$A6)))</f>
        <v>90</v>
      </c>
      <c r="N6" s="19" t="n">
        <f aca="false">IF($A6="","",IF(COUNTIFS('Chapter Data'!$A$2:$A$2500,N$2,'Chapter Data'!$D$2:$D$2500,$A6,'Chapter Data'!$E$2:$E$2500,"&lt;&gt;")=0,"",SUMIFS('Chapter Data'!$E$2:$E$2500,'Chapter Data'!$A$2:$A$2500,N$2,'Chapter Data'!$D$2:$D$2500,$A6)))</f>
        <v>96</v>
      </c>
      <c r="O6" s="19" t="n">
        <f aca="false">IF($A6="","",IF(COUNTIFS('Chapter Data'!$A$2:$A$2500,O$2,'Chapter Data'!$D$2:$D$2500,$A6,'Chapter Data'!$E$2:$E$2500,"&lt;&gt;")=0,"",SUMIFS('Chapter Data'!$E$2:$E$2500,'Chapter Data'!$A$2:$A$2500,O$2,'Chapter Data'!$D$2:$D$2500,$A6)))</f>
        <v>85</v>
      </c>
      <c r="P6" s="19" t="n">
        <f aca="false">IF($A6="","",IF(COUNTIFS('Chapter Data'!$A$2:$A$2500,P$2,'Chapter Data'!$D$2:$D$2500,$A6,'Chapter Data'!$E$2:$E$2500,"&lt;&gt;")=0,"",SUMIFS('Chapter Data'!$E$2:$E$2500,'Chapter Data'!$A$2:$A$2500,P$2,'Chapter Data'!$D$2:$D$2500,$A6)))</f>
        <v>94</v>
      </c>
      <c r="Q6" s="19" t="n">
        <f aca="false">IF($A6="","",IF(COUNTIFS('Chapter Data'!$A$2:$A$2500,Q$2,'Chapter Data'!$D$2:$D$2500,$A6,'Chapter Data'!$E$2:$E$2500,"&lt;&gt;")=0,"",SUMIFS('Chapter Data'!$E$2:$E$2500,'Chapter Data'!$A$2:$A$2500,Q$2,'Chapter Data'!$D$2:$D$2500,$A6)))</f>
        <v>88</v>
      </c>
      <c r="R6" s="19" t="str">
        <f aca="false">IF($A6="","",IF(COUNTIFS('Chapter Data'!$A$2:$A$2500,R$2,'Chapter Data'!$D$2:$D$2500,$A6,'Chapter Data'!$E$2:$E$2500,"&lt;&gt;")=0,"",SUMIFS('Chapter Data'!$E$2:$E$2500,'Chapter Data'!$A$2:$A$2500,R$2,'Chapter Data'!$D$2:$D$2500,$A6)))</f>
        <v/>
      </c>
      <c r="S6" s="19" t="str">
        <f aca="false">IF($A6="","",IF(COUNTIFS('Chapter Data'!$A$2:$A$2500,S$2,'Chapter Data'!$D$2:$D$2500,$A6,'Chapter Data'!$E$2:$E$2500,"&lt;&gt;")=0,"",SUMIFS('Chapter Data'!$E$2:$E$2500,'Chapter Data'!$A$2:$A$2500,S$2,'Chapter Data'!$D$2:$D$2500,$A6)))</f>
        <v/>
      </c>
      <c r="T6" s="19" t="str">
        <f aca="false">IF($A6="","",IF(COUNTIFS('Chapter Data'!$A$2:$A$2500,T$2,'Chapter Data'!$D$2:$D$2500,$A6,'Chapter Data'!$E$2:$E$2500,"&lt;&gt;")=0,"",SUMIFS('Chapter Data'!$E$2:$E$2500,'Chapter Data'!$A$2:$A$2500,T$2,'Chapter Data'!$D$2:$D$2500,$A6)))</f>
        <v/>
      </c>
      <c r="U6" s="19" t="str">
        <f aca="false">IF($A6="","",IF(COUNTIFS('Chapter Data'!$A$2:$A$2500,U$2,'Chapter Data'!$D$2:$D$2500,$A6,'Chapter Data'!$E$2:$E$2500,"&lt;&gt;")=0,"",SUMIFS('Chapter Data'!$E$2:$E$2500,'Chapter Data'!$A$2:$A$2500,U$2,'Chapter Data'!$D$2:$D$2500,$A6)))</f>
        <v/>
      </c>
    </row>
    <row r="7" customFormat="false" ht="15" hidden="false" customHeight="false" outlineLevel="0" collapsed="false">
      <c r="A7" s="8" t="str">
        <f aca="false">IF(Lists!$D$6="","",Lists!$D$6)</f>
        <v>Alpha Tau Omega</v>
      </c>
      <c r="B7" s="19" t="n">
        <f aca="false">IF($A7="","",IF(COUNTIFS('Chapter Data'!$A$2:$A$2500,B$2,'Chapter Data'!$D$2:$D$2500,$A7,'Chapter Data'!$E$2:$E$2500,"&lt;&gt;")=0,"",SUMIFS('Chapter Data'!$E$2:$E$2500,'Chapter Data'!$A$2:$A$2500,B$2,'Chapter Data'!$D$2:$D$2500,$A7)))</f>
        <v>71</v>
      </c>
      <c r="C7" s="19" t="n">
        <f aca="false">IF($A7="","",IF(COUNTIFS('Chapter Data'!$A$2:$A$2500,C$2,'Chapter Data'!$D$2:$D$2500,$A7,'Chapter Data'!$E$2:$E$2500,"&lt;&gt;")=0,"",SUMIFS('Chapter Data'!$E$2:$E$2500,'Chapter Data'!$A$2:$A$2500,C$2,'Chapter Data'!$D$2:$D$2500,$A7)))</f>
        <v>77</v>
      </c>
      <c r="D7" s="19" t="n">
        <f aca="false">IF($A7="","",IF(COUNTIFS('Chapter Data'!$A$2:$A$2500,D$2,'Chapter Data'!$D$2:$D$2500,$A7,'Chapter Data'!$E$2:$E$2500,"&lt;&gt;")=0,"",SUMIFS('Chapter Data'!$E$2:$E$2500,'Chapter Data'!$A$2:$A$2500,D$2,'Chapter Data'!$D$2:$D$2500,$A7)))</f>
        <v>108</v>
      </c>
      <c r="E7" s="19" t="n">
        <f aca="false">IF($A7="","",IF(COUNTIFS('Chapter Data'!$A$2:$A$2500,E$2,'Chapter Data'!$D$2:$D$2500,$A7,'Chapter Data'!$E$2:$E$2500,"&lt;&gt;")=0,"",SUMIFS('Chapter Data'!$E$2:$E$2500,'Chapter Data'!$A$2:$A$2500,E$2,'Chapter Data'!$D$2:$D$2500,$A7)))</f>
        <v>105</v>
      </c>
      <c r="F7" s="19" t="n">
        <f aca="false">IF($A7="","",IF(COUNTIFS('Chapter Data'!$A$2:$A$2500,F$2,'Chapter Data'!$D$2:$D$2500,$A7,'Chapter Data'!$E$2:$E$2500,"&lt;&gt;")=0,"",SUMIFS('Chapter Data'!$E$2:$E$2500,'Chapter Data'!$A$2:$A$2500,F$2,'Chapter Data'!$D$2:$D$2500,$A7)))</f>
        <v>128</v>
      </c>
      <c r="G7" s="19" t="n">
        <f aca="false">IF($A7="","",IF(COUNTIFS('Chapter Data'!$A$2:$A$2500,G$2,'Chapter Data'!$D$2:$D$2500,$A7,'Chapter Data'!$E$2:$E$2500,"&lt;&gt;")=0,"",SUMIFS('Chapter Data'!$E$2:$E$2500,'Chapter Data'!$A$2:$A$2500,G$2,'Chapter Data'!$D$2:$D$2500,$A7)))</f>
        <v>119</v>
      </c>
      <c r="H7" s="19" t="n">
        <f aca="false">IF($A7="","",IF(COUNTIFS('Chapter Data'!$A$2:$A$2500,H$2,'Chapter Data'!$D$2:$D$2500,$A7,'Chapter Data'!$E$2:$E$2500,"&lt;&gt;")=0,"",SUMIFS('Chapter Data'!$E$2:$E$2500,'Chapter Data'!$A$2:$A$2500,H$2,'Chapter Data'!$D$2:$D$2500,$A7)))</f>
        <v>108</v>
      </c>
      <c r="I7" s="19" t="n">
        <f aca="false">IF($A7="","",IF(COUNTIFS('Chapter Data'!$A$2:$A$2500,I$2,'Chapter Data'!$D$2:$D$2500,$A7,'Chapter Data'!$E$2:$E$2500,"&lt;&gt;")=0,"",SUMIFS('Chapter Data'!$E$2:$E$2500,'Chapter Data'!$A$2:$A$2500,I$2,'Chapter Data'!$D$2:$D$2500,$A7)))</f>
        <v>116</v>
      </c>
      <c r="J7" s="19" t="n">
        <f aca="false">IF($A7="","",IF(COUNTIFS('Chapter Data'!$A$2:$A$2500,J$2,'Chapter Data'!$D$2:$D$2500,$A7,'Chapter Data'!$E$2:$E$2500,"&lt;&gt;")=0,"",SUMIFS('Chapter Data'!$E$2:$E$2500,'Chapter Data'!$A$2:$A$2500,J$2,'Chapter Data'!$D$2:$D$2500,$A7)))</f>
        <v>118</v>
      </c>
      <c r="K7" s="19" t="n">
        <f aca="false">IF($A7="","",IF(COUNTIFS('Chapter Data'!$A$2:$A$2500,K$2,'Chapter Data'!$D$2:$D$2500,$A7,'Chapter Data'!$E$2:$E$2500,"&lt;&gt;")=0,"",SUMIFS('Chapter Data'!$E$2:$E$2500,'Chapter Data'!$A$2:$A$2500,K$2,'Chapter Data'!$D$2:$D$2500,$A7)))</f>
        <v>106</v>
      </c>
      <c r="L7" s="19" t="n">
        <f aca="false">IF($A7="","",IF(COUNTIFS('Chapter Data'!$A$2:$A$2500,L$2,'Chapter Data'!$D$2:$D$2500,$A7,'Chapter Data'!$E$2:$E$2500,"&lt;&gt;")=0,"",SUMIFS('Chapter Data'!$E$2:$E$2500,'Chapter Data'!$A$2:$A$2500,L$2,'Chapter Data'!$D$2:$D$2500,$A7)))</f>
        <v>116</v>
      </c>
      <c r="M7" s="19" t="n">
        <f aca="false">IF($A7="","",IF(COUNTIFS('Chapter Data'!$A$2:$A$2500,M$2,'Chapter Data'!$D$2:$D$2500,$A7,'Chapter Data'!$E$2:$E$2500,"&lt;&gt;")=0,"",SUMIFS('Chapter Data'!$E$2:$E$2500,'Chapter Data'!$A$2:$A$2500,M$2,'Chapter Data'!$D$2:$D$2500,$A7)))</f>
        <v>116</v>
      </c>
      <c r="N7" s="19" t="n">
        <f aca="false">IF($A7="","",IF(COUNTIFS('Chapter Data'!$A$2:$A$2500,N$2,'Chapter Data'!$D$2:$D$2500,$A7,'Chapter Data'!$E$2:$E$2500,"&lt;&gt;")=0,"",SUMIFS('Chapter Data'!$E$2:$E$2500,'Chapter Data'!$A$2:$A$2500,N$2,'Chapter Data'!$D$2:$D$2500,$A7)))</f>
        <v>124</v>
      </c>
      <c r="O7" s="19" t="n">
        <f aca="false">IF($A7="","",IF(COUNTIFS('Chapter Data'!$A$2:$A$2500,O$2,'Chapter Data'!$D$2:$D$2500,$A7,'Chapter Data'!$E$2:$E$2500,"&lt;&gt;")=0,"",SUMIFS('Chapter Data'!$E$2:$E$2500,'Chapter Data'!$A$2:$A$2500,O$2,'Chapter Data'!$D$2:$D$2500,$A7)))</f>
        <v>125</v>
      </c>
      <c r="P7" s="19" t="n">
        <f aca="false">IF($A7="","",IF(COUNTIFS('Chapter Data'!$A$2:$A$2500,P$2,'Chapter Data'!$D$2:$D$2500,$A7,'Chapter Data'!$E$2:$E$2500,"&lt;&gt;")=0,"",SUMIFS('Chapter Data'!$E$2:$E$2500,'Chapter Data'!$A$2:$A$2500,P$2,'Chapter Data'!$D$2:$D$2500,$A7)))</f>
        <v>142</v>
      </c>
      <c r="Q7" s="19" t="n">
        <f aca="false">IF($A7="","",IF(COUNTIFS('Chapter Data'!$A$2:$A$2500,Q$2,'Chapter Data'!$D$2:$D$2500,$A7,'Chapter Data'!$E$2:$E$2500,"&lt;&gt;")=0,"",SUMIFS('Chapter Data'!$E$2:$E$2500,'Chapter Data'!$A$2:$A$2500,Q$2,'Chapter Data'!$D$2:$D$2500,$A7)))</f>
        <v>142</v>
      </c>
      <c r="R7" s="19" t="str">
        <f aca="false">IF($A7="","",IF(COUNTIFS('Chapter Data'!$A$2:$A$2500,R$2,'Chapter Data'!$D$2:$D$2500,$A7,'Chapter Data'!$E$2:$E$2500,"&lt;&gt;")=0,"",SUMIFS('Chapter Data'!$E$2:$E$2500,'Chapter Data'!$A$2:$A$2500,R$2,'Chapter Data'!$D$2:$D$2500,$A7)))</f>
        <v/>
      </c>
      <c r="S7" s="19" t="str">
        <f aca="false">IF($A7="","",IF(COUNTIFS('Chapter Data'!$A$2:$A$2500,S$2,'Chapter Data'!$D$2:$D$2500,$A7,'Chapter Data'!$E$2:$E$2500,"&lt;&gt;")=0,"",SUMIFS('Chapter Data'!$E$2:$E$2500,'Chapter Data'!$A$2:$A$2500,S$2,'Chapter Data'!$D$2:$D$2500,$A7)))</f>
        <v/>
      </c>
      <c r="T7" s="19" t="str">
        <f aca="false">IF($A7="","",IF(COUNTIFS('Chapter Data'!$A$2:$A$2500,T$2,'Chapter Data'!$D$2:$D$2500,$A7,'Chapter Data'!$E$2:$E$2500,"&lt;&gt;")=0,"",SUMIFS('Chapter Data'!$E$2:$E$2500,'Chapter Data'!$A$2:$A$2500,T$2,'Chapter Data'!$D$2:$D$2500,$A7)))</f>
        <v/>
      </c>
      <c r="U7" s="19" t="str">
        <f aca="false">IF($A7="","",IF(COUNTIFS('Chapter Data'!$A$2:$A$2500,U$2,'Chapter Data'!$D$2:$D$2500,$A7,'Chapter Data'!$E$2:$E$2500,"&lt;&gt;")=0,"",SUMIFS('Chapter Data'!$E$2:$E$2500,'Chapter Data'!$A$2:$A$2500,U$2,'Chapter Data'!$D$2:$D$2500,$A7)))</f>
        <v/>
      </c>
    </row>
    <row r="8" customFormat="false" ht="15" hidden="false" customHeight="false" outlineLevel="0" collapsed="false">
      <c r="A8" s="8" t="str">
        <f aca="false">IF(Lists!$D$7="","",Lists!$D$7)</f>
        <v>Beta Sigma Psi</v>
      </c>
      <c r="B8" s="19" t="n">
        <f aca="false">IF($A8="","",IF(COUNTIFS('Chapter Data'!$A$2:$A$2500,B$2,'Chapter Data'!$D$2:$D$2500,$A8,'Chapter Data'!$E$2:$E$2500,"&lt;&gt;")=0,"",SUMIFS('Chapter Data'!$E$2:$E$2500,'Chapter Data'!$A$2:$A$2500,B$2,'Chapter Data'!$D$2:$D$2500,$A8)))</f>
        <v>23</v>
      </c>
      <c r="C8" s="19" t="n">
        <f aca="false">IF($A8="","",IF(COUNTIFS('Chapter Data'!$A$2:$A$2500,C$2,'Chapter Data'!$D$2:$D$2500,$A8,'Chapter Data'!$E$2:$E$2500,"&lt;&gt;")=0,"",SUMIFS('Chapter Data'!$E$2:$E$2500,'Chapter Data'!$A$2:$A$2500,C$2,'Chapter Data'!$D$2:$D$2500,$A8)))</f>
        <v>18</v>
      </c>
      <c r="D8" s="19" t="n">
        <f aca="false">IF($A8="","",IF(COUNTIFS('Chapter Data'!$A$2:$A$2500,D$2,'Chapter Data'!$D$2:$D$2500,$A8,'Chapter Data'!$E$2:$E$2500,"&lt;&gt;")=0,"",SUMIFS('Chapter Data'!$E$2:$E$2500,'Chapter Data'!$A$2:$A$2500,D$2,'Chapter Data'!$D$2:$D$2500,$A8)))</f>
        <v>17</v>
      </c>
      <c r="E8" s="19" t="n">
        <f aca="false">IF($A8="","",IF(COUNTIFS('Chapter Data'!$A$2:$A$2500,E$2,'Chapter Data'!$D$2:$D$2500,$A8,'Chapter Data'!$E$2:$E$2500,"&lt;&gt;")=0,"",SUMIFS('Chapter Data'!$E$2:$E$2500,'Chapter Data'!$A$2:$A$2500,E$2,'Chapter Data'!$D$2:$D$2500,$A8)))</f>
        <v>17</v>
      </c>
      <c r="F8" s="19" t="n">
        <f aca="false">IF($A8="","",IF(COUNTIFS('Chapter Data'!$A$2:$A$2500,F$2,'Chapter Data'!$D$2:$D$2500,$A8,'Chapter Data'!$E$2:$E$2500,"&lt;&gt;")=0,"",SUMIFS('Chapter Data'!$E$2:$E$2500,'Chapter Data'!$A$2:$A$2500,F$2,'Chapter Data'!$D$2:$D$2500,$A8)))</f>
        <v>13</v>
      </c>
      <c r="G8" s="19" t="n">
        <f aca="false">IF($A8="","",IF(COUNTIFS('Chapter Data'!$A$2:$A$2500,G$2,'Chapter Data'!$D$2:$D$2500,$A8,'Chapter Data'!$E$2:$E$2500,"&lt;&gt;")=0,"",SUMIFS('Chapter Data'!$E$2:$E$2500,'Chapter Data'!$A$2:$A$2500,G$2,'Chapter Data'!$D$2:$D$2500,$A8)))</f>
        <v>13</v>
      </c>
      <c r="H8" s="19" t="n">
        <f aca="false">IF($A8="","",IF(COUNTIFS('Chapter Data'!$A$2:$A$2500,H$2,'Chapter Data'!$D$2:$D$2500,$A8,'Chapter Data'!$E$2:$E$2500,"&lt;&gt;")=0,"",SUMIFS('Chapter Data'!$E$2:$E$2500,'Chapter Data'!$A$2:$A$2500,H$2,'Chapter Data'!$D$2:$D$2500,$A8)))</f>
        <v>12</v>
      </c>
      <c r="I8" s="19" t="n">
        <f aca="false">IF($A8="","",IF(COUNTIFS('Chapter Data'!$A$2:$A$2500,I$2,'Chapter Data'!$D$2:$D$2500,$A8,'Chapter Data'!$E$2:$E$2500,"&lt;&gt;")=0,"",SUMIFS('Chapter Data'!$E$2:$E$2500,'Chapter Data'!$A$2:$A$2500,I$2,'Chapter Data'!$D$2:$D$2500,$A8)))</f>
        <v>11</v>
      </c>
      <c r="J8" s="19" t="n">
        <f aca="false">IF($A8="","",IF(COUNTIFS('Chapter Data'!$A$2:$A$2500,J$2,'Chapter Data'!$D$2:$D$2500,$A8,'Chapter Data'!$E$2:$E$2500,"&lt;&gt;")=0,"",SUMIFS('Chapter Data'!$E$2:$E$2500,'Chapter Data'!$A$2:$A$2500,J$2,'Chapter Data'!$D$2:$D$2500,$A8)))</f>
        <v>16</v>
      </c>
      <c r="K8" s="19" t="n">
        <f aca="false">IF($A8="","",IF(COUNTIFS('Chapter Data'!$A$2:$A$2500,K$2,'Chapter Data'!$D$2:$D$2500,$A8,'Chapter Data'!$E$2:$E$2500,"&lt;&gt;")=0,"",SUMIFS('Chapter Data'!$E$2:$E$2500,'Chapter Data'!$A$2:$A$2500,K$2,'Chapter Data'!$D$2:$D$2500,$A8)))</f>
        <v>12</v>
      </c>
      <c r="L8" s="19" t="n">
        <f aca="false">IF($A8="","",IF(COUNTIFS('Chapter Data'!$A$2:$A$2500,L$2,'Chapter Data'!$D$2:$D$2500,$A8,'Chapter Data'!$E$2:$E$2500,"&lt;&gt;")=0,"",SUMIFS('Chapter Data'!$E$2:$E$2500,'Chapter Data'!$A$2:$A$2500,L$2,'Chapter Data'!$D$2:$D$2500,$A8)))</f>
        <v>12</v>
      </c>
      <c r="M8" s="19" t="n">
        <f aca="false">IF($A8="","",IF(COUNTIFS('Chapter Data'!$A$2:$A$2500,M$2,'Chapter Data'!$D$2:$D$2500,$A8,'Chapter Data'!$E$2:$E$2500,"&lt;&gt;")=0,"",SUMIFS('Chapter Data'!$E$2:$E$2500,'Chapter Data'!$A$2:$A$2500,M$2,'Chapter Data'!$D$2:$D$2500,$A8)))</f>
        <v>12</v>
      </c>
      <c r="N8" s="19" t="n">
        <f aca="false">IF($A8="","",IF(COUNTIFS('Chapter Data'!$A$2:$A$2500,N$2,'Chapter Data'!$D$2:$D$2500,$A8,'Chapter Data'!$E$2:$E$2500,"&lt;&gt;")=0,"",SUMIFS('Chapter Data'!$E$2:$E$2500,'Chapter Data'!$A$2:$A$2500,N$2,'Chapter Data'!$D$2:$D$2500,$A8)))</f>
        <v>15</v>
      </c>
      <c r="O8" s="19" t="n">
        <f aca="false">IF($A8="","",IF(COUNTIFS('Chapter Data'!$A$2:$A$2500,O$2,'Chapter Data'!$D$2:$D$2500,$A8,'Chapter Data'!$E$2:$E$2500,"&lt;&gt;")=0,"",SUMIFS('Chapter Data'!$E$2:$E$2500,'Chapter Data'!$A$2:$A$2500,O$2,'Chapter Data'!$D$2:$D$2500,$A8)))</f>
        <v>15</v>
      </c>
      <c r="P8" s="19" t="n">
        <f aca="false">IF($A8="","",IF(COUNTIFS('Chapter Data'!$A$2:$A$2500,P$2,'Chapter Data'!$D$2:$D$2500,$A8,'Chapter Data'!$E$2:$E$2500,"&lt;&gt;")=0,"",SUMIFS('Chapter Data'!$E$2:$E$2500,'Chapter Data'!$A$2:$A$2500,P$2,'Chapter Data'!$D$2:$D$2500,$A8)))</f>
        <v>15</v>
      </c>
      <c r="Q8" s="19" t="n">
        <f aca="false">IF($A8="","",IF(COUNTIFS('Chapter Data'!$A$2:$A$2500,Q$2,'Chapter Data'!$D$2:$D$2500,$A8,'Chapter Data'!$E$2:$E$2500,"&lt;&gt;")=0,"",SUMIFS('Chapter Data'!$E$2:$E$2500,'Chapter Data'!$A$2:$A$2500,Q$2,'Chapter Data'!$D$2:$D$2500,$A8)))</f>
        <v>15</v>
      </c>
      <c r="R8" s="19" t="str">
        <f aca="false">IF($A8="","",IF(COUNTIFS('Chapter Data'!$A$2:$A$2500,R$2,'Chapter Data'!$D$2:$D$2500,$A8,'Chapter Data'!$E$2:$E$2500,"&lt;&gt;")=0,"",SUMIFS('Chapter Data'!$E$2:$E$2500,'Chapter Data'!$A$2:$A$2500,R$2,'Chapter Data'!$D$2:$D$2500,$A8)))</f>
        <v/>
      </c>
      <c r="S8" s="19" t="str">
        <f aca="false">IF($A8="","",IF(COUNTIFS('Chapter Data'!$A$2:$A$2500,S$2,'Chapter Data'!$D$2:$D$2500,$A8,'Chapter Data'!$E$2:$E$2500,"&lt;&gt;")=0,"",SUMIFS('Chapter Data'!$E$2:$E$2500,'Chapter Data'!$A$2:$A$2500,S$2,'Chapter Data'!$D$2:$D$2500,$A8)))</f>
        <v/>
      </c>
      <c r="T8" s="19" t="str">
        <f aca="false">IF($A8="","",IF(COUNTIFS('Chapter Data'!$A$2:$A$2500,T$2,'Chapter Data'!$D$2:$D$2500,$A8,'Chapter Data'!$E$2:$E$2500,"&lt;&gt;")=0,"",SUMIFS('Chapter Data'!$E$2:$E$2500,'Chapter Data'!$A$2:$A$2500,T$2,'Chapter Data'!$D$2:$D$2500,$A8)))</f>
        <v/>
      </c>
      <c r="U8" s="19" t="str">
        <f aca="false">IF($A8="","",IF(COUNTIFS('Chapter Data'!$A$2:$A$2500,U$2,'Chapter Data'!$D$2:$D$2500,$A8,'Chapter Data'!$E$2:$E$2500,"&lt;&gt;")=0,"",SUMIFS('Chapter Data'!$E$2:$E$2500,'Chapter Data'!$A$2:$A$2500,U$2,'Chapter Data'!$D$2:$D$2500,$A8)))</f>
        <v/>
      </c>
    </row>
    <row r="9" customFormat="false" ht="15" hidden="false" customHeight="false" outlineLevel="0" collapsed="false">
      <c r="A9" s="8" t="str">
        <f aca="false">IF(Lists!$D$8="","",Lists!$D$8)</f>
        <v>Beta Theta Pi</v>
      </c>
      <c r="B9" s="19" t="n">
        <f aca="false">IF($A9="","",IF(COUNTIFS('Chapter Data'!$A$2:$A$2500,B$2,'Chapter Data'!$D$2:$D$2500,$A9,'Chapter Data'!$E$2:$E$2500,"&lt;&gt;")=0,"",SUMIFS('Chapter Data'!$E$2:$E$2500,'Chapter Data'!$A$2:$A$2500,B$2,'Chapter Data'!$D$2:$D$2500,$A9)))</f>
        <v>112</v>
      </c>
      <c r="C9" s="19" t="n">
        <f aca="false">IF($A9="","",IF(COUNTIFS('Chapter Data'!$A$2:$A$2500,C$2,'Chapter Data'!$D$2:$D$2500,$A9,'Chapter Data'!$E$2:$E$2500,"&lt;&gt;")=0,"",SUMIFS('Chapter Data'!$E$2:$E$2500,'Chapter Data'!$A$2:$A$2500,C$2,'Chapter Data'!$D$2:$D$2500,$A9)))</f>
        <v>106</v>
      </c>
      <c r="D9" s="19" t="n">
        <f aca="false">IF($A9="","",IF(COUNTIFS('Chapter Data'!$A$2:$A$2500,D$2,'Chapter Data'!$D$2:$D$2500,$A9,'Chapter Data'!$E$2:$E$2500,"&lt;&gt;")=0,"",SUMIFS('Chapter Data'!$E$2:$E$2500,'Chapter Data'!$A$2:$A$2500,D$2,'Chapter Data'!$D$2:$D$2500,$A9)))</f>
        <v>108</v>
      </c>
      <c r="E9" s="19" t="n">
        <f aca="false">IF($A9="","",IF(COUNTIFS('Chapter Data'!$A$2:$A$2500,E$2,'Chapter Data'!$D$2:$D$2500,$A9,'Chapter Data'!$E$2:$E$2500,"&lt;&gt;")=0,"",SUMIFS('Chapter Data'!$E$2:$E$2500,'Chapter Data'!$A$2:$A$2500,E$2,'Chapter Data'!$D$2:$D$2500,$A9)))</f>
        <v>109</v>
      </c>
      <c r="F9" s="19" t="n">
        <f aca="false">IF($A9="","",IF(COUNTIFS('Chapter Data'!$A$2:$A$2500,F$2,'Chapter Data'!$D$2:$D$2500,$A9,'Chapter Data'!$E$2:$E$2500,"&lt;&gt;")=0,"",SUMIFS('Chapter Data'!$E$2:$E$2500,'Chapter Data'!$A$2:$A$2500,F$2,'Chapter Data'!$D$2:$D$2500,$A9)))</f>
        <v>117</v>
      </c>
      <c r="G9" s="19" t="n">
        <f aca="false">IF($A9="","",IF(COUNTIFS('Chapter Data'!$A$2:$A$2500,G$2,'Chapter Data'!$D$2:$D$2500,$A9,'Chapter Data'!$E$2:$E$2500,"&lt;&gt;")=0,"",SUMIFS('Chapter Data'!$E$2:$E$2500,'Chapter Data'!$A$2:$A$2500,G$2,'Chapter Data'!$D$2:$D$2500,$A9)))</f>
        <v>106</v>
      </c>
      <c r="H9" s="19" t="n">
        <f aca="false">IF($A9="","",IF(COUNTIFS('Chapter Data'!$A$2:$A$2500,H$2,'Chapter Data'!$D$2:$D$2500,$A9,'Chapter Data'!$E$2:$E$2500,"&lt;&gt;")=0,"",SUMIFS('Chapter Data'!$E$2:$E$2500,'Chapter Data'!$A$2:$A$2500,H$2,'Chapter Data'!$D$2:$D$2500,$A9)))</f>
        <v>115</v>
      </c>
      <c r="I9" s="19" t="n">
        <f aca="false">IF($A9="","",IF(COUNTIFS('Chapter Data'!$A$2:$A$2500,I$2,'Chapter Data'!$D$2:$D$2500,$A9,'Chapter Data'!$E$2:$E$2500,"&lt;&gt;")=0,"",SUMIFS('Chapter Data'!$E$2:$E$2500,'Chapter Data'!$A$2:$A$2500,I$2,'Chapter Data'!$D$2:$D$2500,$A9)))</f>
        <v>108</v>
      </c>
      <c r="J9" s="19" t="n">
        <f aca="false">IF($A9="","",IF(COUNTIFS('Chapter Data'!$A$2:$A$2500,J$2,'Chapter Data'!$D$2:$D$2500,$A9,'Chapter Data'!$E$2:$E$2500,"&lt;&gt;")=0,"",SUMIFS('Chapter Data'!$E$2:$E$2500,'Chapter Data'!$A$2:$A$2500,J$2,'Chapter Data'!$D$2:$D$2500,$A9)))</f>
        <v>105</v>
      </c>
      <c r="K9" s="19" t="n">
        <f aca="false">IF($A9="","",IF(COUNTIFS('Chapter Data'!$A$2:$A$2500,K$2,'Chapter Data'!$D$2:$D$2500,$A9,'Chapter Data'!$E$2:$E$2500,"&lt;&gt;")=0,"",SUMIFS('Chapter Data'!$E$2:$E$2500,'Chapter Data'!$A$2:$A$2500,K$2,'Chapter Data'!$D$2:$D$2500,$A9)))</f>
        <v>101</v>
      </c>
      <c r="L9" s="19" t="n">
        <f aca="false">IF($A9="","",IF(COUNTIFS('Chapter Data'!$A$2:$A$2500,L$2,'Chapter Data'!$D$2:$D$2500,$A9,'Chapter Data'!$E$2:$E$2500,"&lt;&gt;")=0,"",SUMIFS('Chapter Data'!$E$2:$E$2500,'Chapter Data'!$A$2:$A$2500,L$2,'Chapter Data'!$D$2:$D$2500,$A9)))</f>
        <v>116</v>
      </c>
      <c r="M9" s="19" t="n">
        <f aca="false">IF($A9="","",IF(COUNTIFS('Chapter Data'!$A$2:$A$2500,M$2,'Chapter Data'!$D$2:$D$2500,$A9,'Chapter Data'!$E$2:$E$2500,"&lt;&gt;")=0,"",SUMIFS('Chapter Data'!$E$2:$E$2500,'Chapter Data'!$A$2:$A$2500,M$2,'Chapter Data'!$D$2:$D$2500,$A9)))</f>
        <v>116</v>
      </c>
      <c r="N9" s="19" t="n">
        <f aca="false">IF($A9="","",IF(COUNTIFS('Chapter Data'!$A$2:$A$2500,N$2,'Chapter Data'!$D$2:$D$2500,$A9,'Chapter Data'!$E$2:$E$2500,"&lt;&gt;")=0,"",SUMIFS('Chapter Data'!$E$2:$E$2500,'Chapter Data'!$A$2:$A$2500,N$2,'Chapter Data'!$D$2:$D$2500,$A9)))</f>
        <v>126</v>
      </c>
      <c r="O9" s="19" t="n">
        <f aca="false">IF($A9="","",IF(COUNTIFS('Chapter Data'!$A$2:$A$2500,O$2,'Chapter Data'!$D$2:$D$2500,$A9,'Chapter Data'!$E$2:$E$2500,"&lt;&gt;")=0,"",SUMIFS('Chapter Data'!$E$2:$E$2500,'Chapter Data'!$A$2:$A$2500,O$2,'Chapter Data'!$D$2:$D$2500,$A9)))</f>
        <v>122</v>
      </c>
      <c r="P9" s="19" t="n">
        <f aca="false">IF($A9="","",IF(COUNTIFS('Chapter Data'!$A$2:$A$2500,P$2,'Chapter Data'!$D$2:$D$2500,$A9,'Chapter Data'!$E$2:$E$2500,"&lt;&gt;")=0,"",SUMIFS('Chapter Data'!$E$2:$E$2500,'Chapter Data'!$A$2:$A$2500,P$2,'Chapter Data'!$D$2:$D$2500,$A9)))</f>
        <v>128</v>
      </c>
      <c r="Q9" s="19" t="n">
        <f aca="false">IF($A9="","",IF(COUNTIFS('Chapter Data'!$A$2:$A$2500,Q$2,'Chapter Data'!$D$2:$D$2500,$A9,'Chapter Data'!$E$2:$E$2500,"&lt;&gt;")=0,"",SUMIFS('Chapter Data'!$E$2:$E$2500,'Chapter Data'!$A$2:$A$2500,Q$2,'Chapter Data'!$D$2:$D$2500,$A9)))</f>
        <v>119</v>
      </c>
      <c r="R9" s="19" t="str">
        <f aca="false">IF($A9="","",IF(COUNTIFS('Chapter Data'!$A$2:$A$2500,R$2,'Chapter Data'!$D$2:$D$2500,$A9,'Chapter Data'!$E$2:$E$2500,"&lt;&gt;")=0,"",SUMIFS('Chapter Data'!$E$2:$E$2500,'Chapter Data'!$A$2:$A$2500,R$2,'Chapter Data'!$D$2:$D$2500,$A9)))</f>
        <v/>
      </c>
      <c r="S9" s="19" t="str">
        <f aca="false">IF($A9="","",IF(COUNTIFS('Chapter Data'!$A$2:$A$2500,S$2,'Chapter Data'!$D$2:$D$2500,$A9,'Chapter Data'!$E$2:$E$2500,"&lt;&gt;")=0,"",SUMIFS('Chapter Data'!$E$2:$E$2500,'Chapter Data'!$A$2:$A$2500,S$2,'Chapter Data'!$D$2:$D$2500,$A9)))</f>
        <v/>
      </c>
      <c r="T9" s="19" t="str">
        <f aca="false">IF($A9="","",IF(COUNTIFS('Chapter Data'!$A$2:$A$2500,T$2,'Chapter Data'!$D$2:$D$2500,$A9,'Chapter Data'!$E$2:$E$2500,"&lt;&gt;")=0,"",SUMIFS('Chapter Data'!$E$2:$E$2500,'Chapter Data'!$A$2:$A$2500,T$2,'Chapter Data'!$D$2:$D$2500,$A9)))</f>
        <v/>
      </c>
      <c r="U9" s="19" t="str">
        <f aca="false">IF($A9="","",IF(COUNTIFS('Chapter Data'!$A$2:$A$2500,U$2,'Chapter Data'!$D$2:$D$2500,$A9,'Chapter Data'!$E$2:$E$2500,"&lt;&gt;")=0,"",SUMIFS('Chapter Data'!$E$2:$E$2500,'Chapter Data'!$A$2:$A$2500,U$2,'Chapter Data'!$D$2:$D$2500,$A9)))</f>
        <v/>
      </c>
    </row>
    <row r="10" customFormat="false" ht="15" hidden="false" customHeight="false" outlineLevel="0" collapsed="false">
      <c r="A10" s="8" t="str">
        <f aca="false">IF(Lists!$D$9="","",Lists!$D$9)</f>
        <v>Chi Phi</v>
      </c>
      <c r="B10" s="19" t="n">
        <f aca="false">IF($A10="","",IF(COUNTIFS('Chapter Data'!$A$2:$A$2500,B$2,'Chapter Data'!$D$2:$D$2500,$A10,'Chapter Data'!$E$2:$E$2500,"&lt;&gt;")=0,"",SUMIFS('Chapter Data'!$E$2:$E$2500,'Chapter Data'!$A$2:$A$2500,B$2,'Chapter Data'!$D$2:$D$2500,$A10)))</f>
        <v>15</v>
      </c>
      <c r="C10" s="19" t="n">
        <f aca="false">IF($A10="","",IF(COUNTIFS('Chapter Data'!$A$2:$A$2500,C$2,'Chapter Data'!$D$2:$D$2500,$A10,'Chapter Data'!$E$2:$E$2500,"&lt;&gt;")=0,"",SUMIFS('Chapter Data'!$E$2:$E$2500,'Chapter Data'!$A$2:$A$2500,C$2,'Chapter Data'!$D$2:$D$2500,$A10)))</f>
        <v>15</v>
      </c>
      <c r="D10" s="19" t="n">
        <f aca="false">IF($A10="","",IF(COUNTIFS('Chapter Data'!$A$2:$A$2500,D$2,'Chapter Data'!$D$2:$D$2500,$A10,'Chapter Data'!$E$2:$E$2500,"&lt;&gt;")=0,"",SUMIFS('Chapter Data'!$E$2:$E$2500,'Chapter Data'!$A$2:$A$2500,D$2,'Chapter Data'!$D$2:$D$2500,$A10)))</f>
        <v>11</v>
      </c>
      <c r="E10" s="19" t="n">
        <f aca="false">IF($A10="","",IF(COUNTIFS('Chapter Data'!$A$2:$A$2500,E$2,'Chapter Data'!$D$2:$D$2500,$A10,'Chapter Data'!$E$2:$E$2500,"&lt;&gt;")=0,"",SUMIFS('Chapter Data'!$E$2:$E$2500,'Chapter Data'!$A$2:$A$2500,E$2,'Chapter Data'!$D$2:$D$2500,$A10)))</f>
        <v>8</v>
      </c>
      <c r="F10" s="19" t="n">
        <f aca="false">IF($A10="","",IF(COUNTIFS('Chapter Data'!$A$2:$A$2500,F$2,'Chapter Data'!$D$2:$D$2500,$A10,'Chapter Data'!$E$2:$E$2500,"&lt;&gt;")=0,"",SUMIFS('Chapter Data'!$E$2:$E$2500,'Chapter Data'!$A$2:$A$2500,F$2,'Chapter Data'!$D$2:$D$2500,$A10)))</f>
        <v>10</v>
      </c>
      <c r="G10" s="19" t="n">
        <f aca="false">IF($A10="","",IF(COUNTIFS('Chapter Data'!$A$2:$A$2500,G$2,'Chapter Data'!$D$2:$D$2500,$A10,'Chapter Data'!$E$2:$E$2500,"&lt;&gt;")=0,"",SUMIFS('Chapter Data'!$E$2:$E$2500,'Chapter Data'!$A$2:$A$2500,G$2,'Chapter Data'!$D$2:$D$2500,$A10)))</f>
        <v>11</v>
      </c>
      <c r="H10" s="19" t="n">
        <f aca="false">IF($A10="","",IF(COUNTIFS('Chapter Data'!$A$2:$A$2500,H$2,'Chapter Data'!$D$2:$D$2500,$A10,'Chapter Data'!$E$2:$E$2500,"&lt;&gt;")=0,"",SUMIFS('Chapter Data'!$E$2:$E$2500,'Chapter Data'!$A$2:$A$2500,H$2,'Chapter Data'!$D$2:$D$2500,$A10)))</f>
        <v>10</v>
      </c>
      <c r="I10" s="19" t="n">
        <f aca="false">IF($A10="","",IF(COUNTIFS('Chapter Data'!$A$2:$A$2500,I$2,'Chapter Data'!$D$2:$D$2500,$A10,'Chapter Data'!$E$2:$E$2500,"&lt;&gt;")=0,"",SUMIFS('Chapter Data'!$E$2:$E$2500,'Chapter Data'!$A$2:$A$2500,I$2,'Chapter Data'!$D$2:$D$2500,$A10)))</f>
        <v>12</v>
      </c>
      <c r="J10" s="19" t="n">
        <f aca="false">IF($A10="","",IF(COUNTIFS('Chapter Data'!$A$2:$A$2500,J$2,'Chapter Data'!$D$2:$D$2500,$A10,'Chapter Data'!$E$2:$E$2500,"&lt;&gt;")=0,"",SUMIFS('Chapter Data'!$E$2:$E$2500,'Chapter Data'!$A$2:$A$2500,J$2,'Chapter Data'!$D$2:$D$2500,$A10)))</f>
        <v>17</v>
      </c>
      <c r="K10" s="19" t="n">
        <f aca="false">IF($A10="","",IF(COUNTIFS('Chapter Data'!$A$2:$A$2500,K$2,'Chapter Data'!$D$2:$D$2500,$A10,'Chapter Data'!$E$2:$E$2500,"&lt;&gt;")=0,"",SUMIFS('Chapter Data'!$E$2:$E$2500,'Chapter Data'!$A$2:$A$2500,K$2,'Chapter Data'!$D$2:$D$2500,$A10)))</f>
        <v>17</v>
      </c>
      <c r="L10" s="19" t="n">
        <f aca="false">IF($A10="","",IF(COUNTIFS('Chapter Data'!$A$2:$A$2500,L$2,'Chapter Data'!$D$2:$D$2500,$A10,'Chapter Data'!$E$2:$E$2500,"&lt;&gt;")=0,"",SUMIFS('Chapter Data'!$E$2:$E$2500,'Chapter Data'!$A$2:$A$2500,L$2,'Chapter Data'!$D$2:$D$2500,$A10)))</f>
        <v>18</v>
      </c>
      <c r="M10" s="19" t="n">
        <f aca="false">IF($A10="","",IF(COUNTIFS('Chapter Data'!$A$2:$A$2500,M$2,'Chapter Data'!$D$2:$D$2500,$A10,'Chapter Data'!$E$2:$E$2500,"&lt;&gt;")=0,"",SUMIFS('Chapter Data'!$E$2:$E$2500,'Chapter Data'!$A$2:$A$2500,M$2,'Chapter Data'!$D$2:$D$2500,$A10)))</f>
        <v>16</v>
      </c>
      <c r="N10" s="19" t="n">
        <f aca="false">IF($A10="","",IF(COUNTIFS('Chapter Data'!$A$2:$A$2500,N$2,'Chapter Data'!$D$2:$D$2500,$A10,'Chapter Data'!$E$2:$E$2500,"&lt;&gt;")=0,"",SUMIFS('Chapter Data'!$E$2:$E$2500,'Chapter Data'!$A$2:$A$2500,N$2,'Chapter Data'!$D$2:$D$2500,$A10)))</f>
        <v>15</v>
      </c>
      <c r="O10" s="19" t="n">
        <f aca="false">IF($A10="","",IF(COUNTIFS('Chapter Data'!$A$2:$A$2500,O$2,'Chapter Data'!$D$2:$D$2500,$A10,'Chapter Data'!$E$2:$E$2500,"&lt;&gt;")=0,"",SUMIFS('Chapter Data'!$E$2:$E$2500,'Chapter Data'!$A$2:$A$2500,O$2,'Chapter Data'!$D$2:$D$2500,$A10)))</f>
        <v>14</v>
      </c>
      <c r="P10" s="19" t="n">
        <f aca="false">IF($A10="","",IF(COUNTIFS('Chapter Data'!$A$2:$A$2500,P$2,'Chapter Data'!$D$2:$D$2500,$A10,'Chapter Data'!$E$2:$E$2500,"&lt;&gt;")=0,"",SUMIFS('Chapter Data'!$E$2:$E$2500,'Chapter Data'!$A$2:$A$2500,P$2,'Chapter Data'!$D$2:$D$2500,$A10)))</f>
        <v>13</v>
      </c>
      <c r="Q10" s="19" t="n">
        <f aca="false">IF($A10="","",IF(COUNTIFS('Chapter Data'!$A$2:$A$2500,Q$2,'Chapter Data'!$D$2:$D$2500,$A10,'Chapter Data'!$E$2:$E$2500,"&lt;&gt;")=0,"",SUMIFS('Chapter Data'!$E$2:$E$2500,'Chapter Data'!$A$2:$A$2500,Q$2,'Chapter Data'!$D$2:$D$2500,$A10)))</f>
        <v>15</v>
      </c>
      <c r="R10" s="19" t="str">
        <f aca="false">IF($A10="","",IF(COUNTIFS('Chapter Data'!$A$2:$A$2500,R$2,'Chapter Data'!$D$2:$D$2500,$A10,'Chapter Data'!$E$2:$E$2500,"&lt;&gt;")=0,"",SUMIFS('Chapter Data'!$E$2:$E$2500,'Chapter Data'!$A$2:$A$2500,R$2,'Chapter Data'!$D$2:$D$2500,$A10)))</f>
        <v/>
      </c>
      <c r="S10" s="19" t="str">
        <f aca="false">IF($A10="","",IF(COUNTIFS('Chapter Data'!$A$2:$A$2500,S$2,'Chapter Data'!$D$2:$D$2500,$A10,'Chapter Data'!$E$2:$E$2500,"&lt;&gt;")=0,"",SUMIFS('Chapter Data'!$E$2:$E$2500,'Chapter Data'!$A$2:$A$2500,S$2,'Chapter Data'!$D$2:$D$2500,$A10)))</f>
        <v/>
      </c>
      <c r="T10" s="19" t="str">
        <f aca="false">IF($A10="","",IF(COUNTIFS('Chapter Data'!$A$2:$A$2500,T$2,'Chapter Data'!$D$2:$D$2500,$A10,'Chapter Data'!$E$2:$E$2500,"&lt;&gt;")=0,"",SUMIFS('Chapter Data'!$E$2:$E$2500,'Chapter Data'!$A$2:$A$2500,T$2,'Chapter Data'!$D$2:$D$2500,$A10)))</f>
        <v/>
      </c>
      <c r="U10" s="19" t="str">
        <f aca="false">IF($A10="","",IF(COUNTIFS('Chapter Data'!$A$2:$A$2500,U$2,'Chapter Data'!$D$2:$D$2500,$A10,'Chapter Data'!$E$2:$E$2500,"&lt;&gt;")=0,"",SUMIFS('Chapter Data'!$E$2:$E$2500,'Chapter Data'!$A$2:$A$2500,U$2,'Chapter Data'!$D$2:$D$2500,$A10)))</f>
        <v/>
      </c>
    </row>
    <row r="11" customFormat="false" ht="15" hidden="false" customHeight="false" outlineLevel="0" collapsed="false">
      <c r="A11" s="8" t="str">
        <f aca="false">IF(Lists!$D$10="","",Lists!$D$10)</f>
        <v>Delta Sigma Phi</v>
      </c>
      <c r="B11" s="19" t="str">
        <f aca="false">IF($A11="","",IF(COUNTIFS('Chapter Data'!$A$2:$A$2500,B$2,'Chapter Data'!$D$2:$D$2500,$A11,'Chapter Data'!$E$2:$E$2500,"&lt;&gt;")=0,"",SUMIFS('Chapter Data'!$E$2:$E$2500,'Chapter Data'!$A$2:$A$2500,B$2,'Chapter Data'!$D$2:$D$2500,$A11)))</f>
        <v/>
      </c>
      <c r="C11" s="19" t="str">
        <f aca="false">IF($A11="","",IF(COUNTIFS('Chapter Data'!$A$2:$A$2500,C$2,'Chapter Data'!$D$2:$D$2500,$A11,'Chapter Data'!$E$2:$E$2500,"&lt;&gt;")=0,"",SUMIFS('Chapter Data'!$E$2:$E$2500,'Chapter Data'!$A$2:$A$2500,C$2,'Chapter Data'!$D$2:$D$2500,$A11)))</f>
        <v/>
      </c>
      <c r="D11" s="19" t="str">
        <f aca="false">IF($A11="","",IF(COUNTIFS('Chapter Data'!$A$2:$A$2500,D$2,'Chapter Data'!$D$2:$D$2500,$A11,'Chapter Data'!$E$2:$E$2500,"&lt;&gt;")=0,"",SUMIFS('Chapter Data'!$E$2:$E$2500,'Chapter Data'!$A$2:$A$2500,D$2,'Chapter Data'!$D$2:$D$2500,$A11)))</f>
        <v/>
      </c>
      <c r="E11" s="19" t="str">
        <f aca="false">IF($A11="","",IF(COUNTIFS('Chapter Data'!$A$2:$A$2500,E$2,'Chapter Data'!$D$2:$D$2500,$A11,'Chapter Data'!$E$2:$E$2500,"&lt;&gt;")=0,"",SUMIFS('Chapter Data'!$E$2:$E$2500,'Chapter Data'!$A$2:$A$2500,E$2,'Chapter Data'!$D$2:$D$2500,$A11)))</f>
        <v/>
      </c>
      <c r="F11" s="19" t="str">
        <f aca="false">IF($A11="","",IF(COUNTIFS('Chapter Data'!$A$2:$A$2500,F$2,'Chapter Data'!$D$2:$D$2500,$A11,'Chapter Data'!$E$2:$E$2500,"&lt;&gt;")=0,"",SUMIFS('Chapter Data'!$E$2:$E$2500,'Chapter Data'!$A$2:$A$2500,F$2,'Chapter Data'!$D$2:$D$2500,$A11)))</f>
        <v/>
      </c>
      <c r="G11" s="19" t="str">
        <f aca="false">IF($A11="","",IF(COUNTIFS('Chapter Data'!$A$2:$A$2500,G$2,'Chapter Data'!$D$2:$D$2500,$A11,'Chapter Data'!$E$2:$E$2500,"&lt;&gt;")=0,"",SUMIFS('Chapter Data'!$E$2:$E$2500,'Chapter Data'!$A$2:$A$2500,G$2,'Chapter Data'!$D$2:$D$2500,$A11)))</f>
        <v/>
      </c>
      <c r="H11" s="19" t="n">
        <f aca="false">IF($A11="","",IF(COUNTIFS('Chapter Data'!$A$2:$A$2500,H$2,'Chapter Data'!$D$2:$D$2500,$A11,'Chapter Data'!$E$2:$E$2500,"&lt;&gt;")=0,"",SUMIFS('Chapter Data'!$E$2:$E$2500,'Chapter Data'!$A$2:$A$2500,H$2,'Chapter Data'!$D$2:$D$2500,$A11)))</f>
        <v>18</v>
      </c>
      <c r="I11" s="19" t="n">
        <f aca="false">IF($A11="","",IF(COUNTIFS('Chapter Data'!$A$2:$A$2500,I$2,'Chapter Data'!$D$2:$D$2500,$A11,'Chapter Data'!$E$2:$E$2500,"&lt;&gt;")=0,"",SUMIFS('Chapter Data'!$E$2:$E$2500,'Chapter Data'!$A$2:$A$2500,I$2,'Chapter Data'!$D$2:$D$2500,$A11)))</f>
        <v>17</v>
      </c>
      <c r="J11" s="19" t="n">
        <f aca="false">IF($A11="","",IF(COUNTIFS('Chapter Data'!$A$2:$A$2500,J$2,'Chapter Data'!$D$2:$D$2500,$A11,'Chapter Data'!$E$2:$E$2500,"&lt;&gt;")=0,"",SUMIFS('Chapter Data'!$E$2:$E$2500,'Chapter Data'!$A$2:$A$2500,J$2,'Chapter Data'!$D$2:$D$2500,$A11)))</f>
        <v>25</v>
      </c>
      <c r="K11" s="19" t="n">
        <f aca="false">IF($A11="","",IF(COUNTIFS('Chapter Data'!$A$2:$A$2500,K$2,'Chapter Data'!$D$2:$D$2500,$A11,'Chapter Data'!$E$2:$E$2500,"&lt;&gt;")=0,"",SUMIFS('Chapter Data'!$E$2:$E$2500,'Chapter Data'!$A$2:$A$2500,K$2,'Chapter Data'!$D$2:$D$2500,$A11)))</f>
        <v>23</v>
      </c>
      <c r="L11" s="19" t="n">
        <f aca="false">IF($A11="","",IF(COUNTIFS('Chapter Data'!$A$2:$A$2500,L$2,'Chapter Data'!$D$2:$D$2500,$A11,'Chapter Data'!$E$2:$E$2500,"&lt;&gt;")=0,"",SUMIFS('Chapter Data'!$E$2:$E$2500,'Chapter Data'!$A$2:$A$2500,L$2,'Chapter Data'!$D$2:$D$2500,$A11)))</f>
        <v>17</v>
      </c>
      <c r="M11" s="19" t="n">
        <f aca="false">IF($A11="","",IF(COUNTIFS('Chapter Data'!$A$2:$A$2500,M$2,'Chapter Data'!$D$2:$D$2500,$A11,'Chapter Data'!$E$2:$E$2500,"&lt;&gt;")=0,"",SUMIFS('Chapter Data'!$E$2:$E$2500,'Chapter Data'!$A$2:$A$2500,M$2,'Chapter Data'!$D$2:$D$2500,$A11)))</f>
        <v>15</v>
      </c>
      <c r="N11" s="19" t="n">
        <f aca="false">IF($A11="","",IF(COUNTIFS('Chapter Data'!$A$2:$A$2500,N$2,'Chapter Data'!$D$2:$D$2500,$A11,'Chapter Data'!$E$2:$E$2500,"&lt;&gt;")=0,"",SUMIFS('Chapter Data'!$E$2:$E$2500,'Chapter Data'!$A$2:$A$2500,N$2,'Chapter Data'!$D$2:$D$2500,$A11)))</f>
        <v>9</v>
      </c>
      <c r="O11" s="19" t="str">
        <f aca="false">IF($A11="","",IF(COUNTIFS('Chapter Data'!$A$2:$A$2500,O$2,'Chapter Data'!$D$2:$D$2500,$A11,'Chapter Data'!$E$2:$E$2500,"&lt;&gt;")=0,"",SUMIFS('Chapter Data'!$E$2:$E$2500,'Chapter Data'!$A$2:$A$2500,O$2,'Chapter Data'!$D$2:$D$2500,$A11)))</f>
        <v/>
      </c>
      <c r="P11" s="19" t="str">
        <f aca="false">IF($A11="","",IF(COUNTIFS('Chapter Data'!$A$2:$A$2500,P$2,'Chapter Data'!$D$2:$D$2500,$A11,'Chapter Data'!$E$2:$E$2500,"&lt;&gt;")=0,"",SUMIFS('Chapter Data'!$E$2:$E$2500,'Chapter Data'!$A$2:$A$2500,P$2,'Chapter Data'!$D$2:$D$2500,$A11)))</f>
        <v/>
      </c>
      <c r="Q11" s="19" t="str">
        <f aca="false">IF($A11="","",IF(COUNTIFS('Chapter Data'!$A$2:$A$2500,Q$2,'Chapter Data'!$D$2:$D$2500,$A11,'Chapter Data'!$E$2:$E$2500,"&lt;&gt;")=0,"",SUMIFS('Chapter Data'!$E$2:$E$2500,'Chapter Data'!$A$2:$A$2500,Q$2,'Chapter Data'!$D$2:$D$2500,$A11)))</f>
        <v/>
      </c>
      <c r="R11" s="19" t="str">
        <f aca="false">IF($A11="","",IF(COUNTIFS('Chapter Data'!$A$2:$A$2500,R$2,'Chapter Data'!$D$2:$D$2500,$A11,'Chapter Data'!$E$2:$E$2500,"&lt;&gt;")=0,"",SUMIFS('Chapter Data'!$E$2:$E$2500,'Chapter Data'!$A$2:$A$2500,R$2,'Chapter Data'!$D$2:$D$2500,$A11)))</f>
        <v/>
      </c>
      <c r="S11" s="19" t="str">
        <f aca="false">IF($A11="","",IF(COUNTIFS('Chapter Data'!$A$2:$A$2500,S$2,'Chapter Data'!$D$2:$D$2500,$A11,'Chapter Data'!$E$2:$E$2500,"&lt;&gt;")=0,"",SUMIFS('Chapter Data'!$E$2:$E$2500,'Chapter Data'!$A$2:$A$2500,S$2,'Chapter Data'!$D$2:$D$2500,$A11)))</f>
        <v/>
      </c>
      <c r="T11" s="19" t="str">
        <f aca="false">IF($A11="","",IF(COUNTIFS('Chapter Data'!$A$2:$A$2500,T$2,'Chapter Data'!$D$2:$D$2500,$A11,'Chapter Data'!$E$2:$E$2500,"&lt;&gt;")=0,"",SUMIFS('Chapter Data'!$E$2:$E$2500,'Chapter Data'!$A$2:$A$2500,T$2,'Chapter Data'!$D$2:$D$2500,$A11)))</f>
        <v/>
      </c>
      <c r="U11" s="19" t="str">
        <f aca="false">IF($A11="","",IF(COUNTIFS('Chapter Data'!$A$2:$A$2500,U$2,'Chapter Data'!$D$2:$D$2500,$A11,'Chapter Data'!$E$2:$E$2500,"&lt;&gt;")=0,"",SUMIFS('Chapter Data'!$E$2:$E$2500,'Chapter Data'!$A$2:$A$2500,U$2,'Chapter Data'!$D$2:$D$2500,$A11)))</f>
        <v/>
      </c>
    </row>
    <row r="12" customFormat="false" ht="15" hidden="false" customHeight="false" outlineLevel="0" collapsed="false">
      <c r="A12" s="8" t="str">
        <f aca="false">IF(Lists!$D$11="","",Lists!$D$11)</f>
        <v>Delta Tau Delta</v>
      </c>
      <c r="B12" s="19" t="str">
        <f aca="false">IF($A12="","",IF(COUNTIFS('Chapter Data'!$A$2:$A$2500,B$2,'Chapter Data'!$D$2:$D$2500,$A12,'Chapter Data'!$E$2:$E$2500,"&lt;&gt;")=0,"",SUMIFS('Chapter Data'!$E$2:$E$2500,'Chapter Data'!$A$2:$A$2500,B$2,'Chapter Data'!$D$2:$D$2500,$A12)))</f>
        <v/>
      </c>
      <c r="C12" s="19" t="str">
        <f aca="false">IF($A12="","",IF(COUNTIFS('Chapter Data'!$A$2:$A$2500,C$2,'Chapter Data'!$D$2:$D$2500,$A12,'Chapter Data'!$E$2:$E$2500,"&lt;&gt;")=0,"",SUMIFS('Chapter Data'!$E$2:$E$2500,'Chapter Data'!$A$2:$A$2500,C$2,'Chapter Data'!$D$2:$D$2500,$A12)))</f>
        <v/>
      </c>
      <c r="D12" s="19" t="n">
        <f aca="false">IF($A12="","",IF(COUNTIFS('Chapter Data'!$A$2:$A$2500,D$2,'Chapter Data'!$D$2:$D$2500,$A12,'Chapter Data'!$E$2:$E$2500,"&lt;&gt;")=0,"",SUMIFS('Chapter Data'!$E$2:$E$2500,'Chapter Data'!$A$2:$A$2500,D$2,'Chapter Data'!$D$2:$D$2500,$A12)))</f>
        <v>83</v>
      </c>
      <c r="E12" s="19" t="n">
        <f aca="false">IF($A12="","",IF(COUNTIFS('Chapter Data'!$A$2:$A$2500,E$2,'Chapter Data'!$D$2:$D$2500,$A12,'Chapter Data'!$E$2:$E$2500,"&lt;&gt;")=0,"",SUMIFS('Chapter Data'!$E$2:$E$2500,'Chapter Data'!$A$2:$A$2500,E$2,'Chapter Data'!$D$2:$D$2500,$A12)))</f>
        <v>83</v>
      </c>
      <c r="F12" s="19" t="n">
        <f aca="false">IF($A12="","",IF(COUNTIFS('Chapter Data'!$A$2:$A$2500,F$2,'Chapter Data'!$D$2:$D$2500,$A12,'Chapter Data'!$E$2:$E$2500,"&lt;&gt;")=0,"",SUMIFS('Chapter Data'!$E$2:$E$2500,'Chapter Data'!$A$2:$A$2500,F$2,'Chapter Data'!$D$2:$D$2500,$A12)))</f>
        <v>79</v>
      </c>
      <c r="G12" s="19" t="n">
        <f aca="false">IF($A12="","",IF(COUNTIFS('Chapter Data'!$A$2:$A$2500,G$2,'Chapter Data'!$D$2:$D$2500,$A12,'Chapter Data'!$E$2:$E$2500,"&lt;&gt;")=0,"",SUMIFS('Chapter Data'!$E$2:$E$2500,'Chapter Data'!$A$2:$A$2500,G$2,'Chapter Data'!$D$2:$D$2500,$A12)))</f>
        <v>75</v>
      </c>
      <c r="H12" s="19" t="n">
        <f aca="false">IF($A12="","",IF(COUNTIFS('Chapter Data'!$A$2:$A$2500,H$2,'Chapter Data'!$D$2:$D$2500,$A12,'Chapter Data'!$E$2:$E$2500,"&lt;&gt;")=0,"",SUMIFS('Chapter Data'!$E$2:$E$2500,'Chapter Data'!$A$2:$A$2500,H$2,'Chapter Data'!$D$2:$D$2500,$A12)))</f>
        <v>64</v>
      </c>
      <c r="I12" s="19" t="n">
        <f aca="false">IF($A12="","",IF(COUNTIFS('Chapter Data'!$A$2:$A$2500,I$2,'Chapter Data'!$D$2:$D$2500,$A12,'Chapter Data'!$E$2:$E$2500,"&lt;&gt;")=0,"",SUMIFS('Chapter Data'!$E$2:$E$2500,'Chapter Data'!$A$2:$A$2500,I$2,'Chapter Data'!$D$2:$D$2500,$A12)))</f>
        <v>63</v>
      </c>
      <c r="J12" s="19" t="n">
        <f aca="false">IF($A12="","",IF(COUNTIFS('Chapter Data'!$A$2:$A$2500,J$2,'Chapter Data'!$D$2:$D$2500,$A12,'Chapter Data'!$E$2:$E$2500,"&lt;&gt;")=0,"",SUMIFS('Chapter Data'!$E$2:$E$2500,'Chapter Data'!$A$2:$A$2500,J$2,'Chapter Data'!$D$2:$D$2500,$A12)))</f>
        <v>83</v>
      </c>
      <c r="K12" s="19" t="n">
        <f aca="false">IF($A12="","",IF(COUNTIFS('Chapter Data'!$A$2:$A$2500,K$2,'Chapter Data'!$D$2:$D$2500,$A12,'Chapter Data'!$E$2:$E$2500,"&lt;&gt;")=0,"",SUMIFS('Chapter Data'!$E$2:$E$2500,'Chapter Data'!$A$2:$A$2500,K$2,'Chapter Data'!$D$2:$D$2500,$A12)))</f>
        <v>83</v>
      </c>
      <c r="L12" s="19" t="n">
        <f aca="false">IF($A12="","",IF(COUNTIFS('Chapter Data'!$A$2:$A$2500,L$2,'Chapter Data'!$D$2:$D$2500,$A12,'Chapter Data'!$E$2:$E$2500,"&lt;&gt;")=0,"",SUMIFS('Chapter Data'!$E$2:$E$2500,'Chapter Data'!$A$2:$A$2500,L$2,'Chapter Data'!$D$2:$D$2500,$A12)))</f>
        <v>109</v>
      </c>
      <c r="M12" s="19" t="n">
        <f aca="false">IF($A12="","",IF(COUNTIFS('Chapter Data'!$A$2:$A$2500,M$2,'Chapter Data'!$D$2:$D$2500,$A12,'Chapter Data'!$E$2:$E$2500,"&lt;&gt;")=0,"",SUMIFS('Chapter Data'!$E$2:$E$2500,'Chapter Data'!$A$2:$A$2500,M$2,'Chapter Data'!$D$2:$D$2500,$A12)))</f>
        <v>104</v>
      </c>
      <c r="N12" s="19" t="n">
        <f aca="false">IF($A12="","",IF(COUNTIFS('Chapter Data'!$A$2:$A$2500,N$2,'Chapter Data'!$D$2:$D$2500,$A12,'Chapter Data'!$E$2:$E$2500,"&lt;&gt;")=0,"",SUMIFS('Chapter Data'!$E$2:$E$2500,'Chapter Data'!$A$2:$A$2500,N$2,'Chapter Data'!$D$2:$D$2500,$A12)))</f>
        <v>121</v>
      </c>
      <c r="O12" s="19" t="n">
        <f aca="false">IF($A12="","",IF(COUNTIFS('Chapter Data'!$A$2:$A$2500,O$2,'Chapter Data'!$D$2:$D$2500,$A12,'Chapter Data'!$E$2:$E$2500,"&lt;&gt;")=0,"",SUMIFS('Chapter Data'!$E$2:$E$2500,'Chapter Data'!$A$2:$A$2500,O$2,'Chapter Data'!$D$2:$D$2500,$A12)))</f>
        <v>122</v>
      </c>
      <c r="P12" s="19" t="n">
        <f aca="false">IF($A12="","",IF(COUNTIFS('Chapter Data'!$A$2:$A$2500,P$2,'Chapter Data'!$D$2:$D$2500,$A12,'Chapter Data'!$E$2:$E$2500,"&lt;&gt;")=0,"",SUMIFS('Chapter Data'!$E$2:$E$2500,'Chapter Data'!$A$2:$A$2500,P$2,'Chapter Data'!$D$2:$D$2500,$A12)))</f>
        <v>128</v>
      </c>
      <c r="Q12" s="19" t="str">
        <f aca="false">IF($A12="","",IF(COUNTIFS('Chapter Data'!$A$2:$A$2500,Q$2,'Chapter Data'!$D$2:$D$2500,$A12,'Chapter Data'!$E$2:$E$2500,"&lt;&gt;")=0,"",SUMIFS('Chapter Data'!$E$2:$E$2500,'Chapter Data'!$A$2:$A$2500,Q$2,'Chapter Data'!$D$2:$D$2500,$A12)))</f>
        <v/>
      </c>
      <c r="R12" s="19" t="str">
        <f aca="false">IF($A12="","",IF(COUNTIFS('Chapter Data'!$A$2:$A$2500,R$2,'Chapter Data'!$D$2:$D$2500,$A12,'Chapter Data'!$E$2:$E$2500,"&lt;&gt;")=0,"",SUMIFS('Chapter Data'!$E$2:$E$2500,'Chapter Data'!$A$2:$A$2500,R$2,'Chapter Data'!$D$2:$D$2500,$A12)))</f>
        <v/>
      </c>
      <c r="S12" s="19" t="str">
        <f aca="false">IF($A12="","",IF(COUNTIFS('Chapter Data'!$A$2:$A$2500,S$2,'Chapter Data'!$D$2:$D$2500,$A12,'Chapter Data'!$E$2:$E$2500,"&lt;&gt;")=0,"",SUMIFS('Chapter Data'!$E$2:$E$2500,'Chapter Data'!$A$2:$A$2500,S$2,'Chapter Data'!$D$2:$D$2500,$A12)))</f>
        <v/>
      </c>
      <c r="T12" s="19" t="str">
        <f aca="false">IF($A12="","",IF(COUNTIFS('Chapter Data'!$A$2:$A$2500,T$2,'Chapter Data'!$D$2:$D$2500,$A12,'Chapter Data'!$E$2:$E$2500,"&lt;&gt;")=0,"",SUMIFS('Chapter Data'!$E$2:$E$2500,'Chapter Data'!$A$2:$A$2500,T$2,'Chapter Data'!$D$2:$D$2500,$A12)))</f>
        <v/>
      </c>
      <c r="U12" s="19" t="str">
        <f aca="false">IF($A12="","",IF(COUNTIFS('Chapter Data'!$A$2:$A$2500,U$2,'Chapter Data'!$D$2:$D$2500,$A12,'Chapter Data'!$E$2:$E$2500,"&lt;&gt;")=0,"",SUMIFS('Chapter Data'!$E$2:$E$2500,'Chapter Data'!$A$2:$A$2500,U$2,'Chapter Data'!$D$2:$D$2500,$A12)))</f>
        <v/>
      </c>
    </row>
    <row r="13" customFormat="false" ht="15" hidden="false" customHeight="false" outlineLevel="0" collapsed="false">
      <c r="A13" s="8" t="str">
        <f aca="false">IF(Lists!$D$12="","",Lists!$D$12)</f>
        <v>Delta Upsilon</v>
      </c>
      <c r="B13" s="19" t="n">
        <f aca="false">IF($A13="","",IF(COUNTIFS('Chapter Data'!$A$2:$A$2500,B$2,'Chapter Data'!$D$2:$D$2500,$A13,'Chapter Data'!$E$2:$E$2500,"&lt;&gt;")=0,"",SUMIFS('Chapter Data'!$E$2:$E$2500,'Chapter Data'!$A$2:$A$2500,B$2,'Chapter Data'!$D$2:$D$2500,$A13)))</f>
        <v>113</v>
      </c>
      <c r="C13" s="19" t="n">
        <f aca="false">IF($A13="","",IF(COUNTIFS('Chapter Data'!$A$2:$A$2500,C$2,'Chapter Data'!$D$2:$D$2500,$A13,'Chapter Data'!$E$2:$E$2500,"&lt;&gt;")=0,"",SUMIFS('Chapter Data'!$E$2:$E$2500,'Chapter Data'!$A$2:$A$2500,C$2,'Chapter Data'!$D$2:$D$2500,$A13)))</f>
        <v>105</v>
      </c>
      <c r="D13" s="19" t="n">
        <f aca="false">IF($A13="","",IF(COUNTIFS('Chapter Data'!$A$2:$A$2500,D$2,'Chapter Data'!$D$2:$D$2500,$A13,'Chapter Data'!$E$2:$E$2500,"&lt;&gt;")=0,"",SUMIFS('Chapter Data'!$E$2:$E$2500,'Chapter Data'!$A$2:$A$2500,D$2,'Chapter Data'!$D$2:$D$2500,$A13)))</f>
        <v>101</v>
      </c>
      <c r="E13" s="19" t="n">
        <f aca="false">IF($A13="","",IF(COUNTIFS('Chapter Data'!$A$2:$A$2500,E$2,'Chapter Data'!$D$2:$D$2500,$A13,'Chapter Data'!$E$2:$E$2500,"&lt;&gt;")=0,"",SUMIFS('Chapter Data'!$E$2:$E$2500,'Chapter Data'!$A$2:$A$2500,E$2,'Chapter Data'!$D$2:$D$2500,$A13)))</f>
        <v>100</v>
      </c>
      <c r="F13" s="19" t="n">
        <f aca="false">IF($A13="","",IF(COUNTIFS('Chapter Data'!$A$2:$A$2500,F$2,'Chapter Data'!$D$2:$D$2500,$A13,'Chapter Data'!$E$2:$E$2500,"&lt;&gt;")=0,"",SUMIFS('Chapter Data'!$E$2:$E$2500,'Chapter Data'!$A$2:$A$2500,F$2,'Chapter Data'!$D$2:$D$2500,$A13)))</f>
        <v>109</v>
      </c>
      <c r="G13" s="19" t="n">
        <f aca="false">IF($A13="","",IF(COUNTIFS('Chapter Data'!$A$2:$A$2500,G$2,'Chapter Data'!$D$2:$D$2500,$A13,'Chapter Data'!$E$2:$E$2500,"&lt;&gt;")=0,"",SUMIFS('Chapter Data'!$E$2:$E$2500,'Chapter Data'!$A$2:$A$2500,G$2,'Chapter Data'!$D$2:$D$2500,$A13)))</f>
        <v>93</v>
      </c>
      <c r="H13" s="19" t="n">
        <f aca="false">IF($A13="","",IF(COUNTIFS('Chapter Data'!$A$2:$A$2500,H$2,'Chapter Data'!$D$2:$D$2500,$A13,'Chapter Data'!$E$2:$E$2500,"&lt;&gt;")=0,"",SUMIFS('Chapter Data'!$E$2:$E$2500,'Chapter Data'!$A$2:$A$2500,H$2,'Chapter Data'!$D$2:$D$2500,$A13)))</f>
        <v>91</v>
      </c>
      <c r="I13" s="19" t="n">
        <f aca="false">IF($A13="","",IF(COUNTIFS('Chapter Data'!$A$2:$A$2500,I$2,'Chapter Data'!$D$2:$D$2500,$A13,'Chapter Data'!$E$2:$E$2500,"&lt;&gt;")=0,"",SUMIFS('Chapter Data'!$E$2:$E$2500,'Chapter Data'!$A$2:$A$2500,I$2,'Chapter Data'!$D$2:$D$2500,$A13)))</f>
        <v>90</v>
      </c>
      <c r="J13" s="19" t="n">
        <f aca="false">IF($A13="","",IF(COUNTIFS('Chapter Data'!$A$2:$A$2500,J$2,'Chapter Data'!$D$2:$D$2500,$A13,'Chapter Data'!$E$2:$E$2500,"&lt;&gt;")=0,"",SUMIFS('Chapter Data'!$E$2:$E$2500,'Chapter Data'!$A$2:$A$2500,J$2,'Chapter Data'!$D$2:$D$2500,$A13)))</f>
        <v>50</v>
      </c>
      <c r="K13" s="19" t="n">
        <f aca="false">IF($A13="","",IF(COUNTIFS('Chapter Data'!$A$2:$A$2500,K$2,'Chapter Data'!$D$2:$D$2500,$A13,'Chapter Data'!$E$2:$E$2500,"&lt;&gt;")=0,"",SUMIFS('Chapter Data'!$E$2:$E$2500,'Chapter Data'!$A$2:$A$2500,K$2,'Chapter Data'!$D$2:$D$2500,$A13)))</f>
        <v>47</v>
      </c>
      <c r="L13" s="19" t="n">
        <f aca="false">IF($A13="","",IF(COUNTIFS('Chapter Data'!$A$2:$A$2500,L$2,'Chapter Data'!$D$2:$D$2500,$A13,'Chapter Data'!$E$2:$E$2500,"&lt;&gt;")=0,"",SUMIFS('Chapter Data'!$E$2:$E$2500,'Chapter Data'!$A$2:$A$2500,L$2,'Chapter Data'!$D$2:$D$2500,$A13)))</f>
        <v>66</v>
      </c>
      <c r="M13" s="19" t="n">
        <f aca="false">IF($A13="","",IF(COUNTIFS('Chapter Data'!$A$2:$A$2500,M$2,'Chapter Data'!$D$2:$D$2500,$A13,'Chapter Data'!$E$2:$E$2500,"&lt;&gt;")=0,"",SUMIFS('Chapter Data'!$E$2:$E$2500,'Chapter Data'!$A$2:$A$2500,M$2,'Chapter Data'!$D$2:$D$2500,$A13)))</f>
        <v>68</v>
      </c>
      <c r="N13" s="19" t="n">
        <f aca="false">IF($A13="","",IF(COUNTIFS('Chapter Data'!$A$2:$A$2500,N$2,'Chapter Data'!$D$2:$D$2500,$A13,'Chapter Data'!$E$2:$E$2500,"&lt;&gt;")=0,"",SUMIFS('Chapter Data'!$E$2:$E$2500,'Chapter Data'!$A$2:$A$2500,N$2,'Chapter Data'!$D$2:$D$2500,$A13)))</f>
        <v>77</v>
      </c>
      <c r="O13" s="19" t="n">
        <f aca="false">IF($A13="","",IF(COUNTIFS('Chapter Data'!$A$2:$A$2500,O$2,'Chapter Data'!$D$2:$D$2500,$A13,'Chapter Data'!$E$2:$E$2500,"&lt;&gt;")=0,"",SUMIFS('Chapter Data'!$E$2:$E$2500,'Chapter Data'!$A$2:$A$2500,O$2,'Chapter Data'!$D$2:$D$2500,$A13)))</f>
        <v>81</v>
      </c>
      <c r="P13" s="19" t="n">
        <f aca="false">IF($A13="","",IF(COUNTIFS('Chapter Data'!$A$2:$A$2500,P$2,'Chapter Data'!$D$2:$D$2500,$A13,'Chapter Data'!$E$2:$E$2500,"&lt;&gt;")=0,"",SUMIFS('Chapter Data'!$E$2:$E$2500,'Chapter Data'!$A$2:$A$2500,P$2,'Chapter Data'!$D$2:$D$2500,$A13)))</f>
        <v>87</v>
      </c>
      <c r="Q13" s="19" t="n">
        <f aca="false">IF($A13="","",IF(COUNTIFS('Chapter Data'!$A$2:$A$2500,Q$2,'Chapter Data'!$D$2:$D$2500,$A13,'Chapter Data'!$E$2:$E$2500,"&lt;&gt;")=0,"",SUMIFS('Chapter Data'!$E$2:$E$2500,'Chapter Data'!$A$2:$A$2500,Q$2,'Chapter Data'!$D$2:$D$2500,$A13)))</f>
        <v>78</v>
      </c>
      <c r="R13" s="19" t="str">
        <f aca="false">IF($A13="","",IF(COUNTIFS('Chapter Data'!$A$2:$A$2500,R$2,'Chapter Data'!$D$2:$D$2500,$A13,'Chapter Data'!$E$2:$E$2500,"&lt;&gt;")=0,"",SUMIFS('Chapter Data'!$E$2:$E$2500,'Chapter Data'!$A$2:$A$2500,R$2,'Chapter Data'!$D$2:$D$2500,$A13)))</f>
        <v/>
      </c>
      <c r="S13" s="19" t="str">
        <f aca="false">IF($A13="","",IF(COUNTIFS('Chapter Data'!$A$2:$A$2500,S$2,'Chapter Data'!$D$2:$D$2500,$A13,'Chapter Data'!$E$2:$E$2500,"&lt;&gt;")=0,"",SUMIFS('Chapter Data'!$E$2:$E$2500,'Chapter Data'!$A$2:$A$2500,S$2,'Chapter Data'!$D$2:$D$2500,$A13)))</f>
        <v/>
      </c>
      <c r="T13" s="19" t="str">
        <f aca="false">IF($A13="","",IF(COUNTIFS('Chapter Data'!$A$2:$A$2500,T$2,'Chapter Data'!$D$2:$D$2500,$A13,'Chapter Data'!$E$2:$E$2500,"&lt;&gt;")=0,"",SUMIFS('Chapter Data'!$E$2:$E$2500,'Chapter Data'!$A$2:$A$2500,T$2,'Chapter Data'!$D$2:$D$2500,$A13)))</f>
        <v/>
      </c>
      <c r="U13" s="19" t="str">
        <f aca="false">IF($A13="","",IF(COUNTIFS('Chapter Data'!$A$2:$A$2500,U$2,'Chapter Data'!$D$2:$D$2500,$A13,'Chapter Data'!$E$2:$E$2500,"&lt;&gt;")=0,"",SUMIFS('Chapter Data'!$E$2:$E$2500,'Chapter Data'!$A$2:$A$2500,U$2,'Chapter Data'!$D$2:$D$2500,$A13)))</f>
        <v/>
      </c>
    </row>
    <row r="14" customFormat="false" ht="15" hidden="false" customHeight="false" outlineLevel="0" collapsed="false">
      <c r="A14" s="8" t="str">
        <f aca="false">IF(Lists!$D$13="","",Lists!$D$13)</f>
        <v>Farmhouse</v>
      </c>
      <c r="B14" s="19" t="n">
        <f aca="false">IF($A14="","",IF(COUNTIFS('Chapter Data'!$A$2:$A$2500,B$2,'Chapter Data'!$D$2:$D$2500,$A14,'Chapter Data'!$E$2:$E$2500,"&lt;&gt;")=0,"",SUMIFS('Chapter Data'!$E$2:$E$2500,'Chapter Data'!$A$2:$A$2500,B$2,'Chapter Data'!$D$2:$D$2500,$A14)))</f>
        <v>95</v>
      </c>
      <c r="C14" s="19" t="n">
        <f aca="false">IF($A14="","",IF(COUNTIFS('Chapter Data'!$A$2:$A$2500,C$2,'Chapter Data'!$D$2:$D$2500,$A14,'Chapter Data'!$E$2:$E$2500,"&lt;&gt;")=0,"",SUMIFS('Chapter Data'!$E$2:$E$2500,'Chapter Data'!$A$2:$A$2500,C$2,'Chapter Data'!$D$2:$D$2500,$A14)))</f>
        <v>90</v>
      </c>
      <c r="D14" s="19" t="n">
        <f aca="false">IF($A14="","",IF(COUNTIFS('Chapter Data'!$A$2:$A$2500,D$2,'Chapter Data'!$D$2:$D$2500,$A14,'Chapter Data'!$E$2:$E$2500,"&lt;&gt;")=0,"",SUMIFS('Chapter Data'!$E$2:$E$2500,'Chapter Data'!$A$2:$A$2500,D$2,'Chapter Data'!$D$2:$D$2500,$A14)))</f>
        <v>101</v>
      </c>
      <c r="E14" s="19" t="n">
        <f aca="false">IF($A14="","",IF(COUNTIFS('Chapter Data'!$A$2:$A$2500,E$2,'Chapter Data'!$D$2:$D$2500,$A14,'Chapter Data'!$E$2:$E$2500,"&lt;&gt;")=0,"",SUMIFS('Chapter Data'!$E$2:$E$2500,'Chapter Data'!$A$2:$A$2500,E$2,'Chapter Data'!$D$2:$D$2500,$A14)))</f>
        <v>99</v>
      </c>
      <c r="F14" s="19" t="n">
        <f aca="false">IF($A14="","",IF(COUNTIFS('Chapter Data'!$A$2:$A$2500,F$2,'Chapter Data'!$D$2:$D$2500,$A14,'Chapter Data'!$E$2:$E$2500,"&lt;&gt;")=0,"",SUMIFS('Chapter Data'!$E$2:$E$2500,'Chapter Data'!$A$2:$A$2500,F$2,'Chapter Data'!$D$2:$D$2500,$A14)))</f>
        <v>107</v>
      </c>
      <c r="G14" s="19" t="n">
        <f aca="false">IF($A14="","",IF(COUNTIFS('Chapter Data'!$A$2:$A$2500,G$2,'Chapter Data'!$D$2:$D$2500,$A14,'Chapter Data'!$E$2:$E$2500,"&lt;&gt;")=0,"",SUMIFS('Chapter Data'!$E$2:$E$2500,'Chapter Data'!$A$2:$A$2500,G$2,'Chapter Data'!$D$2:$D$2500,$A14)))</f>
        <v>104</v>
      </c>
      <c r="H14" s="19" t="n">
        <f aca="false">IF($A14="","",IF(COUNTIFS('Chapter Data'!$A$2:$A$2500,H$2,'Chapter Data'!$D$2:$D$2500,$A14,'Chapter Data'!$E$2:$E$2500,"&lt;&gt;")=0,"",SUMIFS('Chapter Data'!$E$2:$E$2500,'Chapter Data'!$A$2:$A$2500,H$2,'Chapter Data'!$D$2:$D$2500,$A14)))</f>
        <v>106</v>
      </c>
      <c r="I14" s="19" t="n">
        <f aca="false">IF($A14="","",IF(COUNTIFS('Chapter Data'!$A$2:$A$2500,I$2,'Chapter Data'!$D$2:$D$2500,$A14,'Chapter Data'!$E$2:$E$2500,"&lt;&gt;")=0,"",SUMIFS('Chapter Data'!$E$2:$E$2500,'Chapter Data'!$A$2:$A$2500,I$2,'Chapter Data'!$D$2:$D$2500,$A14)))</f>
        <v>103</v>
      </c>
      <c r="J14" s="19" t="n">
        <f aca="false">IF($A14="","",IF(COUNTIFS('Chapter Data'!$A$2:$A$2500,J$2,'Chapter Data'!$D$2:$D$2500,$A14,'Chapter Data'!$E$2:$E$2500,"&lt;&gt;")=0,"",SUMIFS('Chapter Data'!$E$2:$E$2500,'Chapter Data'!$A$2:$A$2500,J$2,'Chapter Data'!$D$2:$D$2500,$A14)))</f>
        <v>104</v>
      </c>
      <c r="K14" s="19" t="n">
        <f aca="false">IF($A14="","",IF(COUNTIFS('Chapter Data'!$A$2:$A$2500,K$2,'Chapter Data'!$D$2:$D$2500,$A14,'Chapter Data'!$E$2:$E$2500,"&lt;&gt;")=0,"",SUMIFS('Chapter Data'!$E$2:$E$2500,'Chapter Data'!$A$2:$A$2500,K$2,'Chapter Data'!$D$2:$D$2500,$A14)))</f>
        <v>103</v>
      </c>
      <c r="L14" s="19" t="n">
        <f aca="false">IF($A14="","",IF(COUNTIFS('Chapter Data'!$A$2:$A$2500,L$2,'Chapter Data'!$D$2:$D$2500,$A14,'Chapter Data'!$E$2:$E$2500,"&lt;&gt;")=0,"",SUMIFS('Chapter Data'!$E$2:$E$2500,'Chapter Data'!$A$2:$A$2500,L$2,'Chapter Data'!$D$2:$D$2500,$A14)))</f>
        <v>111</v>
      </c>
      <c r="M14" s="19" t="n">
        <f aca="false">IF($A14="","",IF(COUNTIFS('Chapter Data'!$A$2:$A$2500,M$2,'Chapter Data'!$D$2:$D$2500,$A14,'Chapter Data'!$E$2:$E$2500,"&lt;&gt;")=0,"",SUMIFS('Chapter Data'!$E$2:$E$2500,'Chapter Data'!$A$2:$A$2500,M$2,'Chapter Data'!$D$2:$D$2500,$A14)))</f>
        <v>107</v>
      </c>
      <c r="N14" s="19" t="n">
        <f aca="false">IF($A14="","",IF(COUNTIFS('Chapter Data'!$A$2:$A$2500,N$2,'Chapter Data'!$D$2:$D$2500,$A14,'Chapter Data'!$E$2:$E$2500,"&lt;&gt;")=0,"",SUMIFS('Chapter Data'!$E$2:$E$2500,'Chapter Data'!$A$2:$A$2500,N$2,'Chapter Data'!$D$2:$D$2500,$A14)))</f>
        <v>114</v>
      </c>
      <c r="O14" s="19" t="n">
        <f aca="false">IF($A14="","",IF(COUNTIFS('Chapter Data'!$A$2:$A$2500,O$2,'Chapter Data'!$D$2:$D$2500,$A14,'Chapter Data'!$E$2:$E$2500,"&lt;&gt;")=0,"",SUMIFS('Chapter Data'!$E$2:$E$2500,'Chapter Data'!$A$2:$A$2500,O$2,'Chapter Data'!$D$2:$D$2500,$A14)))</f>
        <v>109</v>
      </c>
      <c r="P14" s="19" t="n">
        <f aca="false">IF($A14="","",IF(COUNTIFS('Chapter Data'!$A$2:$A$2500,P$2,'Chapter Data'!$D$2:$D$2500,$A14,'Chapter Data'!$E$2:$E$2500,"&lt;&gt;")=0,"",SUMIFS('Chapter Data'!$E$2:$E$2500,'Chapter Data'!$A$2:$A$2500,P$2,'Chapter Data'!$D$2:$D$2500,$A14)))</f>
        <v>113</v>
      </c>
      <c r="Q14" s="19" t="n">
        <f aca="false">IF($A14="","",IF(COUNTIFS('Chapter Data'!$A$2:$A$2500,Q$2,'Chapter Data'!$D$2:$D$2500,$A14,'Chapter Data'!$E$2:$E$2500,"&lt;&gt;")=0,"",SUMIFS('Chapter Data'!$E$2:$E$2500,'Chapter Data'!$A$2:$A$2500,Q$2,'Chapter Data'!$D$2:$D$2500,$A14)))</f>
        <v>109</v>
      </c>
      <c r="R14" s="19" t="str">
        <f aca="false">IF($A14="","",IF(COUNTIFS('Chapter Data'!$A$2:$A$2500,R$2,'Chapter Data'!$D$2:$D$2500,$A14,'Chapter Data'!$E$2:$E$2500,"&lt;&gt;")=0,"",SUMIFS('Chapter Data'!$E$2:$E$2500,'Chapter Data'!$A$2:$A$2500,R$2,'Chapter Data'!$D$2:$D$2500,$A14)))</f>
        <v/>
      </c>
      <c r="S14" s="19" t="str">
        <f aca="false">IF($A14="","",IF(COUNTIFS('Chapter Data'!$A$2:$A$2500,S$2,'Chapter Data'!$D$2:$D$2500,$A14,'Chapter Data'!$E$2:$E$2500,"&lt;&gt;")=0,"",SUMIFS('Chapter Data'!$E$2:$E$2500,'Chapter Data'!$A$2:$A$2500,S$2,'Chapter Data'!$D$2:$D$2500,$A14)))</f>
        <v/>
      </c>
      <c r="T14" s="19" t="str">
        <f aca="false">IF($A14="","",IF(COUNTIFS('Chapter Data'!$A$2:$A$2500,T$2,'Chapter Data'!$D$2:$D$2500,$A14,'Chapter Data'!$E$2:$E$2500,"&lt;&gt;")=0,"",SUMIFS('Chapter Data'!$E$2:$E$2500,'Chapter Data'!$A$2:$A$2500,T$2,'Chapter Data'!$D$2:$D$2500,$A14)))</f>
        <v/>
      </c>
      <c r="U14" s="19" t="str">
        <f aca="false">IF($A14="","",IF(COUNTIFS('Chapter Data'!$A$2:$A$2500,U$2,'Chapter Data'!$D$2:$D$2500,$A14,'Chapter Data'!$E$2:$E$2500,"&lt;&gt;")=0,"",SUMIFS('Chapter Data'!$E$2:$E$2500,'Chapter Data'!$A$2:$A$2500,U$2,'Chapter Data'!$D$2:$D$2500,$A14)))</f>
        <v/>
      </c>
    </row>
    <row r="15" customFormat="false" ht="15" hidden="false" customHeight="false" outlineLevel="0" collapsed="false">
      <c r="A15" s="8" t="str">
        <f aca="false">IF(Lists!$D$14="","",Lists!$D$14)</f>
        <v>Kappa Sigma</v>
      </c>
      <c r="B15" s="19" t="n">
        <f aca="false">IF($A15="","",IF(COUNTIFS('Chapter Data'!$A$2:$A$2500,B$2,'Chapter Data'!$D$2:$D$2500,$A15,'Chapter Data'!$E$2:$E$2500,"&lt;&gt;")=0,"",SUMIFS('Chapter Data'!$E$2:$E$2500,'Chapter Data'!$A$2:$A$2500,B$2,'Chapter Data'!$D$2:$D$2500,$A15)))</f>
        <v>61</v>
      </c>
      <c r="C15" s="19" t="n">
        <f aca="false">IF($A15="","",IF(COUNTIFS('Chapter Data'!$A$2:$A$2500,C$2,'Chapter Data'!$D$2:$D$2500,$A15,'Chapter Data'!$E$2:$E$2500,"&lt;&gt;")=0,"",SUMIFS('Chapter Data'!$E$2:$E$2500,'Chapter Data'!$A$2:$A$2500,C$2,'Chapter Data'!$D$2:$D$2500,$A15)))</f>
        <v>57</v>
      </c>
      <c r="D15" s="19" t="n">
        <f aca="false">IF($A15="","",IF(COUNTIFS('Chapter Data'!$A$2:$A$2500,D$2,'Chapter Data'!$D$2:$D$2500,$A15,'Chapter Data'!$E$2:$E$2500,"&lt;&gt;")=0,"",SUMIFS('Chapter Data'!$E$2:$E$2500,'Chapter Data'!$A$2:$A$2500,D$2,'Chapter Data'!$D$2:$D$2500,$A15)))</f>
        <v>65</v>
      </c>
      <c r="E15" s="19" t="n">
        <f aca="false">IF($A15="","",IF(COUNTIFS('Chapter Data'!$A$2:$A$2500,E$2,'Chapter Data'!$D$2:$D$2500,$A15,'Chapter Data'!$E$2:$E$2500,"&lt;&gt;")=0,"",SUMIFS('Chapter Data'!$E$2:$E$2500,'Chapter Data'!$A$2:$A$2500,E$2,'Chapter Data'!$D$2:$D$2500,$A15)))</f>
        <v>58</v>
      </c>
      <c r="F15" s="19" t="n">
        <f aca="false">IF($A15="","",IF(COUNTIFS('Chapter Data'!$A$2:$A$2500,F$2,'Chapter Data'!$D$2:$D$2500,$A15,'Chapter Data'!$E$2:$E$2500,"&lt;&gt;")=0,"",SUMIFS('Chapter Data'!$E$2:$E$2500,'Chapter Data'!$A$2:$A$2500,F$2,'Chapter Data'!$D$2:$D$2500,$A15)))</f>
        <v>55</v>
      </c>
      <c r="G15" s="19" t="n">
        <f aca="false">IF($A15="","",IF(COUNTIFS('Chapter Data'!$A$2:$A$2500,G$2,'Chapter Data'!$D$2:$D$2500,$A15,'Chapter Data'!$E$2:$E$2500,"&lt;&gt;")=0,"",SUMIFS('Chapter Data'!$E$2:$E$2500,'Chapter Data'!$A$2:$A$2500,G$2,'Chapter Data'!$D$2:$D$2500,$A15)))</f>
        <v>66</v>
      </c>
      <c r="H15" s="19" t="n">
        <f aca="false">IF($A15="","",IF(COUNTIFS('Chapter Data'!$A$2:$A$2500,H$2,'Chapter Data'!$D$2:$D$2500,$A15,'Chapter Data'!$E$2:$E$2500,"&lt;&gt;")=0,"",SUMIFS('Chapter Data'!$E$2:$E$2500,'Chapter Data'!$A$2:$A$2500,H$2,'Chapter Data'!$D$2:$D$2500,$A15)))</f>
        <v>59</v>
      </c>
      <c r="I15" s="19" t="n">
        <f aca="false">IF($A15="","",IF(COUNTIFS('Chapter Data'!$A$2:$A$2500,I$2,'Chapter Data'!$D$2:$D$2500,$A15,'Chapter Data'!$E$2:$E$2500,"&lt;&gt;")=0,"",SUMIFS('Chapter Data'!$E$2:$E$2500,'Chapter Data'!$A$2:$A$2500,I$2,'Chapter Data'!$D$2:$D$2500,$A15)))</f>
        <v>42</v>
      </c>
      <c r="J15" s="19" t="n">
        <f aca="false">IF($A15="","",IF(COUNTIFS('Chapter Data'!$A$2:$A$2500,J$2,'Chapter Data'!$D$2:$D$2500,$A15,'Chapter Data'!$E$2:$E$2500,"&lt;&gt;")=0,"",SUMIFS('Chapter Data'!$E$2:$E$2500,'Chapter Data'!$A$2:$A$2500,J$2,'Chapter Data'!$D$2:$D$2500,$A15)))</f>
        <v>49</v>
      </c>
      <c r="K15" s="19" t="n">
        <f aca="false">IF($A15="","",IF(COUNTIFS('Chapter Data'!$A$2:$A$2500,K$2,'Chapter Data'!$D$2:$D$2500,$A15,'Chapter Data'!$E$2:$E$2500,"&lt;&gt;")=0,"",SUMIFS('Chapter Data'!$E$2:$E$2500,'Chapter Data'!$A$2:$A$2500,K$2,'Chapter Data'!$D$2:$D$2500,$A15)))</f>
        <v>44</v>
      </c>
      <c r="L15" s="19" t="n">
        <f aca="false">IF($A15="","",IF(COUNTIFS('Chapter Data'!$A$2:$A$2500,L$2,'Chapter Data'!$D$2:$D$2500,$A15,'Chapter Data'!$E$2:$E$2500,"&lt;&gt;")=0,"",SUMIFS('Chapter Data'!$E$2:$E$2500,'Chapter Data'!$A$2:$A$2500,L$2,'Chapter Data'!$D$2:$D$2500,$A15)))</f>
        <v>45</v>
      </c>
      <c r="M15" s="19" t="n">
        <f aca="false">IF($A15="","",IF(COUNTIFS('Chapter Data'!$A$2:$A$2500,M$2,'Chapter Data'!$D$2:$D$2500,$A15,'Chapter Data'!$E$2:$E$2500,"&lt;&gt;")=0,"",SUMIFS('Chapter Data'!$E$2:$E$2500,'Chapter Data'!$A$2:$A$2500,M$2,'Chapter Data'!$D$2:$D$2500,$A15)))</f>
        <v>32</v>
      </c>
      <c r="N15" s="19" t="n">
        <f aca="false">IF($A15="","",IF(COUNTIFS('Chapter Data'!$A$2:$A$2500,N$2,'Chapter Data'!$D$2:$D$2500,$A15,'Chapter Data'!$E$2:$E$2500,"&lt;&gt;")=0,"",SUMIFS('Chapter Data'!$E$2:$E$2500,'Chapter Data'!$A$2:$A$2500,N$2,'Chapter Data'!$D$2:$D$2500,$A15)))</f>
        <v>51</v>
      </c>
      <c r="O15" s="19" t="n">
        <f aca="false">IF($A15="","",IF(COUNTIFS('Chapter Data'!$A$2:$A$2500,O$2,'Chapter Data'!$D$2:$D$2500,$A15,'Chapter Data'!$E$2:$E$2500,"&lt;&gt;")=0,"",SUMIFS('Chapter Data'!$E$2:$E$2500,'Chapter Data'!$A$2:$A$2500,O$2,'Chapter Data'!$D$2:$D$2500,$A15)))</f>
        <v>58</v>
      </c>
      <c r="P15" s="19" t="n">
        <f aca="false">IF($A15="","",IF(COUNTIFS('Chapter Data'!$A$2:$A$2500,P$2,'Chapter Data'!$D$2:$D$2500,$A15,'Chapter Data'!$E$2:$E$2500,"&lt;&gt;")=0,"",SUMIFS('Chapter Data'!$E$2:$E$2500,'Chapter Data'!$A$2:$A$2500,P$2,'Chapter Data'!$D$2:$D$2500,$A15)))</f>
        <v>74</v>
      </c>
      <c r="Q15" s="19" t="n">
        <f aca="false">IF($A15="","",IF(COUNTIFS('Chapter Data'!$A$2:$A$2500,Q$2,'Chapter Data'!$D$2:$D$2500,$A15,'Chapter Data'!$E$2:$E$2500,"&lt;&gt;")=0,"",SUMIFS('Chapter Data'!$E$2:$E$2500,'Chapter Data'!$A$2:$A$2500,Q$2,'Chapter Data'!$D$2:$D$2500,$A15)))</f>
        <v>67</v>
      </c>
      <c r="R15" s="19" t="str">
        <f aca="false">IF($A15="","",IF(COUNTIFS('Chapter Data'!$A$2:$A$2500,R$2,'Chapter Data'!$D$2:$D$2500,$A15,'Chapter Data'!$E$2:$E$2500,"&lt;&gt;")=0,"",SUMIFS('Chapter Data'!$E$2:$E$2500,'Chapter Data'!$A$2:$A$2500,R$2,'Chapter Data'!$D$2:$D$2500,$A15)))</f>
        <v/>
      </c>
      <c r="S15" s="19" t="str">
        <f aca="false">IF($A15="","",IF(COUNTIFS('Chapter Data'!$A$2:$A$2500,S$2,'Chapter Data'!$D$2:$D$2500,$A15,'Chapter Data'!$E$2:$E$2500,"&lt;&gt;")=0,"",SUMIFS('Chapter Data'!$E$2:$E$2500,'Chapter Data'!$A$2:$A$2500,S$2,'Chapter Data'!$D$2:$D$2500,$A15)))</f>
        <v/>
      </c>
      <c r="T15" s="19" t="str">
        <f aca="false">IF($A15="","",IF(COUNTIFS('Chapter Data'!$A$2:$A$2500,T$2,'Chapter Data'!$D$2:$D$2500,$A15,'Chapter Data'!$E$2:$E$2500,"&lt;&gt;")=0,"",SUMIFS('Chapter Data'!$E$2:$E$2500,'Chapter Data'!$A$2:$A$2500,T$2,'Chapter Data'!$D$2:$D$2500,$A15)))</f>
        <v/>
      </c>
      <c r="U15" s="19" t="str">
        <f aca="false">IF($A15="","",IF(COUNTIFS('Chapter Data'!$A$2:$A$2500,U$2,'Chapter Data'!$D$2:$D$2500,$A15,'Chapter Data'!$E$2:$E$2500,"&lt;&gt;")=0,"",SUMIFS('Chapter Data'!$E$2:$E$2500,'Chapter Data'!$A$2:$A$2500,U$2,'Chapter Data'!$D$2:$D$2500,$A15)))</f>
        <v/>
      </c>
    </row>
    <row r="16" customFormat="false" ht="15" hidden="false" customHeight="false" outlineLevel="0" collapsed="false">
      <c r="A16" s="8" t="str">
        <f aca="false">IF(Lists!$D$15="","",Lists!$D$15)</f>
        <v>Lambda Chi Alpha</v>
      </c>
      <c r="B16" s="19" t="str">
        <f aca="false">IF($A16="","",IF(COUNTIFS('Chapter Data'!$A$2:$A$2500,B$2,'Chapter Data'!$D$2:$D$2500,$A16,'Chapter Data'!$E$2:$E$2500,"&lt;&gt;")=0,"",SUMIFS('Chapter Data'!$E$2:$E$2500,'Chapter Data'!$A$2:$A$2500,B$2,'Chapter Data'!$D$2:$D$2500,$A16)))</f>
        <v/>
      </c>
      <c r="C16" s="19" t="str">
        <f aca="false">IF($A16="","",IF(COUNTIFS('Chapter Data'!$A$2:$A$2500,C$2,'Chapter Data'!$D$2:$D$2500,$A16,'Chapter Data'!$E$2:$E$2500,"&lt;&gt;")=0,"",SUMIFS('Chapter Data'!$E$2:$E$2500,'Chapter Data'!$A$2:$A$2500,C$2,'Chapter Data'!$D$2:$D$2500,$A16)))</f>
        <v/>
      </c>
      <c r="D16" s="19" t="str">
        <f aca="false">IF($A16="","",IF(COUNTIFS('Chapter Data'!$A$2:$A$2500,D$2,'Chapter Data'!$D$2:$D$2500,$A16,'Chapter Data'!$E$2:$E$2500,"&lt;&gt;")=0,"",SUMIFS('Chapter Data'!$E$2:$E$2500,'Chapter Data'!$A$2:$A$2500,D$2,'Chapter Data'!$D$2:$D$2500,$A16)))</f>
        <v/>
      </c>
      <c r="E16" s="19" t="str">
        <f aca="false">IF($A16="","",IF(COUNTIFS('Chapter Data'!$A$2:$A$2500,E$2,'Chapter Data'!$D$2:$D$2500,$A16,'Chapter Data'!$E$2:$E$2500,"&lt;&gt;")=0,"",SUMIFS('Chapter Data'!$E$2:$E$2500,'Chapter Data'!$A$2:$A$2500,E$2,'Chapter Data'!$D$2:$D$2500,$A16)))</f>
        <v/>
      </c>
      <c r="F16" s="19" t="str">
        <f aca="false">IF($A16="","",IF(COUNTIFS('Chapter Data'!$A$2:$A$2500,F$2,'Chapter Data'!$D$2:$D$2500,$A16,'Chapter Data'!$E$2:$E$2500,"&lt;&gt;")=0,"",SUMIFS('Chapter Data'!$E$2:$E$2500,'Chapter Data'!$A$2:$A$2500,F$2,'Chapter Data'!$D$2:$D$2500,$A16)))</f>
        <v/>
      </c>
      <c r="G16" s="19" t="str">
        <f aca="false">IF($A16="","",IF(COUNTIFS('Chapter Data'!$A$2:$A$2500,G$2,'Chapter Data'!$D$2:$D$2500,$A16,'Chapter Data'!$E$2:$E$2500,"&lt;&gt;")=0,"",SUMIFS('Chapter Data'!$E$2:$E$2500,'Chapter Data'!$A$2:$A$2500,G$2,'Chapter Data'!$D$2:$D$2500,$A16)))</f>
        <v/>
      </c>
      <c r="H16" s="19" t="str">
        <f aca="false">IF($A16="","",IF(COUNTIFS('Chapter Data'!$A$2:$A$2500,H$2,'Chapter Data'!$D$2:$D$2500,$A16,'Chapter Data'!$E$2:$E$2500,"&lt;&gt;")=0,"",SUMIFS('Chapter Data'!$E$2:$E$2500,'Chapter Data'!$A$2:$A$2500,H$2,'Chapter Data'!$D$2:$D$2500,$A16)))</f>
        <v/>
      </c>
      <c r="I16" s="19" t="str">
        <f aca="false">IF($A16="","",IF(COUNTIFS('Chapter Data'!$A$2:$A$2500,I$2,'Chapter Data'!$D$2:$D$2500,$A16,'Chapter Data'!$E$2:$E$2500,"&lt;&gt;")=0,"",SUMIFS('Chapter Data'!$E$2:$E$2500,'Chapter Data'!$A$2:$A$2500,I$2,'Chapter Data'!$D$2:$D$2500,$A16)))</f>
        <v/>
      </c>
      <c r="J16" s="19" t="str">
        <f aca="false">IF($A16="","",IF(COUNTIFS('Chapter Data'!$A$2:$A$2500,J$2,'Chapter Data'!$D$2:$D$2500,$A16,'Chapter Data'!$E$2:$E$2500,"&lt;&gt;")=0,"",SUMIFS('Chapter Data'!$E$2:$E$2500,'Chapter Data'!$A$2:$A$2500,J$2,'Chapter Data'!$D$2:$D$2500,$A16)))</f>
        <v/>
      </c>
      <c r="K16" s="19" t="str">
        <f aca="false">IF($A16="","",IF(COUNTIFS('Chapter Data'!$A$2:$A$2500,K$2,'Chapter Data'!$D$2:$D$2500,$A16,'Chapter Data'!$E$2:$E$2500,"&lt;&gt;")=0,"",SUMIFS('Chapter Data'!$E$2:$E$2500,'Chapter Data'!$A$2:$A$2500,K$2,'Chapter Data'!$D$2:$D$2500,$A16)))</f>
        <v/>
      </c>
      <c r="L16" s="19" t="str">
        <f aca="false">IF($A16="","",IF(COUNTIFS('Chapter Data'!$A$2:$A$2500,L$2,'Chapter Data'!$D$2:$D$2500,$A16,'Chapter Data'!$E$2:$E$2500,"&lt;&gt;")=0,"",SUMIFS('Chapter Data'!$E$2:$E$2500,'Chapter Data'!$A$2:$A$2500,L$2,'Chapter Data'!$D$2:$D$2500,$A16)))</f>
        <v/>
      </c>
      <c r="M16" s="19" t="str">
        <f aca="false">IF($A16="","",IF(COUNTIFS('Chapter Data'!$A$2:$A$2500,M$2,'Chapter Data'!$D$2:$D$2500,$A16,'Chapter Data'!$E$2:$E$2500,"&lt;&gt;")=0,"",SUMIFS('Chapter Data'!$E$2:$E$2500,'Chapter Data'!$A$2:$A$2500,M$2,'Chapter Data'!$D$2:$D$2500,$A16)))</f>
        <v/>
      </c>
      <c r="N16" s="19" t="n">
        <f aca="false">IF($A16="","",IF(COUNTIFS('Chapter Data'!$A$2:$A$2500,N$2,'Chapter Data'!$D$2:$D$2500,$A16,'Chapter Data'!$E$2:$E$2500,"&lt;&gt;")=0,"",SUMIFS('Chapter Data'!$E$2:$E$2500,'Chapter Data'!$A$2:$A$2500,N$2,'Chapter Data'!$D$2:$D$2500,$A16)))</f>
        <v>24</v>
      </c>
      <c r="O16" s="19" t="n">
        <f aca="false">IF($A16="","",IF(COUNTIFS('Chapter Data'!$A$2:$A$2500,O$2,'Chapter Data'!$D$2:$D$2500,$A16,'Chapter Data'!$E$2:$E$2500,"&lt;&gt;")=0,"",SUMIFS('Chapter Data'!$E$2:$E$2500,'Chapter Data'!$A$2:$A$2500,O$2,'Chapter Data'!$D$2:$D$2500,$A16)))</f>
        <v>27</v>
      </c>
      <c r="P16" s="19" t="n">
        <f aca="false">IF($A16="","",IF(COUNTIFS('Chapter Data'!$A$2:$A$2500,P$2,'Chapter Data'!$D$2:$D$2500,$A16,'Chapter Data'!$E$2:$E$2500,"&lt;&gt;")=0,"",SUMIFS('Chapter Data'!$E$2:$E$2500,'Chapter Data'!$A$2:$A$2500,P$2,'Chapter Data'!$D$2:$D$2500,$A16)))</f>
        <v>38</v>
      </c>
      <c r="Q16" s="19" t="n">
        <f aca="false">IF($A16="","",IF(COUNTIFS('Chapter Data'!$A$2:$A$2500,Q$2,'Chapter Data'!$D$2:$D$2500,$A16,'Chapter Data'!$E$2:$E$2500,"&lt;&gt;")=0,"",SUMIFS('Chapter Data'!$E$2:$E$2500,'Chapter Data'!$A$2:$A$2500,Q$2,'Chapter Data'!$D$2:$D$2500,$A16)))</f>
        <v>37</v>
      </c>
      <c r="R16" s="19" t="str">
        <f aca="false">IF($A16="","",IF(COUNTIFS('Chapter Data'!$A$2:$A$2500,R$2,'Chapter Data'!$D$2:$D$2500,$A16,'Chapter Data'!$E$2:$E$2500,"&lt;&gt;")=0,"",SUMIFS('Chapter Data'!$E$2:$E$2500,'Chapter Data'!$A$2:$A$2500,R$2,'Chapter Data'!$D$2:$D$2500,$A16)))</f>
        <v/>
      </c>
      <c r="S16" s="19" t="str">
        <f aca="false">IF($A16="","",IF(COUNTIFS('Chapter Data'!$A$2:$A$2500,S$2,'Chapter Data'!$D$2:$D$2500,$A16,'Chapter Data'!$E$2:$E$2500,"&lt;&gt;")=0,"",SUMIFS('Chapter Data'!$E$2:$E$2500,'Chapter Data'!$A$2:$A$2500,S$2,'Chapter Data'!$D$2:$D$2500,$A16)))</f>
        <v/>
      </c>
      <c r="T16" s="19" t="str">
        <f aca="false">IF($A16="","",IF(COUNTIFS('Chapter Data'!$A$2:$A$2500,T$2,'Chapter Data'!$D$2:$D$2500,$A16,'Chapter Data'!$E$2:$E$2500,"&lt;&gt;")=0,"",SUMIFS('Chapter Data'!$E$2:$E$2500,'Chapter Data'!$A$2:$A$2500,T$2,'Chapter Data'!$D$2:$D$2500,$A16)))</f>
        <v/>
      </c>
      <c r="U16" s="19" t="str">
        <f aca="false">IF($A16="","",IF(COUNTIFS('Chapter Data'!$A$2:$A$2500,U$2,'Chapter Data'!$D$2:$D$2500,$A16,'Chapter Data'!$E$2:$E$2500,"&lt;&gt;")=0,"",SUMIFS('Chapter Data'!$E$2:$E$2500,'Chapter Data'!$A$2:$A$2500,U$2,'Chapter Data'!$D$2:$D$2500,$A16)))</f>
        <v/>
      </c>
    </row>
    <row r="17" customFormat="false" ht="15" hidden="false" customHeight="false" outlineLevel="0" collapsed="false">
      <c r="A17" s="8" t="str">
        <f aca="false">IF(Lists!$D$16="","",Lists!$D$16)</f>
        <v>Phi Delta Theta</v>
      </c>
      <c r="B17" s="19" t="n">
        <f aca="false">IF($A17="","",IF(COUNTIFS('Chapter Data'!$A$2:$A$2500,B$2,'Chapter Data'!$D$2:$D$2500,$A17,'Chapter Data'!$E$2:$E$2500,"&lt;&gt;")=0,"",SUMIFS('Chapter Data'!$E$2:$E$2500,'Chapter Data'!$A$2:$A$2500,B$2,'Chapter Data'!$D$2:$D$2500,$A17)))</f>
        <v>114</v>
      </c>
      <c r="C17" s="19" t="n">
        <f aca="false">IF($A17="","",IF(COUNTIFS('Chapter Data'!$A$2:$A$2500,C$2,'Chapter Data'!$D$2:$D$2500,$A17,'Chapter Data'!$E$2:$E$2500,"&lt;&gt;")=0,"",SUMIFS('Chapter Data'!$E$2:$E$2500,'Chapter Data'!$A$2:$A$2500,C$2,'Chapter Data'!$D$2:$D$2500,$A17)))</f>
        <v>112</v>
      </c>
      <c r="D17" s="19" t="n">
        <f aca="false">IF($A17="","",IF(COUNTIFS('Chapter Data'!$A$2:$A$2500,D$2,'Chapter Data'!$D$2:$D$2500,$A17,'Chapter Data'!$E$2:$E$2500,"&lt;&gt;")=0,"",SUMIFS('Chapter Data'!$E$2:$E$2500,'Chapter Data'!$A$2:$A$2500,D$2,'Chapter Data'!$D$2:$D$2500,$A17)))</f>
        <v>125</v>
      </c>
      <c r="E17" s="19" t="n">
        <f aca="false">IF($A17="","",IF(COUNTIFS('Chapter Data'!$A$2:$A$2500,E$2,'Chapter Data'!$D$2:$D$2500,$A17,'Chapter Data'!$E$2:$E$2500,"&lt;&gt;")=0,"",SUMIFS('Chapter Data'!$E$2:$E$2500,'Chapter Data'!$A$2:$A$2500,E$2,'Chapter Data'!$D$2:$D$2500,$A17)))</f>
        <v>121</v>
      </c>
      <c r="F17" s="19" t="n">
        <f aca="false">IF($A17="","",IF(COUNTIFS('Chapter Data'!$A$2:$A$2500,F$2,'Chapter Data'!$D$2:$D$2500,$A17,'Chapter Data'!$E$2:$E$2500,"&lt;&gt;")=0,"",SUMIFS('Chapter Data'!$E$2:$E$2500,'Chapter Data'!$A$2:$A$2500,F$2,'Chapter Data'!$D$2:$D$2500,$A17)))</f>
        <v>124</v>
      </c>
      <c r="G17" s="19" t="n">
        <f aca="false">IF($A17="","",IF(COUNTIFS('Chapter Data'!$A$2:$A$2500,G$2,'Chapter Data'!$D$2:$D$2500,$A17,'Chapter Data'!$E$2:$E$2500,"&lt;&gt;")=0,"",SUMIFS('Chapter Data'!$E$2:$E$2500,'Chapter Data'!$A$2:$A$2500,G$2,'Chapter Data'!$D$2:$D$2500,$A17)))</f>
        <v>110</v>
      </c>
      <c r="H17" s="19" t="n">
        <f aca="false">IF($A17="","",IF(COUNTIFS('Chapter Data'!$A$2:$A$2500,H$2,'Chapter Data'!$D$2:$D$2500,$A17,'Chapter Data'!$E$2:$E$2500,"&lt;&gt;")=0,"",SUMIFS('Chapter Data'!$E$2:$E$2500,'Chapter Data'!$A$2:$A$2500,H$2,'Chapter Data'!$D$2:$D$2500,$A17)))</f>
        <v>128</v>
      </c>
      <c r="I17" s="19" t="n">
        <f aca="false">IF($A17="","",IF(COUNTIFS('Chapter Data'!$A$2:$A$2500,I$2,'Chapter Data'!$D$2:$D$2500,$A17,'Chapter Data'!$E$2:$E$2500,"&lt;&gt;")=0,"",SUMIFS('Chapter Data'!$E$2:$E$2500,'Chapter Data'!$A$2:$A$2500,I$2,'Chapter Data'!$D$2:$D$2500,$A17)))</f>
        <v>128</v>
      </c>
      <c r="J17" s="19" t="n">
        <f aca="false">IF($A17="","",IF(COUNTIFS('Chapter Data'!$A$2:$A$2500,J$2,'Chapter Data'!$D$2:$D$2500,$A17,'Chapter Data'!$E$2:$E$2500,"&lt;&gt;")=0,"",SUMIFS('Chapter Data'!$E$2:$E$2500,'Chapter Data'!$A$2:$A$2500,J$2,'Chapter Data'!$D$2:$D$2500,$A17)))</f>
        <v>153</v>
      </c>
      <c r="K17" s="19" t="n">
        <f aca="false">IF($A17="","",IF(COUNTIFS('Chapter Data'!$A$2:$A$2500,K$2,'Chapter Data'!$D$2:$D$2500,$A17,'Chapter Data'!$E$2:$E$2500,"&lt;&gt;")=0,"",SUMIFS('Chapter Data'!$E$2:$E$2500,'Chapter Data'!$A$2:$A$2500,K$2,'Chapter Data'!$D$2:$D$2500,$A17)))</f>
        <v>135</v>
      </c>
      <c r="L17" s="19" t="n">
        <f aca="false">IF($A17="","",IF(COUNTIFS('Chapter Data'!$A$2:$A$2500,L$2,'Chapter Data'!$D$2:$D$2500,$A17,'Chapter Data'!$E$2:$E$2500,"&lt;&gt;")=0,"",SUMIFS('Chapter Data'!$E$2:$E$2500,'Chapter Data'!$A$2:$A$2500,L$2,'Chapter Data'!$D$2:$D$2500,$A17)))</f>
        <v>142</v>
      </c>
      <c r="M17" s="19" t="n">
        <f aca="false">IF($A17="","",IF(COUNTIFS('Chapter Data'!$A$2:$A$2500,M$2,'Chapter Data'!$D$2:$D$2500,$A17,'Chapter Data'!$E$2:$E$2500,"&lt;&gt;")=0,"",SUMIFS('Chapter Data'!$E$2:$E$2500,'Chapter Data'!$A$2:$A$2500,M$2,'Chapter Data'!$D$2:$D$2500,$A17)))</f>
        <v>133</v>
      </c>
      <c r="N17" s="19" t="n">
        <f aca="false">IF($A17="","",IF(COUNTIFS('Chapter Data'!$A$2:$A$2500,N$2,'Chapter Data'!$D$2:$D$2500,$A17,'Chapter Data'!$E$2:$E$2500,"&lt;&gt;")=0,"",SUMIFS('Chapter Data'!$E$2:$E$2500,'Chapter Data'!$A$2:$A$2500,N$2,'Chapter Data'!$D$2:$D$2500,$A17)))</f>
        <v>155</v>
      </c>
      <c r="O17" s="19" t="n">
        <f aca="false">IF($A17="","",IF(COUNTIFS('Chapter Data'!$A$2:$A$2500,O$2,'Chapter Data'!$D$2:$D$2500,$A17,'Chapter Data'!$E$2:$E$2500,"&lt;&gt;")=0,"",SUMIFS('Chapter Data'!$E$2:$E$2500,'Chapter Data'!$A$2:$A$2500,O$2,'Chapter Data'!$D$2:$D$2500,$A17)))</f>
        <v>142</v>
      </c>
      <c r="P17" s="19" t="n">
        <f aca="false">IF($A17="","",IF(COUNTIFS('Chapter Data'!$A$2:$A$2500,P$2,'Chapter Data'!$D$2:$D$2500,$A17,'Chapter Data'!$E$2:$E$2500,"&lt;&gt;")=0,"",SUMIFS('Chapter Data'!$E$2:$E$2500,'Chapter Data'!$A$2:$A$2500,P$2,'Chapter Data'!$D$2:$D$2500,$A17)))</f>
        <v>138</v>
      </c>
      <c r="Q17" s="19" t="n">
        <f aca="false">IF($A17="","",IF(COUNTIFS('Chapter Data'!$A$2:$A$2500,Q$2,'Chapter Data'!$D$2:$D$2500,$A17,'Chapter Data'!$E$2:$E$2500,"&lt;&gt;")=0,"",SUMIFS('Chapter Data'!$E$2:$E$2500,'Chapter Data'!$A$2:$A$2500,Q$2,'Chapter Data'!$D$2:$D$2500,$A17)))</f>
        <v>127</v>
      </c>
      <c r="R17" s="19" t="str">
        <f aca="false">IF($A17="","",IF(COUNTIFS('Chapter Data'!$A$2:$A$2500,R$2,'Chapter Data'!$D$2:$D$2500,$A17,'Chapter Data'!$E$2:$E$2500,"&lt;&gt;")=0,"",SUMIFS('Chapter Data'!$E$2:$E$2500,'Chapter Data'!$A$2:$A$2500,R$2,'Chapter Data'!$D$2:$D$2500,$A17)))</f>
        <v/>
      </c>
      <c r="S17" s="19" t="str">
        <f aca="false">IF($A17="","",IF(COUNTIFS('Chapter Data'!$A$2:$A$2500,S$2,'Chapter Data'!$D$2:$D$2500,$A17,'Chapter Data'!$E$2:$E$2500,"&lt;&gt;")=0,"",SUMIFS('Chapter Data'!$E$2:$E$2500,'Chapter Data'!$A$2:$A$2500,S$2,'Chapter Data'!$D$2:$D$2500,$A17)))</f>
        <v/>
      </c>
      <c r="T17" s="19" t="str">
        <f aca="false">IF($A17="","",IF(COUNTIFS('Chapter Data'!$A$2:$A$2500,T$2,'Chapter Data'!$D$2:$D$2500,$A17,'Chapter Data'!$E$2:$E$2500,"&lt;&gt;")=0,"",SUMIFS('Chapter Data'!$E$2:$E$2500,'Chapter Data'!$A$2:$A$2500,T$2,'Chapter Data'!$D$2:$D$2500,$A17)))</f>
        <v/>
      </c>
      <c r="U17" s="19" t="str">
        <f aca="false">IF($A17="","",IF(COUNTIFS('Chapter Data'!$A$2:$A$2500,U$2,'Chapter Data'!$D$2:$D$2500,$A17,'Chapter Data'!$E$2:$E$2500,"&lt;&gt;")=0,"",SUMIFS('Chapter Data'!$E$2:$E$2500,'Chapter Data'!$A$2:$A$2500,U$2,'Chapter Data'!$D$2:$D$2500,$A17)))</f>
        <v/>
      </c>
    </row>
    <row r="18" customFormat="false" ht="15" hidden="false" customHeight="false" outlineLevel="0" collapsed="false">
      <c r="A18" s="8" t="str">
        <f aca="false">IF(Lists!$D$17="","",Lists!$D$17)</f>
        <v>Phi Gamma Delta</v>
      </c>
      <c r="B18" s="19" t="str">
        <f aca="false">IF($A18="","",IF(COUNTIFS('Chapter Data'!$A$2:$A$2500,B$2,'Chapter Data'!$D$2:$D$2500,$A18,'Chapter Data'!$E$2:$E$2500,"&lt;&gt;")=0,"",SUMIFS('Chapter Data'!$E$2:$E$2500,'Chapter Data'!$A$2:$A$2500,B$2,'Chapter Data'!$D$2:$D$2500,$A18)))</f>
        <v/>
      </c>
      <c r="C18" s="19" t="str">
        <f aca="false">IF($A18="","",IF(COUNTIFS('Chapter Data'!$A$2:$A$2500,C$2,'Chapter Data'!$D$2:$D$2500,$A18,'Chapter Data'!$E$2:$E$2500,"&lt;&gt;")=0,"",SUMIFS('Chapter Data'!$E$2:$E$2500,'Chapter Data'!$A$2:$A$2500,C$2,'Chapter Data'!$D$2:$D$2500,$A18)))</f>
        <v/>
      </c>
      <c r="D18" s="19" t="n">
        <f aca="false">IF($A18="","",IF(COUNTIFS('Chapter Data'!$A$2:$A$2500,D$2,'Chapter Data'!$D$2:$D$2500,$A18,'Chapter Data'!$E$2:$E$2500,"&lt;&gt;")=0,"",SUMIFS('Chapter Data'!$E$2:$E$2500,'Chapter Data'!$A$2:$A$2500,D$2,'Chapter Data'!$D$2:$D$2500,$A18)))</f>
        <v>99</v>
      </c>
      <c r="E18" s="19" t="n">
        <f aca="false">IF($A18="","",IF(COUNTIFS('Chapter Data'!$A$2:$A$2500,E$2,'Chapter Data'!$D$2:$D$2500,$A18,'Chapter Data'!$E$2:$E$2500,"&lt;&gt;")=0,"",SUMIFS('Chapter Data'!$E$2:$E$2500,'Chapter Data'!$A$2:$A$2500,E$2,'Chapter Data'!$D$2:$D$2500,$A18)))</f>
        <v>97</v>
      </c>
      <c r="F18" s="19" t="n">
        <f aca="false">IF($A18="","",IF(COUNTIFS('Chapter Data'!$A$2:$A$2500,F$2,'Chapter Data'!$D$2:$D$2500,$A18,'Chapter Data'!$E$2:$E$2500,"&lt;&gt;")=0,"",SUMIFS('Chapter Data'!$E$2:$E$2500,'Chapter Data'!$A$2:$A$2500,F$2,'Chapter Data'!$D$2:$D$2500,$A18)))</f>
        <v>106</v>
      </c>
      <c r="G18" s="19" t="n">
        <f aca="false">IF($A18="","",IF(COUNTIFS('Chapter Data'!$A$2:$A$2500,G$2,'Chapter Data'!$D$2:$D$2500,$A18,'Chapter Data'!$E$2:$E$2500,"&lt;&gt;")=0,"",SUMIFS('Chapter Data'!$E$2:$E$2500,'Chapter Data'!$A$2:$A$2500,G$2,'Chapter Data'!$D$2:$D$2500,$A18)))</f>
        <v>101</v>
      </c>
      <c r="H18" s="19" t="str">
        <f aca="false">IF($A18="","",IF(COUNTIFS('Chapter Data'!$A$2:$A$2500,H$2,'Chapter Data'!$D$2:$D$2500,$A18,'Chapter Data'!$E$2:$E$2500,"&lt;&gt;")=0,"",SUMIFS('Chapter Data'!$E$2:$E$2500,'Chapter Data'!$A$2:$A$2500,H$2,'Chapter Data'!$D$2:$D$2500,$A18)))</f>
        <v/>
      </c>
      <c r="I18" s="19" t="str">
        <f aca="false">IF($A18="","",IF(COUNTIFS('Chapter Data'!$A$2:$A$2500,I$2,'Chapter Data'!$D$2:$D$2500,$A18,'Chapter Data'!$E$2:$E$2500,"&lt;&gt;")=0,"",SUMIFS('Chapter Data'!$E$2:$E$2500,'Chapter Data'!$A$2:$A$2500,I$2,'Chapter Data'!$D$2:$D$2500,$A18)))</f>
        <v/>
      </c>
      <c r="J18" s="19" t="str">
        <f aca="false">IF($A18="","",IF(COUNTIFS('Chapter Data'!$A$2:$A$2500,J$2,'Chapter Data'!$D$2:$D$2500,$A18,'Chapter Data'!$E$2:$E$2500,"&lt;&gt;")=0,"",SUMIFS('Chapter Data'!$E$2:$E$2500,'Chapter Data'!$A$2:$A$2500,J$2,'Chapter Data'!$D$2:$D$2500,$A18)))</f>
        <v/>
      </c>
      <c r="K18" s="19" t="str">
        <f aca="false">IF($A18="","",IF(COUNTIFS('Chapter Data'!$A$2:$A$2500,K$2,'Chapter Data'!$D$2:$D$2500,$A18,'Chapter Data'!$E$2:$E$2500,"&lt;&gt;")=0,"",SUMIFS('Chapter Data'!$E$2:$E$2500,'Chapter Data'!$A$2:$A$2500,K$2,'Chapter Data'!$D$2:$D$2500,$A18)))</f>
        <v/>
      </c>
      <c r="L18" s="19" t="str">
        <f aca="false">IF($A18="","",IF(COUNTIFS('Chapter Data'!$A$2:$A$2500,L$2,'Chapter Data'!$D$2:$D$2500,$A18,'Chapter Data'!$E$2:$E$2500,"&lt;&gt;")=0,"",SUMIFS('Chapter Data'!$E$2:$E$2500,'Chapter Data'!$A$2:$A$2500,L$2,'Chapter Data'!$D$2:$D$2500,$A18)))</f>
        <v/>
      </c>
      <c r="M18" s="19" t="str">
        <f aca="false">IF($A18="","",IF(COUNTIFS('Chapter Data'!$A$2:$A$2500,M$2,'Chapter Data'!$D$2:$D$2500,$A18,'Chapter Data'!$E$2:$E$2500,"&lt;&gt;")=0,"",SUMIFS('Chapter Data'!$E$2:$E$2500,'Chapter Data'!$A$2:$A$2500,M$2,'Chapter Data'!$D$2:$D$2500,$A18)))</f>
        <v/>
      </c>
      <c r="N18" s="19" t="str">
        <f aca="false">IF($A18="","",IF(COUNTIFS('Chapter Data'!$A$2:$A$2500,N$2,'Chapter Data'!$D$2:$D$2500,$A18,'Chapter Data'!$E$2:$E$2500,"&lt;&gt;")=0,"",SUMIFS('Chapter Data'!$E$2:$E$2500,'Chapter Data'!$A$2:$A$2500,N$2,'Chapter Data'!$D$2:$D$2500,$A18)))</f>
        <v/>
      </c>
      <c r="O18" s="19" t="str">
        <f aca="false">IF($A18="","",IF(COUNTIFS('Chapter Data'!$A$2:$A$2500,O$2,'Chapter Data'!$D$2:$D$2500,$A18,'Chapter Data'!$E$2:$E$2500,"&lt;&gt;")=0,"",SUMIFS('Chapter Data'!$E$2:$E$2500,'Chapter Data'!$A$2:$A$2500,O$2,'Chapter Data'!$D$2:$D$2500,$A18)))</f>
        <v/>
      </c>
      <c r="P18" s="19" t="n">
        <f aca="false">IF($A18="","",IF(COUNTIFS('Chapter Data'!$A$2:$A$2500,P$2,'Chapter Data'!$D$2:$D$2500,$A18,'Chapter Data'!$E$2:$E$2500,"&lt;&gt;")=0,"",SUMIFS('Chapter Data'!$E$2:$E$2500,'Chapter Data'!$A$2:$A$2500,P$2,'Chapter Data'!$D$2:$D$2500,$A18)))</f>
        <v>15</v>
      </c>
      <c r="Q18" s="19" t="n">
        <f aca="false">IF($A18="","",IF(COUNTIFS('Chapter Data'!$A$2:$A$2500,Q$2,'Chapter Data'!$D$2:$D$2500,$A18,'Chapter Data'!$E$2:$E$2500,"&lt;&gt;")=0,"",SUMIFS('Chapter Data'!$E$2:$E$2500,'Chapter Data'!$A$2:$A$2500,Q$2,'Chapter Data'!$D$2:$D$2500,$A18)))</f>
        <v>14</v>
      </c>
      <c r="R18" s="19" t="str">
        <f aca="false">IF($A18="","",IF(COUNTIFS('Chapter Data'!$A$2:$A$2500,R$2,'Chapter Data'!$D$2:$D$2500,$A18,'Chapter Data'!$E$2:$E$2500,"&lt;&gt;")=0,"",SUMIFS('Chapter Data'!$E$2:$E$2500,'Chapter Data'!$A$2:$A$2500,R$2,'Chapter Data'!$D$2:$D$2500,$A18)))</f>
        <v/>
      </c>
      <c r="S18" s="19" t="str">
        <f aca="false">IF($A18="","",IF(COUNTIFS('Chapter Data'!$A$2:$A$2500,S$2,'Chapter Data'!$D$2:$D$2500,$A18,'Chapter Data'!$E$2:$E$2500,"&lt;&gt;")=0,"",SUMIFS('Chapter Data'!$E$2:$E$2500,'Chapter Data'!$A$2:$A$2500,S$2,'Chapter Data'!$D$2:$D$2500,$A18)))</f>
        <v/>
      </c>
      <c r="T18" s="19" t="str">
        <f aca="false">IF($A18="","",IF(COUNTIFS('Chapter Data'!$A$2:$A$2500,T$2,'Chapter Data'!$D$2:$D$2500,$A18,'Chapter Data'!$E$2:$E$2500,"&lt;&gt;")=0,"",SUMIFS('Chapter Data'!$E$2:$E$2500,'Chapter Data'!$A$2:$A$2500,T$2,'Chapter Data'!$D$2:$D$2500,$A18)))</f>
        <v/>
      </c>
      <c r="U18" s="19" t="str">
        <f aca="false">IF($A18="","",IF(COUNTIFS('Chapter Data'!$A$2:$A$2500,U$2,'Chapter Data'!$D$2:$D$2500,$A18,'Chapter Data'!$E$2:$E$2500,"&lt;&gt;")=0,"",SUMIFS('Chapter Data'!$E$2:$E$2500,'Chapter Data'!$A$2:$A$2500,U$2,'Chapter Data'!$D$2:$D$2500,$A18)))</f>
        <v/>
      </c>
    </row>
    <row r="19" customFormat="false" ht="15" hidden="false" customHeight="false" outlineLevel="0" collapsed="false">
      <c r="A19" s="8" t="str">
        <f aca="false">IF(Lists!$D$18="","",Lists!$D$18)</f>
        <v>Phi Kappa Psi</v>
      </c>
      <c r="B19" s="19" t="n">
        <f aca="false">IF($A19="","",IF(COUNTIFS('Chapter Data'!$A$2:$A$2500,B$2,'Chapter Data'!$D$2:$D$2500,$A19,'Chapter Data'!$E$2:$E$2500,"&lt;&gt;")=0,"",SUMIFS('Chapter Data'!$E$2:$E$2500,'Chapter Data'!$A$2:$A$2500,B$2,'Chapter Data'!$D$2:$D$2500,$A19)))</f>
        <v>31</v>
      </c>
      <c r="C19" s="19" t="n">
        <f aca="false">IF($A19="","",IF(COUNTIFS('Chapter Data'!$A$2:$A$2500,C$2,'Chapter Data'!$D$2:$D$2500,$A19,'Chapter Data'!$E$2:$E$2500,"&lt;&gt;")=0,"",SUMIFS('Chapter Data'!$E$2:$E$2500,'Chapter Data'!$A$2:$A$2500,C$2,'Chapter Data'!$D$2:$D$2500,$A19)))</f>
        <v>34</v>
      </c>
      <c r="D19" s="19" t="n">
        <f aca="false">IF($A19="","",IF(COUNTIFS('Chapter Data'!$A$2:$A$2500,D$2,'Chapter Data'!$D$2:$D$2500,$A19,'Chapter Data'!$E$2:$E$2500,"&lt;&gt;")=0,"",SUMIFS('Chapter Data'!$E$2:$E$2500,'Chapter Data'!$A$2:$A$2500,D$2,'Chapter Data'!$D$2:$D$2500,$A19)))</f>
        <v>51</v>
      </c>
      <c r="E19" s="19" t="n">
        <f aca="false">IF($A19="","",IF(COUNTIFS('Chapter Data'!$A$2:$A$2500,E$2,'Chapter Data'!$D$2:$D$2500,$A19,'Chapter Data'!$E$2:$E$2500,"&lt;&gt;")=0,"",SUMIFS('Chapter Data'!$E$2:$E$2500,'Chapter Data'!$A$2:$A$2500,E$2,'Chapter Data'!$D$2:$D$2500,$A19)))</f>
        <v>47</v>
      </c>
      <c r="F19" s="19" t="n">
        <f aca="false">IF($A19="","",IF(COUNTIFS('Chapter Data'!$A$2:$A$2500,F$2,'Chapter Data'!$D$2:$D$2500,$A19,'Chapter Data'!$E$2:$E$2500,"&lt;&gt;")=0,"",SUMIFS('Chapter Data'!$E$2:$E$2500,'Chapter Data'!$A$2:$A$2500,F$2,'Chapter Data'!$D$2:$D$2500,$A19)))</f>
        <v>45</v>
      </c>
      <c r="G19" s="19" t="n">
        <f aca="false">IF($A19="","",IF(COUNTIFS('Chapter Data'!$A$2:$A$2500,G$2,'Chapter Data'!$D$2:$D$2500,$A19,'Chapter Data'!$E$2:$E$2500,"&lt;&gt;")=0,"",SUMIFS('Chapter Data'!$E$2:$E$2500,'Chapter Data'!$A$2:$A$2500,G$2,'Chapter Data'!$D$2:$D$2500,$A19)))</f>
        <v>41</v>
      </c>
      <c r="H19" s="19" t="n">
        <f aca="false">IF($A19="","",IF(COUNTIFS('Chapter Data'!$A$2:$A$2500,H$2,'Chapter Data'!$D$2:$D$2500,$A19,'Chapter Data'!$E$2:$E$2500,"&lt;&gt;")=0,"",SUMIFS('Chapter Data'!$E$2:$E$2500,'Chapter Data'!$A$2:$A$2500,H$2,'Chapter Data'!$D$2:$D$2500,$A19)))</f>
        <v>49</v>
      </c>
      <c r="I19" s="19" t="n">
        <f aca="false">IF($A19="","",IF(COUNTIFS('Chapter Data'!$A$2:$A$2500,I$2,'Chapter Data'!$D$2:$D$2500,$A19,'Chapter Data'!$E$2:$E$2500,"&lt;&gt;")=0,"",SUMIFS('Chapter Data'!$E$2:$E$2500,'Chapter Data'!$A$2:$A$2500,I$2,'Chapter Data'!$D$2:$D$2500,$A19)))</f>
        <v>52</v>
      </c>
      <c r="J19" s="19" t="n">
        <f aca="false">IF($A19="","",IF(COUNTIFS('Chapter Data'!$A$2:$A$2500,J$2,'Chapter Data'!$D$2:$D$2500,$A19,'Chapter Data'!$E$2:$E$2500,"&lt;&gt;")=0,"",SUMIFS('Chapter Data'!$E$2:$E$2500,'Chapter Data'!$A$2:$A$2500,J$2,'Chapter Data'!$D$2:$D$2500,$A19)))</f>
        <v>50</v>
      </c>
      <c r="K19" s="19" t="n">
        <f aca="false">IF($A19="","",IF(COUNTIFS('Chapter Data'!$A$2:$A$2500,K$2,'Chapter Data'!$D$2:$D$2500,$A19,'Chapter Data'!$E$2:$E$2500,"&lt;&gt;")=0,"",SUMIFS('Chapter Data'!$E$2:$E$2500,'Chapter Data'!$A$2:$A$2500,K$2,'Chapter Data'!$D$2:$D$2500,$A19)))</f>
        <v>35</v>
      </c>
      <c r="L19" s="19" t="n">
        <f aca="false">IF($A19="","",IF(COUNTIFS('Chapter Data'!$A$2:$A$2500,L$2,'Chapter Data'!$D$2:$D$2500,$A19,'Chapter Data'!$E$2:$E$2500,"&lt;&gt;")=0,"",SUMIFS('Chapter Data'!$E$2:$E$2500,'Chapter Data'!$A$2:$A$2500,L$2,'Chapter Data'!$D$2:$D$2500,$A19)))</f>
        <v>40</v>
      </c>
      <c r="M19" s="19" t="n">
        <f aca="false">IF($A19="","",IF(COUNTIFS('Chapter Data'!$A$2:$A$2500,M$2,'Chapter Data'!$D$2:$D$2500,$A19,'Chapter Data'!$E$2:$E$2500,"&lt;&gt;")=0,"",SUMIFS('Chapter Data'!$E$2:$E$2500,'Chapter Data'!$A$2:$A$2500,M$2,'Chapter Data'!$D$2:$D$2500,$A19)))</f>
        <v>39</v>
      </c>
      <c r="N19" s="19" t="n">
        <f aca="false">IF($A19="","",IF(COUNTIFS('Chapter Data'!$A$2:$A$2500,N$2,'Chapter Data'!$D$2:$D$2500,$A19,'Chapter Data'!$E$2:$E$2500,"&lt;&gt;")=0,"",SUMIFS('Chapter Data'!$E$2:$E$2500,'Chapter Data'!$A$2:$A$2500,N$2,'Chapter Data'!$D$2:$D$2500,$A19)))</f>
        <v>42</v>
      </c>
      <c r="O19" s="19" t="n">
        <f aca="false">IF($A19="","",IF(COUNTIFS('Chapter Data'!$A$2:$A$2500,O$2,'Chapter Data'!$D$2:$D$2500,$A19,'Chapter Data'!$E$2:$E$2500,"&lt;&gt;")=0,"",SUMIFS('Chapter Data'!$E$2:$E$2500,'Chapter Data'!$A$2:$A$2500,O$2,'Chapter Data'!$D$2:$D$2500,$A19)))</f>
        <v>46</v>
      </c>
      <c r="P19" s="19" t="n">
        <f aca="false">IF($A19="","",IF(COUNTIFS('Chapter Data'!$A$2:$A$2500,P$2,'Chapter Data'!$D$2:$D$2500,$A19,'Chapter Data'!$E$2:$E$2500,"&lt;&gt;")=0,"",SUMIFS('Chapter Data'!$E$2:$E$2500,'Chapter Data'!$A$2:$A$2500,P$2,'Chapter Data'!$D$2:$D$2500,$A19)))</f>
        <v>42</v>
      </c>
      <c r="Q19" s="19" t="n">
        <f aca="false">IF($A19="","",IF(COUNTIFS('Chapter Data'!$A$2:$A$2500,Q$2,'Chapter Data'!$D$2:$D$2500,$A19,'Chapter Data'!$E$2:$E$2500,"&lt;&gt;")=0,"",SUMIFS('Chapter Data'!$E$2:$E$2500,'Chapter Data'!$A$2:$A$2500,Q$2,'Chapter Data'!$D$2:$D$2500,$A19)))</f>
        <v>39</v>
      </c>
      <c r="R19" s="19" t="str">
        <f aca="false">IF($A19="","",IF(COUNTIFS('Chapter Data'!$A$2:$A$2500,R$2,'Chapter Data'!$D$2:$D$2500,$A19,'Chapter Data'!$E$2:$E$2500,"&lt;&gt;")=0,"",SUMIFS('Chapter Data'!$E$2:$E$2500,'Chapter Data'!$A$2:$A$2500,R$2,'Chapter Data'!$D$2:$D$2500,$A19)))</f>
        <v/>
      </c>
      <c r="S19" s="19" t="str">
        <f aca="false">IF($A19="","",IF(COUNTIFS('Chapter Data'!$A$2:$A$2500,S$2,'Chapter Data'!$D$2:$D$2500,$A19,'Chapter Data'!$E$2:$E$2500,"&lt;&gt;")=0,"",SUMIFS('Chapter Data'!$E$2:$E$2500,'Chapter Data'!$A$2:$A$2500,S$2,'Chapter Data'!$D$2:$D$2500,$A19)))</f>
        <v/>
      </c>
      <c r="T19" s="19" t="str">
        <f aca="false">IF($A19="","",IF(COUNTIFS('Chapter Data'!$A$2:$A$2500,T$2,'Chapter Data'!$D$2:$D$2500,$A19,'Chapter Data'!$E$2:$E$2500,"&lt;&gt;")=0,"",SUMIFS('Chapter Data'!$E$2:$E$2500,'Chapter Data'!$A$2:$A$2500,T$2,'Chapter Data'!$D$2:$D$2500,$A19)))</f>
        <v/>
      </c>
      <c r="U19" s="19" t="str">
        <f aca="false">IF($A19="","",IF(COUNTIFS('Chapter Data'!$A$2:$A$2500,U$2,'Chapter Data'!$D$2:$D$2500,$A19,'Chapter Data'!$E$2:$E$2500,"&lt;&gt;")=0,"",SUMIFS('Chapter Data'!$E$2:$E$2500,'Chapter Data'!$A$2:$A$2500,U$2,'Chapter Data'!$D$2:$D$2500,$A19)))</f>
        <v/>
      </c>
    </row>
    <row r="20" customFormat="false" ht="15" hidden="false" customHeight="false" outlineLevel="0" collapsed="false">
      <c r="A20" s="8" t="str">
        <f aca="false">IF(Lists!$D$19="","",Lists!$D$19)</f>
        <v>Phi Kappa Theta</v>
      </c>
      <c r="B20" s="19" t="n">
        <f aca="false">IF($A20="","",IF(COUNTIFS('Chapter Data'!$A$2:$A$2500,B$2,'Chapter Data'!$D$2:$D$2500,$A20,'Chapter Data'!$E$2:$E$2500,"&lt;&gt;")=0,"",SUMIFS('Chapter Data'!$E$2:$E$2500,'Chapter Data'!$A$2:$A$2500,B$2,'Chapter Data'!$D$2:$D$2500,$A20)))</f>
        <v>77</v>
      </c>
      <c r="C20" s="19" t="n">
        <f aca="false">IF($A20="","",IF(COUNTIFS('Chapter Data'!$A$2:$A$2500,C$2,'Chapter Data'!$D$2:$D$2500,$A20,'Chapter Data'!$E$2:$E$2500,"&lt;&gt;")=0,"",SUMIFS('Chapter Data'!$E$2:$E$2500,'Chapter Data'!$A$2:$A$2500,C$2,'Chapter Data'!$D$2:$D$2500,$A20)))</f>
        <v>76</v>
      </c>
      <c r="D20" s="19" t="n">
        <f aca="false">IF($A20="","",IF(COUNTIFS('Chapter Data'!$A$2:$A$2500,D$2,'Chapter Data'!$D$2:$D$2500,$A20,'Chapter Data'!$E$2:$E$2500,"&lt;&gt;")=0,"",SUMIFS('Chapter Data'!$E$2:$E$2500,'Chapter Data'!$A$2:$A$2500,D$2,'Chapter Data'!$D$2:$D$2500,$A20)))</f>
        <v>84</v>
      </c>
      <c r="E20" s="19" t="n">
        <f aca="false">IF($A20="","",IF(COUNTIFS('Chapter Data'!$A$2:$A$2500,E$2,'Chapter Data'!$D$2:$D$2500,$A20,'Chapter Data'!$E$2:$E$2500,"&lt;&gt;")=0,"",SUMIFS('Chapter Data'!$E$2:$E$2500,'Chapter Data'!$A$2:$A$2500,E$2,'Chapter Data'!$D$2:$D$2500,$A20)))</f>
        <v>79</v>
      </c>
      <c r="F20" s="19" t="n">
        <f aca="false">IF($A20="","",IF(COUNTIFS('Chapter Data'!$A$2:$A$2500,F$2,'Chapter Data'!$D$2:$D$2500,$A20,'Chapter Data'!$E$2:$E$2500,"&lt;&gt;")=0,"",SUMIFS('Chapter Data'!$E$2:$E$2500,'Chapter Data'!$A$2:$A$2500,F$2,'Chapter Data'!$D$2:$D$2500,$A20)))</f>
        <v>77</v>
      </c>
      <c r="G20" s="19" t="n">
        <f aca="false">IF($A20="","",IF(COUNTIFS('Chapter Data'!$A$2:$A$2500,G$2,'Chapter Data'!$D$2:$D$2500,$A20,'Chapter Data'!$E$2:$E$2500,"&lt;&gt;")=0,"",SUMIFS('Chapter Data'!$E$2:$E$2500,'Chapter Data'!$A$2:$A$2500,G$2,'Chapter Data'!$D$2:$D$2500,$A20)))</f>
        <v>74</v>
      </c>
      <c r="H20" s="19" t="n">
        <f aca="false">IF($A20="","",IF(COUNTIFS('Chapter Data'!$A$2:$A$2500,H$2,'Chapter Data'!$D$2:$D$2500,$A20,'Chapter Data'!$E$2:$E$2500,"&lt;&gt;")=0,"",SUMIFS('Chapter Data'!$E$2:$E$2500,'Chapter Data'!$A$2:$A$2500,H$2,'Chapter Data'!$D$2:$D$2500,$A20)))</f>
        <v>79</v>
      </c>
      <c r="I20" s="19" t="n">
        <f aca="false">IF($A20="","",IF(COUNTIFS('Chapter Data'!$A$2:$A$2500,I$2,'Chapter Data'!$D$2:$D$2500,$A20,'Chapter Data'!$E$2:$E$2500,"&lt;&gt;")=0,"",SUMIFS('Chapter Data'!$E$2:$E$2500,'Chapter Data'!$A$2:$A$2500,I$2,'Chapter Data'!$D$2:$D$2500,$A20)))</f>
        <v>81</v>
      </c>
      <c r="J20" s="19" t="n">
        <f aca="false">IF($A20="","",IF(COUNTIFS('Chapter Data'!$A$2:$A$2500,J$2,'Chapter Data'!$D$2:$D$2500,$A20,'Chapter Data'!$E$2:$E$2500,"&lt;&gt;")=0,"",SUMIFS('Chapter Data'!$E$2:$E$2500,'Chapter Data'!$A$2:$A$2500,J$2,'Chapter Data'!$D$2:$D$2500,$A20)))</f>
        <v>83</v>
      </c>
      <c r="K20" s="19" t="n">
        <f aca="false">IF($A20="","",IF(COUNTIFS('Chapter Data'!$A$2:$A$2500,K$2,'Chapter Data'!$D$2:$D$2500,$A20,'Chapter Data'!$E$2:$E$2500,"&lt;&gt;")=0,"",SUMIFS('Chapter Data'!$E$2:$E$2500,'Chapter Data'!$A$2:$A$2500,K$2,'Chapter Data'!$D$2:$D$2500,$A20)))</f>
        <v>81</v>
      </c>
      <c r="L20" s="19" t="n">
        <f aca="false">IF($A20="","",IF(COUNTIFS('Chapter Data'!$A$2:$A$2500,L$2,'Chapter Data'!$D$2:$D$2500,$A20,'Chapter Data'!$E$2:$E$2500,"&lt;&gt;")=0,"",SUMIFS('Chapter Data'!$E$2:$E$2500,'Chapter Data'!$A$2:$A$2500,L$2,'Chapter Data'!$D$2:$D$2500,$A20)))</f>
        <v>80</v>
      </c>
      <c r="M20" s="19" t="n">
        <f aca="false">IF($A20="","",IF(COUNTIFS('Chapter Data'!$A$2:$A$2500,M$2,'Chapter Data'!$D$2:$D$2500,$A20,'Chapter Data'!$E$2:$E$2500,"&lt;&gt;")=0,"",SUMIFS('Chapter Data'!$E$2:$E$2500,'Chapter Data'!$A$2:$A$2500,M$2,'Chapter Data'!$D$2:$D$2500,$A20)))</f>
        <v>80</v>
      </c>
      <c r="N20" s="19" t="n">
        <f aca="false">IF($A20="","",IF(COUNTIFS('Chapter Data'!$A$2:$A$2500,N$2,'Chapter Data'!$D$2:$D$2500,$A20,'Chapter Data'!$E$2:$E$2500,"&lt;&gt;")=0,"",SUMIFS('Chapter Data'!$E$2:$E$2500,'Chapter Data'!$A$2:$A$2500,N$2,'Chapter Data'!$D$2:$D$2500,$A20)))</f>
        <v>91</v>
      </c>
      <c r="O20" s="19" t="n">
        <f aca="false">IF($A20="","",IF(COUNTIFS('Chapter Data'!$A$2:$A$2500,O$2,'Chapter Data'!$D$2:$D$2500,$A20,'Chapter Data'!$E$2:$E$2500,"&lt;&gt;")=0,"",SUMIFS('Chapter Data'!$E$2:$E$2500,'Chapter Data'!$A$2:$A$2500,O$2,'Chapter Data'!$D$2:$D$2500,$A20)))</f>
        <v>88</v>
      </c>
      <c r="P20" s="19" t="n">
        <f aca="false">IF($A20="","",IF(COUNTIFS('Chapter Data'!$A$2:$A$2500,P$2,'Chapter Data'!$D$2:$D$2500,$A20,'Chapter Data'!$E$2:$E$2500,"&lt;&gt;")=0,"",SUMIFS('Chapter Data'!$E$2:$E$2500,'Chapter Data'!$A$2:$A$2500,P$2,'Chapter Data'!$D$2:$D$2500,$A20)))</f>
        <v>95</v>
      </c>
      <c r="Q20" s="19" t="n">
        <f aca="false">IF($A20="","",IF(COUNTIFS('Chapter Data'!$A$2:$A$2500,Q$2,'Chapter Data'!$D$2:$D$2500,$A20,'Chapter Data'!$E$2:$E$2500,"&lt;&gt;")=0,"",SUMIFS('Chapter Data'!$E$2:$E$2500,'Chapter Data'!$A$2:$A$2500,Q$2,'Chapter Data'!$D$2:$D$2500,$A20)))</f>
        <v>95</v>
      </c>
      <c r="R20" s="19" t="str">
        <f aca="false">IF($A20="","",IF(COUNTIFS('Chapter Data'!$A$2:$A$2500,R$2,'Chapter Data'!$D$2:$D$2500,$A20,'Chapter Data'!$E$2:$E$2500,"&lt;&gt;")=0,"",SUMIFS('Chapter Data'!$E$2:$E$2500,'Chapter Data'!$A$2:$A$2500,R$2,'Chapter Data'!$D$2:$D$2500,$A20)))</f>
        <v/>
      </c>
      <c r="S20" s="19" t="str">
        <f aca="false">IF($A20="","",IF(COUNTIFS('Chapter Data'!$A$2:$A$2500,S$2,'Chapter Data'!$D$2:$D$2500,$A20,'Chapter Data'!$E$2:$E$2500,"&lt;&gt;")=0,"",SUMIFS('Chapter Data'!$E$2:$E$2500,'Chapter Data'!$A$2:$A$2500,S$2,'Chapter Data'!$D$2:$D$2500,$A20)))</f>
        <v/>
      </c>
      <c r="T20" s="19" t="str">
        <f aca="false">IF($A20="","",IF(COUNTIFS('Chapter Data'!$A$2:$A$2500,T$2,'Chapter Data'!$D$2:$D$2500,$A20,'Chapter Data'!$E$2:$E$2500,"&lt;&gt;")=0,"",SUMIFS('Chapter Data'!$E$2:$E$2500,'Chapter Data'!$A$2:$A$2500,T$2,'Chapter Data'!$D$2:$D$2500,$A20)))</f>
        <v/>
      </c>
      <c r="U20" s="19" t="str">
        <f aca="false">IF($A20="","",IF(COUNTIFS('Chapter Data'!$A$2:$A$2500,U$2,'Chapter Data'!$D$2:$D$2500,$A20,'Chapter Data'!$E$2:$E$2500,"&lt;&gt;")=0,"",SUMIFS('Chapter Data'!$E$2:$E$2500,'Chapter Data'!$A$2:$A$2500,U$2,'Chapter Data'!$D$2:$D$2500,$A20)))</f>
        <v/>
      </c>
    </row>
    <row r="21" customFormat="false" ht="15" hidden="false" customHeight="false" outlineLevel="0" collapsed="false">
      <c r="A21" s="8" t="str">
        <f aca="false">IF(Lists!$D$20="","",Lists!$D$20)</f>
        <v>Pi Kappa Alpha</v>
      </c>
      <c r="B21" s="19" t="n">
        <f aca="false">IF($A21="","",IF(COUNTIFS('Chapter Data'!$A$2:$A$2500,B$2,'Chapter Data'!$D$2:$D$2500,$A21,'Chapter Data'!$E$2:$E$2500,"&lt;&gt;")=0,"",SUMIFS('Chapter Data'!$E$2:$E$2500,'Chapter Data'!$A$2:$A$2500,B$2,'Chapter Data'!$D$2:$D$2500,$A21)))</f>
        <v>111</v>
      </c>
      <c r="C21" s="19" t="n">
        <f aca="false">IF($A21="","",IF(COUNTIFS('Chapter Data'!$A$2:$A$2500,C$2,'Chapter Data'!$D$2:$D$2500,$A21,'Chapter Data'!$E$2:$E$2500,"&lt;&gt;")=0,"",SUMIFS('Chapter Data'!$E$2:$E$2500,'Chapter Data'!$A$2:$A$2500,C$2,'Chapter Data'!$D$2:$D$2500,$A21)))</f>
        <v>132</v>
      </c>
      <c r="D21" s="19" t="n">
        <f aca="false">IF($A21="","",IF(COUNTIFS('Chapter Data'!$A$2:$A$2500,D$2,'Chapter Data'!$D$2:$D$2500,$A21,'Chapter Data'!$E$2:$E$2500,"&lt;&gt;")=0,"",SUMIFS('Chapter Data'!$E$2:$E$2500,'Chapter Data'!$A$2:$A$2500,D$2,'Chapter Data'!$D$2:$D$2500,$A21)))</f>
        <v>137</v>
      </c>
      <c r="E21" s="19" t="n">
        <f aca="false">IF($A21="","",IF(COUNTIFS('Chapter Data'!$A$2:$A$2500,E$2,'Chapter Data'!$D$2:$D$2500,$A21,'Chapter Data'!$E$2:$E$2500,"&lt;&gt;")=0,"",SUMIFS('Chapter Data'!$E$2:$E$2500,'Chapter Data'!$A$2:$A$2500,E$2,'Chapter Data'!$D$2:$D$2500,$A21)))</f>
        <v>143</v>
      </c>
      <c r="F21" s="19" t="n">
        <f aca="false">IF($A21="","",IF(COUNTIFS('Chapter Data'!$A$2:$A$2500,F$2,'Chapter Data'!$D$2:$D$2500,$A21,'Chapter Data'!$E$2:$E$2500,"&lt;&gt;")=0,"",SUMIFS('Chapter Data'!$E$2:$E$2500,'Chapter Data'!$A$2:$A$2500,F$2,'Chapter Data'!$D$2:$D$2500,$A21)))</f>
        <v>139</v>
      </c>
      <c r="G21" s="19" t="n">
        <f aca="false">IF($A21="","",IF(COUNTIFS('Chapter Data'!$A$2:$A$2500,G$2,'Chapter Data'!$D$2:$D$2500,$A21,'Chapter Data'!$E$2:$E$2500,"&lt;&gt;")=0,"",SUMIFS('Chapter Data'!$E$2:$E$2500,'Chapter Data'!$A$2:$A$2500,G$2,'Chapter Data'!$D$2:$D$2500,$A21)))</f>
        <v>142</v>
      </c>
      <c r="H21" s="19" t="n">
        <f aca="false">IF($A21="","",IF(COUNTIFS('Chapter Data'!$A$2:$A$2500,H$2,'Chapter Data'!$D$2:$D$2500,$A21,'Chapter Data'!$E$2:$E$2500,"&lt;&gt;")=0,"",SUMIFS('Chapter Data'!$E$2:$E$2500,'Chapter Data'!$A$2:$A$2500,H$2,'Chapter Data'!$D$2:$D$2500,$A21)))</f>
        <v>134</v>
      </c>
      <c r="I21" s="19" t="n">
        <f aca="false">IF($A21="","",IF(COUNTIFS('Chapter Data'!$A$2:$A$2500,I$2,'Chapter Data'!$D$2:$D$2500,$A21,'Chapter Data'!$E$2:$E$2500,"&lt;&gt;")=0,"",SUMIFS('Chapter Data'!$E$2:$E$2500,'Chapter Data'!$A$2:$A$2500,I$2,'Chapter Data'!$D$2:$D$2500,$A21)))</f>
        <v>143</v>
      </c>
      <c r="J21" s="19" t="n">
        <f aca="false">IF($A21="","",IF(COUNTIFS('Chapter Data'!$A$2:$A$2500,J$2,'Chapter Data'!$D$2:$D$2500,$A21,'Chapter Data'!$E$2:$E$2500,"&lt;&gt;")=0,"",SUMIFS('Chapter Data'!$E$2:$E$2500,'Chapter Data'!$A$2:$A$2500,J$2,'Chapter Data'!$D$2:$D$2500,$A21)))</f>
        <v>139</v>
      </c>
      <c r="K21" s="19" t="n">
        <f aca="false">IF($A21="","",IF(COUNTIFS('Chapter Data'!$A$2:$A$2500,K$2,'Chapter Data'!$D$2:$D$2500,$A21,'Chapter Data'!$E$2:$E$2500,"&lt;&gt;")=0,"",SUMIFS('Chapter Data'!$E$2:$E$2500,'Chapter Data'!$A$2:$A$2500,K$2,'Chapter Data'!$D$2:$D$2500,$A21)))</f>
        <v>134</v>
      </c>
      <c r="L21" s="19" t="n">
        <f aca="false">IF($A21="","",IF(COUNTIFS('Chapter Data'!$A$2:$A$2500,L$2,'Chapter Data'!$D$2:$D$2500,$A21,'Chapter Data'!$E$2:$E$2500,"&lt;&gt;")=0,"",SUMIFS('Chapter Data'!$E$2:$E$2500,'Chapter Data'!$A$2:$A$2500,L$2,'Chapter Data'!$D$2:$D$2500,$A21)))</f>
        <v>134</v>
      </c>
      <c r="M21" s="19" t="n">
        <f aca="false">IF($A21="","",IF(COUNTIFS('Chapter Data'!$A$2:$A$2500,M$2,'Chapter Data'!$D$2:$D$2500,$A21,'Chapter Data'!$E$2:$E$2500,"&lt;&gt;")=0,"",SUMIFS('Chapter Data'!$E$2:$E$2500,'Chapter Data'!$A$2:$A$2500,M$2,'Chapter Data'!$D$2:$D$2500,$A21)))</f>
        <v>140</v>
      </c>
      <c r="N21" s="19" t="n">
        <f aca="false">IF($A21="","",IF(COUNTIFS('Chapter Data'!$A$2:$A$2500,N$2,'Chapter Data'!$D$2:$D$2500,$A21,'Chapter Data'!$E$2:$E$2500,"&lt;&gt;")=0,"",SUMIFS('Chapter Data'!$E$2:$E$2500,'Chapter Data'!$A$2:$A$2500,N$2,'Chapter Data'!$D$2:$D$2500,$A21)))</f>
        <v>139</v>
      </c>
      <c r="O21" s="19" t="n">
        <f aca="false">IF($A21="","",IF(COUNTIFS('Chapter Data'!$A$2:$A$2500,O$2,'Chapter Data'!$D$2:$D$2500,$A21,'Chapter Data'!$E$2:$E$2500,"&lt;&gt;")=0,"",SUMIFS('Chapter Data'!$E$2:$E$2500,'Chapter Data'!$A$2:$A$2500,O$2,'Chapter Data'!$D$2:$D$2500,$A21)))</f>
        <v>146</v>
      </c>
      <c r="P21" s="19" t="n">
        <f aca="false">IF($A21="","",IF(COUNTIFS('Chapter Data'!$A$2:$A$2500,P$2,'Chapter Data'!$D$2:$D$2500,$A21,'Chapter Data'!$E$2:$E$2500,"&lt;&gt;")=0,"",SUMIFS('Chapter Data'!$E$2:$E$2500,'Chapter Data'!$A$2:$A$2500,P$2,'Chapter Data'!$D$2:$D$2500,$A21)))</f>
        <v>153</v>
      </c>
      <c r="Q21" s="19" t="n">
        <f aca="false">IF($A21="","",IF(COUNTIFS('Chapter Data'!$A$2:$A$2500,Q$2,'Chapter Data'!$D$2:$D$2500,$A21,'Chapter Data'!$E$2:$E$2500,"&lt;&gt;")=0,"",SUMIFS('Chapter Data'!$E$2:$E$2500,'Chapter Data'!$A$2:$A$2500,Q$2,'Chapter Data'!$D$2:$D$2500,$A21)))</f>
        <v>165</v>
      </c>
      <c r="R21" s="19" t="str">
        <f aca="false">IF($A21="","",IF(COUNTIFS('Chapter Data'!$A$2:$A$2500,R$2,'Chapter Data'!$D$2:$D$2500,$A21,'Chapter Data'!$E$2:$E$2500,"&lt;&gt;")=0,"",SUMIFS('Chapter Data'!$E$2:$E$2500,'Chapter Data'!$A$2:$A$2500,R$2,'Chapter Data'!$D$2:$D$2500,$A21)))</f>
        <v/>
      </c>
      <c r="S21" s="19" t="str">
        <f aca="false">IF($A21="","",IF(COUNTIFS('Chapter Data'!$A$2:$A$2500,S$2,'Chapter Data'!$D$2:$D$2500,$A21,'Chapter Data'!$E$2:$E$2500,"&lt;&gt;")=0,"",SUMIFS('Chapter Data'!$E$2:$E$2500,'Chapter Data'!$A$2:$A$2500,S$2,'Chapter Data'!$D$2:$D$2500,$A21)))</f>
        <v/>
      </c>
      <c r="T21" s="19" t="str">
        <f aca="false">IF($A21="","",IF(COUNTIFS('Chapter Data'!$A$2:$A$2500,T$2,'Chapter Data'!$D$2:$D$2500,$A21,'Chapter Data'!$E$2:$E$2500,"&lt;&gt;")=0,"",SUMIFS('Chapter Data'!$E$2:$E$2500,'Chapter Data'!$A$2:$A$2500,T$2,'Chapter Data'!$D$2:$D$2500,$A21)))</f>
        <v/>
      </c>
      <c r="U21" s="19" t="str">
        <f aca="false">IF($A21="","",IF(COUNTIFS('Chapter Data'!$A$2:$A$2500,U$2,'Chapter Data'!$D$2:$D$2500,$A21,'Chapter Data'!$E$2:$E$2500,"&lt;&gt;")=0,"",SUMIFS('Chapter Data'!$E$2:$E$2500,'Chapter Data'!$A$2:$A$2500,U$2,'Chapter Data'!$D$2:$D$2500,$A21)))</f>
        <v/>
      </c>
    </row>
    <row r="22" customFormat="false" ht="15" hidden="false" customHeight="false" outlineLevel="0" collapsed="false">
      <c r="A22" s="8" t="str">
        <f aca="false">IF(Lists!$D$21="","",Lists!$D$21)</f>
        <v>Pi Kappa Phi</v>
      </c>
      <c r="B22" s="19" t="n">
        <f aca="false">IF($A22="","",IF(COUNTIFS('Chapter Data'!$A$2:$A$2500,B$2,'Chapter Data'!$D$2:$D$2500,$A22,'Chapter Data'!$E$2:$E$2500,"&lt;&gt;")=0,"",SUMIFS('Chapter Data'!$E$2:$E$2500,'Chapter Data'!$A$2:$A$2500,B$2,'Chapter Data'!$D$2:$D$2500,$A22)))</f>
        <v>56</v>
      </c>
      <c r="C22" s="19" t="n">
        <f aca="false">IF($A22="","",IF(COUNTIFS('Chapter Data'!$A$2:$A$2500,C$2,'Chapter Data'!$D$2:$D$2500,$A22,'Chapter Data'!$E$2:$E$2500,"&lt;&gt;")=0,"",SUMIFS('Chapter Data'!$E$2:$E$2500,'Chapter Data'!$A$2:$A$2500,C$2,'Chapter Data'!$D$2:$D$2500,$A22)))</f>
        <v>55</v>
      </c>
      <c r="D22" s="19" t="n">
        <f aca="false">IF($A22="","",IF(COUNTIFS('Chapter Data'!$A$2:$A$2500,D$2,'Chapter Data'!$D$2:$D$2500,$A22,'Chapter Data'!$E$2:$E$2500,"&lt;&gt;")=0,"",SUMIFS('Chapter Data'!$E$2:$E$2500,'Chapter Data'!$A$2:$A$2500,D$2,'Chapter Data'!$D$2:$D$2500,$A22)))</f>
        <v>66</v>
      </c>
      <c r="E22" s="19" t="n">
        <f aca="false">IF($A22="","",IF(COUNTIFS('Chapter Data'!$A$2:$A$2500,E$2,'Chapter Data'!$D$2:$D$2500,$A22,'Chapter Data'!$E$2:$E$2500,"&lt;&gt;")=0,"",SUMIFS('Chapter Data'!$E$2:$E$2500,'Chapter Data'!$A$2:$A$2500,E$2,'Chapter Data'!$D$2:$D$2500,$A22)))</f>
        <v>48</v>
      </c>
      <c r="F22" s="19" t="n">
        <f aca="false">IF($A22="","",IF(COUNTIFS('Chapter Data'!$A$2:$A$2500,F$2,'Chapter Data'!$D$2:$D$2500,$A22,'Chapter Data'!$E$2:$E$2500,"&lt;&gt;")=0,"",SUMIFS('Chapter Data'!$E$2:$E$2500,'Chapter Data'!$A$2:$A$2500,F$2,'Chapter Data'!$D$2:$D$2500,$A22)))</f>
        <v>34</v>
      </c>
      <c r="G22" s="19" t="n">
        <f aca="false">IF($A22="","",IF(COUNTIFS('Chapter Data'!$A$2:$A$2500,G$2,'Chapter Data'!$D$2:$D$2500,$A22,'Chapter Data'!$E$2:$E$2500,"&lt;&gt;")=0,"",SUMIFS('Chapter Data'!$E$2:$E$2500,'Chapter Data'!$A$2:$A$2500,G$2,'Chapter Data'!$D$2:$D$2500,$A22)))</f>
        <v>53</v>
      </c>
      <c r="H22" s="19" t="n">
        <f aca="false">IF($A22="","",IF(COUNTIFS('Chapter Data'!$A$2:$A$2500,H$2,'Chapter Data'!$D$2:$D$2500,$A22,'Chapter Data'!$E$2:$E$2500,"&lt;&gt;")=0,"",SUMIFS('Chapter Data'!$E$2:$E$2500,'Chapter Data'!$A$2:$A$2500,H$2,'Chapter Data'!$D$2:$D$2500,$A22)))</f>
        <v>51</v>
      </c>
      <c r="I22" s="19" t="n">
        <f aca="false">IF($A22="","",IF(COUNTIFS('Chapter Data'!$A$2:$A$2500,I$2,'Chapter Data'!$D$2:$D$2500,$A22,'Chapter Data'!$E$2:$E$2500,"&lt;&gt;")=0,"",SUMIFS('Chapter Data'!$E$2:$E$2500,'Chapter Data'!$A$2:$A$2500,I$2,'Chapter Data'!$D$2:$D$2500,$A22)))</f>
        <v>46</v>
      </c>
      <c r="J22" s="19" t="n">
        <f aca="false">IF($A22="","",IF(COUNTIFS('Chapter Data'!$A$2:$A$2500,J$2,'Chapter Data'!$D$2:$D$2500,$A22,'Chapter Data'!$E$2:$E$2500,"&lt;&gt;")=0,"",SUMIFS('Chapter Data'!$E$2:$E$2500,'Chapter Data'!$A$2:$A$2500,J$2,'Chapter Data'!$D$2:$D$2500,$A22)))</f>
        <v>53</v>
      </c>
      <c r="K22" s="19" t="n">
        <f aca="false">IF($A22="","",IF(COUNTIFS('Chapter Data'!$A$2:$A$2500,K$2,'Chapter Data'!$D$2:$D$2500,$A22,'Chapter Data'!$E$2:$E$2500,"&lt;&gt;")=0,"",SUMIFS('Chapter Data'!$E$2:$E$2500,'Chapter Data'!$A$2:$A$2500,K$2,'Chapter Data'!$D$2:$D$2500,$A22)))</f>
        <v>51</v>
      </c>
      <c r="L22" s="19" t="n">
        <f aca="false">IF($A22="","",IF(COUNTIFS('Chapter Data'!$A$2:$A$2500,L$2,'Chapter Data'!$D$2:$D$2500,$A22,'Chapter Data'!$E$2:$E$2500,"&lt;&gt;")=0,"",SUMIFS('Chapter Data'!$E$2:$E$2500,'Chapter Data'!$A$2:$A$2500,L$2,'Chapter Data'!$D$2:$D$2500,$A22)))</f>
        <v>65</v>
      </c>
      <c r="M22" s="19" t="n">
        <f aca="false">IF($A22="","",IF(COUNTIFS('Chapter Data'!$A$2:$A$2500,M$2,'Chapter Data'!$D$2:$D$2500,$A22,'Chapter Data'!$E$2:$E$2500,"&lt;&gt;")=0,"",SUMIFS('Chapter Data'!$E$2:$E$2500,'Chapter Data'!$A$2:$A$2500,M$2,'Chapter Data'!$D$2:$D$2500,$A22)))</f>
        <v>61</v>
      </c>
      <c r="N22" s="19" t="n">
        <f aca="false">IF($A22="","",IF(COUNTIFS('Chapter Data'!$A$2:$A$2500,N$2,'Chapter Data'!$D$2:$D$2500,$A22,'Chapter Data'!$E$2:$E$2500,"&lt;&gt;")=0,"",SUMIFS('Chapter Data'!$E$2:$E$2500,'Chapter Data'!$A$2:$A$2500,N$2,'Chapter Data'!$D$2:$D$2500,$A22)))</f>
        <v>56</v>
      </c>
      <c r="O22" s="19" t="n">
        <f aca="false">IF($A22="","",IF(COUNTIFS('Chapter Data'!$A$2:$A$2500,O$2,'Chapter Data'!$D$2:$D$2500,$A22,'Chapter Data'!$E$2:$E$2500,"&lt;&gt;")=0,"",SUMIFS('Chapter Data'!$E$2:$E$2500,'Chapter Data'!$A$2:$A$2500,O$2,'Chapter Data'!$D$2:$D$2500,$A22)))</f>
        <v>56</v>
      </c>
      <c r="P22" s="19" t="n">
        <f aca="false">IF($A22="","",IF(COUNTIFS('Chapter Data'!$A$2:$A$2500,P$2,'Chapter Data'!$D$2:$D$2500,$A22,'Chapter Data'!$E$2:$E$2500,"&lt;&gt;")=0,"",SUMIFS('Chapter Data'!$E$2:$E$2500,'Chapter Data'!$A$2:$A$2500,P$2,'Chapter Data'!$D$2:$D$2500,$A22)))</f>
        <v>36</v>
      </c>
      <c r="Q22" s="19" t="str">
        <f aca="false">IF($A22="","",IF(COUNTIFS('Chapter Data'!$A$2:$A$2500,Q$2,'Chapter Data'!$D$2:$D$2500,$A22,'Chapter Data'!$E$2:$E$2500,"&lt;&gt;")=0,"",SUMIFS('Chapter Data'!$E$2:$E$2500,'Chapter Data'!$A$2:$A$2500,Q$2,'Chapter Data'!$D$2:$D$2500,$A22)))</f>
        <v/>
      </c>
      <c r="R22" s="19" t="str">
        <f aca="false">IF($A22="","",IF(COUNTIFS('Chapter Data'!$A$2:$A$2500,R$2,'Chapter Data'!$D$2:$D$2500,$A22,'Chapter Data'!$E$2:$E$2500,"&lt;&gt;")=0,"",SUMIFS('Chapter Data'!$E$2:$E$2500,'Chapter Data'!$A$2:$A$2500,R$2,'Chapter Data'!$D$2:$D$2500,$A22)))</f>
        <v/>
      </c>
      <c r="S22" s="19" t="str">
        <f aca="false">IF($A22="","",IF(COUNTIFS('Chapter Data'!$A$2:$A$2500,S$2,'Chapter Data'!$D$2:$D$2500,$A22,'Chapter Data'!$E$2:$E$2500,"&lt;&gt;")=0,"",SUMIFS('Chapter Data'!$E$2:$E$2500,'Chapter Data'!$A$2:$A$2500,S$2,'Chapter Data'!$D$2:$D$2500,$A22)))</f>
        <v/>
      </c>
      <c r="T22" s="19" t="str">
        <f aca="false">IF($A22="","",IF(COUNTIFS('Chapter Data'!$A$2:$A$2500,T$2,'Chapter Data'!$D$2:$D$2500,$A22,'Chapter Data'!$E$2:$E$2500,"&lt;&gt;")=0,"",SUMIFS('Chapter Data'!$E$2:$E$2500,'Chapter Data'!$A$2:$A$2500,T$2,'Chapter Data'!$D$2:$D$2500,$A22)))</f>
        <v/>
      </c>
      <c r="U22" s="19" t="str">
        <f aca="false">IF($A22="","",IF(COUNTIFS('Chapter Data'!$A$2:$A$2500,U$2,'Chapter Data'!$D$2:$D$2500,$A22,'Chapter Data'!$E$2:$E$2500,"&lt;&gt;")=0,"",SUMIFS('Chapter Data'!$E$2:$E$2500,'Chapter Data'!$A$2:$A$2500,U$2,'Chapter Data'!$D$2:$D$2500,$A22)))</f>
        <v/>
      </c>
    </row>
    <row r="23" customFormat="false" ht="15" hidden="false" customHeight="false" outlineLevel="0" collapsed="false">
      <c r="A23" s="8" t="str">
        <f aca="false">IF(Lists!$D$22="","",Lists!$D$22)</f>
        <v>Sigma Alpha Epsilon</v>
      </c>
      <c r="B23" s="19" t="n">
        <f aca="false">IF($A23="","",IF(COUNTIFS('Chapter Data'!$A$2:$A$2500,B$2,'Chapter Data'!$D$2:$D$2500,$A23,'Chapter Data'!$E$2:$E$2500,"&lt;&gt;")=0,"",SUMIFS('Chapter Data'!$E$2:$E$2500,'Chapter Data'!$A$2:$A$2500,B$2,'Chapter Data'!$D$2:$D$2500,$A23)))</f>
        <v>128</v>
      </c>
      <c r="C23" s="19" t="n">
        <f aca="false">IF($A23="","",IF(COUNTIFS('Chapter Data'!$A$2:$A$2500,C$2,'Chapter Data'!$D$2:$D$2500,$A23,'Chapter Data'!$E$2:$E$2500,"&lt;&gt;")=0,"",SUMIFS('Chapter Data'!$E$2:$E$2500,'Chapter Data'!$A$2:$A$2500,C$2,'Chapter Data'!$D$2:$D$2500,$A23)))</f>
        <v>130</v>
      </c>
      <c r="D23" s="19" t="n">
        <f aca="false">IF($A23="","",IF(COUNTIFS('Chapter Data'!$A$2:$A$2500,D$2,'Chapter Data'!$D$2:$D$2500,$A23,'Chapter Data'!$E$2:$E$2500,"&lt;&gt;")=0,"",SUMIFS('Chapter Data'!$E$2:$E$2500,'Chapter Data'!$A$2:$A$2500,D$2,'Chapter Data'!$D$2:$D$2500,$A23)))</f>
        <v>129</v>
      </c>
      <c r="E23" s="19" t="n">
        <f aca="false">IF($A23="","",IF(COUNTIFS('Chapter Data'!$A$2:$A$2500,E$2,'Chapter Data'!$D$2:$D$2500,$A23,'Chapter Data'!$E$2:$E$2500,"&lt;&gt;")=0,"",SUMIFS('Chapter Data'!$E$2:$E$2500,'Chapter Data'!$A$2:$A$2500,E$2,'Chapter Data'!$D$2:$D$2500,$A23)))</f>
        <v>78</v>
      </c>
      <c r="F23" s="19" t="n">
        <f aca="false">IF($A23="","",IF(COUNTIFS('Chapter Data'!$A$2:$A$2500,F$2,'Chapter Data'!$D$2:$D$2500,$A23,'Chapter Data'!$E$2:$E$2500,"&lt;&gt;")=0,"",SUMIFS('Chapter Data'!$E$2:$E$2500,'Chapter Data'!$A$2:$A$2500,F$2,'Chapter Data'!$D$2:$D$2500,$A23)))</f>
        <v>106</v>
      </c>
      <c r="G23" s="19" t="n">
        <f aca="false">IF($A23="","",IF(COUNTIFS('Chapter Data'!$A$2:$A$2500,G$2,'Chapter Data'!$D$2:$D$2500,$A23,'Chapter Data'!$E$2:$E$2500,"&lt;&gt;")=0,"",SUMIFS('Chapter Data'!$E$2:$E$2500,'Chapter Data'!$A$2:$A$2500,G$2,'Chapter Data'!$D$2:$D$2500,$A23)))</f>
        <v>104</v>
      </c>
      <c r="H23" s="19" t="n">
        <f aca="false">IF($A23="","",IF(COUNTIFS('Chapter Data'!$A$2:$A$2500,H$2,'Chapter Data'!$D$2:$D$2500,$A23,'Chapter Data'!$E$2:$E$2500,"&lt;&gt;")=0,"",SUMIFS('Chapter Data'!$E$2:$E$2500,'Chapter Data'!$A$2:$A$2500,H$2,'Chapter Data'!$D$2:$D$2500,$A23)))</f>
        <v>121</v>
      </c>
      <c r="I23" s="19" t="n">
        <f aca="false">IF($A23="","",IF(COUNTIFS('Chapter Data'!$A$2:$A$2500,I$2,'Chapter Data'!$D$2:$D$2500,$A23,'Chapter Data'!$E$2:$E$2500,"&lt;&gt;")=0,"",SUMIFS('Chapter Data'!$E$2:$E$2500,'Chapter Data'!$A$2:$A$2500,I$2,'Chapter Data'!$D$2:$D$2500,$A23)))</f>
        <v>123</v>
      </c>
      <c r="J23" s="19" t="n">
        <f aca="false">IF($A23="","",IF(COUNTIFS('Chapter Data'!$A$2:$A$2500,J$2,'Chapter Data'!$D$2:$D$2500,$A23,'Chapter Data'!$E$2:$E$2500,"&lt;&gt;")=0,"",SUMIFS('Chapter Data'!$E$2:$E$2500,'Chapter Data'!$A$2:$A$2500,J$2,'Chapter Data'!$D$2:$D$2500,$A23)))</f>
        <v>127</v>
      </c>
      <c r="K23" s="19" t="n">
        <f aca="false">IF($A23="","",IF(COUNTIFS('Chapter Data'!$A$2:$A$2500,K$2,'Chapter Data'!$D$2:$D$2500,$A23,'Chapter Data'!$E$2:$E$2500,"&lt;&gt;")=0,"",SUMIFS('Chapter Data'!$E$2:$E$2500,'Chapter Data'!$A$2:$A$2500,K$2,'Chapter Data'!$D$2:$D$2500,$A23)))</f>
        <v>125</v>
      </c>
      <c r="L23" s="19" t="n">
        <f aca="false">IF($A23="","",IF(COUNTIFS('Chapter Data'!$A$2:$A$2500,L$2,'Chapter Data'!$D$2:$D$2500,$A23,'Chapter Data'!$E$2:$E$2500,"&lt;&gt;")=0,"",SUMIFS('Chapter Data'!$E$2:$E$2500,'Chapter Data'!$A$2:$A$2500,L$2,'Chapter Data'!$D$2:$D$2500,$A23)))</f>
        <v>128</v>
      </c>
      <c r="M23" s="19" t="n">
        <f aca="false">IF($A23="","",IF(COUNTIFS('Chapter Data'!$A$2:$A$2500,M$2,'Chapter Data'!$D$2:$D$2500,$A23,'Chapter Data'!$E$2:$E$2500,"&lt;&gt;")=0,"",SUMIFS('Chapter Data'!$E$2:$E$2500,'Chapter Data'!$A$2:$A$2500,M$2,'Chapter Data'!$D$2:$D$2500,$A23)))</f>
        <v>124</v>
      </c>
      <c r="N23" s="19" t="n">
        <f aca="false">IF($A23="","",IF(COUNTIFS('Chapter Data'!$A$2:$A$2500,N$2,'Chapter Data'!$D$2:$D$2500,$A23,'Chapter Data'!$E$2:$E$2500,"&lt;&gt;")=0,"",SUMIFS('Chapter Data'!$E$2:$E$2500,'Chapter Data'!$A$2:$A$2500,N$2,'Chapter Data'!$D$2:$D$2500,$A23)))</f>
        <v>132</v>
      </c>
      <c r="O23" s="19" t="n">
        <f aca="false">IF($A23="","",IF(COUNTIFS('Chapter Data'!$A$2:$A$2500,O$2,'Chapter Data'!$D$2:$D$2500,$A23,'Chapter Data'!$E$2:$E$2500,"&lt;&gt;")=0,"",SUMIFS('Chapter Data'!$E$2:$E$2500,'Chapter Data'!$A$2:$A$2500,O$2,'Chapter Data'!$D$2:$D$2500,$A23)))</f>
        <v>130</v>
      </c>
      <c r="P23" s="19" t="n">
        <f aca="false">IF($A23="","",IF(COUNTIFS('Chapter Data'!$A$2:$A$2500,P$2,'Chapter Data'!$D$2:$D$2500,$A23,'Chapter Data'!$E$2:$E$2500,"&lt;&gt;")=0,"",SUMIFS('Chapter Data'!$E$2:$E$2500,'Chapter Data'!$A$2:$A$2500,P$2,'Chapter Data'!$D$2:$D$2500,$A23)))</f>
        <v>146</v>
      </c>
      <c r="Q23" s="19" t="n">
        <f aca="false">IF($A23="","",IF(COUNTIFS('Chapter Data'!$A$2:$A$2500,Q$2,'Chapter Data'!$D$2:$D$2500,$A23,'Chapter Data'!$E$2:$E$2500,"&lt;&gt;")=0,"",SUMIFS('Chapter Data'!$E$2:$E$2500,'Chapter Data'!$A$2:$A$2500,Q$2,'Chapter Data'!$D$2:$D$2500,$A23)))</f>
        <v>142</v>
      </c>
      <c r="R23" s="19" t="str">
        <f aca="false">IF($A23="","",IF(COUNTIFS('Chapter Data'!$A$2:$A$2500,R$2,'Chapter Data'!$D$2:$D$2500,$A23,'Chapter Data'!$E$2:$E$2500,"&lt;&gt;")=0,"",SUMIFS('Chapter Data'!$E$2:$E$2500,'Chapter Data'!$A$2:$A$2500,R$2,'Chapter Data'!$D$2:$D$2500,$A23)))</f>
        <v/>
      </c>
      <c r="S23" s="19" t="str">
        <f aca="false">IF($A23="","",IF(COUNTIFS('Chapter Data'!$A$2:$A$2500,S$2,'Chapter Data'!$D$2:$D$2500,$A23,'Chapter Data'!$E$2:$E$2500,"&lt;&gt;")=0,"",SUMIFS('Chapter Data'!$E$2:$E$2500,'Chapter Data'!$A$2:$A$2500,S$2,'Chapter Data'!$D$2:$D$2500,$A23)))</f>
        <v/>
      </c>
      <c r="T23" s="19" t="str">
        <f aca="false">IF($A23="","",IF(COUNTIFS('Chapter Data'!$A$2:$A$2500,T$2,'Chapter Data'!$D$2:$D$2500,$A23,'Chapter Data'!$E$2:$E$2500,"&lt;&gt;")=0,"",SUMIFS('Chapter Data'!$E$2:$E$2500,'Chapter Data'!$A$2:$A$2500,T$2,'Chapter Data'!$D$2:$D$2500,$A23)))</f>
        <v/>
      </c>
      <c r="U23" s="19" t="str">
        <f aca="false">IF($A23="","",IF(COUNTIFS('Chapter Data'!$A$2:$A$2500,U$2,'Chapter Data'!$D$2:$D$2500,$A23,'Chapter Data'!$E$2:$E$2500,"&lt;&gt;")=0,"",SUMIFS('Chapter Data'!$E$2:$E$2500,'Chapter Data'!$A$2:$A$2500,U$2,'Chapter Data'!$D$2:$D$2500,$A23)))</f>
        <v/>
      </c>
    </row>
    <row r="24" customFormat="false" ht="15" hidden="false" customHeight="false" outlineLevel="0" collapsed="false">
      <c r="A24" s="8" t="str">
        <f aca="false">IF(Lists!$D$23="","",Lists!$D$23)</f>
        <v>Sigma Alpha Mu</v>
      </c>
      <c r="B24" s="19" t="n">
        <f aca="false">IF($A24="","",IF(COUNTIFS('Chapter Data'!$A$2:$A$2500,B$2,'Chapter Data'!$D$2:$D$2500,$A24,'Chapter Data'!$E$2:$E$2500,"&lt;&gt;")=0,"",SUMIFS('Chapter Data'!$E$2:$E$2500,'Chapter Data'!$A$2:$A$2500,B$2,'Chapter Data'!$D$2:$D$2500,$A24)))</f>
        <v>12</v>
      </c>
      <c r="C24" s="19" t="n">
        <f aca="false">IF($A24="","",IF(COUNTIFS('Chapter Data'!$A$2:$A$2500,C$2,'Chapter Data'!$D$2:$D$2500,$A24,'Chapter Data'!$E$2:$E$2500,"&lt;&gt;")=0,"",SUMIFS('Chapter Data'!$E$2:$E$2500,'Chapter Data'!$A$2:$A$2500,C$2,'Chapter Data'!$D$2:$D$2500,$A24)))</f>
        <v>12</v>
      </c>
      <c r="D24" s="19" t="n">
        <f aca="false">IF($A24="","",IF(COUNTIFS('Chapter Data'!$A$2:$A$2500,D$2,'Chapter Data'!$D$2:$D$2500,$A24,'Chapter Data'!$E$2:$E$2500,"&lt;&gt;")=0,"",SUMIFS('Chapter Data'!$E$2:$E$2500,'Chapter Data'!$A$2:$A$2500,D$2,'Chapter Data'!$D$2:$D$2500,$A24)))</f>
        <v>12</v>
      </c>
      <c r="E24" s="19" t="n">
        <f aca="false">IF($A24="","",IF(COUNTIFS('Chapter Data'!$A$2:$A$2500,E$2,'Chapter Data'!$D$2:$D$2500,$A24,'Chapter Data'!$E$2:$E$2500,"&lt;&gt;")=0,"",SUMIFS('Chapter Data'!$E$2:$E$2500,'Chapter Data'!$A$2:$A$2500,E$2,'Chapter Data'!$D$2:$D$2500,$A24)))</f>
        <v>10</v>
      </c>
      <c r="F24" s="19" t="n">
        <f aca="false">IF($A24="","",IF(COUNTIFS('Chapter Data'!$A$2:$A$2500,F$2,'Chapter Data'!$D$2:$D$2500,$A24,'Chapter Data'!$E$2:$E$2500,"&lt;&gt;")=0,"",SUMIFS('Chapter Data'!$E$2:$E$2500,'Chapter Data'!$A$2:$A$2500,F$2,'Chapter Data'!$D$2:$D$2500,$A24)))</f>
        <v>9</v>
      </c>
      <c r="G24" s="19" t="n">
        <f aca="false">IF($A24="","",IF(COUNTIFS('Chapter Data'!$A$2:$A$2500,G$2,'Chapter Data'!$D$2:$D$2500,$A24,'Chapter Data'!$E$2:$E$2500,"&lt;&gt;")=0,"",SUMIFS('Chapter Data'!$E$2:$E$2500,'Chapter Data'!$A$2:$A$2500,G$2,'Chapter Data'!$D$2:$D$2500,$A24)))</f>
        <v>12</v>
      </c>
      <c r="H24" s="19" t="n">
        <f aca="false">IF($A24="","",IF(COUNTIFS('Chapter Data'!$A$2:$A$2500,H$2,'Chapter Data'!$D$2:$D$2500,$A24,'Chapter Data'!$E$2:$E$2500,"&lt;&gt;")=0,"",SUMIFS('Chapter Data'!$E$2:$E$2500,'Chapter Data'!$A$2:$A$2500,H$2,'Chapter Data'!$D$2:$D$2500,$A24)))</f>
        <v>11</v>
      </c>
      <c r="I24" s="19" t="n">
        <f aca="false">IF($A24="","",IF(COUNTIFS('Chapter Data'!$A$2:$A$2500,I$2,'Chapter Data'!$D$2:$D$2500,$A24,'Chapter Data'!$E$2:$E$2500,"&lt;&gt;")=0,"",SUMIFS('Chapter Data'!$E$2:$E$2500,'Chapter Data'!$A$2:$A$2500,I$2,'Chapter Data'!$D$2:$D$2500,$A24)))</f>
        <v>11</v>
      </c>
      <c r="J24" s="19" t="n">
        <f aca="false">IF($A24="","",IF(COUNTIFS('Chapter Data'!$A$2:$A$2500,J$2,'Chapter Data'!$D$2:$D$2500,$A24,'Chapter Data'!$E$2:$E$2500,"&lt;&gt;")=0,"",SUMIFS('Chapter Data'!$E$2:$E$2500,'Chapter Data'!$A$2:$A$2500,J$2,'Chapter Data'!$D$2:$D$2500,$A24)))</f>
        <v>12</v>
      </c>
      <c r="K24" s="19" t="n">
        <f aca="false">IF($A24="","",IF(COUNTIFS('Chapter Data'!$A$2:$A$2500,K$2,'Chapter Data'!$D$2:$D$2500,$A24,'Chapter Data'!$E$2:$E$2500,"&lt;&gt;")=0,"",SUMIFS('Chapter Data'!$E$2:$E$2500,'Chapter Data'!$A$2:$A$2500,K$2,'Chapter Data'!$D$2:$D$2500,$A24)))</f>
        <v>13</v>
      </c>
      <c r="L24" s="19" t="n">
        <f aca="false">IF($A24="","",IF(COUNTIFS('Chapter Data'!$A$2:$A$2500,L$2,'Chapter Data'!$D$2:$D$2500,$A24,'Chapter Data'!$E$2:$E$2500,"&lt;&gt;")=0,"",SUMIFS('Chapter Data'!$E$2:$E$2500,'Chapter Data'!$A$2:$A$2500,L$2,'Chapter Data'!$D$2:$D$2500,$A24)))</f>
        <v>9</v>
      </c>
      <c r="M24" s="19" t="n">
        <f aca="false">IF($A24="","",IF(COUNTIFS('Chapter Data'!$A$2:$A$2500,M$2,'Chapter Data'!$D$2:$D$2500,$A24,'Chapter Data'!$E$2:$E$2500,"&lt;&gt;")=0,"",SUMIFS('Chapter Data'!$E$2:$E$2500,'Chapter Data'!$A$2:$A$2500,M$2,'Chapter Data'!$D$2:$D$2500,$A24)))</f>
        <v>13</v>
      </c>
      <c r="N24" s="19" t="n">
        <f aca="false">IF($A24="","",IF(COUNTIFS('Chapter Data'!$A$2:$A$2500,N$2,'Chapter Data'!$D$2:$D$2500,$A24,'Chapter Data'!$E$2:$E$2500,"&lt;&gt;")=0,"",SUMIFS('Chapter Data'!$E$2:$E$2500,'Chapter Data'!$A$2:$A$2500,N$2,'Chapter Data'!$D$2:$D$2500,$A24)))</f>
        <v>12</v>
      </c>
      <c r="O24" s="19" t="n">
        <f aca="false">IF($A24="","",IF(COUNTIFS('Chapter Data'!$A$2:$A$2500,O$2,'Chapter Data'!$D$2:$D$2500,$A24,'Chapter Data'!$E$2:$E$2500,"&lt;&gt;")=0,"",SUMIFS('Chapter Data'!$E$2:$E$2500,'Chapter Data'!$A$2:$A$2500,O$2,'Chapter Data'!$D$2:$D$2500,$A24)))</f>
        <v>16</v>
      </c>
      <c r="P24" s="19" t="n">
        <f aca="false">IF($A24="","",IF(COUNTIFS('Chapter Data'!$A$2:$A$2500,P$2,'Chapter Data'!$D$2:$D$2500,$A24,'Chapter Data'!$E$2:$E$2500,"&lt;&gt;")=0,"",SUMIFS('Chapter Data'!$E$2:$E$2500,'Chapter Data'!$A$2:$A$2500,P$2,'Chapter Data'!$D$2:$D$2500,$A24)))</f>
        <v>12</v>
      </c>
      <c r="Q24" s="19" t="n">
        <f aca="false">IF($A24="","",IF(COUNTIFS('Chapter Data'!$A$2:$A$2500,Q$2,'Chapter Data'!$D$2:$D$2500,$A24,'Chapter Data'!$E$2:$E$2500,"&lt;&gt;")=0,"",SUMIFS('Chapter Data'!$E$2:$E$2500,'Chapter Data'!$A$2:$A$2500,Q$2,'Chapter Data'!$D$2:$D$2500,$A24)))</f>
        <v>9</v>
      </c>
      <c r="R24" s="19" t="str">
        <f aca="false">IF($A24="","",IF(COUNTIFS('Chapter Data'!$A$2:$A$2500,R$2,'Chapter Data'!$D$2:$D$2500,$A24,'Chapter Data'!$E$2:$E$2500,"&lt;&gt;")=0,"",SUMIFS('Chapter Data'!$E$2:$E$2500,'Chapter Data'!$A$2:$A$2500,R$2,'Chapter Data'!$D$2:$D$2500,$A24)))</f>
        <v/>
      </c>
      <c r="S24" s="19" t="str">
        <f aca="false">IF($A24="","",IF(COUNTIFS('Chapter Data'!$A$2:$A$2500,S$2,'Chapter Data'!$D$2:$D$2500,$A24,'Chapter Data'!$E$2:$E$2500,"&lt;&gt;")=0,"",SUMIFS('Chapter Data'!$E$2:$E$2500,'Chapter Data'!$A$2:$A$2500,S$2,'Chapter Data'!$D$2:$D$2500,$A24)))</f>
        <v/>
      </c>
      <c r="T24" s="19" t="str">
        <f aca="false">IF($A24="","",IF(COUNTIFS('Chapter Data'!$A$2:$A$2500,T$2,'Chapter Data'!$D$2:$D$2500,$A24,'Chapter Data'!$E$2:$E$2500,"&lt;&gt;")=0,"",SUMIFS('Chapter Data'!$E$2:$E$2500,'Chapter Data'!$A$2:$A$2500,T$2,'Chapter Data'!$D$2:$D$2500,$A24)))</f>
        <v/>
      </c>
      <c r="U24" s="19" t="str">
        <f aca="false">IF($A24="","",IF(COUNTIFS('Chapter Data'!$A$2:$A$2500,U$2,'Chapter Data'!$D$2:$D$2500,$A24,'Chapter Data'!$E$2:$E$2500,"&lt;&gt;")=0,"",SUMIFS('Chapter Data'!$E$2:$E$2500,'Chapter Data'!$A$2:$A$2500,U$2,'Chapter Data'!$D$2:$D$2500,$A24)))</f>
        <v/>
      </c>
    </row>
    <row r="25" customFormat="false" ht="15" hidden="false" customHeight="false" outlineLevel="0" collapsed="false">
      <c r="A25" s="8" t="str">
        <f aca="false">IF(Lists!$D$24="","",Lists!$D$24)</f>
        <v>Sigma Chi</v>
      </c>
      <c r="B25" s="19" t="n">
        <f aca="false">IF($A25="","",IF(COUNTIFS('Chapter Data'!$A$2:$A$2500,B$2,'Chapter Data'!$D$2:$D$2500,$A25,'Chapter Data'!$E$2:$E$2500,"&lt;&gt;")=0,"",SUMIFS('Chapter Data'!$E$2:$E$2500,'Chapter Data'!$A$2:$A$2500,B$2,'Chapter Data'!$D$2:$D$2500,$A25)))</f>
        <v>76</v>
      </c>
      <c r="C25" s="19" t="n">
        <f aca="false">IF($A25="","",IF(COUNTIFS('Chapter Data'!$A$2:$A$2500,C$2,'Chapter Data'!$D$2:$D$2500,$A25,'Chapter Data'!$E$2:$E$2500,"&lt;&gt;")=0,"",SUMIFS('Chapter Data'!$E$2:$E$2500,'Chapter Data'!$A$2:$A$2500,C$2,'Chapter Data'!$D$2:$D$2500,$A25)))</f>
        <v>82</v>
      </c>
      <c r="D25" s="19" t="n">
        <f aca="false">IF($A25="","",IF(COUNTIFS('Chapter Data'!$A$2:$A$2500,D$2,'Chapter Data'!$D$2:$D$2500,$A25,'Chapter Data'!$E$2:$E$2500,"&lt;&gt;")=0,"",SUMIFS('Chapter Data'!$E$2:$E$2500,'Chapter Data'!$A$2:$A$2500,D$2,'Chapter Data'!$D$2:$D$2500,$A25)))</f>
        <v>87</v>
      </c>
      <c r="E25" s="19" t="n">
        <f aca="false">IF($A25="","",IF(COUNTIFS('Chapter Data'!$A$2:$A$2500,E$2,'Chapter Data'!$D$2:$D$2500,$A25,'Chapter Data'!$E$2:$E$2500,"&lt;&gt;")=0,"",SUMIFS('Chapter Data'!$E$2:$E$2500,'Chapter Data'!$A$2:$A$2500,E$2,'Chapter Data'!$D$2:$D$2500,$A25)))</f>
        <v>83</v>
      </c>
      <c r="F25" s="19" t="n">
        <f aca="false">IF($A25="","",IF(COUNTIFS('Chapter Data'!$A$2:$A$2500,F$2,'Chapter Data'!$D$2:$D$2500,$A25,'Chapter Data'!$E$2:$E$2500,"&lt;&gt;")=0,"",SUMIFS('Chapter Data'!$E$2:$E$2500,'Chapter Data'!$A$2:$A$2500,F$2,'Chapter Data'!$D$2:$D$2500,$A25)))</f>
        <v>99</v>
      </c>
      <c r="G25" s="19" t="n">
        <f aca="false">IF($A25="","",IF(COUNTIFS('Chapter Data'!$A$2:$A$2500,G$2,'Chapter Data'!$D$2:$D$2500,$A25,'Chapter Data'!$E$2:$E$2500,"&lt;&gt;")=0,"",SUMIFS('Chapter Data'!$E$2:$E$2500,'Chapter Data'!$A$2:$A$2500,G$2,'Chapter Data'!$D$2:$D$2500,$A25)))</f>
        <v>74</v>
      </c>
      <c r="H25" s="19" t="n">
        <f aca="false">IF($A25="","",IF(COUNTIFS('Chapter Data'!$A$2:$A$2500,H$2,'Chapter Data'!$D$2:$D$2500,$A25,'Chapter Data'!$E$2:$E$2500,"&lt;&gt;")=0,"",SUMIFS('Chapter Data'!$E$2:$E$2500,'Chapter Data'!$A$2:$A$2500,H$2,'Chapter Data'!$D$2:$D$2500,$A25)))</f>
        <v>84</v>
      </c>
      <c r="I25" s="19" t="n">
        <f aca="false">IF($A25="","",IF(COUNTIFS('Chapter Data'!$A$2:$A$2500,I$2,'Chapter Data'!$D$2:$D$2500,$A25,'Chapter Data'!$E$2:$E$2500,"&lt;&gt;")=0,"",SUMIFS('Chapter Data'!$E$2:$E$2500,'Chapter Data'!$A$2:$A$2500,I$2,'Chapter Data'!$D$2:$D$2500,$A25)))</f>
        <v>74</v>
      </c>
      <c r="J25" s="19" t="n">
        <f aca="false">IF($A25="","",IF(COUNTIFS('Chapter Data'!$A$2:$A$2500,J$2,'Chapter Data'!$D$2:$D$2500,$A25,'Chapter Data'!$E$2:$E$2500,"&lt;&gt;")=0,"",SUMIFS('Chapter Data'!$E$2:$E$2500,'Chapter Data'!$A$2:$A$2500,J$2,'Chapter Data'!$D$2:$D$2500,$A25)))</f>
        <v>96</v>
      </c>
      <c r="K25" s="19" t="n">
        <f aca="false">IF($A25="","",IF(COUNTIFS('Chapter Data'!$A$2:$A$2500,K$2,'Chapter Data'!$D$2:$D$2500,$A25,'Chapter Data'!$E$2:$E$2500,"&lt;&gt;")=0,"",SUMIFS('Chapter Data'!$E$2:$E$2500,'Chapter Data'!$A$2:$A$2500,K$2,'Chapter Data'!$D$2:$D$2500,$A25)))</f>
        <v>91</v>
      </c>
      <c r="L25" s="19" t="n">
        <f aca="false">IF($A25="","",IF(COUNTIFS('Chapter Data'!$A$2:$A$2500,L$2,'Chapter Data'!$D$2:$D$2500,$A25,'Chapter Data'!$E$2:$E$2500,"&lt;&gt;")=0,"",SUMIFS('Chapter Data'!$E$2:$E$2500,'Chapter Data'!$A$2:$A$2500,L$2,'Chapter Data'!$D$2:$D$2500,$A25)))</f>
        <v>97</v>
      </c>
      <c r="M25" s="19" t="n">
        <f aca="false">IF($A25="","",IF(COUNTIFS('Chapter Data'!$A$2:$A$2500,M$2,'Chapter Data'!$D$2:$D$2500,$A25,'Chapter Data'!$E$2:$E$2500,"&lt;&gt;")=0,"",SUMIFS('Chapter Data'!$E$2:$E$2500,'Chapter Data'!$A$2:$A$2500,M$2,'Chapter Data'!$D$2:$D$2500,$A25)))</f>
        <v>92</v>
      </c>
      <c r="N25" s="19" t="n">
        <f aca="false">IF($A25="","",IF(COUNTIFS('Chapter Data'!$A$2:$A$2500,N$2,'Chapter Data'!$D$2:$D$2500,$A25,'Chapter Data'!$E$2:$E$2500,"&lt;&gt;")=0,"",SUMIFS('Chapter Data'!$E$2:$E$2500,'Chapter Data'!$A$2:$A$2500,N$2,'Chapter Data'!$D$2:$D$2500,$A25)))</f>
        <v>111</v>
      </c>
      <c r="O25" s="19" t="n">
        <f aca="false">IF($A25="","",IF(COUNTIFS('Chapter Data'!$A$2:$A$2500,O$2,'Chapter Data'!$D$2:$D$2500,$A25,'Chapter Data'!$E$2:$E$2500,"&lt;&gt;")=0,"",SUMIFS('Chapter Data'!$E$2:$E$2500,'Chapter Data'!$A$2:$A$2500,O$2,'Chapter Data'!$D$2:$D$2500,$A25)))</f>
        <v>110</v>
      </c>
      <c r="P25" s="19" t="n">
        <f aca="false">IF($A25="","",IF(COUNTIFS('Chapter Data'!$A$2:$A$2500,P$2,'Chapter Data'!$D$2:$D$2500,$A25,'Chapter Data'!$E$2:$E$2500,"&lt;&gt;")=0,"",SUMIFS('Chapter Data'!$E$2:$E$2500,'Chapter Data'!$A$2:$A$2500,P$2,'Chapter Data'!$D$2:$D$2500,$A25)))</f>
        <v>120</v>
      </c>
      <c r="Q25" s="19" t="n">
        <f aca="false">IF($A25="","",IF(COUNTIFS('Chapter Data'!$A$2:$A$2500,Q$2,'Chapter Data'!$D$2:$D$2500,$A25,'Chapter Data'!$E$2:$E$2500,"&lt;&gt;")=0,"",SUMIFS('Chapter Data'!$E$2:$E$2500,'Chapter Data'!$A$2:$A$2500,Q$2,'Chapter Data'!$D$2:$D$2500,$A25)))</f>
        <v>112</v>
      </c>
      <c r="R25" s="19" t="str">
        <f aca="false">IF($A25="","",IF(COUNTIFS('Chapter Data'!$A$2:$A$2500,R$2,'Chapter Data'!$D$2:$D$2500,$A25,'Chapter Data'!$E$2:$E$2500,"&lt;&gt;")=0,"",SUMIFS('Chapter Data'!$E$2:$E$2500,'Chapter Data'!$A$2:$A$2500,R$2,'Chapter Data'!$D$2:$D$2500,$A25)))</f>
        <v/>
      </c>
      <c r="S25" s="19" t="str">
        <f aca="false">IF($A25="","",IF(COUNTIFS('Chapter Data'!$A$2:$A$2500,S$2,'Chapter Data'!$D$2:$D$2500,$A25,'Chapter Data'!$E$2:$E$2500,"&lt;&gt;")=0,"",SUMIFS('Chapter Data'!$E$2:$E$2500,'Chapter Data'!$A$2:$A$2500,S$2,'Chapter Data'!$D$2:$D$2500,$A25)))</f>
        <v/>
      </c>
      <c r="T25" s="19" t="str">
        <f aca="false">IF($A25="","",IF(COUNTIFS('Chapter Data'!$A$2:$A$2500,T$2,'Chapter Data'!$D$2:$D$2500,$A25,'Chapter Data'!$E$2:$E$2500,"&lt;&gt;")=0,"",SUMIFS('Chapter Data'!$E$2:$E$2500,'Chapter Data'!$A$2:$A$2500,T$2,'Chapter Data'!$D$2:$D$2500,$A25)))</f>
        <v/>
      </c>
      <c r="U25" s="19" t="str">
        <f aca="false">IF($A25="","",IF(COUNTIFS('Chapter Data'!$A$2:$A$2500,U$2,'Chapter Data'!$D$2:$D$2500,$A25,'Chapter Data'!$E$2:$E$2500,"&lt;&gt;")=0,"",SUMIFS('Chapter Data'!$E$2:$E$2500,'Chapter Data'!$A$2:$A$2500,U$2,'Chapter Data'!$D$2:$D$2500,$A25)))</f>
        <v/>
      </c>
    </row>
    <row r="26" customFormat="false" ht="15" hidden="false" customHeight="false" outlineLevel="0" collapsed="false">
      <c r="A26" s="8" t="str">
        <f aca="false">IF(Lists!$D$25="","",Lists!$D$25)</f>
        <v>Sigma Nu</v>
      </c>
      <c r="B26" s="19" t="n">
        <f aca="false">IF($A26="","",IF(COUNTIFS('Chapter Data'!$A$2:$A$2500,B$2,'Chapter Data'!$D$2:$D$2500,$A26,'Chapter Data'!$E$2:$E$2500,"&lt;&gt;")=0,"",SUMIFS('Chapter Data'!$E$2:$E$2500,'Chapter Data'!$A$2:$A$2500,B$2,'Chapter Data'!$D$2:$D$2500,$A26)))</f>
        <v>36</v>
      </c>
      <c r="C26" s="19" t="n">
        <f aca="false">IF($A26="","",IF(COUNTIFS('Chapter Data'!$A$2:$A$2500,C$2,'Chapter Data'!$D$2:$D$2500,$A26,'Chapter Data'!$E$2:$E$2500,"&lt;&gt;")=0,"",SUMIFS('Chapter Data'!$E$2:$E$2500,'Chapter Data'!$A$2:$A$2500,C$2,'Chapter Data'!$D$2:$D$2500,$A26)))</f>
        <v>37</v>
      </c>
      <c r="D26" s="19" t="n">
        <f aca="false">IF($A26="","",IF(COUNTIFS('Chapter Data'!$A$2:$A$2500,D$2,'Chapter Data'!$D$2:$D$2500,$A26,'Chapter Data'!$E$2:$E$2500,"&lt;&gt;")=0,"",SUMIFS('Chapter Data'!$E$2:$E$2500,'Chapter Data'!$A$2:$A$2500,D$2,'Chapter Data'!$D$2:$D$2500,$A26)))</f>
        <v>45</v>
      </c>
      <c r="E26" s="19" t="n">
        <f aca="false">IF($A26="","",IF(COUNTIFS('Chapter Data'!$A$2:$A$2500,E$2,'Chapter Data'!$D$2:$D$2500,$A26,'Chapter Data'!$E$2:$E$2500,"&lt;&gt;")=0,"",SUMIFS('Chapter Data'!$E$2:$E$2500,'Chapter Data'!$A$2:$A$2500,E$2,'Chapter Data'!$D$2:$D$2500,$A26)))</f>
        <v>42</v>
      </c>
      <c r="F26" s="19" t="n">
        <f aca="false">IF($A26="","",IF(COUNTIFS('Chapter Data'!$A$2:$A$2500,F$2,'Chapter Data'!$D$2:$D$2500,$A26,'Chapter Data'!$E$2:$E$2500,"&lt;&gt;")=0,"",SUMIFS('Chapter Data'!$E$2:$E$2500,'Chapter Data'!$A$2:$A$2500,F$2,'Chapter Data'!$D$2:$D$2500,$A26)))</f>
        <v>40</v>
      </c>
      <c r="G26" s="19" t="n">
        <f aca="false">IF($A26="","",IF(COUNTIFS('Chapter Data'!$A$2:$A$2500,G$2,'Chapter Data'!$D$2:$D$2500,$A26,'Chapter Data'!$E$2:$E$2500,"&lt;&gt;")=0,"",SUMIFS('Chapter Data'!$E$2:$E$2500,'Chapter Data'!$A$2:$A$2500,G$2,'Chapter Data'!$D$2:$D$2500,$A26)))</f>
        <v>46</v>
      </c>
      <c r="H26" s="19" t="n">
        <f aca="false">IF($A26="","",IF(COUNTIFS('Chapter Data'!$A$2:$A$2500,H$2,'Chapter Data'!$D$2:$D$2500,$A26,'Chapter Data'!$E$2:$E$2500,"&lt;&gt;")=0,"",SUMIFS('Chapter Data'!$E$2:$E$2500,'Chapter Data'!$A$2:$A$2500,H$2,'Chapter Data'!$D$2:$D$2500,$A26)))</f>
        <v>43</v>
      </c>
      <c r="I26" s="19" t="n">
        <f aca="false">IF($A26="","",IF(COUNTIFS('Chapter Data'!$A$2:$A$2500,I$2,'Chapter Data'!$D$2:$D$2500,$A26,'Chapter Data'!$E$2:$E$2500,"&lt;&gt;")=0,"",SUMIFS('Chapter Data'!$E$2:$E$2500,'Chapter Data'!$A$2:$A$2500,I$2,'Chapter Data'!$D$2:$D$2500,$A26)))</f>
        <v>48</v>
      </c>
      <c r="J26" s="19" t="n">
        <f aca="false">IF($A26="","",IF(COUNTIFS('Chapter Data'!$A$2:$A$2500,J$2,'Chapter Data'!$D$2:$D$2500,$A26,'Chapter Data'!$E$2:$E$2500,"&lt;&gt;")=0,"",SUMIFS('Chapter Data'!$E$2:$E$2500,'Chapter Data'!$A$2:$A$2500,J$2,'Chapter Data'!$D$2:$D$2500,$A26)))</f>
        <v>37</v>
      </c>
      <c r="K26" s="19" t="n">
        <f aca="false">IF($A26="","",IF(COUNTIFS('Chapter Data'!$A$2:$A$2500,K$2,'Chapter Data'!$D$2:$D$2500,$A26,'Chapter Data'!$E$2:$E$2500,"&lt;&gt;")=0,"",SUMIFS('Chapter Data'!$E$2:$E$2500,'Chapter Data'!$A$2:$A$2500,K$2,'Chapter Data'!$D$2:$D$2500,$A26)))</f>
        <v>21</v>
      </c>
      <c r="L26" s="19" t="n">
        <f aca="false">IF($A26="","",IF(COUNTIFS('Chapter Data'!$A$2:$A$2500,L$2,'Chapter Data'!$D$2:$D$2500,$A26,'Chapter Data'!$E$2:$E$2500,"&lt;&gt;")=0,"",SUMIFS('Chapter Data'!$E$2:$E$2500,'Chapter Data'!$A$2:$A$2500,L$2,'Chapter Data'!$D$2:$D$2500,$A26)))</f>
        <v>12</v>
      </c>
      <c r="M26" s="19" t="n">
        <f aca="false">IF($A26="","",IF(COUNTIFS('Chapter Data'!$A$2:$A$2500,M$2,'Chapter Data'!$D$2:$D$2500,$A26,'Chapter Data'!$E$2:$E$2500,"&lt;&gt;")=0,"",SUMIFS('Chapter Data'!$E$2:$E$2500,'Chapter Data'!$A$2:$A$2500,M$2,'Chapter Data'!$D$2:$D$2500,$A26)))</f>
        <v>12</v>
      </c>
      <c r="N26" s="19" t="n">
        <f aca="false">IF($A26="","",IF(COUNTIFS('Chapter Data'!$A$2:$A$2500,N$2,'Chapter Data'!$D$2:$D$2500,$A26,'Chapter Data'!$E$2:$E$2500,"&lt;&gt;")=0,"",SUMIFS('Chapter Data'!$E$2:$E$2500,'Chapter Data'!$A$2:$A$2500,N$2,'Chapter Data'!$D$2:$D$2500,$A26)))</f>
        <v>4</v>
      </c>
      <c r="O26" s="19" t="str">
        <f aca="false">IF($A26="","",IF(COUNTIFS('Chapter Data'!$A$2:$A$2500,O$2,'Chapter Data'!$D$2:$D$2500,$A26,'Chapter Data'!$E$2:$E$2500,"&lt;&gt;")=0,"",SUMIFS('Chapter Data'!$E$2:$E$2500,'Chapter Data'!$A$2:$A$2500,O$2,'Chapter Data'!$D$2:$D$2500,$A26)))</f>
        <v/>
      </c>
      <c r="P26" s="19" t="str">
        <f aca="false">IF($A26="","",IF(COUNTIFS('Chapter Data'!$A$2:$A$2500,P$2,'Chapter Data'!$D$2:$D$2500,$A26,'Chapter Data'!$E$2:$E$2500,"&lt;&gt;")=0,"",SUMIFS('Chapter Data'!$E$2:$E$2500,'Chapter Data'!$A$2:$A$2500,P$2,'Chapter Data'!$D$2:$D$2500,$A26)))</f>
        <v/>
      </c>
      <c r="Q26" s="19" t="str">
        <f aca="false">IF($A26="","",IF(COUNTIFS('Chapter Data'!$A$2:$A$2500,Q$2,'Chapter Data'!$D$2:$D$2500,$A26,'Chapter Data'!$E$2:$E$2500,"&lt;&gt;")=0,"",SUMIFS('Chapter Data'!$E$2:$E$2500,'Chapter Data'!$A$2:$A$2500,Q$2,'Chapter Data'!$D$2:$D$2500,$A26)))</f>
        <v/>
      </c>
      <c r="R26" s="19" t="str">
        <f aca="false">IF($A26="","",IF(COUNTIFS('Chapter Data'!$A$2:$A$2500,R$2,'Chapter Data'!$D$2:$D$2500,$A26,'Chapter Data'!$E$2:$E$2500,"&lt;&gt;")=0,"",SUMIFS('Chapter Data'!$E$2:$E$2500,'Chapter Data'!$A$2:$A$2500,R$2,'Chapter Data'!$D$2:$D$2500,$A26)))</f>
        <v/>
      </c>
      <c r="S26" s="19" t="str">
        <f aca="false">IF($A26="","",IF(COUNTIFS('Chapter Data'!$A$2:$A$2500,S$2,'Chapter Data'!$D$2:$D$2500,$A26,'Chapter Data'!$E$2:$E$2500,"&lt;&gt;")=0,"",SUMIFS('Chapter Data'!$E$2:$E$2500,'Chapter Data'!$A$2:$A$2500,S$2,'Chapter Data'!$D$2:$D$2500,$A26)))</f>
        <v/>
      </c>
      <c r="T26" s="19" t="str">
        <f aca="false">IF($A26="","",IF(COUNTIFS('Chapter Data'!$A$2:$A$2500,T$2,'Chapter Data'!$D$2:$D$2500,$A26,'Chapter Data'!$E$2:$E$2500,"&lt;&gt;")=0,"",SUMIFS('Chapter Data'!$E$2:$E$2500,'Chapter Data'!$A$2:$A$2500,T$2,'Chapter Data'!$D$2:$D$2500,$A26)))</f>
        <v/>
      </c>
      <c r="U26" s="19" t="str">
        <f aca="false">IF($A26="","",IF(COUNTIFS('Chapter Data'!$A$2:$A$2500,U$2,'Chapter Data'!$D$2:$D$2500,$A26,'Chapter Data'!$E$2:$E$2500,"&lt;&gt;")=0,"",SUMIFS('Chapter Data'!$E$2:$E$2500,'Chapter Data'!$A$2:$A$2500,U$2,'Chapter Data'!$D$2:$D$2500,$A26)))</f>
        <v/>
      </c>
    </row>
    <row r="27" customFormat="false" ht="15" hidden="false" customHeight="false" outlineLevel="0" collapsed="false">
      <c r="A27" s="8" t="str">
        <f aca="false">IF(Lists!$D$26="","",Lists!$D$26)</f>
        <v>Sigma Phi Epsilon</v>
      </c>
      <c r="B27" s="19" t="n">
        <f aca="false">IF($A27="","",IF(COUNTIFS('Chapter Data'!$A$2:$A$2500,B$2,'Chapter Data'!$D$2:$D$2500,$A27,'Chapter Data'!$E$2:$E$2500,"&lt;&gt;")=0,"",SUMIFS('Chapter Data'!$E$2:$E$2500,'Chapter Data'!$A$2:$A$2500,B$2,'Chapter Data'!$D$2:$D$2500,$A27)))</f>
        <v>130</v>
      </c>
      <c r="C27" s="19" t="n">
        <f aca="false">IF($A27="","",IF(COUNTIFS('Chapter Data'!$A$2:$A$2500,C$2,'Chapter Data'!$D$2:$D$2500,$A27,'Chapter Data'!$E$2:$E$2500,"&lt;&gt;")=0,"",SUMIFS('Chapter Data'!$E$2:$E$2500,'Chapter Data'!$A$2:$A$2500,C$2,'Chapter Data'!$D$2:$D$2500,$A27)))</f>
        <v>122</v>
      </c>
      <c r="D27" s="19" t="n">
        <f aca="false">IF($A27="","",IF(COUNTIFS('Chapter Data'!$A$2:$A$2500,D$2,'Chapter Data'!$D$2:$D$2500,$A27,'Chapter Data'!$E$2:$E$2500,"&lt;&gt;")=0,"",SUMIFS('Chapter Data'!$E$2:$E$2500,'Chapter Data'!$A$2:$A$2500,D$2,'Chapter Data'!$D$2:$D$2500,$A27)))</f>
        <v>134</v>
      </c>
      <c r="E27" s="19" t="n">
        <f aca="false">IF($A27="","",IF(COUNTIFS('Chapter Data'!$A$2:$A$2500,E$2,'Chapter Data'!$D$2:$D$2500,$A27,'Chapter Data'!$E$2:$E$2500,"&lt;&gt;")=0,"",SUMIFS('Chapter Data'!$E$2:$E$2500,'Chapter Data'!$A$2:$A$2500,E$2,'Chapter Data'!$D$2:$D$2500,$A27)))</f>
        <v>126</v>
      </c>
      <c r="F27" s="19" t="n">
        <f aca="false">IF($A27="","",IF(COUNTIFS('Chapter Data'!$A$2:$A$2500,F$2,'Chapter Data'!$D$2:$D$2500,$A27,'Chapter Data'!$E$2:$E$2500,"&lt;&gt;")=0,"",SUMIFS('Chapter Data'!$E$2:$E$2500,'Chapter Data'!$A$2:$A$2500,F$2,'Chapter Data'!$D$2:$D$2500,$A27)))</f>
        <v>135</v>
      </c>
      <c r="G27" s="19" t="n">
        <f aca="false">IF($A27="","",IF(COUNTIFS('Chapter Data'!$A$2:$A$2500,G$2,'Chapter Data'!$D$2:$D$2500,$A27,'Chapter Data'!$E$2:$E$2500,"&lt;&gt;")=0,"",SUMIFS('Chapter Data'!$E$2:$E$2500,'Chapter Data'!$A$2:$A$2500,G$2,'Chapter Data'!$D$2:$D$2500,$A27)))</f>
        <v>128</v>
      </c>
      <c r="H27" s="19" t="n">
        <f aca="false">IF($A27="","",IF(COUNTIFS('Chapter Data'!$A$2:$A$2500,H$2,'Chapter Data'!$D$2:$D$2500,$A27,'Chapter Data'!$E$2:$E$2500,"&lt;&gt;")=0,"",SUMIFS('Chapter Data'!$E$2:$E$2500,'Chapter Data'!$A$2:$A$2500,H$2,'Chapter Data'!$D$2:$D$2500,$A27)))</f>
        <v>143</v>
      </c>
      <c r="I27" s="19" t="n">
        <f aca="false">IF($A27="","",IF(COUNTIFS('Chapter Data'!$A$2:$A$2500,I$2,'Chapter Data'!$D$2:$D$2500,$A27,'Chapter Data'!$E$2:$E$2500,"&lt;&gt;")=0,"",SUMIFS('Chapter Data'!$E$2:$E$2500,'Chapter Data'!$A$2:$A$2500,I$2,'Chapter Data'!$D$2:$D$2500,$A27)))</f>
        <v>133</v>
      </c>
      <c r="J27" s="19" t="n">
        <f aca="false">IF($A27="","",IF(COUNTIFS('Chapter Data'!$A$2:$A$2500,J$2,'Chapter Data'!$D$2:$D$2500,$A27,'Chapter Data'!$E$2:$E$2500,"&lt;&gt;")=0,"",SUMIFS('Chapter Data'!$E$2:$E$2500,'Chapter Data'!$A$2:$A$2500,J$2,'Chapter Data'!$D$2:$D$2500,$A27)))</f>
        <v>146</v>
      </c>
      <c r="K27" s="19" t="n">
        <f aca="false">IF($A27="","",IF(COUNTIFS('Chapter Data'!$A$2:$A$2500,K$2,'Chapter Data'!$D$2:$D$2500,$A27,'Chapter Data'!$E$2:$E$2500,"&lt;&gt;")=0,"",SUMIFS('Chapter Data'!$E$2:$E$2500,'Chapter Data'!$A$2:$A$2500,K$2,'Chapter Data'!$D$2:$D$2500,$A27)))</f>
        <v>140</v>
      </c>
      <c r="L27" s="19" t="n">
        <f aca="false">IF($A27="","",IF(COUNTIFS('Chapter Data'!$A$2:$A$2500,L$2,'Chapter Data'!$D$2:$D$2500,$A27,'Chapter Data'!$E$2:$E$2500,"&lt;&gt;")=0,"",SUMIFS('Chapter Data'!$E$2:$E$2500,'Chapter Data'!$A$2:$A$2500,L$2,'Chapter Data'!$D$2:$D$2500,$A27)))</f>
        <v>157</v>
      </c>
      <c r="M27" s="19" t="n">
        <f aca="false">IF($A27="","",IF(COUNTIFS('Chapter Data'!$A$2:$A$2500,M$2,'Chapter Data'!$D$2:$D$2500,$A27,'Chapter Data'!$E$2:$E$2500,"&lt;&gt;")=0,"",SUMIFS('Chapter Data'!$E$2:$E$2500,'Chapter Data'!$A$2:$A$2500,M$2,'Chapter Data'!$D$2:$D$2500,$A27)))</f>
        <v>153</v>
      </c>
      <c r="N27" s="19" t="n">
        <f aca="false">IF($A27="","",IF(COUNTIFS('Chapter Data'!$A$2:$A$2500,N$2,'Chapter Data'!$D$2:$D$2500,$A27,'Chapter Data'!$E$2:$E$2500,"&lt;&gt;")=0,"",SUMIFS('Chapter Data'!$E$2:$E$2500,'Chapter Data'!$A$2:$A$2500,N$2,'Chapter Data'!$D$2:$D$2500,$A27)))</f>
        <v>151</v>
      </c>
      <c r="O27" s="19" t="n">
        <f aca="false">IF($A27="","",IF(COUNTIFS('Chapter Data'!$A$2:$A$2500,O$2,'Chapter Data'!$D$2:$D$2500,$A27,'Chapter Data'!$E$2:$E$2500,"&lt;&gt;")=0,"",SUMIFS('Chapter Data'!$E$2:$E$2500,'Chapter Data'!$A$2:$A$2500,O$2,'Chapter Data'!$D$2:$D$2500,$A27)))</f>
        <v>147</v>
      </c>
      <c r="P27" s="19" t="n">
        <f aca="false">IF($A27="","",IF(COUNTIFS('Chapter Data'!$A$2:$A$2500,P$2,'Chapter Data'!$D$2:$D$2500,$A27,'Chapter Data'!$E$2:$E$2500,"&lt;&gt;")=0,"",SUMIFS('Chapter Data'!$E$2:$E$2500,'Chapter Data'!$A$2:$A$2500,P$2,'Chapter Data'!$D$2:$D$2500,$A27)))</f>
        <v>160</v>
      </c>
      <c r="Q27" s="19" t="n">
        <f aca="false">IF($A27="","",IF(COUNTIFS('Chapter Data'!$A$2:$A$2500,Q$2,'Chapter Data'!$D$2:$D$2500,$A27,'Chapter Data'!$E$2:$E$2500,"&lt;&gt;")=0,"",SUMIFS('Chapter Data'!$E$2:$E$2500,'Chapter Data'!$A$2:$A$2500,Q$2,'Chapter Data'!$D$2:$D$2500,$A27)))</f>
        <v>155</v>
      </c>
      <c r="R27" s="19" t="str">
        <f aca="false">IF($A27="","",IF(COUNTIFS('Chapter Data'!$A$2:$A$2500,R$2,'Chapter Data'!$D$2:$D$2500,$A27,'Chapter Data'!$E$2:$E$2500,"&lt;&gt;")=0,"",SUMIFS('Chapter Data'!$E$2:$E$2500,'Chapter Data'!$A$2:$A$2500,R$2,'Chapter Data'!$D$2:$D$2500,$A27)))</f>
        <v/>
      </c>
      <c r="S27" s="19" t="str">
        <f aca="false">IF($A27="","",IF(COUNTIFS('Chapter Data'!$A$2:$A$2500,S$2,'Chapter Data'!$D$2:$D$2500,$A27,'Chapter Data'!$E$2:$E$2500,"&lt;&gt;")=0,"",SUMIFS('Chapter Data'!$E$2:$E$2500,'Chapter Data'!$A$2:$A$2500,S$2,'Chapter Data'!$D$2:$D$2500,$A27)))</f>
        <v/>
      </c>
      <c r="T27" s="19" t="str">
        <f aca="false">IF($A27="","",IF(COUNTIFS('Chapter Data'!$A$2:$A$2500,T$2,'Chapter Data'!$D$2:$D$2500,$A27,'Chapter Data'!$E$2:$E$2500,"&lt;&gt;")=0,"",SUMIFS('Chapter Data'!$E$2:$E$2500,'Chapter Data'!$A$2:$A$2500,T$2,'Chapter Data'!$D$2:$D$2500,$A27)))</f>
        <v/>
      </c>
      <c r="U27" s="19" t="str">
        <f aca="false">IF($A27="","",IF(COUNTIFS('Chapter Data'!$A$2:$A$2500,U$2,'Chapter Data'!$D$2:$D$2500,$A27,'Chapter Data'!$E$2:$E$2500,"&lt;&gt;")=0,"",SUMIFS('Chapter Data'!$E$2:$E$2500,'Chapter Data'!$A$2:$A$2500,U$2,'Chapter Data'!$D$2:$D$2500,$A27)))</f>
        <v/>
      </c>
    </row>
    <row r="28" customFormat="false" ht="15" hidden="false" customHeight="false" outlineLevel="0" collapsed="false">
      <c r="A28" s="8" t="str">
        <f aca="false">IF(Lists!$D$27="","",Lists!$D$27)</f>
        <v>Sigma Tau Gamma</v>
      </c>
      <c r="B28" s="19" t="str">
        <f aca="false">IF($A28="","",IF(COUNTIFS('Chapter Data'!$A$2:$A$2500,B$2,'Chapter Data'!$D$2:$D$2500,$A28,'Chapter Data'!$E$2:$E$2500,"&lt;&gt;")=0,"",SUMIFS('Chapter Data'!$E$2:$E$2500,'Chapter Data'!$A$2:$A$2500,B$2,'Chapter Data'!$D$2:$D$2500,$A28)))</f>
        <v/>
      </c>
      <c r="C28" s="19" t="str">
        <f aca="false">IF($A28="","",IF(COUNTIFS('Chapter Data'!$A$2:$A$2500,C$2,'Chapter Data'!$D$2:$D$2500,$A28,'Chapter Data'!$E$2:$E$2500,"&lt;&gt;")=0,"",SUMIFS('Chapter Data'!$E$2:$E$2500,'Chapter Data'!$A$2:$A$2500,C$2,'Chapter Data'!$D$2:$D$2500,$A28)))</f>
        <v/>
      </c>
      <c r="D28" s="19" t="str">
        <f aca="false">IF($A28="","",IF(COUNTIFS('Chapter Data'!$A$2:$A$2500,D$2,'Chapter Data'!$D$2:$D$2500,$A28,'Chapter Data'!$E$2:$E$2500,"&lt;&gt;")=0,"",SUMIFS('Chapter Data'!$E$2:$E$2500,'Chapter Data'!$A$2:$A$2500,D$2,'Chapter Data'!$D$2:$D$2500,$A28)))</f>
        <v/>
      </c>
      <c r="E28" s="19" t="n">
        <f aca="false">IF($A28="","",IF(COUNTIFS('Chapter Data'!$A$2:$A$2500,E$2,'Chapter Data'!$D$2:$D$2500,$A28,'Chapter Data'!$E$2:$E$2500,"&lt;&gt;")=0,"",SUMIFS('Chapter Data'!$E$2:$E$2500,'Chapter Data'!$A$2:$A$2500,E$2,'Chapter Data'!$D$2:$D$2500,$A28)))</f>
        <v>14</v>
      </c>
      <c r="F28" s="19" t="n">
        <f aca="false">IF($A28="","",IF(COUNTIFS('Chapter Data'!$A$2:$A$2500,F$2,'Chapter Data'!$D$2:$D$2500,$A28,'Chapter Data'!$E$2:$E$2500,"&lt;&gt;")=0,"",SUMIFS('Chapter Data'!$E$2:$E$2500,'Chapter Data'!$A$2:$A$2500,F$2,'Chapter Data'!$D$2:$D$2500,$A28)))</f>
        <v>10</v>
      </c>
      <c r="G28" s="19" t="n">
        <f aca="false">IF($A28="","",IF(COUNTIFS('Chapter Data'!$A$2:$A$2500,G$2,'Chapter Data'!$D$2:$D$2500,$A28,'Chapter Data'!$E$2:$E$2500,"&lt;&gt;")=0,"",SUMIFS('Chapter Data'!$E$2:$E$2500,'Chapter Data'!$A$2:$A$2500,G$2,'Chapter Data'!$D$2:$D$2500,$A28)))</f>
        <v>8</v>
      </c>
      <c r="H28" s="19" t="n">
        <f aca="false">IF($A28="","",IF(COUNTIFS('Chapter Data'!$A$2:$A$2500,H$2,'Chapter Data'!$D$2:$D$2500,$A28,'Chapter Data'!$E$2:$E$2500,"&lt;&gt;")=0,"",SUMIFS('Chapter Data'!$E$2:$E$2500,'Chapter Data'!$A$2:$A$2500,H$2,'Chapter Data'!$D$2:$D$2500,$A28)))</f>
        <v>16</v>
      </c>
      <c r="I28" s="19" t="n">
        <f aca="false">IF($A28="","",IF(COUNTIFS('Chapter Data'!$A$2:$A$2500,I$2,'Chapter Data'!$D$2:$D$2500,$A28,'Chapter Data'!$E$2:$E$2500,"&lt;&gt;")=0,"",SUMIFS('Chapter Data'!$E$2:$E$2500,'Chapter Data'!$A$2:$A$2500,I$2,'Chapter Data'!$D$2:$D$2500,$A28)))</f>
        <v>8</v>
      </c>
      <c r="J28" s="19" t="str">
        <f aca="false">IF($A28="","",IF(COUNTIFS('Chapter Data'!$A$2:$A$2500,J$2,'Chapter Data'!$D$2:$D$2500,$A28,'Chapter Data'!$E$2:$E$2500,"&lt;&gt;")=0,"",SUMIFS('Chapter Data'!$E$2:$E$2500,'Chapter Data'!$A$2:$A$2500,J$2,'Chapter Data'!$D$2:$D$2500,$A28)))</f>
        <v/>
      </c>
      <c r="K28" s="19" t="str">
        <f aca="false">IF($A28="","",IF(COUNTIFS('Chapter Data'!$A$2:$A$2500,K$2,'Chapter Data'!$D$2:$D$2500,$A28,'Chapter Data'!$E$2:$E$2500,"&lt;&gt;")=0,"",SUMIFS('Chapter Data'!$E$2:$E$2500,'Chapter Data'!$A$2:$A$2500,K$2,'Chapter Data'!$D$2:$D$2500,$A28)))</f>
        <v/>
      </c>
      <c r="L28" s="19" t="str">
        <f aca="false">IF($A28="","",IF(COUNTIFS('Chapter Data'!$A$2:$A$2500,L$2,'Chapter Data'!$D$2:$D$2500,$A28,'Chapter Data'!$E$2:$E$2500,"&lt;&gt;")=0,"",SUMIFS('Chapter Data'!$E$2:$E$2500,'Chapter Data'!$A$2:$A$2500,L$2,'Chapter Data'!$D$2:$D$2500,$A28)))</f>
        <v/>
      </c>
      <c r="M28" s="19" t="str">
        <f aca="false">IF($A28="","",IF(COUNTIFS('Chapter Data'!$A$2:$A$2500,M$2,'Chapter Data'!$D$2:$D$2500,$A28,'Chapter Data'!$E$2:$E$2500,"&lt;&gt;")=0,"",SUMIFS('Chapter Data'!$E$2:$E$2500,'Chapter Data'!$A$2:$A$2500,M$2,'Chapter Data'!$D$2:$D$2500,$A28)))</f>
        <v/>
      </c>
      <c r="N28" s="19" t="str">
        <f aca="false">IF($A28="","",IF(COUNTIFS('Chapter Data'!$A$2:$A$2500,N$2,'Chapter Data'!$D$2:$D$2500,$A28,'Chapter Data'!$E$2:$E$2500,"&lt;&gt;")=0,"",SUMIFS('Chapter Data'!$E$2:$E$2500,'Chapter Data'!$A$2:$A$2500,N$2,'Chapter Data'!$D$2:$D$2500,$A28)))</f>
        <v/>
      </c>
      <c r="O28" s="19" t="str">
        <f aca="false">IF($A28="","",IF(COUNTIFS('Chapter Data'!$A$2:$A$2500,O$2,'Chapter Data'!$D$2:$D$2500,$A28,'Chapter Data'!$E$2:$E$2500,"&lt;&gt;")=0,"",SUMIFS('Chapter Data'!$E$2:$E$2500,'Chapter Data'!$A$2:$A$2500,O$2,'Chapter Data'!$D$2:$D$2500,$A28)))</f>
        <v/>
      </c>
      <c r="P28" s="19" t="str">
        <f aca="false">IF($A28="","",IF(COUNTIFS('Chapter Data'!$A$2:$A$2500,P$2,'Chapter Data'!$D$2:$D$2500,$A28,'Chapter Data'!$E$2:$E$2500,"&lt;&gt;")=0,"",SUMIFS('Chapter Data'!$E$2:$E$2500,'Chapter Data'!$A$2:$A$2500,P$2,'Chapter Data'!$D$2:$D$2500,$A28)))</f>
        <v/>
      </c>
      <c r="Q28" s="19" t="str">
        <f aca="false">IF($A28="","",IF(COUNTIFS('Chapter Data'!$A$2:$A$2500,Q$2,'Chapter Data'!$D$2:$D$2500,$A28,'Chapter Data'!$E$2:$E$2500,"&lt;&gt;")=0,"",SUMIFS('Chapter Data'!$E$2:$E$2500,'Chapter Data'!$A$2:$A$2500,Q$2,'Chapter Data'!$D$2:$D$2500,$A28)))</f>
        <v/>
      </c>
      <c r="R28" s="19" t="str">
        <f aca="false">IF($A28="","",IF(COUNTIFS('Chapter Data'!$A$2:$A$2500,R$2,'Chapter Data'!$D$2:$D$2500,$A28,'Chapter Data'!$E$2:$E$2500,"&lt;&gt;")=0,"",SUMIFS('Chapter Data'!$E$2:$E$2500,'Chapter Data'!$A$2:$A$2500,R$2,'Chapter Data'!$D$2:$D$2500,$A28)))</f>
        <v/>
      </c>
      <c r="S28" s="19" t="str">
        <f aca="false">IF($A28="","",IF(COUNTIFS('Chapter Data'!$A$2:$A$2500,S$2,'Chapter Data'!$D$2:$D$2500,$A28,'Chapter Data'!$E$2:$E$2500,"&lt;&gt;")=0,"",SUMIFS('Chapter Data'!$E$2:$E$2500,'Chapter Data'!$A$2:$A$2500,S$2,'Chapter Data'!$D$2:$D$2500,$A28)))</f>
        <v/>
      </c>
      <c r="T28" s="19" t="str">
        <f aca="false">IF($A28="","",IF(COUNTIFS('Chapter Data'!$A$2:$A$2500,T$2,'Chapter Data'!$D$2:$D$2500,$A28,'Chapter Data'!$E$2:$E$2500,"&lt;&gt;")=0,"",SUMIFS('Chapter Data'!$E$2:$E$2500,'Chapter Data'!$A$2:$A$2500,T$2,'Chapter Data'!$D$2:$D$2500,$A28)))</f>
        <v/>
      </c>
      <c r="U28" s="19" t="str">
        <f aca="false">IF($A28="","",IF(COUNTIFS('Chapter Data'!$A$2:$A$2500,U$2,'Chapter Data'!$D$2:$D$2500,$A28,'Chapter Data'!$E$2:$E$2500,"&lt;&gt;")=0,"",SUMIFS('Chapter Data'!$E$2:$E$2500,'Chapter Data'!$A$2:$A$2500,U$2,'Chapter Data'!$D$2:$D$2500,$A28)))</f>
        <v/>
      </c>
    </row>
    <row r="29" customFormat="false" ht="15" hidden="false" customHeight="false" outlineLevel="0" collapsed="false">
      <c r="A29" s="8" t="str">
        <f aca="false">IF(Lists!$D$28="","",Lists!$D$28)</f>
        <v>Tau Kappa Epsilon</v>
      </c>
      <c r="B29" s="19" t="n">
        <f aca="false">IF($A29="","",IF(COUNTIFS('Chapter Data'!$A$2:$A$2500,B$2,'Chapter Data'!$D$2:$D$2500,$A29,'Chapter Data'!$E$2:$E$2500,"&lt;&gt;")=0,"",SUMIFS('Chapter Data'!$E$2:$E$2500,'Chapter Data'!$A$2:$A$2500,B$2,'Chapter Data'!$D$2:$D$2500,$A29)))</f>
        <v>28</v>
      </c>
      <c r="C29" s="19" t="n">
        <f aca="false">IF($A29="","",IF(COUNTIFS('Chapter Data'!$A$2:$A$2500,C$2,'Chapter Data'!$D$2:$D$2500,$A29,'Chapter Data'!$E$2:$E$2500,"&lt;&gt;")=0,"",SUMIFS('Chapter Data'!$E$2:$E$2500,'Chapter Data'!$A$2:$A$2500,C$2,'Chapter Data'!$D$2:$D$2500,$A29)))</f>
        <v>27</v>
      </c>
      <c r="D29" s="19" t="n">
        <f aca="false">IF($A29="","",IF(COUNTIFS('Chapter Data'!$A$2:$A$2500,D$2,'Chapter Data'!$D$2:$D$2500,$A29,'Chapter Data'!$E$2:$E$2500,"&lt;&gt;")=0,"",SUMIFS('Chapter Data'!$E$2:$E$2500,'Chapter Data'!$A$2:$A$2500,D$2,'Chapter Data'!$D$2:$D$2500,$A29)))</f>
        <v>14</v>
      </c>
      <c r="E29" s="19" t="n">
        <f aca="false">IF($A29="","",IF(COUNTIFS('Chapter Data'!$A$2:$A$2500,E$2,'Chapter Data'!$D$2:$D$2500,$A29,'Chapter Data'!$E$2:$E$2500,"&lt;&gt;")=0,"",SUMIFS('Chapter Data'!$E$2:$E$2500,'Chapter Data'!$A$2:$A$2500,E$2,'Chapter Data'!$D$2:$D$2500,$A29)))</f>
        <v>13</v>
      </c>
      <c r="F29" s="19" t="str">
        <f aca="false">IF($A29="","",IF(COUNTIFS('Chapter Data'!$A$2:$A$2500,F$2,'Chapter Data'!$D$2:$D$2500,$A29,'Chapter Data'!$E$2:$E$2500,"&lt;&gt;")=0,"",SUMIFS('Chapter Data'!$E$2:$E$2500,'Chapter Data'!$A$2:$A$2500,F$2,'Chapter Data'!$D$2:$D$2500,$A29)))</f>
        <v/>
      </c>
      <c r="G29" s="19" t="str">
        <f aca="false">IF($A29="","",IF(COUNTIFS('Chapter Data'!$A$2:$A$2500,G$2,'Chapter Data'!$D$2:$D$2500,$A29,'Chapter Data'!$E$2:$E$2500,"&lt;&gt;")=0,"",SUMIFS('Chapter Data'!$E$2:$E$2500,'Chapter Data'!$A$2:$A$2500,G$2,'Chapter Data'!$D$2:$D$2500,$A29)))</f>
        <v/>
      </c>
      <c r="H29" s="19" t="str">
        <f aca="false">IF($A29="","",IF(COUNTIFS('Chapter Data'!$A$2:$A$2500,H$2,'Chapter Data'!$D$2:$D$2500,$A29,'Chapter Data'!$E$2:$E$2500,"&lt;&gt;")=0,"",SUMIFS('Chapter Data'!$E$2:$E$2500,'Chapter Data'!$A$2:$A$2500,H$2,'Chapter Data'!$D$2:$D$2500,$A29)))</f>
        <v/>
      </c>
      <c r="I29" s="19" t="str">
        <f aca="false">IF($A29="","",IF(COUNTIFS('Chapter Data'!$A$2:$A$2500,I$2,'Chapter Data'!$D$2:$D$2500,$A29,'Chapter Data'!$E$2:$E$2500,"&lt;&gt;")=0,"",SUMIFS('Chapter Data'!$E$2:$E$2500,'Chapter Data'!$A$2:$A$2500,I$2,'Chapter Data'!$D$2:$D$2500,$A29)))</f>
        <v/>
      </c>
      <c r="J29" s="19" t="str">
        <f aca="false">IF($A29="","",IF(COUNTIFS('Chapter Data'!$A$2:$A$2500,J$2,'Chapter Data'!$D$2:$D$2500,$A29,'Chapter Data'!$E$2:$E$2500,"&lt;&gt;")=0,"",SUMIFS('Chapter Data'!$E$2:$E$2500,'Chapter Data'!$A$2:$A$2500,J$2,'Chapter Data'!$D$2:$D$2500,$A29)))</f>
        <v/>
      </c>
      <c r="K29" s="19" t="str">
        <f aca="false">IF($A29="","",IF(COUNTIFS('Chapter Data'!$A$2:$A$2500,K$2,'Chapter Data'!$D$2:$D$2500,$A29,'Chapter Data'!$E$2:$E$2500,"&lt;&gt;")=0,"",SUMIFS('Chapter Data'!$E$2:$E$2500,'Chapter Data'!$A$2:$A$2500,K$2,'Chapter Data'!$D$2:$D$2500,$A29)))</f>
        <v/>
      </c>
      <c r="L29" s="19" t="str">
        <f aca="false">IF($A29="","",IF(COUNTIFS('Chapter Data'!$A$2:$A$2500,L$2,'Chapter Data'!$D$2:$D$2500,$A29,'Chapter Data'!$E$2:$E$2500,"&lt;&gt;")=0,"",SUMIFS('Chapter Data'!$E$2:$E$2500,'Chapter Data'!$A$2:$A$2500,L$2,'Chapter Data'!$D$2:$D$2500,$A29)))</f>
        <v/>
      </c>
      <c r="M29" s="19" t="str">
        <f aca="false">IF($A29="","",IF(COUNTIFS('Chapter Data'!$A$2:$A$2500,M$2,'Chapter Data'!$D$2:$D$2500,$A29,'Chapter Data'!$E$2:$E$2500,"&lt;&gt;")=0,"",SUMIFS('Chapter Data'!$E$2:$E$2500,'Chapter Data'!$A$2:$A$2500,M$2,'Chapter Data'!$D$2:$D$2500,$A29)))</f>
        <v/>
      </c>
      <c r="N29" s="19" t="str">
        <f aca="false">IF($A29="","",IF(COUNTIFS('Chapter Data'!$A$2:$A$2500,N$2,'Chapter Data'!$D$2:$D$2500,$A29,'Chapter Data'!$E$2:$E$2500,"&lt;&gt;")=0,"",SUMIFS('Chapter Data'!$E$2:$E$2500,'Chapter Data'!$A$2:$A$2500,N$2,'Chapter Data'!$D$2:$D$2500,$A29)))</f>
        <v/>
      </c>
      <c r="O29" s="19" t="str">
        <f aca="false">IF($A29="","",IF(COUNTIFS('Chapter Data'!$A$2:$A$2500,O$2,'Chapter Data'!$D$2:$D$2500,$A29,'Chapter Data'!$E$2:$E$2500,"&lt;&gt;")=0,"",SUMIFS('Chapter Data'!$E$2:$E$2500,'Chapter Data'!$A$2:$A$2500,O$2,'Chapter Data'!$D$2:$D$2500,$A29)))</f>
        <v/>
      </c>
      <c r="P29" s="19" t="str">
        <f aca="false">IF($A29="","",IF(COUNTIFS('Chapter Data'!$A$2:$A$2500,P$2,'Chapter Data'!$D$2:$D$2500,$A29,'Chapter Data'!$E$2:$E$2500,"&lt;&gt;")=0,"",SUMIFS('Chapter Data'!$E$2:$E$2500,'Chapter Data'!$A$2:$A$2500,P$2,'Chapter Data'!$D$2:$D$2500,$A29)))</f>
        <v/>
      </c>
      <c r="Q29" s="19" t="str">
        <f aca="false">IF($A29="","",IF(COUNTIFS('Chapter Data'!$A$2:$A$2500,Q$2,'Chapter Data'!$D$2:$D$2500,$A29,'Chapter Data'!$E$2:$E$2500,"&lt;&gt;")=0,"",SUMIFS('Chapter Data'!$E$2:$E$2500,'Chapter Data'!$A$2:$A$2500,Q$2,'Chapter Data'!$D$2:$D$2500,$A29)))</f>
        <v/>
      </c>
      <c r="R29" s="19" t="str">
        <f aca="false">IF($A29="","",IF(COUNTIFS('Chapter Data'!$A$2:$A$2500,R$2,'Chapter Data'!$D$2:$D$2500,$A29,'Chapter Data'!$E$2:$E$2500,"&lt;&gt;")=0,"",SUMIFS('Chapter Data'!$E$2:$E$2500,'Chapter Data'!$A$2:$A$2500,R$2,'Chapter Data'!$D$2:$D$2500,$A29)))</f>
        <v/>
      </c>
      <c r="S29" s="19" t="str">
        <f aca="false">IF($A29="","",IF(COUNTIFS('Chapter Data'!$A$2:$A$2500,S$2,'Chapter Data'!$D$2:$D$2500,$A29,'Chapter Data'!$E$2:$E$2500,"&lt;&gt;")=0,"",SUMIFS('Chapter Data'!$E$2:$E$2500,'Chapter Data'!$A$2:$A$2500,S$2,'Chapter Data'!$D$2:$D$2500,$A29)))</f>
        <v/>
      </c>
      <c r="T29" s="19" t="str">
        <f aca="false">IF($A29="","",IF(COUNTIFS('Chapter Data'!$A$2:$A$2500,T$2,'Chapter Data'!$D$2:$D$2500,$A29,'Chapter Data'!$E$2:$E$2500,"&lt;&gt;")=0,"",SUMIFS('Chapter Data'!$E$2:$E$2500,'Chapter Data'!$A$2:$A$2500,T$2,'Chapter Data'!$D$2:$D$2500,$A29)))</f>
        <v/>
      </c>
      <c r="U29" s="19" t="str">
        <f aca="false">IF($A29="","",IF(COUNTIFS('Chapter Data'!$A$2:$A$2500,U$2,'Chapter Data'!$D$2:$D$2500,$A29,'Chapter Data'!$E$2:$E$2500,"&lt;&gt;")=0,"",SUMIFS('Chapter Data'!$E$2:$E$2500,'Chapter Data'!$A$2:$A$2500,U$2,'Chapter Data'!$D$2:$D$2500,$A29)))</f>
        <v/>
      </c>
    </row>
    <row r="30" customFormat="false" ht="15" hidden="false" customHeight="false" outlineLevel="0" collapsed="false">
      <c r="A30" s="8" t="str">
        <f aca="false">IF(Lists!$D$29="","",Lists!$D$29)</f>
        <v>Theta Chi</v>
      </c>
      <c r="B30" s="19" t="n">
        <f aca="false">IF($A30="","",IF(COUNTIFS('Chapter Data'!$A$2:$A$2500,B$2,'Chapter Data'!$D$2:$D$2500,$A30,'Chapter Data'!$E$2:$E$2500,"&lt;&gt;")=0,"",SUMIFS('Chapter Data'!$E$2:$E$2500,'Chapter Data'!$A$2:$A$2500,B$2,'Chapter Data'!$D$2:$D$2500,$A30)))</f>
        <v>18</v>
      </c>
      <c r="C30" s="19" t="n">
        <f aca="false">IF($A30="","",IF(COUNTIFS('Chapter Data'!$A$2:$A$2500,C$2,'Chapter Data'!$D$2:$D$2500,$A30,'Chapter Data'!$E$2:$E$2500,"&lt;&gt;")=0,"",SUMIFS('Chapter Data'!$E$2:$E$2500,'Chapter Data'!$A$2:$A$2500,C$2,'Chapter Data'!$D$2:$D$2500,$A30)))</f>
        <v>6</v>
      </c>
      <c r="D30" s="19" t="n">
        <f aca="false">IF($A30="","",IF(COUNTIFS('Chapter Data'!$A$2:$A$2500,D$2,'Chapter Data'!$D$2:$D$2500,$A30,'Chapter Data'!$E$2:$E$2500,"&lt;&gt;")=0,"",SUMIFS('Chapter Data'!$E$2:$E$2500,'Chapter Data'!$A$2:$A$2500,D$2,'Chapter Data'!$D$2:$D$2500,$A30)))</f>
        <v>10</v>
      </c>
      <c r="E30" s="19" t="n">
        <f aca="false">IF($A30="","",IF(COUNTIFS('Chapter Data'!$A$2:$A$2500,E$2,'Chapter Data'!$D$2:$D$2500,$A30,'Chapter Data'!$E$2:$E$2500,"&lt;&gt;")=0,"",SUMIFS('Chapter Data'!$E$2:$E$2500,'Chapter Data'!$A$2:$A$2500,E$2,'Chapter Data'!$D$2:$D$2500,$A30)))</f>
        <v>6</v>
      </c>
      <c r="F30" s="19" t="str">
        <f aca="false">IF($A30="","",IF(COUNTIFS('Chapter Data'!$A$2:$A$2500,F$2,'Chapter Data'!$D$2:$D$2500,$A30,'Chapter Data'!$E$2:$E$2500,"&lt;&gt;")=0,"",SUMIFS('Chapter Data'!$E$2:$E$2500,'Chapter Data'!$A$2:$A$2500,F$2,'Chapter Data'!$D$2:$D$2500,$A30)))</f>
        <v/>
      </c>
      <c r="G30" s="19" t="str">
        <f aca="false">IF($A30="","",IF(COUNTIFS('Chapter Data'!$A$2:$A$2500,G$2,'Chapter Data'!$D$2:$D$2500,$A30,'Chapter Data'!$E$2:$E$2500,"&lt;&gt;")=0,"",SUMIFS('Chapter Data'!$E$2:$E$2500,'Chapter Data'!$A$2:$A$2500,G$2,'Chapter Data'!$D$2:$D$2500,$A30)))</f>
        <v/>
      </c>
      <c r="H30" s="19" t="str">
        <f aca="false">IF($A30="","",IF(COUNTIFS('Chapter Data'!$A$2:$A$2500,H$2,'Chapter Data'!$D$2:$D$2500,$A30,'Chapter Data'!$E$2:$E$2500,"&lt;&gt;")=0,"",SUMIFS('Chapter Data'!$E$2:$E$2500,'Chapter Data'!$A$2:$A$2500,H$2,'Chapter Data'!$D$2:$D$2500,$A30)))</f>
        <v/>
      </c>
      <c r="I30" s="19" t="str">
        <f aca="false">IF($A30="","",IF(COUNTIFS('Chapter Data'!$A$2:$A$2500,I$2,'Chapter Data'!$D$2:$D$2500,$A30,'Chapter Data'!$E$2:$E$2500,"&lt;&gt;")=0,"",SUMIFS('Chapter Data'!$E$2:$E$2500,'Chapter Data'!$A$2:$A$2500,I$2,'Chapter Data'!$D$2:$D$2500,$A30)))</f>
        <v/>
      </c>
      <c r="J30" s="19" t="str">
        <f aca="false">IF($A30="","",IF(COUNTIFS('Chapter Data'!$A$2:$A$2500,J$2,'Chapter Data'!$D$2:$D$2500,$A30,'Chapter Data'!$E$2:$E$2500,"&lt;&gt;")=0,"",SUMIFS('Chapter Data'!$E$2:$E$2500,'Chapter Data'!$A$2:$A$2500,J$2,'Chapter Data'!$D$2:$D$2500,$A30)))</f>
        <v/>
      </c>
      <c r="K30" s="19" t="n">
        <f aca="false">IF($A30="","",IF(COUNTIFS('Chapter Data'!$A$2:$A$2500,K$2,'Chapter Data'!$D$2:$D$2500,$A30,'Chapter Data'!$E$2:$E$2500,"&lt;&gt;")=0,"",SUMIFS('Chapter Data'!$E$2:$E$2500,'Chapter Data'!$A$2:$A$2500,K$2,'Chapter Data'!$D$2:$D$2500,$A30)))</f>
        <v>12</v>
      </c>
      <c r="L30" s="19" t="n">
        <f aca="false">IF($A30="","",IF(COUNTIFS('Chapter Data'!$A$2:$A$2500,L$2,'Chapter Data'!$D$2:$D$2500,$A30,'Chapter Data'!$E$2:$E$2500,"&lt;&gt;")=0,"",SUMIFS('Chapter Data'!$E$2:$E$2500,'Chapter Data'!$A$2:$A$2500,L$2,'Chapter Data'!$D$2:$D$2500,$A30)))</f>
        <v>18</v>
      </c>
      <c r="M30" s="19" t="n">
        <f aca="false">IF($A30="","",IF(COUNTIFS('Chapter Data'!$A$2:$A$2500,M$2,'Chapter Data'!$D$2:$D$2500,$A30,'Chapter Data'!$E$2:$E$2500,"&lt;&gt;")=0,"",SUMIFS('Chapter Data'!$E$2:$E$2500,'Chapter Data'!$A$2:$A$2500,M$2,'Chapter Data'!$D$2:$D$2500,$A30)))</f>
        <v>27</v>
      </c>
      <c r="N30" s="19" t="n">
        <f aca="false">IF($A30="","",IF(COUNTIFS('Chapter Data'!$A$2:$A$2500,N$2,'Chapter Data'!$D$2:$D$2500,$A30,'Chapter Data'!$E$2:$E$2500,"&lt;&gt;")=0,"",SUMIFS('Chapter Data'!$E$2:$E$2500,'Chapter Data'!$A$2:$A$2500,N$2,'Chapter Data'!$D$2:$D$2500,$A30)))</f>
        <v>27</v>
      </c>
      <c r="O30" s="19" t="n">
        <f aca="false">IF($A30="","",IF(COUNTIFS('Chapter Data'!$A$2:$A$2500,O$2,'Chapter Data'!$D$2:$D$2500,$A30,'Chapter Data'!$E$2:$E$2500,"&lt;&gt;")=0,"",SUMIFS('Chapter Data'!$E$2:$E$2500,'Chapter Data'!$A$2:$A$2500,O$2,'Chapter Data'!$D$2:$D$2500,$A30)))</f>
        <v>34</v>
      </c>
      <c r="P30" s="19" t="n">
        <f aca="false">IF($A30="","",IF(COUNTIFS('Chapter Data'!$A$2:$A$2500,P$2,'Chapter Data'!$D$2:$D$2500,$A30,'Chapter Data'!$E$2:$E$2500,"&lt;&gt;")=0,"",SUMIFS('Chapter Data'!$E$2:$E$2500,'Chapter Data'!$A$2:$A$2500,P$2,'Chapter Data'!$D$2:$D$2500,$A30)))</f>
        <v>33</v>
      </c>
      <c r="Q30" s="19" t="n">
        <f aca="false">IF($A30="","",IF(COUNTIFS('Chapter Data'!$A$2:$A$2500,Q$2,'Chapter Data'!$D$2:$D$2500,$A30,'Chapter Data'!$E$2:$E$2500,"&lt;&gt;")=0,"",SUMIFS('Chapter Data'!$E$2:$E$2500,'Chapter Data'!$A$2:$A$2500,Q$2,'Chapter Data'!$D$2:$D$2500,$A30)))</f>
        <v>32</v>
      </c>
      <c r="R30" s="19" t="str">
        <f aca="false">IF($A30="","",IF(COUNTIFS('Chapter Data'!$A$2:$A$2500,R$2,'Chapter Data'!$D$2:$D$2500,$A30,'Chapter Data'!$E$2:$E$2500,"&lt;&gt;")=0,"",SUMIFS('Chapter Data'!$E$2:$E$2500,'Chapter Data'!$A$2:$A$2500,R$2,'Chapter Data'!$D$2:$D$2500,$A30)))</f>
        <v/>
      </c>
      <c r="S30" s="19" t="str">
        <f aca="false">IF($A30="","",IF(COUNTIFS('Chapter Data'!$A$2:$A$2500,S$2,'Chapter Data'!$D$2:$D$2500,$A30,'Chapter Data'!$E$2:$E$2500,"&lt;&gt;")=0,"",SUMIFS('Chapter Data'!$E$2:$E$2500,'Chapter Data'!$A$2:$A$2500,S$2,'Chapter Data'!$D$2:$D$2500,$A30)))</f>
        <v/>
      </c>
      <c r="T30" s="19" t="str">
        <f aca="false">IF($A30="","",IF(COUNTIFS('Chapter Data'!$A$2:$A$2500,T$2,'Chapter Data'!$D$2:$D$2500,$A30,'Chapter Data'!$E$2:$E$2500,"&lt;&gt;")=0,"",SUMIFS('Chapter Data'!$E$2:$E$2500,'Chapter Data'!$A$2:$A$2500,T$2,'Chapter Data'!$D$2:$D$2500,$A30)))</f>
        <v/>
      </c>
      <c r="U30" s="19" t="str">
        <f aca="false">IF($A30="","",IF(COUNTIFS('Chapter Data'!$A$2:$A$2500,U$2,'Chapter Data'!$D$2:$D$2500,$A30,'Chapter Data'!$E$2:$E$2500,"&lt;&gt;")=0,"",SUMIFS('Chapter Data'!$E$2:$E$2500,'Chapter Data'!$A$2:$A$2500,U$2,'Chapter Data'!$D$2:$D$2500,$A30)))</f>
        <v/>
      </c>
    </row>
    <row r="31" customFormat="false" ht="15" hidden="false" customHeight="false" outlineLevel="0" collapsed="false">
      <c r="A31" s="8" t="str">
        <f aca="false">IF(Lists!$D$30="","",Lists!$D$30)</f>
        <v>Theta Xi</v>
      </c>
      <c r="B31" s="19" t="n">
        <f aca="false">IF($A31="","",IF(COUNTIFS('Chapter Data'!$A$2:$A$2500,B$2,'Chapter Data'!$D$2:$D$2500,$A31,'Chapter Data'!$E$2:$E$2500,"&lt;&gt;")=0,"",SUMIFS('Chapter Data'!$E$2:$E$2500,'Chapter Data'!$A$2:$A$2500,B$2,'Chapter Data'!$D$2:$D$2500,$A31)))</f>
        <v>62</v>
      </c>
      <c r="C31" s="19" t="n">
        <f aca="false">IF($A31="","",IF(COUNTIFS('Chapter Data'!$A$2:$A$2500,C$2,'Chapter Data'!$D$2:$D$2500,$A31,'Chapter Data'!$E$2:$E$2500,"&lt;&gt;")=0,"",SUMIFS('Chapter Data'!$E$2:$E$2500,'Chapter Data'!$A$2:$A$2500,C$2,'Chapter Data'!$D$2:$D$2500,$A31)))</f>
        <v>64</v>
      </c>
      <c r="D31" s="19" t="n">
        <f aca="false">IF($A31="","",IF(COUNTIFS('Chapter Data'!$A$2:$A$2500,D$2,'Chapter Data'!$D$2:$D$2500,$A31,'Chapter Data'!$E$2:$E$2500,"&lt;&gt;")=0,"",SUMIFS('Chapter Data'!$E$2:$E$2500,'Chapter Data'!$A$2:$A$2500,D$2,'Chapter Data'!$D$2:$D$2500,$A31)))</f>
        <v>86</v>
      </c>
      <c r="E31" s="19" t="n">
        <f aca="false">IF($A31="","",IF(COUNTIFS('Chapter Data'!$A$2:$A$2500,E$2,'Chapter Data'!$D$2:$D$2500,$A31,'Chapter Data'!$E$2:$E$2500,"&lt;&gt;")=0,"",SUMIFS('Chapter Data'!$E$2:$E$2500,'Chapter Data'!$A$2:$A$2500,E$2,'Chapter Data'!$D$2:$D$2500,$A31)))</f>
        <v>73</v>
      </c>
      <c r="F31" s="19" t="n">
        <f aca="false">IF($A31="","",IF(COUNTIFS('Chapter Data'!$A$2:$A$2500,F$2,'Chapter Data'!$D$2:$D$2500,$A31,'Chapter Data'!$E$2:$E$2500,"&lt;&gt;")=0,"",SUMIFS('Chapter Data'!$E$2:$E$2500,'Chapter Data'!$A$2:$A$2500,F$2,'Chapter Data'!$D$2:$D$2500,$A31)))</f>
        <v>78</v>
      </c>
      <c r="G31" s="19" t="n">
        <f aca="false">IF($A31="","",IF(COUNTIFS('Chapter Data'!$A$2:$A$2500,G$2,'Chapter Data'!$D$2:$D$2500,$A31,'Chapter Data'!$E$2:$E$2500,"&lt;&gt;")=0,"",SUMIFS('Chapter Data'!$E$2:$E$2500,'Chapter Data'!$A$2:$A$2500,G$2,'Chapter Data'!$D$2:$D$2500,$A31)))</f>
        <v>74</v>
      </c>
      <c r="H31" s="19" t="n">
        <f aca="false">IF($A31="","",IF(COUNTIFS('Chapter Data'!$A$2:$A$2500,H$2,'Chapter Data'!$D$2:$D$2500,$A31,'Chapter Data'!$E$2:$E$2500,"&lt;&gt;")=0,"",SUMIFS('Chapter Data'!$E$2:$E$2500,'Chapter Data'!$A$2:$A$2500,H$2,'Chapter Data'!$D$2:$D$2500,$A31)))</f>
        <v>74</v>
      </c>
      <c r="I31" s="19" t="n">
        <f aca="false">IF($A31="","",IF(COUNTIFS('Chapter Data'!$A$2:$A$2500,I$2,'Chapter Data'!$D$2:$D$2500,$A31,'Chapter Data'!$E$2:$E$2500,"&lt;&gt;")=0,"",SUMIFS('Chapter Data'!$E$2:$E$2500,'Chapter Data'!$A$2:$A$2500,I$2,'Chapter Data'!$D$2:$D$2500,$A31)))</f>
        <v>68</v>
      </c>
      <c r="J31" s="19" t="n">
        <f aca="false">IF($A31="","",IF(COUNTIFS('Chapter Data'!$A$2:$A$2500,J$2,'Chapter Data'!$D$2:$D$2500,$A31,'Chapter Data'!$E$2:$E$2500,"&lt;&gt;")=0,"",SUMIFS('Chapter Data'!$E$2:$E$2500,'Chapter Data'!$A$2:$A$2500,J$2,'Chapter Data'!$D$2:$D$2500,$A31)))</f>
        <v>71</v>
      </c>
      <c r="K31" s="19" t="n">
        <f aca="false">IF($A31="","",IF(COUNTIFS('Chapter Data'!$A$2:$A$2500,K$2,'Chapter Data'!$D$2:$D$2500,$A31,'Chapter Data'!$E$2:$E$2500,"&lt;&gt;")=0,"",SUMIFS('Chapter Data'!$E$2:$E$2500,'Chapter Data'!$A$2:$A$2500,K$2,'Chapter Data'!$D$2:$D$2500,$A31)))</f>
        <v>71</v>
      </c>
      <c r="L31" s="19" t="n">
        <f aca="false">IF($A31="","",IF(COUNTIFS('Chapter Data'!$A$2:$A$2500,L$2,'Chapter Data'!$D$2:$D$2500,$A31,'Chapter Data'!$E$2:$E$2500,"&lt;&gt;")=0,"",SUMIFS('Chapter Data'!$E$2:$E$2500,'Chapter Data'!$A$2:$A$2500,L$2,'Chapter Data'!$D$2:$D$2500,$A31)))</f>
        <v>60</v>
      </c>
      <c r="M31" s="19" t="n">
        <f aca="false">IF($A31="","",IF(COUNTIFS('Chapter Data'!$A$2:$A$2500,M$2,'Chapter Data'!$D$2:$D$2500,$A31,'Chapter Data'!$E$2:$E$2500,"&lt;&gt;")=0,"",SUMIFS('Chapter Data'!$E$2:$E$2500,'Chapter Data'!$A$2:$A$2500,M$2,'Chapter Data'!$D$2:$D$2500,$A31)))</f>
        <v>48</v>
      </c>
      <c r="N31" s="19" t="n">
        <f aca="false">IF($A31="","",IF(COUNTIFS('Chapter Data'!$A$2:$A$2500,N$2,'Chapter Data'!$D$2:$D$2500,$A31,'Chapter Data'!$E$2:$E$2500,"&lt;&gt;")=0,"",SUMIFS('Chapter Data'!$E$2:$E$2500,'Chapter Data'!$A$2:$A$2500,N$2,'Chapter Data'!$D$2:$D$2500,$A31)))</f>
        <v>48</v>
      </c>
      <c r="O31" s="19" t="n">
        <f aca="false">IF($A31="","",IF(COUNTIFS('Chapter Data'!$A$2:$A$2500,O$2,'Chapter Data'!$D$2:$D$2500,$A31,'Chapter Data'!$E$2:$E$2500,"&lt;&gt;")=0,"",SUMIFS('Chapter Data'!$E$2:$E$2500,'Chapter Data'!$A$2:$A$2500,O$2,'Chapter Data'!$D$2:$D$2500,$A31)))</f>
        <v>48</v>
      </c>
      <c r="P31" s="19" t="n">
        <f aca="false">IF($A31="","",IF(COUNTIFS('Chapter Data'!$A$2:$A$2500,P$2,'Chapter Data'!$D$2:$D$2500,$A31,'Chapter Data'!$E$2:$E$2500,"&lt;&gt;")=0,"",SUMIFS('Chapter Data'!$E$2:$E$2500,'Chapter Data'!$A$2:$A$2500,P$2,'Chapter Data'!$D$2:$D$2500,$A31)))</f>
        <v>44</v>
      </c>
      <c r="Q31" s="19" t="n">
        <f aca="false">IF($A31="","",IF(COUNTIFS('Chapter Data'!$A$2:$A$2500,Q$2,'Chapter Data'!$D$2:$D$2500,$A31,'Chapter Data'!$E$2:$E$2500,"&lt;&gt;")=0,"",SUMIFS('Chapter Data'!$E$2:$E$2500,'Chapter Data'!$A$2:$A$2500,Q$2,'Chapter Data'!$D$2:$D$2500,$A31)))</f>
        <v>43</v>
      </c>
      <c r="R31" s="19" t="str">
        <f aca="false">IF($A31="","",IF(COUNTIFS('Chapter Data'!$A$2:$A$2500,R$2,'Chapter Data'!$D$2:$D$2500,$A31,'Chapter Data'!$E$2:$E$2500,"&lt;&gt;")=0,"",SUMIFS('Chapter Data'!$E$2:$E$2500,'Chapter Data'!$A$2:$A$2500,R$2,'Chapter Data'!$D$2:$D$2500,$A31)))</f>
        <v/>
      </c>
      <c r="S31" s="19" t="str">
        <f aca="false">IF($A31="","",IF(COUNTIFS('Chapter Data'!$A$2:$A$2500,S$2,'Chapter Data'!$D$2:$D$2500,$A31,'Chapter Data'!$E$2:$E$2500,"&lt;&gt;")=0,"",SUMIFS('Chapter Data'!$E$2:$E$2500,'Chapter Data'!$A$2:$A$2500,S$2,'Chapter Data'!$D$2:$D$2500,$A31)))</f>
        <v/>
      </c>
      <c r="T31" s="19" t="str">
        <f aca="false">IF($A31="","",IF(COUNTIFS('Chapter Data'!$A$2:$A$2500,T$2,'Chapter Data'!$D$2:$D$2500,$A31,'Chapter Data'!$E$2:$E$2500,"&lt;&gt;")=0,"",SUMIFS('Chapter Data'!$E$2:$E$2500,'Chapter Data'!$A$2:$A$2500,T$2,'Chapter Data'!$D$2:$D$2500,$A31)))</f>
        <v/>
      </c>
      <c r="U31" s="19" t="str">
        <f aca="false">IF($A31="","",IF(COUNTIFS('Chapter Data'!$A$2:$A$2500,U$2,'Chapter Data'!$D$2:$D$2500,$A31,'Chapter Data'!$E$2:$E$2500,"&lt;&gt;")=0,"",SUMIFS('Chapter Data'!$E$2:$E$2500,'Chapter Data'!$A$2:$A$2500,U$2,'Chapter Data'!$D$2:$D$2500,$A31)))</f>
        <v/>
      </c>
    </row>
    <row r="32" customFormat="false" ht="15" hidden="false" customHeight="false" outlineLevel="0" collapsed="false">
      <c r="A32" s="8" t="str">
        <f aca="false">IF(Lists!$D$31="","",Lists!$D$31)</f>
        <v>Triangle</v>
      </c>
      <c r="B32" s="19" t="n">
        <f aca="false">IF($A32="","",IF(COUNTIFS('Chapter Data'!$A$2:$A$2500,B$2,'Chapter Data'!$D$2:$D$2500,$A32,'Chapter Data'!$E$2:$E$2500,"&lt;&gt;")=0,"",SUMIFS('Chapter Data'!$E$2:$E$2500,'Chapter Data'!$A$2:$A$2500,B$2,'Chapter Data'!$D$2:$D$2500,$A32)))</f>
        <v>18</v>
      </c>
      <c r="C32" s="19" t="n">
        <f aca="false">IF($A32="","",IF(COUNTIFS('Chapter Data'!$A$2:$A$2500,C$2,'Chapter Data'!$D$2:$D$2500,$A32,'Chapter Data'!$E$2:$E$2500,"&lt;&gt;")=0,"",SUMIFS('Chapter Data'!$E$2:$E$2500,'Chapter Data'!$A$2:$A$2500,C$2,'Chapter Data'!$D$2:$D$2500,$A32)))</f>
        <v>18</v>
      </c>
      <c r="D32" s="19" t="n">
        <f aca="false">IF($A32="","",IF(COUNTIFS('Chapter Data'!$A$2:$A$2500,D$2,'Chapter Data'!$D$2:$D$2500,$A32,'Chapter Data'!$E$2:$E$2500,"&lt;&gt;")=0,"",SUMIFS('Chapter Data'!$E$2:$E$2500,'Chapter Data'!$A$2:$A$2500,D$2,'Chapter Data'!$D$2:$D$2500,$A32)))</f>
        <v>24</v>
      </c>
      <c r="E32" s="19" t="n">
        <f aca="false">IF($A32="","",IF(COUNTIFS('Chapter Data'!$A$2:$A$2500,E$2,'Chapter Data'!$D$2:$D$2500,$A32,'Chapter Data'!$E$2:$E$2500,"&lt;&gt;")=0,"",SUMIFS('Chapter Data'!$E$2:$E$2500,'Chapter Data'!$A$2:$A$2500,E$2,'Chapter Data'!$D$2:$D$2500,$A32)))</f>
        <v>25</v>
      </c>
      <c r="F32" s="19" t="n">
        <f aca="false">IF($A32="","",IF(COUNTIFS('Chapter Data'!$A$2:$A$2500,F$2,'Chapter Data'!$D$2:$D$2500,$A32,'Chapter Data'!$E$2:$E$2500,"&lt;&gt;")=0,"",SUMIFS('Chapter Data'!$E$2:$E$2500,'Chapter Data'!$A$2:$A$2500,F$2,'Chapter Data'!$D$2:$D$2500,$A32)))</f>
        <v>27</v>
      </c>
      <c r="G32" s="19" t="n">
        <f aca="false">IF($A32="","",IF(COUNTIFS('Chapter Data'!$A$2:$A$2500,G$2,'Chapter Data'!$D$2:$D$2500,$A32,'Chapter Data'!$E$2:$E$2500,"&lt;&gt;")=0,"",SUMIFS('Chapter Data'!$E$2:$E$2500,'Chapter Data'!$A$2:$A$2500,G$2,'Chapter Data'!$D$2:$D$2500,$A32)))</f>
        <v>24</v>
      </c>
      <c r="H32" s="19" t="n">
        <f aca="false">IF($A32="","",IF(COUNTIFS('Chapter Data'!$A$2:$A$2500,H$2,'Chapter Data'!$D$2:$D$2500,$A32,'Chapter Data'!$E$2:$E$2500,"&lt;&gt;")=0,"",SUMIFS('Chapter Data'!$E$2:$E$2500,'Chapter Data'!$A$2:$A$2500,H$2,'Chapter Data'!$D$2:$D$2500,$A32)))</f>
        <v>21</v>
      </c>
      <c r="I32" s="19" t="n">
        <f aca="false">IF($A32="","",IF(COUNTIFS('Chapter Data'!$A$2:$A$2500,I$2,'Chapter Data'!$D$2:$D$2500,$A32,'Chapter Data'!$E$2:$E$2500,"&lt;&gt;")=0,"",SUMIFS('Chapter Data'!$E$2:$E$2500,'Chapter Data'!$A$2:$A$2500,I$2,'Chapter Data'!$D$2:$D$2500,$A32)))</f>
        <v>23</v>
      </c>
      <c r="J32" s="19" t="n">
        <f aca="false">IF($A32="","",IF(COUNTIFS('Chapter Data'!$A$2:$A$2500,J$2,'Chapter Data'!$D$2:$D$2500,$A32,'Chapter Data'!$E$2:$E$2500,"&lt;&gt;")=0,"",SUMIFS('Chapter Data'!$E$2:$E$2500,'Chapter Data'!$A$2:$A$2500,J$2,'Chapter Data'!$D$2:$D$2500,$A32)))</f>
        <v>21</v>
      </c>
      <c r="K32" s="19" t="n">
        <f aca="false">IF($A32="","",IF(COUNTIFS('Chapter Data'!$A$2:$A$2500,K$2,'Chapter Data'!$D$2:$D$2500,$A32,'Chapter Data'!$E$2:$E$2500,"&lt;&gt;")=0,"",SUMIFS('Chapter Data'!$E$2:$E$2500,'Chapter Data'!$A$2:$A$2500,K$2,'Chapter Data'!$D$2:$D$2500,$A32)))</f>
        <v>25</v>
      </c>
      <c r="L32" s="19" t="n">
        <f aca="false">IF($A32="","",IF(COUNTIFS('Chapter Data'!$A$2:$A$2500,L$2,'Chapter Data'!$D$2:$D$2500,$A32,'Chapter Data'!$E$2:$E$2500,"&lt;&gt;")=0,"",SUMIFS('Chapter Data'!$E$2:$E$2500,'Chapter Data'!$A$2:$A$2500,L$2,'Chapter Data'!$D$2:$D$2500,$A32)))</f>
        <v>20</v>
      </c>
      <c r="M32" s="19" t="n">
        <f aca="false">IF($A32="","",IF(COUNTIFS('Chapter Data'!$A$2:$A$2500,M$2,'Chapter Data'!$D$2:$D$2500,$A32,'Chapter Data'!$E$2:$E$2500,"&lt;&gt;")=0,"",SUMIFS('Chapter Data'!$E$2:$E$2500,'Chapter Data'!$A$2:$A$2500,M$2,'Chapter Data'!$D$2:$D$2500,$A32)))</f>
        <v>23</v>
      </c>
      <c r="N32" s="19" t="n">
        <f aca="false">IF($A32="","",IF(COUNTIFS('Chapter Data'!$A$2:$A$2500,N$2,'Chapter Data'!$D$2:$D$2500,$A32,'Chapter Data'!$E$2:$E$2500,"&lt;&gt;")=0,"",SUMIFS('Chapter Data'!$E$2:$E$2500,'Chapter Data'!$A$2:$A$2500,N$2,'Chapter Data'!$D$2:$D$2500,$A32)))</f>
        <v>20</v>
      </c>
      <c r="O32" s="19" t="n">
        <f aca="false">IF($A32="","",IF(COUNTIFS('Chapter Data'!$A$2:$A$2500,O$2,'Chapter Data'!$D$2:$D$2500,$A32,'Chapter Data'!$E$2:$E$2500,"&lt;&gt;")=0,"",SUMIFS('Chapter Data'!$E$2:$E$2500,'Chapter Data'!$A$2:$A$2500,O$2,'Chapter Data'!$D$2:$D$2500,$A32)))</f>
        <v>24</v>
      </c>
      <c r="P32" s="19" t="n">
        <f aca="false">IF($A32="","",IF(COUNTIFS('Chapter Data'!$A$2:$A$2500,P$2,'Chapter Data'!$D$2:$D$2500,$A32,'Chapter Data'!$E$2:$E$2500,"&lt;&gt;")=0,"",SUMIFS('Chapter Data'!$E$2:$E$2500,'Chapter Data'!$A$2:$A$2500,P$2,'Chapter Data'!$D$2:$D$2500,$A32)))</f>
        <v>25</v>
      </c>
      <c r="Q32" s="19" t="n">
        <f aca="false">IF($A32="","",IF(COUNTIFS('Chapter Data'!$A$2:$A$2500,Q$2,'Chapter Data'!$D$2:$D$2500,$A32,'Chapter Data'!$E$2:$E$2500,"&lt;&gt;")=0,"",SUMIFS('Chapter Data'!$E$2:$E$2500,'Chapter Data'!$A$2:$A$2500,Q$2,'Chapter Data'!$D$2:$D$2500,$A32)))</f>
        <v>28</v>
      </c>
      <c r="R32" s="19" t="str">
        <f aca="false">IF($A32="","",IF(COUNTIFS('Chapter Data'!$A$2:$A$2500,R$2,'Chapter Data'!$D$2:$D$2500,$A32,'Chapter Data'!$E$2:$E$2500,"&lt;&gt;")=0,"",SUMIFS('Chapter Data'!$E$2:$E$2500,'Chapter Data'!$A$2:$A$2500,R$2,'Chapter Data'!$D$2:$D$2500,$A32)))</f>
        <v/>
      </c>
      <c r="S32" s="19" t="str">
        <f aca="false">IF($A32="","",IF(COUNTIFS('Chapter Data'!$A$2:$A$2500,S$2,'Chapter Data'!$D$2:$D$2500,$A32,'Chapter Data'!$E$2:$E$2500,"&lt;&gt;")=0,"",SUMIFS('Chapter Data'!$E$2:$E$2500,'Chapter Data'!$A$2:$A$2500,S$2,'Chapter Data'!$D$2:$D$2500,$A32)))</f>
        <v/>
      </c>
      <c r="T32" s="19" t="str">
        <f aca="false">IF($A32="","",IF(COUNTIFS('Chapter Data'!$A$2:$A$2500,T$2,'Chapter Data'!$D$2:$D$2500,$A32,'Chapter Data'!$E$2:$E$2500,"&lt;&gt;")=0,"",SUMIFS('Chapter Data'!$E$2:$E$2500,'Chapter Data'!$A$2:$A$2500,T$2,'Chapter Data'!$D$2:$D$2500,$A32)))</f>
        <v/>
      </c>
      <c r="U32" s="19" t="str">
        <f aca="false">IF($A32="","",IF(COUNTIFS('Chapter Data'!$A$2:$A$2500,U$2,'Chapter Data'!$D$2:$D$2500,$A32,'Chapter Data'!$E$2:$E$2500,"&lt;&gt;")=0,"",SUMIFS('Chapter Data'!$E$2:$E$2500,'Chapter Data'!$A$2:$A$2500,U$2,'Chapter Data'!$D$2:$D$2500,$A32)))</f>
        <v/>
      </c>
    </row>
    <row r="33" customFormat="false" ht="15" hidden="false" customHeight="false" outlineLevel="0" collapsed="false">
      <c r="A33" s="8" t="str">
        <f aca="false">IF(Lists!$D$32="","",Lists!$D$32)</f>
        <v/>
      </c>
      <c r="B33" s="19" t="str">
        <f aca="false">IF($A33="","",IF(COUNTIFS('Chapter Data'!$A$2:$A$2500,B$2,'Chapter Data'!$D$2:$D$2500,$A33,'Chapter Data'!$E$2:$E$2500,"&lt;&gt;")=0,"",SUMIFS('Chapter Data'!$E$2:$E$2500,'Chapter Data'!$A$2:$A$2500,B$2,'Chapter Data'!$D$2:$D$2500,$A33)))</f>
        <v/>
      </c>
      <c r="C33" s="19" t="str">
        <f aca="false">IF($A33="","",IF(COUNTIFS('Chapter Data'!$A$2:$A$2500,C$2,'Chapter Data'!$D$2:$D$2500,$A33,'Chapter Data'!$E$2:$E$2500,"&lt;&gt;")=0,"",SUMIFS('Chapter Data'!$E$2:$E$2500,'Chapter Data'!$A$2:$A$2500,C$2,'Chapter Data'!$D$2:$D$2500,$A33)))</f>
        <v/>
      </c>
      <c r="D33" s="19" t="str">
        <f aca="false">IF($A33="","",IF(COUNTIFS('Chapter Data'!$A$2:$A$2500,D$2,'Chapter Data'!$D$2:$D$2500,$A33,'Chapter Data'!$E$2:$E$2500,"&lt;&gt;")=0,"",SUMIFS('Chapter Data'!$E$2:$E$2500,'Chapter Data'!$A$2:$A$2500,D$2,'Chapter Data'!$D$2:$D$2500,$A33)))</f>
        <v/>
      </c>
      <c r="E33" s="19" t="str">
        <f aca="false">IF($A33="","",IF(COUNTIFS('Chapter Data'!$A$2:$A$2500,E$2,'Chapter Data'!$D$2:$D$2500,$A33,'Chapter Data'!$E$2:$E$2500,"&lt;&gt;")=0,"",SUMIFS('Chapter Data'!$E$2:$E$2500,'Chapter Data'!$A$2:$A$2500,E$2,'Chapter Data'!$D$2:$D$2500,$A33)))</f>
        <v/>
      </c>
      <c r="F33" s="19" t="str">
        <f aca="false">IF($A33="","",IF(COUNTIFS('Chapter Data'!$A$2:$A$2500,F$2,'Chapter Data'!$D$2:$D$2500,$A33,'Chapter Data'!$E$2:$E$2500,"&lt;&gt;")=0,"",SUMIFS('Chapter Data'!$E$2:$E$2500,'Chapter Data'!$A$2:$A$2500,F$2,'Chapter Data'!$D$2:$D$2500,$A33)))</f>
        <v/>
      </c>
      <c r="G33" s="19" t="str">
        <f aca="false">IF($A33="","",IF(COUNTIFS('Chapter Data'!$A$2:$A$2500,G$2,'Chapter Data'!$D$2:$D$2500,$A33,'Chapter Data'!$E$2:$E$2500,"&lt;&gt;")=0,"",SUMIFS('Chapter Data'!$E$2:$E$2500,'Chapter Data'!$A$2:$A$2500,G$2,'Chapter Data'!$D$2:$D$2500,$A33)))</f>
        <v/>
      </c>
      <c r="H33" s="19" t="str">
        <f aca="false">IF($A33="","",IF(COUNTIFS('Chapter Data'!$A$2:$A$2500,H$2,'Chapter Data'!$D$2:$D$2500,$A33,'Chapter Data'!$E$2:$E$2500,"&lt;&gt;")=0,"",SUMIFS('Chapter Data'!$E$2:$E$2500,'Chapter Data'!$A$2:$A$2500,H$2,'Chapter Data'!$D$2:$D$2500,$A33)))</f>
        <v/>
      </c>
      <c r="I33" s="19" t="str">
        <f aca="false">IF($A33="","",IF(COUNTIFS('Chapter Data'!$A$2:$A$2500,I$2,'Chapter Data'!$D$2:$D$2500,$A33,'Chapter Data'!$E$2:$E$2500,"&lt;&gt;")=0,"",SUMIFS('Chapter Data'!$E$2:$E$2500,'Chapter Data'!$A$2:$A$2500,I$2,'Chapter Data'!$D$2:$D$2500,$A33)))</f>
        <v/>
      </c>
      <c r="J33" s="19" t="str">
        <f aca="false">IF($A33="","",IF(COUNTIFS('Chapter Data'!$A$2:$A$2500,J$2,'Chapter Data'!$D$2:$D$2500,$A33,'Chapter Data'!$E$2:$E$2500,"&lt;&gt;")=0,"",SUMIFS('Chapter Data'!$E$2:$E$2500,'Chapter Data'!$A$2:$A$2500,J$2,'Chapter Data'!$D$2:$D$2500,$A33)))</f>
        <v/>
      </c>
      <c r="K33" s="19" t="str">
        <f aca="false">IF($A33="","",IF(COUNTIFS('Chapter Data'!$A$2:$A$2500,K$2,'Chapter Data'!$D$2:$D$2500,$A33,'Chapter Data'!$E$2:$E$2500,"&lt;&gt;")=0,"",SUMIFS('Chapter Data'!$E$2:$E$2500,'Chapter Data'!$A$2:$A$2500,K$2,'Chapter Data'!$D$2:$D$2500,$A33)))</f>
        <v/>
      </c>
      <c r="L33" s="19" t="str">
        <f aca="false">IF($A33="","",IF(COUNTIFS('Chapter Data'!$A$2:$A$2500,L$2,'Chapter Data'!$D$2:$D$2500,$A33,'Chapter Data'!$E$2:$E$2500,"&lt;&gt;")=0,"",SUMIFS('Chapter Data'!$E$2:$E$2500,'Chapter Data'!$A$2:$A$2500,L$2,'Chapter Data'!$D$2:$D$2500,$A33)))</f>
        <v/>
      </c>
      <c r="M33" s="19" t="str">
        <f aca="false">IF($A33="","",IF(COUNTIFS('Chapter Data'!$A$2:$A$2500,M$2,'Chapter Data'!$D$2:$D$2500,$A33,'Chapter Data'!$E$2:$E$2500,"&lt;&gt;")=0,"",SUMIFS('Chapter Data'!$E$2:$E$2500,'Chapter Data'!$A$2:$A$2500,M$2,'Chapter Data'!$D$2:$D$2500,$A33)))</f>
        <v/>
      </c>
      <c r="N33" s="19" t="str">
        <f aca="false">IF($A33="","",IF(COUNTIFS('Chapter Data'!$A$2:$A$2500,N$2,'Chapter Data'!$D$2:$D$2500,$A33,'Chapter Data'!$E$2:$E$2500,"&lt;&gt;")=0,"",SUMIFS('Chapter Data'!$E$2:$E$2500,'Chapter Data'!$A$2:$A$2500,N$2,'Chapter Data'!$D$2:$D$2500,$A33)))</f>
        <v/>
      </c>
      <c r="O33" s="19" t="str">
        <f aca="false">IF($A33="","",IF(COUNTIFS('Chapter Data'!$A$2:$A$2500,O$2,'Chapter Data'!$D$2:$D$2500,$A33,'Chapter Data'!$E$2:$E$2500,"&lt;&gt;")=0,"",SUMIFS('Chapter Data'!$E$2:$E$2500,'Chapter Data'!$A$2:$A$2500,O$2,'Chapter Data'!$D$2:$D$2500,$A33)))</f>
        <v/>
      </c>
      <c r="P33" s="19" t="str">
        <f aca="false">IF($A33="","",IF(COUNTIFS('Chapter Data'!$A$2:$A$2500,P$2,'Chapter Data'!$D$2:$D$2500,$A33,'Chapter Data'!$E$2:$E$2500,"&lt;&gt;")=0,"",SUMIFS('Chapter Data'!$E$2:$E$2500,'Chapter Data'!$A$2:$A$2500,P$2,'Chapter Data'!$D$2:$D$2500,$A33)))</f>
        <v/>
      </c>
      <c r="Q33" s="19" t="str">
        <f aca="false">IF($A33="","",IF(COUNTIFS('Chapter Data'!$A$2:$A$2500,Q$2,'Chapter Data'!$D$2:$D$2500,$A33,'Chapter Data'!$E$2:$E$2500,"&lt;&gt;")=0,"",SUMIFS('Chapter Data'!$E$2:$E$2500,'Chapter Data'!$A$2:$A$2500,Q$2,'Chapter Data'!$D$2:$D$2500,$A33)))</f>
        <v/>
      </c>
      <c r="R33" s="19" t="str">
        <f aca="false">IF($A33="","",IF(COUNTIFS('Chapter Data'!$A$2:$A$2500,R$2,'Chapter Data'!$D$2:$D$2500,$A33,'Chapter Data'!$E$2:$E$2500,"&lt;&gt;")=0,"",SUMIFS('Chapter Data'!$E$2:$E$2500,'Chapter Data'!$A$2:$A$2500,R$2,'Chapter Data'!$D$2:$D$2500,$A33)))</f>
        <v/>
      </c>
      <c r="S33" s="19" t="str">
        <f aca="false">IF($A33="","",IF(COUNTIFS('Chapter Data'!$A$2:$A$2500,S$2,'Chapter Data'!$D$2:$D$2500,$A33,'Chapter Data'!$E$2:$E$2500,"&lt;&gt;")=0,"",SUMIFS('Chapter Data'!$E$2:$E$2500,'Chapter Data'!$A$2:$A$2500,S$2,'Chapter Data'!$D$2:$D$2500,$A33)))</f>
        <v/>
      </c>
      <c r="T33" s="19" t="str">
        <f aca="false">IF($A33="","",IF(COUNTIFS('Chapter Data'!$A$2:$A$2500,T$2,'Chapter Data'!$D$2:$D$2500,$A33,'Chapter Data'!$E$2:$E$2500,"&lt;&gt;")=0,"",SUMIFS('Chapter Data'!$E$2:$E$2500,'Chapter Data'!$A$2:$A$2500,T$2,'Chapter Data'!$D$2:$D$2500,$A33)))</f>
        <v/>
      </c>
      <c r="U33" s="19" t="str">
        <f aca="false">IF($A33="","",IF(COUNTIFS('Chapter Data'!$A$2:$A$2500,U$2,'Chapter Data'!$D$2:$D$2500,$A33,'Chapter Data'!$E$2:$E$2500,"&lt;&gt;")=0,"",SUMIFS('Chapter Data'!$E$2:$E$2500,'Chapter Data'!$A$2:$A$2500,U$2,'Chapter Data'!$D$2:$D$2500,$A33)))</f>
        <v/>
      </c>
    </row>
    <row r="34" customFormat="false" ht="15" hidden="false" customHeight="false" outlineLevel="0" collapsed="false">
      <c r="A34" s="8" t="str">
        <f aca="false">IF(Lists!$D$33="","",Lists!$D$33)</f>
        <v/>
      </c>
      <c r="B34" s="19" t="str">
        <f aca="false">IF($A34="","",IF(COUNTIFS('Chapter Data'!$A$2:$A$2500,B$2,'Chapter Data'!$D$2:$D$2500,$A34,'Chapter Data'!$E$2:$E$2500,"&lt;&gt;")=0,"",SUMIFS('Chapter Data'!$E$2:$E$2500,'Chapter Data'!$A$2:$A$2500,B$2,'Chapter Data'!$D$2:$D$2500,$A34)))</f>
        <v/>
      </c>
      <c r="C34" s="19" t="str">
        <f aca="false">IF($A34="","",IF(COUNTIFS('Chapter Data'!$A$2:$A$2500,C$2,'Chapter Data'!$D$2:$D$2500,$A34,'Chapter Data'!$E$2:$E$2500,"&lt;&gt;")=0,"",SUMIFS('Chapter Data'!$E$2:$E$2500,'Chapter Data'!$A$2:$A$2500,C$2,'Chapter Data'!$D$2:$D$2500,$A34)))</f>
        <v/>
      </c>
      <c r="D34" s="19" t="str">
        <f aca="false">IF($A34="","",IF(COUNTIFS('Chapter Data'!$A$2:$A$2500,D$2,'Chapter Data'!$D$2:$D$2500,$A34,'Chapter Data'!$E$2:$E$2500,"&lt;&gt;")=0,"",SUMIFS('Chapter Data'!$E$2:$E$2500,'Chapter Data'!$A$2:$A$2500,D$2,'Chapter Data'!$D$2:$D$2500,$A34)))</f>
        <v/>
      </c>
      <c r="E34" s="19" t="str">
        <f aca="false">IF($A34="","",IF(COUNTIFS('Chapter Data'!$A$2:$A$2500,E$2,'Chapter Data'!$D$2:$D$2500,$A34,'Chapter Data'!$E$2:$E$2500,"&lt;&gt;")=0,"",SUMIFS('Chapter Data'!$E$2:$E$2500,'Chapter Data'!$A$2:$A$2500,E$2,'Chapter Data'!$D$2:$D$2500,$A34)))</f>
        <v/>
      </c>
      <c r="F34" s="19" t="str">
        <f aca="false">IF($A34="","",IF(COUNTIFS('Chapter Data'!$A$2:$A$2500,F$2,'Chapter Data'!$D$2:$D$2500,$A34,'Chapter Data'!$E$2:$E$2500,"&lt;&gt;")=0,"",SUMIFS('Chapter Data'!$E$2:$E$2500,'Chapter Data'!$A$2:$A$2500,F$2,'Chapter Data'!$D$2:$D$2500,$A34)))</f>
        <v/>
      </c>
      <c r="G34" s="19" t="str">
        <f aca="false">IF($A34="","",IF(COUNTIFS('Chapter Data'!$A$2:$A$2500,G$2,'Chapter Data'!$D$2:$D$2500,$A34,'Chapter Data'!$E$2:$E$2500,"&lt;&gt;")=0,"",SUMIFS('Chapter Data'!$E$2:$E$2500,'Chapter Data'!$A$2:$A$2500,G$2,'Chapter Data'!$D$2:$D$2500,$A34)))</f>
        <v/>
      </c>
      <c r="H34" s="19" t="str">
        <f aca="false">IF($A34="","",IF(COUNTIFS('Chapter Data'!$A$2:$A$2500,H$2,'Chapter Data'!$D$2:$D$2500,$A34,'Chapter Data'!$E$2:$E$2500,"&lt;&gt;")=0,"",SUMIFS('Chapter Data'!$E$2:$E$2500,'Chapter Data'!$A$2:$A$2500,H$2,'Chapter Data'!$D$2:$D$2500,$A34)))</f>
        <v/>
      </c>
      <c r="I34" s="19" t="str">
        <f aca="false">IF($A34="","",IF(COUNTIFS('Chapter Data'!$A$2:$A$2500,I$2,'Chapter Data'!$D$2:$D$2500,$A34,'Chapter Data'!$E$2:$E$2500,"&lt;&gt;")=0,"",SUMIFS('Chapter Data'!$E$2:$E$2500,'Chapter Data'!$A$2:$A$2500,I$2,'Chapter Data'!$D$2:$D$2500,$A34)))</f>
        <v/>
      </c>
      <c r="J34" s="19" t="str">
        <f aca="false">IF($A34="","",IF(COUNTIFS('Chapter Data'!$A$2:$A$2500,J$2,'Chapter Data'!$D$2:$D$2500,$A34,'Chapter Data'!$E$2:$E$2500,"&lt;&gt;")=0,"",SUMIFS('Chapter Data'!$E$2:$E$2500,'Chapter Data'!$A$2:$A$2500,J$2,'Chapter Data'!$D$2:$D$2500,$A34)))</f>
        <v/>
      </c>
      <c r="K34" s="19" t="str">
        <f aca="false">IF($A34="","",IF(COUNTIFS('Chapter Data'!$A$2:$A$2500,K$2,'Chapter Data'!$D$2:$D$2500,$A34,'Chapter Data'!$E$2:$E$2500,"&lt;&gt;")=0,"",SUMIFS('Chapter Data'!$E$2:$E$2500,'Chapter Data'!$A$2:$A$2500,K$2,'Chapter Data'!$D$2:$D$2500,$A34)))</f>
        <v/>
      </c>
      <c r="L34" s="19" t="str">
        <f aca="false">IF($A34="","",IF(COUNTIFS('Chapter Data'!$A$2:$A$2500,L$2,'Chapter Data'!$D$2:$D$2500,$A34,'Chapter Data'!$E$2:$E$2500,"&lt;&gt;")=0,"",SUMIFS('Chapter Data'!$E$2:$E$2500,'Chapter Data'!$A$2:$A$2500,L$2,'Chapter Data'!$D$2:$D$2500,$A34)))</f>
        <v/>
      </c>
      <c r="M34" s="19" t="str">
        <f aca="false">IF($A34="","",IF(COUNTIFS('Chapter Data'!$A$2:$A$2500,M$2,'Chapter Data'!$D$2:$D$2500,$A34,'Chapter Data'!$E$2:$E$2500,"&lt;&gt;")=0,"",SUMIFS('Chapter Data'!$E$2:$E$2500,'Chapter Data'!$A$2:$A$2500,M$2,'Chapter Data'!$D$2:$D$2500,$A34)))</f>
        <v/>
      </c>
      <c r="N34" s="19" t="str">
        <f aca="false">IF($A34="","",IF(COUNTIFS('Chapter Data'!$A$2:$A$2500,N$2,'Chapter Data'!$D$2:$D$2500,$A34,'Chapter Data'!$E$2:$E$2500,"&lt;&gt;")=0,"",SUMIFS('Chapter Data'!$E$2:$E$2500,'Chapter Data'!$A$2:$A$2500,N$2,'Chapter Data'!$D$2:$D$2500,$A34)))</f>
        <v/>
      </c>
      <c r="O34" s="19" t="str">
        <f aca="false">IF($A34="","",IF(COUNTIFS('Chapter Data'!$A$2:$A$2500,O$2,'Chapter Data'!$D$2:$D$2500,$A34,'Chapter Data'!$E$2:$E$2500,"&lt;&gt;")=0,"",SUMIFS('Chapter Data'!$E$2:$E$2500,'Chapter Data'!$A$2:$A$2500,O$2,'Chapter Data'!$D$2:$D$2500,$A34)))</f>
        <v/>
      </c>
      <c r="P34" s="19" t="str">
        <f aca="false">IF($A34="","",IF(COUNTIFS('Chapter Data'!$A$2:$A$2500,P$2,'Chapter Data'!$D$2:$D$2500,$A34,'Chapter Data'!$E$2:$E$2500,"&lt;&gt;")=0,"",SUMIFS('Chapter Data'!$E$2:$E$2500,'Chapter Data'!$A$2:$A$2500,P$2,'Chapter Data'!$D$2:$D$2500,$A34)))</f>
        <v/>
      </c>
      <c r="Q34" s="19" t="str">
        <f aca="false">IF($A34="","",IF(COUNTIFS('Chapter Data'!$A$2:$A$2500,Q$2,'Chapter Data'!$D$2:$D$2500,$A34,'Chapter Data'!$E$2:$E$2500,"&lt;&gt;")=0,"",SUMIFS('Chapter Data'!$E$2:$E$2500,'Chapter Data'!$A$2:$A$2500,Q$2,'Chapter Data'!$D$2:$D$2500,$A34)))</f>
        <v/>
      </c>
      <c r="R34" s="19" t="str">
        <f aca="false">IF($A34="","",IF(COUNTIFS('Chapter Data'!$A$2:$A$2500,R$2,'Chapter Data'!$D$2:$D$2500,$A34,'Chapter Data'!$E$2:$E$2500,"&lt;&gt;")=0,"",SUMIFS('Chapter Data'!$E$2:$E$2500,'Chapter Data'!$A$2:$A$2500,R$2,'Chapter Data'!$D$2:$D$2500,$A34)))</f>
        <v/>
      </c>
      <c r="S34" s="19" t="str">
        <f aca="false">IF($A34="","",IF(COUNTIFS('Chapter Data'!$A$2:$A$2500,S$2,'Chapter Data'!$D$2:$D$2500,$A34,'Chapter Data'!$E$2:$E$2500,"&lt;&gt;")=0,"",SUMIFS('Chapter Data'!$E$2:$E$2500,'Chapter Data'!$A$2:$A$2500,S$2,'Chapter Data'!$D$2:$D$2500,$A34)))</f>
        <v/>
      </c>
      <c r="T34" s="19" t="str">
        <f aca="false">IF($A34="","",IF(COUNTIFS('Chapter Data'!$A$2:$A$2500,T$2,'Chapter Data'!$D$2:$D$2500,$A34,'Chapter Data'!$E$2:$E$2500,"&lt;&gt;")=0,"",SUMIFS('Chapter Data'!$E$2:$E$2500,'Chapter Data'!$A$2:$A$2500,T$2,'Chapter Data'!$D$2:$D$2500,$A34)))</f>
        <v/>
      </c>
      <c r="U34" s="19" t="str">
        <f aca="false">IF($A34="","",IF(COUNTIFS('Chapter Data'!$A$2:$A$2500,U$2,'Chapter Data'!$D$2:$D$2500,$A34,'Chapter Data'!$E$2:$E$2500,"&lt;&gt;")=0,"",SUMIFS('Chapter Data'!$E$2:$E$2500,'Chapter Data'!$A$2:$A$2500,U$2,'Chapter Data'!$D$2:$D$2500,$A34)))</f>
        <v/>
      </c>
    </row>
    <row r="35" customFormat="false" ht="15" hidden="false" customHeight="false" outlineLevel="0" collapsed="false">
      <c r="A35" s="8" t="str">
        <f aca="false">IF(Lists!$D$34="","",Lists!$D$34)</f>
        <v/>
      </c>
      <c r="B35" s="19" t="str">
        <f aca="false">IF($A35="","",IF(COUNTIFS('Chapter Data'!$A$2:$A$2500,B$2,'Chapter Data'!$D$2:$D$2500,$A35,'Chapter Data'!$E$2:$E$2500,"&lt;&gt;")=0,"",SUMIFS('Chapter Data'!$E$2:$E$2500,'Chapter Data'!$A$2:$A$2500,B$2,'Chapter Data'!$D$2:$D$2500,$A35)))</f>
        <v/>
      </c>
      <c r="C35" s="19" t="str">
        <f aca="false">IF($A35="","",IF(COUNTIFS('Chapter Data'!$A$2:$A$2500,C$2,'Chapter Data'!$D$2:$D$2500,$A35,'Chapter Data'!$E$2:$E$2500,"&lt;&gt;")=0,"",SUMIFS('Chapter Data'!$E$2:$E$2500,'Chapter Data'!$A$2:$A$2500,C$2,'Chapter Data'!$D$2:$D$2500,$A35)))</f>
        <v/>
      </c>
      <c r="D35" s="19" t="str">
        <f aca="false">IF($A35="","",IF(COUNTIFS('Chapter Data'!$A$2:$A$2500,D$2,'Chapter Data'!$D$2:$D$2500,$A35,'Chapter Data'!$E$2:$E$2500,"&lt;&gt;")=0,"",SUMIFS('Chapter Data'!$E$2:$E$2500,'Chapter Data'!$A$2:$A$2500,D$2,'Chapter Data'!$D$2:$D$2500,$A35)))</f>
        <v/>
      </c>
      <c r="E35" s="19" t="str">
        <f aca="false">IF($A35="","",IF(COUNTIFS('Chapter Data'!$A$2:$A$2500,E$2,'Chapter Data'!$D$2:$D$2500,$A35,'Chapter Data'!$E$2:$E$2500,"&lt;&gt;")=0,"",SUMIFS('Chapter Data'!$E$2:$E$2500,'Chapter Data'!$A$2:$A$2500,E$2,'Chapter Data'!$D$2:$D$2500,$A35)))</f>
        <v/>
      </c>
      <c r="F35" s="19" t="str">
        <f aca="false">IF($A35="","",IF(COUNTIFS('Chapter Data'!$A$2:$A$2500,F$2,'Chapter Data'!$D$2:$D$2500,$A35,'Chapter Data'!$E$2:$E$2500,"&lt;&gt;")=0,"",SUMIFS('Chapter Data'!$E$2:$E$2500,'Chapter Data'!$A$2:$A$2500,F$2,'Chapter Data'!$D$2:$D$2500,$A35)))</f>
        <v/>
      </c>
      <c r="G35" s="19" t="str">
        <f aca="false">IF($A35="","",IF(COUNTIFS('Chapter Data'!$A$2:$A$2500,G$2,'Chapter Data'!$D$2:$D$2500,$A35,'Chapter Data'!$E$2:$E$2500,"&lt;&gt;")=0,"",SUMIFS('Chapter Data'!$E$2:$E$2500,'Chapter Data'!$A$2:$A$2500,G$2,'Chapter Data'!$D$2:$D$2500,$A35)))</f>
        <v/>
      </c>
      <c r="H35" s="19" t="str">
        <f aca="false">IF($A35="","",IF(COUNTIFS('Chapter Data'!$A$2:$A$2500,H$2,'Chapter Data'!$D$2:$D$2500,$A35,'Chapter Data'!$E$2:$E$2500,"&lt;&gt;")=0,"",SUMIFS('Chapter Data'!$E$2:$E$2500,'Chapter Data'!$A$2:$A$2500,H$2,'Chapter Data'!$D$2:$D$2500,$A35)))</f>
        <v/>
      </c>
      <c r="I35" s="19" t="str">
        <f aca="false">IF($A35="","",IF(COUNTIFS('Chapter Data'!$A$2:$A$2500,I$2,'Chapter Data'!$D$2:$D$2500,$A35,'Chapter Data'!$E$2:$E$2500,"&lt;&gt;")=0,"",SUMIFS('Chapter Data'!$E$2:$E$2500,'Chapter Data'!$A$2:$A$2500,I$2,'Chapter Data'!$D$2:$D$2500,$A35)))</f>
        <v/>
      </c>
      <c r="J35" s="19" t="str">
        <f aca="false">IF($A35="","",IF(COUNTIFS('Chapter Data'!$A$2:$A$2500,J$2,'Chapter Data'!$D$2:$D$2500,$A35,'Chapter Data'!$E$2:$E$2500,"&lt;&gt;")=0,"",SUMIFS('Chapter Data'!$E$2:$E$2500,'Chapter Data'!$A$2:$A$2500,J$2,'Chapter Data'!$D$2:$D$2500,$A35)))</f>
        <v/>
      </c>
      <c r="K35" s="19" t="str">
        <f aca="false">IF($A35="","",IF(COUNTIFS('Chapter Data'!$A$2:$A$2500,K$2,'Chapter Data'!$D$2:$D$2500,$A35,'Chapter Data'!$E$2:$E$2500,"&lt;&gt;")=0,"",SUMIFS('Chapter Data'!$E$2:$E$2500,'Chapter Data'!$A$2:$A$2500,K$2,'Chapter Data'!$D$2:$D$2500,$A35)))</f>
        <v/>
      </c>
      <c r="L35" s="19" t="str">
        <f aca="false">IF($A35="","",IF(COUNTIFS('Chapter Data'!$A$2:$A$2500,L$2,'Chapter Data'!$D$2:$D$2500,$A35,'Chapter Data'!$E$2:$E$2500,"&lt;&gt;")=0,"",SUMIFS('Chapter Data'!$E$2:$E$2500,'Chapter Data'!$A$2:$A$2500,L$2,'Chapter Data'!$D$2:$D$2500,$A35)))</f>
        <v/>
      </c>
      <c r="M35" s="19" t="str">
        <f aca="false">IF($A35="","",IF(COUNTIFS('Chapter Data'!$A$2:$A$2500,M$2,'Chapter Data'!$D$2:$D$2500,$A35,'Chapter Data'!$E$2:$E$2500,"&lt;&gt;")=0,"",SUMIFS('Chapter Data'!$E$2:$E$2500,'Chapter Data'!$A$2:$A$2500,M$2,'Chapter Data'!$D$2:$D$2500,$A35)))</f>
        <v/>
      </c>
      <c r="N35" s="19" t="str">
        <f aca="false">IF($A35="","",IF(COUNTIFS('Chapter Data'!$A$2:$A$2500,N$2,'Chapter Data'!$D$2:$D$2500,$A35,'Chapter Data'!$E$2:$E$2500,"&lt;&gt;")=0,"",SUMIFS('Chapter Data'!$E$2:$E$2500,'Chapter Data'!$A$2:$A$2500,N$2,'Chapter Data'!$D$2:$D$2500,$A35)))</f>
        <v/>
      </c>
      <c r="O35" s="19" t="str">
        <f aca="false">IF($A35="","",IF(COUNTIFS('Chapter Data'!$A$2:$A$2500,O$2,'Chapter Data'!$D$2:$D$2500,$A35,'Chapter Data'!$E$2:$E$2500,"&lt;&gt;")=0,"",SUMIFS('Chapter Data'!$E$2:$E$2500,'Chapter Data'!$A$2:$A$2500,O$2,'Chapter Data'!$D$2:$D$2500,$A35)))</f>
        <v/>
      </c>
      <c r="P35" s="19" t="str">
        <f aca="false">IF($A35="","",IF(COUNTIFS('Chapter Data'!$A$2:$A$2500,P$2,'Chapter Data'!$D$2:$D$2500,$A35,'Chapter Data'!$E$2:$E$2500,"&lt;&gt;")=0,"",SUMIFS('Chapter Data'!$E$2:$E$2500,'Chapter Data'!$A$2:$A$2500,P$2,'Chapter Data'!$D$2:$D$2500,$A35)))</f>
        <v/>
      </c>
      <c r="Q35" s="19" t="str">
        <f aca="false">IF($A35="","",IF(COUNTIFS('Chapter Data'!$A$2:$A$2500,Q$2,'Chapter Data'!$D$2:$D$2500,$A35,'Chapter Data'!$E$2:$E$2500,"&lt;&gt;")=0,"",SUMIFS('Chapter Data'!$E$2:$E$2500,'Chapter Data'!$A$2:$A$2500,Q$2,'Chapter Data'!$D$2:$D$2500,$A35)))</f>
        <v/>
      </c>
      <c r="R35" s="19" t="str">
        <f aca="false">IF($A35="","",IF(COUNTIFS('Chapter Data'!$A$2:$A$2500,R$2,'Chapter Data'!$D$2:$D$2500,$A35,'Chapter Data'!$E$2:$E$2500,"&lt;&gt;")=0,"",SUMIFS('Chapter Data'!$E$2:$E$2500,'Chapter Data'!$A$2:$A$2500,R$2,'Chapter Data'!$D$2:$D$2500,$A35)))</f>
        <v/>
      </c>
      <c r="S35" s="19" t="str">
        <f aca="false">IF($A35="","",IF(COUNTIFS('Chapter Data'!$A$2:$A$2500,S$2,'Chapter Data'!$D$2:$D$2500,$A35,'Chapter Data'!$E$2:$E$2500,"&lt;&gt;")=0,"",SUMIFS('Chapter Data'!$E$2:$E$2500,'Chapter Data'!$A$2:$A$2500,S$2,'Chapter Data'!$D$2:$D$2500,$A35)))</f>
        <v/>
      </c>
      <c r="T35" s="19" t="str">
        <f aca="false">IF($A35="","",IF(COUNTIFS('Chapter Data'!$A$2:$A$2500,T$2,'Chapter Data'!$D$2:$D$2500,$A35,'Chapter Data'!$E$2:$E$2500,"&lt;&gt;")=0,"",SUMIFS('Chapter Data'!$E$2:$E$2500,'Chapter Data'!$A$2:$A$2500,T$2,'Chapter Data'!$D$2:$D$2500,$A35)))</f>
        <v/>
      </c>
      <c r="U35" s="19" t="str">
        <f aca="false">IF($A35="","",IF(COUNTIFS('Chapter Data'!$A$2:$A$2500,U$2,'Chapter Data'!$D$2:$D$2500,$A35,'Chapter Data'!$E$2:$E$2500,"&lt;&gt;")=0,"",SUMIFS('Chapter Data'!$E$2:$E$2500,'Chapter Data'!$A$2:$A$2500,U$2,'Chapter Data'!$D$2:$D$2500,$A35)))</f>
        <v/>
      </c>
    </row>
    <row r="36" customFormat="false" ht="15" hidden="false" customHeight="false" outlineLevel="0" collapsed="false">
      <c r="A36" s="8" t="str">
        <f aca="false">IF(Lists!$D$35="","",Lists!$D$35)</f>
        <v/>
      </c>
      <c r="B36" s="19" t="str">
        <f aca="false">IF($A36="","",IF(COUNTIFS('Chapter Data'!$A$2:$A$2500,B$2,'Chapter Data'!$D$2:$D$2500,$A36,'Chapter Data'!$E$2:$E$2500,"&lt;&gt;")=0,"",SUMIFS('Chapter Data'!$E$2:$E$2500,'Chapter Data'!$A$2:$A$2500,B$2,'Chapter Data'!$D$2:$D$2500,$A36)))</f>
        <v/>
      </c>
      <c r="C36" s="19" t="str">
        <f aca="false">IF($A36="","",IF(COUNTIFS('Chapter Data'!$A$2:$A$2500,C$2,'Chapter Data'!$D$2:$D$2500,$A36,'Chapter Data'!$E$2:$E$2500,"&lt;&gt;")=0,"",SUMIFS('Chapter Data'!$E$2:$E$2500,'Chapter Data'!$A$2:$A$2500,C$2,'Chapter Data'!$D$2:$D$2500,$A36)))</f>
        <v/>
      </c>
      <c r="D36" s="19" t="str">
        <f aca="false">IF($A36="","",IF(COUNTIFS('Chapter Data'!$A$2:$A$2500,D$2,'Chapter Data'!$D$2:$D$2500,$A36,'Chapter Data'!$E$2:$E$2500,"&lt;&gt;")=0,"",SUMIFS('Chapter Data'!$E$2:$E$2500,'Chapter Data'!$A$2:$A$2500,D$2,'Chapter Data'!$D$2:$D$2500,$A36)))</f>
        <v/>
      </c>
      <c r="E36" s="19" t="str">
        <f aca="false">IF($A36="","",IF(COUNTIFS('Chapter Data'!$A$2:$A$2500,E$2,'Chapter Data'!$D$2:$D$2500,$A36,'Chapter Data'!$E$2:$E$2500,"&lt;&gt;")=0,"",SUMIFS('Chapter Data'!$E$2:$E$2500,'Chapter Data'!$A$2:$A$2500,E$2,'Chapter Data'!$D$2:$D$2500,$A36)))</f>
        <v/>
      </c>
      <c r="F36" s="19" t="str">
        <f aca="false">IF($A36="","",IF(COUNTIFS('Chapter Data'!$A$2:$A$2500,F$2,'Chapter Data'!$D$2:$D$2500,$A36,'Chapter Data'!$E$2:$E$2500,"&lt;&gt;")=0,"",SUMIFS('Chapter Data'!$E$2:$E$2500,'Chapter Data'!$A$2:$A$2500,F$2,'Chapter Data'!$D$2:$D$2500,$A36)))</f>
        <v/>
      </c>
      <c r="G36" s="19" t="str">
        <f aca="false">IF($A36="","",IF(COUNTIFS('Chapter Data'!$A$2:$A$2500,G$2,'Chapter Data'!$D$2:$D$2500,$A36,'Chapter Data'!$E$2:$E$2500,"&lt;&gt;")=0,"",SUMIFS('Chapter Data'!$E$2:$E$2500,'Chapter Data'!$A$2:$A$2500,G$2,'Chapter Data'!$D$2:$D$2500,$A36)))</f>
        <v/>
      </c>
      <c r="H36" s="19" t="str">
        <f aca="false">IF($A36="","",IF(COUNTIFS('Chapter Data'!$A$2:$A$2500,H$2,'Chapter Data'!$D$2:$D$2500,$A36,'Chapter Data'!$E$2:$E$2500,"&lt;&gt;")=0,"",SUMIFS('Chapter Data'!$E$2:$E$2500,'Chapter Data'!$A$2:$A$2500,H$2,'Chapter Data'!$D$2:$D$2500,$A36)))</f>
        <v/>
      </c>
      <c r="I36" s="19" t="str">
        <f aca="false">IF($A36="","",IF(COUNTIFS('Chapter Data'!$A$2:$A$2500,I$2,'Chapter Data'!$D$2:$D$2500,$A36,'Chapter Data'!$E$2:$E$2500,"&lt;&gt;")=0,"",SUMIFS('Chapter Data'!$E$2:$E$2500,'Chapter Data'!$A$2:$A$2500,I$2,'Chapter Data'!$D$2:$D$2500,$A36)))</f>
        <v/>
      </c>
      <c r="J36" s="19" t="str">
        <f aca="false">IF($A36="","",IF(COUNTIFS('Chapter Data'!$A$2:$A$2500,J$2,'Chapter Data'!$D$2:$D$2500,$A36,'Chapter Data'!$E$2:$E$2500,"&lt;&gt;")=0,"",SUMIFS('Chapter Data'!$E$2:$E$2500,'Chapter Data'!$A$2:$A$2500,J$2,'Chapter Data'!$D$2:$D$2500,$A36)))</f>
        <v/>
      </c>
      <c r="K36" s="19" t="str">
        <f aca="false">IF($A36="","",IF(COUNTIFS('Chapter Data'!$A$2:$A$2500,K$2,'Chapter Data'!$D$2:$D$2500,$A36,'Chapter Data'!$E$2:$E$2500,"&lt;&gt;")=0,"",SUMIFS('Chapter Data'!$E$2:$E$2500,'Chapter Data'!$A$2:$A$2500,K$2,'Chapter Data'!$D$2:$D$2500,$A36)))</f>
        <v/>
      </c>
      <c r="L36" s="19" t="str">
        <f aca="false">IF($A36="","",IF(COUNTIFS('Chapter Data'!$A$2:$A$2500,L$2,'Chapter Data'!$D$2:$D$2500,$A36,'Chapter Data'!$E$2:$E$2500,"&lt;&gt;")=0,"",SUMIFS('Chapter Data'!$E$2:$E$2500,'Chapter Data'!$A$2:$A$2500,L$2,'Chapter Data'!$D$2:$D$2500,$A36)))</f>
        <v/>
      </c>
      <c r="M36" s="19" t="str">
        <f aca="false">IF($A36="","",IF(COUNTIFS('Chapter Data'!$A$2:$A$2500,M$2,'Chapter Data'!$D$2:$D$2500,$A36,'Chapter Data'!$E$2:$E$2500,"&lt;&gt;")=0,"",SUMIFS('Chapter Data'!$E$2:$E$2500,'Chapter Data'!$A$2:$A$2500,M$2,'Chapter Data'!$D$2:$D$2500,$A36)))</f>
        <v/>
      </c>
      <c r="N36" s="19" t="str">
        <f aca="false">IF($A36="","",IF(COUNTIFS('Chapter Data'!$A$2:$A$2500,N$2,'Chapter Data'!$D$2:$D$2500,$A36,'Chapter Data'!$E$2:$E$2500,"&lt;&gt;")=0,"",SUMIFS('Chapter Data'!$E$2:$E$2500,'Chapter Data'!$A$2:$A$2500,N$2,'Chapter Data'!$D$2:$D$2500,$A36)))</f>
        <v/>
      </c>
      <c r="O36" s="19" t="str">
        <f aca="false">IF($A36="","",IF(COUNTIFS('Chapter Data'!$A$2:$A$2500,O$2,'Chapter Data'!$D$2:$D$2500,$A36,'Chapter Data'!$E$2:$E$2500,"&lt;&gt;")=0,"",SUMIFS('Chapter Data'!$E$2:$E$2500,'Chapter Data'!$A$2:$A$2500,O$2,'Chapter Data'!$D$2:$D$2500,$A36)))</f>
        <v/>
      </c>
      <c r="P36" s="19" t="str">
        <f aca="false">IF($A36="","",IF(COUNTIFS('Chapter Data'!$A$2:$A$2500,P$2,'Chapter Data'!$D$2:$D$2500,$A36,'Chapter Data'!$E$2:$E$2500,"&lt;&gt;")=0,"",SUMIFS('Chapter Data'!$E$2:$E$2500,'Chapter Data'!$A$2:$A$2500,P$2,'Chapter Data'!$D$2:$D$2500,$A36)))</f>
        <v/>
      </c>
      <c r="Q36" s="19" t="str">
        <f aca="false">IF($A36="","",IF(COUNTIFS('Chapter Data'!$A$2:$A$2500,Q$2,'Chapter Data'!$D$2:$D$2500,$A36,'Chapter Data'!$E$2:$E$2500,"&lt;&gt;")=0,"",SUMIFS('Chapter Data'!$E$2:$E$2500,'Chapter Data'!$A$2:$A$2500,Q$2,'Chapter Data'!$D$2:$D$2500,$A36)))</f>
        <v/>
      </c>
      <c r="R36" s="19" t="str">
        <f aca="false">IF($A36="","",IF(COUNTIFS('Chapter Data'!$A$2:$A$2500,R$2,'Chapter Data'!$D$2:$D$2500,$A36,'Chapter Data'!$E$2:$E$2500,"&lt;&gt;")=0,"",SUMIFS('Chapter Data'!$E$2:$E$2500,'Chapter Data'!$A$2:$A$2500,R$2,'Chapter Data'!$D$2:$D$2500,$A36)))</f>
        <v/>
      </c>
      <c r="S36" s="19" t="str">
        <f aca="false">IF($A36="","",IF(COUNTIFS('Chapter Data'!$A$2:$A$2500,S$2,'Chapter Data'!$D$2:$D$2500,$A36,'Chapter Data'!$E$2:$E$2500,"&lt;&gt;")=0,"",SUMIFS('Chapter Data'!$E$2:$E$2500,'Chapter Data'!$A$2:$A$2500,S$2,'Chapter Data'!$D$2:$D$2500,$A36)))</f>
        <v/>
      </c>
      <c r="T36" s="19" t="str">
        <f aca="false">IF($A36="","",IF(COUNTIFS('Chapter Data'!$A$2:$A$2500,T$2,'Chapter Data'!$D$2:$D$2500,$A36,'Chapter Data'!$E$2:$E$2500,"&lt;&gt;")=0,"",SUMIFS('Chapter Data'!$E$2:$E$2500,'Chapter Data'!$A$2:$A$2500,T$2,'Chapter Data'!$D$2:$D$2500,$A36)))</f>
        <v/>
      </c>
      <c r="U36" s="19" t="str">
        <f aca="false">IF($A36="","",IF(COUNTIFS('Chapter Data'!$A$2:$A$2500,U$2,'Chapter Data'!$D$2:$D$2500,$A36,'Chapter Data'!$E$2:$E$2500,"&lt;&gt;")=0,"",SUMIFS('Chapter Data'!$E$2:$E$2500,'Chapter Data'!$A$2:$A$2500,U$2,'Chapter Data'!$D$2:$D$2500,$A36)))</f>
        <v/>
      </c>
    </row>
    <row r="37" customFormat="false" ht="15" hidden="false" customHeight="false" outlineLevel="0" collapsed="false">
      <c r="A37" s="8" t="str">
        <f aca="false">IF(Lists!$D$36="","",Lists!$D$36)</f>
        <v/>
      </c>
      <c r="B37" s="19" t="str">
        <f aca="false">IF($A37="","",IF(COUNTIFS('Chapter Data'!$A$2:$A$2500,B$2,'Chapter Data'!$D$2:$D$2500,$A37,'Chapter Data'!$E$2:$E$2500,"&lt;&gt;")=0,"",SUMIFS('Chapter Data'!$E$2:$E$2500,'Chapter Data'!$A$2:$A$2500,B$2,'Chapter Data'!$D$2:$D$2500,$A37)))</f>
        <v/>
      </c>
      <c r="C37" s="19" t="str">
        <f aca="false">IF($A37="","",IF(COUNTIFS('Chapter Data'!$A$2:$A$2500,C$2,'Chapter Data'!$D$2:$D$2500,$A37,'Chapter Data'!$E$2:$E$2500,"&lt;&gt;")=0,"",SUMIFS('Chapter Data'!$E$2:$E$2500,'Chapter Data'!$A$2:$A$2500,C$2,'Chapter Data'!$D$2:$D$2500,$A37)))</f>
        <v/>
      </c>
      <c r="D37" s="19" t="str">
        <f aca="false">IF($A37="","",IF(COUNTIFS('Chapter Data'!$A$2:$A$2500,D$2,'Chapter Data'!$D$2:$D$2500,$A37,'Chapter Data'!$E$2:$E$2500,"&lt;&gt;")=0,"",SUMIFS('Chapter Data'!$E$2:$E$2500,'Chapter Data'!$A$2:$A$2500,D$2,'Chapter Data'!$D$2:$D$2500,$A37)))</f>
        <v/>
      </c>
      <c r="E37" s="19" t="str">
        <f aca="false">IF($A37="","",IF(COUNTIFS('Chapter Data'!$A$2:$A$2500,E$2,'Chapter Data'!$D$2:$D$2500,$A37,'Chapter Data'!$E$2:$E$2500,"&lt;&gt;")=0,"",SUMIFS('Chapter Data'!$E$2:$E$2500,'Chapter Data'!$A$2:$A$2500,E$2,'Chapter Data'!$D$2:$D$2500,$A37)))</f>
        <v/>
      </c>
      <c r="F37" s="19" t="str">
        <f aca="false">IF($A37="","",IF(COUNTIFS('Chapter Data'!$A$2:$A$2500,F$2,'Chapter Data'!$D$2:$D$2500,$A37,'Chapter Data'!$E$2:$E$2500,"&lt;&gt;")=0,"",SUMIFS('Chapter Data'!$E$2:$E$2500,'Chapter Data'!$A$2:$A$2500,F$2,'Chapter Data'!$D$2:$D$2500,$A37)))</f>
        <v/>
      </c>
      <c r="G37" s="19" t="str">
        <f aca="false">IF($A37="","",IF(COUNTIFS('Chapter Data'!$A$2:$A$2500,G$2,'Chapter Data'!$D$2:$D$2500,$A37,'Chapter Data'!$E$2:$E$2500,"&lt;&gt;")=0,"",SUMIFS('Chapter Data'!$E$2:$E$2500,'Chapter Data'!$A$2:$A$2500,G$2,'Chapter Data'!$D$2:$D$2500,$A37)))</f>
        <v/>
      </c>
      <c r="H37" s="19" t="str">
        <f aca="false">IF($A37="","",IF(COUNTIFS('Chapter Data'!$A$2:$A$2500,H$2,'Chapter Data'!$D$2:$D$2500,$A37,'Chapter Data'!$E$2:$E$2500,"&lt;&gt;")=0,"",SUMIFS('Chapter Data'!$E$2:$E$2500,'Chapter Data'!$A$2:$A$2500,H$2,'Chapter Data'!$D$2:$D$2500,$A37)))</f>
        <v/>
      </c>
      <c r="I37" s="19" t="str">
        <f aca="false">IF($A37="","",IF(COUNTIFS('Chapter Data'!$A$2:$A$2500,I$2,'Chapter Data'!$D$2:$D$2500,$A37,'Chapter Data'!$E$2:$E$2500,"&lt;&gt;")=0,"",SUMIFS('Chapter Data'!$E$2:$E$2500,'Chapter Data'!$A$2:$A$2500,I$2,'Chapter Data'!$D$2:$D$2500,$A37)))</f>
        <v/>
      </c>
      <c r="J37" s="19" t="str">
        <f aca="false">IF($A37="","",IF(COUNTIFS('Chapter Data'!$A$2:$A$2500,J$2,'Chapter Data'!$D$2:$D$2500,$A37,'Chapter Data'!$E$2:$E$2500,"&lt;&gt;")=0,"",SUMIFS('Chapter Data'!$E$2:$E$2500,'Chapter Data'!$A$2:$A$2500,J$2,'Chapter Data'!$D$2:$D$2500,$A37)))</f>
        <v/>
      </c>
      <c r="K37" s="19" t="str">
        <f aca="false">IF($A37="","",IF(COUNTIFS('Chapter Data'!$A$2:$A$2500,K$2,'Chapter Data'!$D$2:$D$2500,$A37,'Chapter Data'!$E$2:$E$2500,"&lt;&gt;")=0,"",SUMIFS('Chapter Data'!$E$2:$E$2500,'Chapter Data'!$A$2:$A$2500,K$2,'Chapter Data'!$D$2:$D$2500,$A37)))</f>
        <v/>
      </c>
      <c r="L37" s="19" t="str">
        <f aca="false">IF($A37="","",IF(COUNTIFS('Chapter Data'!$A$2:$A$2500,L$2,'Chapter Data'!$D$2:$D$2500,$A37,'Chapter Data'!$E$2:$E$2500,"&lt;&gt;")=0,"",SUMIFS('Chapter Data'!$E$2:$E$2500,'Chapter Data'!$A$2:$A$2500,L$2,'Chapter Data'!$D$2:$D$2500,$A37)))</f>
        <v/>
      </c>
      <c r="M37" s="19" t="str">
        <f aca="false">IF($A37="","",IF(COUNTIFS('Chapter Data'!$A$2:$A$2500,M$2,'Chapter Data'!$D$2:$D$2500,$A37,'Chapter Data'!$E$2:$E$2500,"&lt;&gt;")=0,"",SUMIFS('Chapter Data'!$E$2:$E$2500,'Chapter Data'!$A$2:$A$2500,M$2,'Chapter Data'!$D$2:$D$2500,$A37)))</f>
        <v/>
      </c>
      <c r="N37" s="19" t="str">
        <f aca="false">IF($A37="","",IF(COUNTIFS('Chapter Data'!$A$2:$A$2500,N$2,'Chapter Data'!$D$2:$D$2500,$A37,'Chapter Data'!$E$2:$E$2500,"&lt;&gt;")=0,"",SUMIFS('Chapter Data'!$E$2:$E$2500,'Chapter Data'!$A$2:$A$2500,N$2,'Chapter Data'!$D$2:$D$2500,$A37)))</f>
        <v/>
      </c>
      <c r="O37" s="19" t="str">
        <f aca="false">IF($A37="","",IF(COUNTIFS('Chapter Data'!$A$2:$A$2500,O$2,'Chapter Data'!$D$2:$D$2500,$A37,'Chapter Data'!$E$2:$E$2500,"&lt;&gt;")=0,"",SUMIFS('Chapter Data'!$E$2:$E$2500,'Chapter Data'!$A$2:$A$2500,O$2,'Chapter Data'!$D$2:$D$2500,$A37)))</f>
        <v/>
      </c>
      <c r="P37" s="19" t="str">
        <f aca="false">IF($A37="","",IF(COUNTIFS('Chapter Data'!$A$2:$A$2500,P$2,'Chapter Data'!$D$2:$D$2500,$A37,'Chapter Data'!$E$2:$E$2500,"&lt;&gt;")=0,"",SUMIFS('Chapter Data'!$E$2:$E$2500,'Chapter Data'!$A$2:$A$2500,P$2,'Chapter Data'!$D$2:$D$2500,$A37)))</f>
        <v/>
      </c>
      <c r="Q37" s="19" t="str">
        <f aca="false">IF($A37="","",IF(COUNTIFS('Chapter Data'!$A$2:$A$2500,Q$2,'Chapter Data'!$D$2:$D$2500,$A37,'Chapter Data'!$E$2:$E$2500,"&lt;&gt;")=0,"",SUMIFS('Chapter Data'!$E$2:$E$2500,'Chapter Data'!$A$2:$A$2500,Q$2,'Chapter Data'!$D$2:$D$2500,$A37)))</f>
        <v/>
      </c>
      <c r="R37" s="19" t="str">
        <f aca="false">IF($A37="","",IF(COUNTIFS('Chapter Data'!$A$2:$A$2500,R$2,'Chapter Data'!$D$2:$D$2500,$A37,'Chapter Data'!$E$2:$E$2500,"&lt;&gt;")=0,"",SUMIFS('Chapter Data'!$E$2:$E$2500,'Chapter Data'!$A$2:$A$2500,R$2,'Chapter Data'!$D$2:$D$2500,$A37)))</f>
        <v/>
      </c>
      <c r="S37" s="19" t="str">
        <f aca="false">IF($A37="","",IF(COUNTIFS('Chapter Data'!$A$2:$A$2500,S$2,'Chapter Data'!$D$2:$D$2500,$A37,'Chapter Data'!$E$2:$E$2500,"&lt;&gt;")=0,"",SUMIFS('Chapter Data'!$E$2:$E$2500,'Chapter Data'!$A$2:$A$2500,S$2,'Chapter Data'!$D$2:$D$2500,$A37)))</f>
        <v/>
      </c>
      <c r="T37" s="19" t="str">
        <f aca="false">IF($A37="","",IF(COUNTIFS('Chapter Data'!$A$2:$A$2500,T$2,'Chapter Data'!$D$2:$D$2500,$A37,'Chapter Data'!$E$2:$E$2500,"&lt;&gt;")=0,"",SUMIFS('Chapter Data'!$E$2:$E$2500,'Chapter Data'!$A$2:$A$2500,T$2,'Chapter Data'!$D$2:$D$2500,$A37)))</f>
        <v/>
      </c>
      <c r="U37" s="19" t="str">
        <f aca="false">IF($A37="","",IF(COUNTIFS('Chapter Data'!$A$2:$A$2500,U$2,'Chapter Data'!$D$2:$D$2500,$A37,'Chapter Data'!$E$2:$E$2500,"&lt;&gt;")=0,"",SUMIFS('Chapter Data'!$E$2:$E$2500,'Chapter Data'!$A$2:$A$2500,U$2,'Chapter Data'!$D$2:$D$2500,$A37)))</f>
        <v/>
      </c>
    </row>
    <row r="39" customFormat="false" ht="15" hidden="false" customHeight="false" outlineLevel="0" collapsed="false">
      <c r="A39" s="2" t="s">
        <v>237</v>
      </c>
      <c r="B39" s="34" t="n">
        <f aca="false">COUNT(B$3:B$37)</f>
        <v>25</v>
      </c>
      <c r="C39" s="34" t="n">
        <f aca="false">COUNT(C$3:C$37)</f>
        <v>25</v>
      </c>
      <c r="D39" s="34" t="n">
        <f aca="false">COUNT(D$3:D$37)</f>
        <v>27</v>
      </c>
      <c r="E39" s="34" t="n">
        <f aca="false">COUNT(E$3:E$37)</f>
        <v>28</v>
      </c>
      <c r="F39" s="34" t="n">
        <f aca="false">COUNT(F$3:F$37)</f>
        <v>26</v>
      </c>
      <c r="G39" s="34" t="n">
        <f aca="false">COUNT(G$3:G$37)</f>
        <v>26</v>
      </c>
      <c r="H39" s="34" t="n">
        <f aca="false">COUNT(H$3:H$37)</f>
        <v>25</v>
      </c>
      <c r="I39" s="34" t="n">
        <f aca="false">COUNT(I$3:I$37)</f>
        <v>25</v>
      </c>
      <c r="J39" s="34" t="n">
        <f aca="false">COUNT(J$3:J$37)</f>
        <v>24</v>
      </c>
      <c r="K39" s="34" t="n">
        <f aca="false">COUNT(K$3:K$37)</f>
        <v>25</v>
      </c>
      <c r="L39" s="34" t="n">
        <f aca="false">COUNT(L$3:L$37)</f>
        <v>25</v>
      </c>
      <c r="M39" s="34" t="n">
        <f aca="false">COUNT(M$3:M$37)</f>
        <v>25</v>
      </c>
      <c r="N39" s="34" t="n">
        <f aca="false">COUNT(N$3:N$37)</f>
        <v>26</v>
      </c>
      <c r="O39" s="34" t="n">
        <f aca="false">COUNT(O$3:O$37)</f>
        <v>24</v>
      </c>
      <c r="P39" s="34" t="n">
        <f aca="false">COUNT(P$3:P$37)</f>
        <v>25</v>
      </c>
      <c r="Q39" s="34" t="n">
        <f aca="false">COUNT(Q$3:Q$37)</f>
        <v>23</v>
      </c>
      <c r="R39" s="34" t="n">
        <f aca="false">COUNT(R$3:R$37)</f>
        <v>0</v>
      </c>
      <c r="S39" s="34" t="n">
        <f aca="false">COUNT(S$3:S$37)</f>
        <v>0</v>
      </c>
      <c r="T39" s="34" t="n">
        <f aca="false">COUNT(T$3:T$37)</f>
        <v>0</v>
      </c>
      <c r="U39" s="34" t="n">
        <f aca="false">COUNT(U$3:U$37)</f>
        <v>0</v>
      </c>
    </row>
    <row r="40" customFormat="false" ht="15" hidden="false" customHeight="false" outlineLevel="0" collapsed="false">
      <c r="A40" s="2" t="s">
        <v>238</v>
      </c>
      <c r="B40" s="34" t="n">
        <f aca="false">IF(COUNT(B$3:B$37)&gt;=MinChapters,SUM(B$3:B$37),"")</f>
        <v>1641</v>
      </c>
      <c r="C40" s="34" t="n">
        <f aca="false">IF(COUNT(C$3:C$37)&gt;=MinChapters,SUM(C$3:C$37),"")</f>
        <v>1601</v>
      </c>
      <c r="D40" s="34" t="n">
        <f aca="false">IF(COUNT(D$3:D$37)&gt;=MinChapters,SUM(D$3:D$37),"")</f>
        <v>1940</v>
      </c>
      <c r="E40" s="34" t="n">
        <f aca="false">IF(COUNT(E$3:E$37)&gt;=MinChapters,SUM(E$3:E$37),"")</f>
        <v>1813</v>
      </c>
      <c r="F40" s="34" t="n">
        <f aca="false">IF(COUNT(F$3:F$37)&gt;=MinChapters,SUM(F$3:F$37),"")</f>
        <v>1873</v>
      </c>
      <c r="G40" s="34" t="n">
        <f aca="false">IF(COUNT(G$3:G$37)&gt;=MinChapters,SUM(G$3:G$37),"")</f>
        <v>1788</v>
      </c>
      <c r="H40" s="34" t="n">
        <f aca="false">IF(COUNT(H$3:H$37)&gt;=MinChapters,SUM(H$3:H$37),"")</f>
        <v>1759</v>
      </c>
      <c r="I40" s="34" t="n">
        <f aca="false">IF(COUNT(I$3:I$37)&gt;=MinChapters,SUM(I$3:I$37),"")</f>
        <v>1714</v>
      </c>
      <c r="J40" s="34" t="n">
        <f aca="false">IF(COUNT(J$3:J$37)&gt;=MinChapters,SUM(J$3:J$37),"")</f>
        <v>1782</v>
      </c>
      <c r="K40" s="34" t="n">
        <f aca="false">IF(COUNT(K$3:K$37)&gt;=MinChapters,SUM(K$3:K$37),"")</f>
        <v>1693</v>
      </c>
      <c r="L40" s="34" t="n">
        <f aca="false">IF(COUNT(L$3:L$37)&gt;=MinChapters,SUM(L$3:L$37),"")</f>
        <v>1808</v>
      </c>
      <c r="M40" s="34" t="n">
        <f aca="false">IF(COUNT(M$3:M$37)&gt;=MinChapters,SUM(M$3:M$37),"")</f>
        <v>1759</v>
      </c>
      <c r="N40" s="34" t="n">
        <f aca="false">IF(COUNT(N$3:N$37)&gt;=MinChapters,SUM(N$3:N$37),"")</f>
        <v>1904</v>
      </c>
      <c r="O40" s="34" t="n">
        <f aca="false">IF(COUNT(O$3:O$37)&gt;=MinChapters,SUM(O$3:O$37),"")</f>
        <v>1882</v>
      </c>
      <c r="P40" s="34" t="n">
        <f aca="false">IF(COUNT(P$3:P$37)&gt;=MinChapters,SUM(P$3:P$37),"")</f>
        <v>1980</v>
      </c>
      <c r="Q40" s="34" t="n">
        <f aca="false">IF(COUNT(Q$3:Q$37)&gt;=MinChapters,SUM(Q$3:Q$37),"")</f>
        <v>1756</v>
      </c>
      <c r="R40" s="34" t="str">
        <f aca="false">IF(COUNT(R$3:R$37)&gt;=MinChapters,SUM(R$3:R$37),"")</f>
        <v/>
      </c>
      <c r="S40" s="34" t="str">
        <f aca="false">IF(COUNT(S$3:S$37)&gt;=MinChapters,SUM(S$3:S$37),"")</f>
        <v/>
      </c>
      <c r="T40" s="34" t="str">
        <f aca="false">IF(COUNT(T$3:T$37)&gt;=MinChapters,SUM(T$3:T$37),"")</f>
        <v/>
      </c>
      <c r="U40" s="34" t="str">
        <f aca="false">IF(COUNT(U$3:U$37)&gt;=MinChapters,SUM(U$3:U$37),"")</f>
        <v/>
      </c>
    </row>
    <row r="41" customFormat="false" ht="15" hidden="false" customHeight="false" outlineLevel="0" collapsed="false">
      <c r="A41" s="2" t="s">
        <v>239</v>
      </c>
      <c r="B41" s="38" t="n">
        <f aca="false">IF(COUNT(B$3:B$37)&gt;=MinChapters,AVERAGE(B$3:B$37),"")</f>
        <v>65.64</v>
      </c>
      <c r="C41" s="38" t="n">
        <f aca="false">IF(COUNT(C$3:C$37)&gt;=MinChapters,AVERAGE(C$3:C$37),"")</f>
        <v>64.04</v>
      </c>
      <c r="D41" s="38" t="n">
        <f aca="false">IF(COUNT(D$3:D$37)&gt;=MinChapters,AVERAGE(D$3:D$37),"")</f>
        <v>71.8518518518519</v>
      </c>
      <c r="E41" s="38" t="n">
        <f aca="false">IF(COUNT(E$3:E$37)&gt;=MinChapters,AVERAGE(E$3:E$37),"")</f>
        <v>64.75</v>
      </c>
      <c r="F41" s="38" t="n">
        <f aca="false">IF(COUNT(F$3:F$37)&gt;=MinChapters,AVERAGE(F$3:F$37),"")</f>
        <v>72.0384615384615</v>
      </c>
      <c r="G41" s="38" t="n">
        <f aca="false">IF(COUNT(G$3:G$37)&gt;=MinChapters,AVERAGE(G$3:G$37),"")</f>
        <v>68.7692307692308</v>
      </c>
      <c r="H41" s="38" t="n">
        <f aca="false">IF(COUNT(H$3:H$37)&gt;=MinChapters,AVERAGE(H$3:H$37),"")</f>
        <v>70.36</v>
      </c>
      <c r="I41" s="38" t="n">
        <f aca="false">IF(COUNT(I$3:I$37)&gt;=MinChapters,AVERAGE(I$3:I$37),"")</f>
        <v>68.56</v>
      </c>
      <c r="J41" s="38" t="n">
        <f aca="false">IF(COUNT(J$3:J$37)&gt;=MinChapters,AVERAGE(J$3:J$37),"")</f>
        <v>74.25</v>
      </c>
      <c r="K41" s="38" t="n">
        <f aca="false">IF(COUNT(K$3:K$37)&gt;=MinChapters,AVERAGE(K$3:K$37),"")</f>
        <v>67.72</v>
      </c>
      <c r="L41" s="38" t="n">
        <f aca="false">IF(COUNT(L$3:L$37)&gt;=MinChapters,AVERAGE(L$3:L$37),"")</f>
        <v>72.32</v>
      </c>
      <c r="M41" s="38" t="n">
        <f aca="false">IF(COUNT(M$3:M$37)&gt;=MinChapters,AVERAGE(M$3:M$37),"")</f>
        <v>70.36</v>
      </c>
      <c r="N41" s="38" t="n">
        <f aca="false">IF(COUNT(N$3:N$37)&gt;=MinChapters,AVERAGE(N$3:N$37),"")</f>
        <v>73.2307692307692</v>
      </c>
      <c r="O41" s="38" t="n">
        <f aca="false">IF(COUNT(O$3:O$37)&gt;=MinChapters,AVERAGE(O$3:O$37),"")</f>
        <v>78.4166666666667</v>
      </c>
      <c r="P41" s="38" t="n">
        <f aca="false">IF(COUNT(P$3:P$37)&gt;=MinChapters,AVERAGE(P$3:P$37),"")</f>
        <v>79.2</v>
      </c>
      <c r="Q41" s="38" t="n">
        <f aca="false">IF(COUNT(Q$3:Q$37)&gt;=MinChapters,AVERAGE(Q$3:Q$37),"")</f>
        <v>76.3478260869565</v>
      </c>
      <c r="R41" s="38" t="str">
        <f aca="false">IF(COUNT(R$3:R$37)&gt;=MinChapters,AVERAGE(R$3:R$37),"")</f>
        <v/>
      </c>
      <c r="S41" s="38" t="str">
        <f aca="false">IF(COUNT(S$3:S$37)&gt;=MinChapters,AVERAGE(S$3:S$37),"")</f>
        <v/>
      </c>
      <c r="T41" s="38" t="str">
        <f aca="false">IF(COUNT(T$3:T$37)&gt;=MinChapters,AVERAGE(T$3:T$37),"")</f>
        <v/>
      </c>
      <c r="U41" s="38" t="str">
        <f aca="false">IF(COUNT(U$3:U$37)&gt;=MinChapters,AVERAGE(U$3:U$37),"")</f>
        <v/>
      </c>
    </row>
    <row r="42" customFormat="false" ht="15" hidden="false" customHeight="false" outlineLevel="0" collapsed="false">
      <c r="A42" s="2" t="s">
        <v>231</v>
      </c>
      <c r="B42" s="38" t="n">
        <f aca="false">IF(COUNT(B$3:B$37)&gt;=MinChapters,MEDIAN(B$3:B$37),"")</f>
        <v>62</v>
      </c>
      <c r="C42" s="38" t="n">
        <f aca="false">IF(COUNT(C$3:C$37)&gt;=MinChapters,MEDIAN(C$3:C$37),"")</f>
        <v>64</v>
      </c>
      <c r="D42" s="38" t="n">
        <f aca="false">IF(COUNT(D$3:D$37)&gt;=MinChapters,MEDIAN(D$3:D$37),"")</f>
        <v>83</v>
      </c>
      <c r="E42" s="38" t="n">
        <f aca="false">IF(COUNT(E$3:E$37)&gt;=MinChapters,MEDIAN(E$3:E$37),"")</f>
        <v>75.5</v>
      </c>
      <c r="F42" s="38" t="n">
        <f aca="false">IF(COUNT(F$3:F$37)&gt;=MinChapters,MEDIAN(F$3:F$37),"")</f>
        <v>77.5</v>
      </c>
      <c r="G42" s="38" t="n">
        <f aca="false">IF(COUNT(G$3:G$37)&gt;=MinChapters,MEDIAN(G$3:G$37),"")</f>
        <v>74</v>
      </c>
      <c r="H42" s="38" t="n">
        <f aca="false">IF(COUNT(H$3:H$37)&gt;=MinChapters,MEDIAN(H$3:H$37),"")</f>
        <v>74</v>
      </c>
      <c r="I42" s="38" t="n">
        <f aca="false">IF(COUNT(I$3:I$37)&gt;=MinChapters,MEDIAN(I$3:I$37),"")</f>
        <v>68</v>
      </c>
      <c r="J42" s="38" t="n">
        <f aca="false">IF(COUNT(J$3:J$37)&gt;=MinChapters,MEDIAN(J$3:J$37),"")</f>
        <v>77</v>
      </c>
      <c r="K42" s="38" t="n">
        <f aca="false">IF(COUNT(K$3:K$37)&gt;=MinChapters,MEDIAN(K$3:K$37),"")</f>
        <v>71</v>
      </c>
      <c r="L42" s="38" t="n">
        <f aca="false">IF(COUNT(L$3:L$37)&gt;=MinChapters,MEDIAN(L$3:L$37),"")</f>
        <v>66</v>
      </c>
      <c r="M42" s="38" t="n">
        <f aca="false">IF(COUNT(M$3:M$37)&gt;=MinChapters,MEDIAN(M$3:M$37),"")</f>
        <v>68</v>
      </c>
      <c r="N42" s="38" t="n">
        <f aca="false">IF(COUNT(N$3:N$37)&gt;=MinChapters,MEDIAN(N$3:N$37),"")</f>
        <v>66.5</v>
      </c>
      <c r="O42" s="38" t="n">
        <f aca="false">IF(COUNT(O$3:O$37)&gt;=MinChapters,MEDIAN(O$3:O$37),"")</f>
        <v>83</v>
      </c>
      <c r="P42" s="38" t="n">
        <f aca="false">IF(COUNT(P$3:P$37)&gt;=MinChapters,MEDIAN(P$3:P$37),"")</f>
        <v>87</v>
      </c>
      <c r="Q42" s="38" t="n">
        <f aca="false">IF(COUNT(Q$3:Q$37)&gt;=MinChapters,MEDIAN(Q$3:Q$37),"")</f>
        <v>78</v>
      </c>
      <c r="R42" s="38" t="str">
        <f aca="false">IF(COUNT(R$3:R$37)&gt;=MinChapters,MEDIAN(R$3:R$37),"")</f>
        <v/>
      </c>
      <c r="S42" s="38" t="str">
        <f aca="false">IF(COUNT(S$3:S$37)&gt;=MinChapters,MEDIAN(S$3:S$37),"")</f>
        <v/>
      </c>
      <c r="T42" s="38" t="str">
        <f aca="false">IF(COUNT(T$3:T$37)&gt;=MinChapters,MEDIAN(T$3:T$37),"")</f>
        <v/>
      </c>
      <c r="U42" s="38" t="str">
        <f aca="false">IF(COUNT(U$3:U$37)&gt;=MinChapters,MEDIAN(U$3:U$37),"")</f>
        <v/>
      </c>
    </row>
    <row r="43" customFormat="false" ht="15" hidden="false" customHeight="false" outlineLevel="0" collapsed="false">
      <c r="A43" s="2" t="s">
        <v>4</v>
      </c>
      <c r="B43" s="34" t="n">
        <f aca="false">IFERROR(IF(INDEX(B$3:B$37,MATCH(OurChapter,$A$3:$A$37,0))="","",INDEX(B$3:B$37,MATCH(OurChapter,$A$3:$A$37,0))),"")</f>
        <v>62</v>
      </c>
      <c r="C43" s="34" t="n">
        <f aca="false">IFERROR(IF(INDEX(C$3:C$37,MATCH(OurChapter,$A$3:$A$37,0))="","",INDEX(C$3:C$37,MATCH(OurChapter,$A$3:$A$37,0))),"")</f>
        <v>64</v>
      </c>
      <c r="D43" s="34" t="n">
        <f aca="false">IFERROR(IF(INDEX(D$3:D$37,MATCH(OurChapter,$A$3:$A$37,0))="","",INDEX(D$3:D$37,MATCH(OurChapter,$A$3:$A$37,0))),"")</f>
        <v>86</v>
      </c>
      <c r="E43" s="34" t="n">
        <f aca="false">IFERROR(IF(INDEX(E$3:E$37,MATCH(OurChapter,$A$3:$A$37,0))="","",INDEX(E$3:E$37,MATCH(OurChapter,$A$3:$A$37,0))),"")</f>
        <v>73</v>
      </c>
      <c r="F43" s="34" t="n">
        <f aca="false">IFERROR(IF(INDEX(F$3:F$37,MATCH(OurChapter,$A$3:$A$37,0))="","",INDEX(F$3:F$37,MATCH(OurChapter,$A$3:$A$37,0))),"")</f>
        <v>78</v>
      </c>
      <c r="G43" s="34" t="n">
        <f aca="false">IFERROR(IF(INDEX(G$3:G$37,MATCH(OurChapter,$A$3:$A$37,0))="","",INDEX(G$3:G$37,MATCH(OurChapter,$A$3:$A$37,0))),"")</f>
        <v>74</v>
      </c>
      <c r="H43" s="34" t="n">
        <f aca="false">IFERROR(IF(INDEX(H$3:H$37,MATCH(OurChapter,$A$3:$A$37,0))="","",INDEX(H$3:H$37,MATCH(OurChapter,$A$3:$A$37,0))),"")</f>
        <v>74</v>
      </c>
      <c r="I43" s="34" t="n">
        <f aca="false">IFERROR(IF(INDEX(I$3:I$37,MATCH(OurChapter,$A$3:$A$37,0))="","",INDEX(I$3:I$37,MATCH(OurChapter,$A$3:$A$37,0))),"")</f>
        <v>68</v>
      </c>
      <c r="J43" s="34" t="n">
        <f aca="false">IFERROR(IF(INDEX(J$3:J$37,MATCH(OurChapter,$A$3:$A$37,0))="","",INDEX(J$3:J$37,MATCH(OurChapter,$A$3:$A$37,0))),"")</f>
        <v>71</v>
      </c>
      <c r="K43" s="34" t="n">
        <f aca="false">IFERROR(IF(INDEX(K$3:K$37,MATCH(OurChapter,$A$3:$A$37,0))="","",INDEX(K$3:K$37,MATCH(OurChapter,$A$3:$A$37,0))),"")</f>
        <v>71</v>
      </c>
      <c r="L43" s="34" t="n">
        <f aca="false">IFERROR(IF(INDEX(L$3:L$37,MATCH(OurChapter,$A$3:$A$37,0))="","",INDEX(L$3:L$37,MATCH(OurChapter,$A$3:$A$37,0))),"")</f>
        <v>60</v>
      </c>
      <c r="M43" s="34" t="n">
        <f aca="false">IFERROR(IF(INDEX(M$3:M$37,MATCH(OurChapter,$A$3:$A$37,0))="","",INDEX(M$3:M$37,MATCH(OurChapter,$A$3:$A$37,0))),"")</f>
        <v>48</v>
      </c>
      <c r="N43" s="34" t="n">
        <f aca="false">IFERROR(IF(INDEX(N$3:N$37,MATCH(OurChapter,$A$3:$A$37,0))="","",INDEX(N$3:N$37,MATCH(OurChapter,$A$3:$A$37,0))),"")</f>
        <v>48</v>
      </c>
      <c r="O43" s="34" t="n">
        <f aca="false">IFERROR(IF(INDEX(O$3:O$37,MATCH(OurChapter,$A$3:$A$37,0))="","",INDEX(O$3:O$37,MATCH(OurChapter,$A$3:$A$37,0))),"")</f>
        <v>48</v>
      </c>
      <c r="P43" s="34" t="n">
        <f aca="false">IFERROR(IF(INDEX(P$3:P$37,MATCH(OurChapter,$A$3:$A$37,0))="","",INDEX(P$3:P$37,MATCH(OurChapter,$A$3:$A$37,0))),"")</f>
        <v>44</v>
      </c>
      <c r="Q43" s="34" t="n">
        <f aca="false">IFERROR(IF(INDEX(Q$3:Q$37,MATCH(OurChapter,$A$3:$A$37,0))="","",INDEX(Q$3:Q$37,MATCH(OurChapter,$A$3:$A$37,0))),"")</f>
        <v>43</v>
      </c>
      <c r="R43" s="34" t="str">
        <f aca="false">IFERROR(IF(INDEX(R$3:R$37,MATCH(OurChapter,$A$3:$A$37,0))="","",INDEX(R$3:R$37,MATCH(OurChapter,$A$3:$A$37,0))),"")</f>
        <v/>
      </c>
      <c r="S43" s="34" t="str">
        <f aca="false">IFERROR(IF(INDEX(S$3:S$37,MATCH(OurChapter,$A$3:$A$37,0))="","",INDEX(S$3:S$37,MATCH(OurChapter,$A$3:$A$37,0))),"")</f>
        <v/>
      </c>
      <c r="T43" s="34" t="str">
        <f aca="false">IFERROR(IF(INDEX(T$3:T$37,MATCH(OurChapter,$A$3:$A$37,0))="","",INDEX(T$3:T$37,MATCH(OurChapter,$A$3:$A$37,0))),"")</f>
        <v/>
      </c>
      <c r="U43" s="34" t="str">
        <f aca="false">IFERROR(IF(INDEX(U$3:U$37,MATCH(OurChapter,$A$3:$A$37,0))="","",INDEX(U$3:U$37,MATCH(OurChapter,$A$3:$A$37,0))),"")</f>
        <v/>
      </c>
    </row>
    <row r="44" customFormat="false" ht="15" hidden="false" customHeight="false" outlineLevel="0" collapsed="false">
      <c r="A44" s="2" t="s">
        <v>240</v>
      </c>
      <c r="B44" s="34" t="n">
        <f aca="false">IF(OR(B43="",NOT(COUNT(B$3:B$37)&gt;=MinChapters)),"",COUNTIF(B$3:B$37,"&gt;"&amp;B43)+1)</f>
        <v>13</v>
      </c>
      <c r="C44" s="34" t="n">
        <f aca="false">IF(OR(C43="",NOT(COUNT(C$3:C$37)&gt;=MinChapters)),"",COUNTIF(C$3:C$37,"&gt;"&amp;C43)+1)</f>
        <v>13</v>
      </c>
      <c r="D44" s="34" t="n">
        <f aca="false">IF(OR(D43="",NOT(COUNT(D$3:D$37)&gt;=MinChapters)),"",COUNTIF(D$3:D$37,"&gt;"&amp;D43)+1)</f>
        <v>12</v>
      </c>
      <c r="E44" s="34" t="n">
        <f aca="false">IF(OR(E43="",NOT(COUNT(E$3:E$37)&gt;=MinChapters)),"",COUNTIF(E$3:E$37,"&gt;"&amp;E43)+1)</f>
        <v>15</v>
      </c>
      <c r="F44" s="34" t="n">
        <f aca="false">IF(OR(F43="",NOT(COUNT(F$3:F$37)&gt;=MinChapters)),"",COUNTIF(F$3:F$37,"&gt;"&amp;F43)+1)</f>
        <v>13</v>
      </c>
      <c r="G44" s="34" t="n">
        <f aca="false">IF(OR(G43="",NOT(COUNT(G$3:G$37)&gt;=MinChapters)),"",COUNTIF(G$3:G$37,"&gt;"&amp;G43)+1)</f>
        <v>12</v>
      </c>
      <c r="H44" s="34" t="n">
        <f aca="false">IF(OR(H43="",NOT(COUNT(H$3:H$37)&gt;=MinChapters)),"",COUNTIF(H$3:H$37,"&gt;"&amp;H43)+1)</f>
        <v>13</v>
      </c>
      <c r="I44" s="34" t="n">
        <f aca="false">IF(OR(I43="",NOT(COUNT(I$3:I$37)&gt;=MinChapters)),"",COUNTIF(I$3:I$37,"&gt;"&amp;I43)+1)</f>
        <v>13</v>
      </c>
      <c r="J44" s="34" t="n">
        <f aca="false">IF(OR(J43="",NOT(COUNT(J$3:J$37)&gt;=MinChapters)),"",COUNTIF(J$3:J$37,"&gt;"&amp;J43)+1)</f>
        <v>13</v>
      </c>
      <c r="K44" s="34" t="n">
        <f aca="false">IF(OR(K43="",NOT(COUNT(K$3:K$37)&gt;=MinChapters)),"",COUNTIF(K$3:K$37,"&gt;"&amp;K43)+1)</f>
        <v>13</v>
      </c>
      <c r="L44" s="34" t="n">
        <f aca="false">IF(OR(L43="",NOT(COUNT(L$3:L$37)&gt;=MinChapters)),"",COUNTIF(L$3:L$37,"&gt;"&amp;L43)+1)</f>
        <v>15</v>
      </c>
      <c r="M44" s="34" t="n">
        <f aca="false">IF(OR(M43="",NOT(COUNT(M$3:M$37)&gt;=MinChapters)),"",COUNTIF(M$3:M$37,"&gt;"&amp;M43)+1)</f>
        <v>15</v>
      </c>
      <c r="N44" s="34" t="n">
        <f aca="false">IF(OR(N43="",NOT(COUNT(N$3:N$37)&gt;=MinChapters)),"",COUNTIF(N$3:N$37,"&gt;"&amp;N43)+1)</f>
        <v>16</v>
      </c>
      <c r="O44" s="34" t="n">
        <f aca="false">IF(OR(O43="",NOT(COUNT(O$3:O$37)&gt;=MinChapters)),"",COUNTIF(O$3:O$37,"&gt;"&amp;O43)+1)</f>
        <v>16</v>
      </c>
      <c r="P44" s="34" t="n">
        <f aca="false">IF(OR(P43="",NOT(COUNT(P$3:P$37)&gt;=MinChapters)),"",COUNTIF(P$3:P$37,"&gt;"&amp;P43)+1)</f>
        <v>15</v>
      </c>
      <c r="Q44" s="34" t="n">
        <f aca="false">IF(OR(Q43="",NOT(COUNT(Q$3:Q$37)&gt;=MinChapters)),"",COUNTIF(Q$3:Q$37,"&gt;"&amp;Q43)+1)</f>
        <v>14</v>
      </c>
      <c r="R44" s="34" t="str">
        <f aca="false">IF(OR(R43="",NOT(COUNT(R$3:R$37)&gt;=MinChapters)),"",COUNTIF(R$3:R$37,"&gt;"&amp;R43)+1)</f>
        <v/>
      </c>
      <c r="S44" s="34" t="str">
        <f aca="false">IF(OR(S43="",NOT(COUNT(S$3:S$37)&gt;=MinChapters)),"",COUNTIF(S$3:S$37,"&gt;"&amp;S43)+1)</f>
        <v/>
      </c>
      <c r="T44" s="34" t="str">
        <f aca="false">IF(OR(T43="",NOT(COUNT(T$3:T$37)&gt;=MinChapters)),"",COUNTIF(T$3:T$37,"&gt;"&amp;T43)+1)</f>
        <v/>
      </c>
      <c r="U44" s="34" t="str">
        <f aca="false">IF(OR(U43="",NOT(COUNT(U$3:U$37)&gt;=MinChapters)),"",COUNTIF(U$3:U$37,"&gt;"&amp;U43)+1)</f>
        <v/>
      </c>
    </row>
    <row r="45" customFormat="false" ht="15" hidden="false" customHeight="false" outlineLevel="0" collapsed="false">
      <c r="A45" s="2" t="s">
        <v>241</v>
      </c>
      <c r="B45" s="34" t="n">
        <f aca="false">IF(OR(B43="",B42=""),"",100*B43/B42)</f>
        <v>100</v>
      </c>
      <c r="C45" s="34" t="n">
        <f aca="false">IF(OR(C43="",C42=""),"",100*C43/C42)</f>
        <v>100</v>
      </c>
      <c r="D45" s="34" t="n">
        <f aca="false">IF(OR(D43="",D42=""),"",100*D43/D42)</f>
        <v>103.614457831325</v>
      </c>
      <c r="E45" s="34" t="n">
        <f aca="false">IF(OR(E43="",E42=""),"",100*E43/E42)</f>
        <v>96.6887417218543</v>
      </c>
      <c r="F45" s="34" t="n">
        <f aca="false">IF(OR(F43="",F42=""),"",100*F43/F42)</f>
        <v>100.645161290323</v>
      </c>
      <c r="G45" s="34" t="n">
        <f aca="false">IF(OR(G43="",G42=""),"",100*G43/G42)</f>
        <v>100</v>
      </c>
      <c r="H45" s="34" t="n">
        <f aca="false">IF(OR(H43="",H42=""),"",100*H43/H42)</f>
        <v>100</v>
      </c>
      <c r="I45" s="34" t="n">
        <f aca="false">IF(OR(I43="",I42=""),"",100*I43/I42)</f>
        <v>100</v>
      </c>
      <c r="J45" s="34" t="n">
        <f aca="false">IF(OR(J43="",J42=""),"",100*J43/J42)</f>
        <v>92.2077922077922</v>
      </c>
      <c r="K45" s="34" t="n">
        <f aca="false">IF(OR(K43="",K42=""),"",100*K43/K42)</f>
        <v>100</v>
      </c>
      <c r="L45" s="34" t="n">
        <f aca="false">IF(OR(L43="",L42=""),"",100*L43/L42)</f>
        <v>90.9090909090909</v>
      </c>
      <c r="M45" s="34" t="n">
        <f aca="false">IF(OR(M43="",M42=""),"",100*M43/M42)</f>
        <v>70.5882352941177</v>
      </c>
      <c r="N45" s="34" t="n">
        <f aca="false">IF(OR(N43="",N42=""),"",100*N43/N42)</f>
        <v>72.1804511278196</v>
      </c>
      <c r="O45" s="34" t="n">
        <f aca="false">IF(OR(O43="",O42=""),"",100*O43/O42)</f>
        <v>57.8313253012048</v>
      </c>
      <c r="P45" s="34" t="n">
        <f aca="false">IF(OR(P43="",P42=""),"",100*P43/P42)</f>
        <v>50.5747126436782</v>
      </c>
      <c r="Q45" s="34" t="n">
        <f aca="false">IF(OR(Q43="",Q42=""),"",100*Q43/Q42)</f>
        <v>55.1282051282051</v>
      </c>
      <c r="R45" s="34" t="str">
        <f aca="false">IF(OR(R43="",R42=""),"",100*R43/R42)</f>
        <v/>
      </c>
      <c r="S45" s="34" t="str">
        <f aca="false">IF(OR(S43="",S42=""),"",100*S43/S42)</f>
        <v/>
      </c>
      <c r="T45" s="34" t="str">
        <f aca="false">IF(OR(T43="",T42=""),"",100*T43/T42)</f>
        <v/>
      </c>
      <c r="U45" s="34" t="str">
        <f aca="false">IF(OR(U43="",U42=""),"",100*U43/U42)</f>
        <v/>
      </c>
    </row>
  </sheetData>
  <conditionalFormatting sqref="A3:U37">
    <cfRule type="expression" priority="2" aboveAverage="0" equalAverage="0" bottom="0" percent="0" rank="0" text="" dxfId="2">
      <formula>$A3=OurChapter</formula>
    </cfRule>
  </conditionalFormatting>
  <conditionalFormatting sqref="B3:U37">
    <cfRule type="colorScale" priority="3">
      <colorScale>
        <cfvo type="min" val="0"/>
        <cfvo type="max" val="0"/>
        <color rgb="FFFFFFFF"/>
        <color rgb="FF5B9BD5"/>
      </colorScale>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U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defaultColWidth="8.5390625" defaultRowHeight="15" zeroHeight="false" outlineLevelRow="0" outlineLevelCol="0"/>
  <cols>
    <col collapsed="false" customWidth="true" hidden="false" outlineLevel="0" max="1" min="1" style="0" width="30"/>
    <col collapsed="false" customWidth="true" hidden="false" outlineLevel="0" max="21" min="2" style="0" width="10.5"/>
  </cols>
  <sheetData>
    <row r="1" customFormat="false" ht="15" hidden="false" customHeight="false" outlineLevel="0" collapsed="false">
      <c r="A1" s="13" t="s">
        <v>242</v>
      </c>
    </row>
    <row r="2" customFormat="false" ht="15" hidden="false" customHeight="false" outlineLevel="0" collapsed="false">
      <c r="A2" s="14" t="s">
        <v>174</v>
      </c>
      <c r="B2" s="14" t="s">
        <v>144</v>
      </c>
      <c r="C2" s="14" t="s">
        <v>145</v>
      </c>
      <c r="D2" s="14" t="s">
        <v>146</v>
      </c>
      <c r="E2" s="14" t="s">
        <v>147</v>
      </c>
      <c r="F2" s="14" t="s">
        <v>148</v>
      </c>
      <c r="G2" s="14" t="s">
        <v>149</v>
      </c>
      <c r="H2" s="14" t="s">
        <v>150</v>
      </c>
      <c r="I2" s="14" t="s">
        <v>151</v>
      </c>
      <c r="J2" s="14" t="s">
        <v>152</v>
      </c>
      <c r="K2" s="14" t="s">
        <v>153</v>
      </c>
      <c r="L2" s="14" t="s">
        <v>154</v>
      </c>
      <c r="M2" s="14" t="s">
        <v>155</v>
      </c>
      <c r="N2" s="14" t="s">
        <v>156</v>
      </c>
      <c r="O2" s="14" t="s">
        <v>157</v>
      </c>
      <c r="P2" s="14" t="s">
        <v>158</v>
      </c>
      <c r="Q2" s="14" t="s">
        <v>159</v>
      </c>
      <c r="R2" s="14" t="s">
        <v>160</v>
      </c>
      <c r="S2" s="14" t="s">
        <v>161</v>
      </c>
      <c r="T2" s="14" t="s">
        <v>162</v>
      </c>
      <c r="U2" s="14" t="s">
        <v>163</v>
      </c>
    </row>
    <row r="3" customFormat="false" ht="15" hidden="false" customHeight="false" outlineLevel="0" collapsed="false">
      <c r="A3" s="8" t="str">
        <f aca="false">IF(Lists!$D$2="","",Lists!$D$2)</f>
        <v>Acacia</v>
      </c>
      <c r="B3" s="19" t="n">
        <f aca="false">IF($A3="","",IF(COUNTIFS('Chapter Data'!$A$2:$A$2500,B$2,'Chapter Data'!$D$2:$D$2500,$A3,'Chapter Data'!$F$2:$F$2500,"&lt;&gt;")=0,"",SUMIFS('Chapter Data'!$F$2:$F$2500,'Chapter Data'!$A$2:$A$2500,B$2,'Chapter Data'!$D$2:$D$2500,$A3)))</f>
        <v>12</v>
      </c>
      <c r="C3" s="19" t="n">
        <f aca="false">IF($A3="","",IF(COUNTIFS('Chapter Data'!$A$2:$A$2500,C$2,'Chapter Data'!$D$2:$D$2500,$A3,'Chapter Data'!$F$2:$F$2500,"&lt;&gt;")=0,"",SUMIFS('Chapter Data'!$F$2:$F$2500,'Chapter Data'!$A$2:$A$2500,C$2,'Chapter Data'!$D$2:$D$2500,$A3)))</f>
        <v>3</v>
      </c>
      <c r="D3" s="19" t="n">
        <f aca="false">IF($A3="","",IF(COUNTIFS('Chapter Data'!$A$2:$A$2500,D$2,'Chapter Data'!$D$2:$D$2500,$A3,'Chapter Data'!$F$2:$F$2500,"&lt;&gt;")=0,"",SUMIFS('Chapter Data'!$F$2:$F$2500,'Chapter Data'!$A$2:$A$2500,D$2,'Chapter Data'!$D$2:$D$2500,$A3)))</f>
        <v>14</v>
      </c>
      <c r="E3" s="19" t="str">
        <f aca="false">IF($A3="","",IF(COUNTIFS('Chapter Data'!$A$2:$A$2500,E$2,'Chapter Data'!$D$2:$D$2500,$A3,'Chapter Data'!$F$2:$F$2500,"&lt;&gt;")=0,"",SUMIFS('Chapter Data'!$F$2:$F$2500,'Chapter Data'!$A$2:$A$2500,E$2,'Chapter Data'!$D$2:$D$2500,$A3)))</f>
        <v/>
      </c>
      <c r="F3" s="19" t="n">
        <f aca="false">IF($A3="","",IF(COUNTIFS('Chapter Data'!$A$2:$A$2500,F$2,'Chapter Data'!$D$2:$D$2500,$A3,'Chapter Data'!$F$2:$F$2500,"&lt;&gt;")=0,"",SUMIFS('Chapter Data'!$F$2:$F$2500,'Chapter Data'!$A$2:$A$2500,F$2,'Chapter Data'!$D$2:$D$2500,$A3)))</f>
        <v>16</v>
      </c>
      <c r="G3" s="19" t="n">
        <f aca="false">IF($A3="","",IF(COUNTIFS('Chapter Data'!$A$2:$A$2500,G$2,'Chapter Data'!$D$2:$D$2500,$A3,'Chapter Data'!$F$2:$F$2500,"&lt;&gt;")=0,"",SUMIFS('Chapter Data'!$F$2:$F$2500,'Chapter Data'!$A$2:$A$2500,G$2,'Chapter Data'!$D$2:$D$2500,$A3)))</f>
        <v>10</v>
      </c>
      <c r="H3" s="19" t="n">
        <f aca="false">IF($A3="","",IF(COUNTIFS('Chapter Data'!$A$2:$A$2500,H$2,'Chapter Data'!$D$2:$D$2500,$A3,'Chapter Data'!$F$2:$F$2500,"&lt;&gt;")=0,"",SUMIFS('Chapter Data'!$F$2:$F$2500,'Chapter Data'!$A$2:$A$2500,H$2,'Chapter Data'!$D$2:$D$2500,$A3)))</f>
        <v>13</v>
      </c>
      <c r="I3" s="19" t="str">
        <f aca="false">IF($A3="","",IF(COUNTIFS('Chapter Data'!$A$2:$A$2500,I$2,'Chapter Data'!$D$2:$D$2500,$A3,'Chapter Data'!$F$2:$F$2500,"&lt;&gt;")=0,"",SUMIFS('Chapter Data'!$F$2:$F$2500,'Chapter Data'!$A$2:$A$2500,I$2,'Chapter Data'!$D$2:$D$2500,$A3)))</f>
        <v/>
      </c>
      <c r="J3" s="19" t="n">
        <f aca="false">IF($A3="","",IF(COUNTIFS('Chapter Data'!$A$2:$A$2500,J$2,'Chapter Data'!$D$2:$D$2500,$A3,'Chapter Data'!$F$2:$F$2500,"&lt;&gt;")=0,"",SUMIFS('Chapter Data'!$F$2:$F$2500,'Chapter Data'!$A$2:$A$2500,J$2,'Chapter Data'!$D$2:$D$2500,$A3)))</f>
        <v>7</v>
      </c>
      <c r="K3" s="19" t="n">
        <f aca="false">IF($A3="","",IF(COUNTIFS('Chapter Data'!$A$2:$A$2500,K$2,'Chapter Data'!$D$2:$D$2500,$A3,'Chapter Data'!$F$2:$F$2500,"&lt;&gt;")=0,"",SUMIFS('Chapter Data'!$F$2:$F$2500,'Chapter Data'!$A$2:$A$2500,K$2,'Chapter Data'!$D$2:$D$2500,$A3)))</f>
        <v>1</v>
      </c>
      <c r="L3" s="19" t="str">
        <f aca="false">IF($A3="","",IF(COUNTIFS('Chapter Data'!$A$2:$A$2500,L$2,'Chapter Data'!$D$2:$D$2500,$A3,'Chapter Data'!$F$2:$F$2500,"&lt;&gt;")=0,"",SUMIFS('Chapter Data'!$F$2:$F$2500,'Chapter Data'!$A$2:$A$2500,L$2,'Chapter Data'!$D$2:$D$2500,$A3)))</f>
        <v/>
      </c>
      <c r="M3" s="19" t="n">
        <f aca="false">IF($A3="","",IF(COUNTIFS('Chapter Data'!$A$2:$A$2500,M$2,'Chapter Data'!$D$2:$D$2500,$A3,'Chapter Data'!$F$2:$F$2500,"&lt;&gt;")=0,"",SUMIFS('Chapter Data'!$F$2:$F$2500,'Chapter Data'!$A$2:$A$2500,M$2,'Chapter Data'!$D$2:$D$2500,$A3)))</f>
        <v>4</v>
      </c>
      <c r="N3" s="19" t="n">
        <f aca="false">IF($A3="","",IF(COUNTIFS('Chapter Data'!$A$2:$A$2500,N$2,'Chapter Data'!$D$2:$D$2500,$A3,'Chapter Data'!$F$2:$F$2500,"&lt;&gt;")=0,"",SUMIFS('Chapter Data'!$F$2:$F$2500,'Chapter Data'!$A$2:$A$2500,N$2,'Chapter Data'!$D$2:$D$2500,$A3)))</f>
        <v>12</v>
      </c>
      <c r="O3" s="19" t="n">
        <f aca="false">IF($A3="","",IF(COUNTIFS('Chapter Data'!$A$2:$A$2500,O$2,'Chapter Data'!$D$2:$D$2500,$A3,'Chapter Data'!$F$2:$F$2500,"&lt;&gt;")=0,"",SUMIFS('Chapter Data'!$F$2:$F$2500,'Chapter Data'!$A$2:$A$2500,O$2,'Chapter Data'!$D$2:$D$2500,$A3)))</f>
        <v>3</v>
      </c>
      <c r="P3" s="19" t="n">
        <f aca="false">IF($A3="","",IF(COUNTIFS('Chapter Data'!$A$2:$A$2500,P$2,'Chapter Data'!$D$2:$D$2500,$A3,'Chapter Data'!$F$2:$F$2500,"&lt;&gt;")=0,"",SUMIFS('Chapter Data'!$F$2:$F$2500,'Chapter Data'!$A$2:$A$2500,P$2,'Chapter Data'!$D$2:$D$2500,$A3)))</f>
        <v>5</v>
      </c>
      <c r="Q3" s="19" t="n">
        <f aca="false">IF($A3="","",IF(COUNTIFS('Chapter Data'!$A$2:$A$2500,Q$2,'Chapter Data'!$D$2:$D$2500,$A3,'Chapter Data'!$F$2:$F$2500,"&lt;&gt;")=0,"",SUMIFS('Chapter Data'!$F$2:$F$2500,'Chapter Data'!$A$2:$A$2500,Q$2,'Chapter Data'!$D$2:$D$2500,$A3)))</f>
        <v>1</v>
      </c>
      <c r="R3" s="19" t="str">
        <f aca="false">IF($A3="","",IF(COUNTIFS('Chapter Data'!$A$2:$A$2500,R$2,'Chapter Data'!$D$2:$D$2500,$A3,'Chapter Data'!$F$2:$F$2500,"&lt;&gt;")=0,"",SUMIFS('Chapter Data'!$F$2:$F$2500,'Chapter Data'!$A$2:$A$2500,R$2,'Chapter Data'!$D$2:$D$2500,$A3)))</f>
        <v/>
      </c>
      <c r="S3" s="19" t="str">
        <f aca="false">IF($A3="","",IF(COUNTIFS('Chapter Data'!$A$2:$A$2500,S$2,'Chapter Data'!$D$2:$D$2500,$A3,'Chapter Data'!$F$2:$F$2500,"&lt;&gt;")=0,"",SUMIFS('Chapter Data'!$F$2:$F$2500,'Chapter Data'!$A$2:$A$2500,S$2,'Chapter Data'!$D$2:$D$2500,$A3)))</f>
        <v/>
      </c>
      <c r="T3" s="19" t="str">
        <f aca="false">IF($A3="","",IF(COUNTIFS('Chapter Data'!$A$2:$A$2500,T$2,'Chapter Data'!$D$2:$D$2500,$A3,'Chapter Data'!$F$2:$F$2500,"&lt;&gt;")=0,"",SUMIFS('Chapter Data'!$F$2:$F$2500,'Chapter Data'!$A$2:$A$2500,T$2,'Chapter Data'!$D$2:$D$2500,$A3)))</f>
        <v/>
      </c>
      <c r="U3" s="19" t="str">
        <f aca="false">IF($A3="","",IF(COUNTIFS('Chapter Data'!$A$2:$A$2500,U$2,'Chapter Data'!$D$2:$D$2500,$A3,'Chapter Data'!$F$2:$F$2500,"&lt;&gt;")=0,"",SUMIFS('Chapter Data'!$F$2:$F$2500,'Chapter Data'!$A$2:$A$2500,U$2,'Chapter Data'!$D$2:$D$2500,$A3)))</f>
        <v/>
      </c>
    </row>
    <row r="4" customFormat="false" ht="15" hidden="false" customHeight="false" outlineLevel="0" collapsed="false">
      <c r="A4" s="8" t="str">
        <f aca="false">IF(Lists!$D$3="","",Lists!$D$3)</f>
        <v>Alpha Gamma Nu</v>
      </c>
      <c r="B4" s="19" t="n">
        <f aca="false">IF($A4="","",IF(COUNTIFS('Chapter Data'!$A$2:$A$2500,B$2,'Chapter Data'!$D$2:$D$2500,$A4,'Chapter Data'!$F$2:$F$2500,"&lt;&gt;")=0,"",SUMIFS('Chapter Data'!$F$2:$F$2500,'Chapter Data'!$A$2:$A$2500,B$2,'Chapter Data'!$D$2:$D$2500,$A4)))</f>
        <v>12</v>
      </c>
      <c r="C4" s="19" t="n">
        <f aca="false">IF($A4="","",IF(COUNTIFS('Chapter Data'!$A$2:$A$2500,C$2,'Chapter Data'!$D$2:$D$2500,$A4,'Chapter Data'!$F$2:$F$2500,"&lt;&gt;")=0,"",SUMIFS('Chapter Data'!$F$2:$F$2500,'Chapter Data'!$A$2:$A$2500,C$2,'Chapter Data'!$D$2:$D$2500,$A4)))</f>
        <v>3</v>
      </c>
      <c r="D4" s="19" t="n">
        <f aca="false">IF($A4="","",IF(COUNTIFS('Chapter Data'!$A$2:$A$2500,D$2,'Chapter Data'!$D$2:$D$2500,$A4,'Chapter Data'!$F$2:$F$2500,"&lt;&gt;")=0,"",SUMIFS('Chapter Data'!$F$2:$F$2500,'Chapter Data'!$A$2:$A$2500,D$2,'Chapter Data'!$D$2:$D$2500,$A4)))</f>
        <v>4</v>
      </c>
      <c r="E4" s="19" t="str">
        <f aca="false">IF($A4="","",IF(COUNTIFS('Chapter Data'!$A$2:$A$2500,E$2,'Chapter Data'!$D$2:$D$2500,$A4,'Chapter Data'!$F$2:$F$2500,"&lt;&gt;")=0,"",SUMIFS('Chapter Data'!$F$2:$F$2500,'Chapter Data'!$A$2:$A$2500,E$2,'Chapter Data'!$D$2:$D$2500,$A4)))</f>
        <v/>
      </c>
      <c r="F4" s="19" t="n">
        <f aca="false">IF($A4="","",IF(COUNTIFS('Chapter Data'!$A$2:$A$2500,F$2,'Chapter Data'!$D$2:$D$2500,$A4,'Chapter Data'!$F$2:$F$2500,"&lt;&gt;")=0,"",SUMIFS('Chapter Data'!$F$2:$F$2500,'Chapter Data'!$A$2:$A$2500,F$2,'Chapter Data'!$D$2:$D$2500,$A4)))</f>
        <v>0</v>
      </c>
      <c r="G4" s="19" t="n">
        <f aca="false">IF($A4="","",IF(COUNTIFS('Chapter Data'!$A$2:$A$2500,G$2,'Chapter Data'!$D$2:$D$2500,$A4,'Chapter Data'!$F$2:$F$2500,"&lt;&gt;")=0,"",SUMIFS('Chapter Data'!$F$2:$F$2500,'Chapter Data'!$A$2:$A$2500,G$2,'Chapter Data'!$D$2:$D$2500,$A4)))</f>
        <v>0</v>
      </c>
      <c r="H4" s="19" t="str">
        <f aca="false">IF($A4="","",IF(COUNTIFS('Chapter Data'!$A$2:$A$2500,H$2,'Chapter Data'!$D$2:$D$2500,$A4,'Chapter Data'!$F$2:$F$2500,"&lt;&gt;")=0,"",SUMIFS('Chapter Data'!$F$2:$F$2500,'Chapter Data'!$A$2:$A$2500,H$2,'Chapter Data'!$D$2:$D$2500,$A4)))</f>
        <v/>
      </c>
      <c r="I4" s="19" t="str">
        <f aca="false">IF($A4="","",IF(COUNTIFS('Chapter Data'!$A$2:$A$2500,I$2,'Chapter Data'!$D$2:$D$2500,$A4,'Chapter Data'!$F$2:$F$2500,"&lt;&gt;")=0,"",SUMIFS('Chapter Data'!$F$2:$F$2500,'Chapter Data'!$A$2:$A$2500,I$2,'Chapter Data'!$D$2:$D$2500,$A4)))</f>
        <v/>
      </c>
      <c r="J4" s="19" t="str">
        <f aca="false">IF($A4="","",IF(COUNTIFS('Chapter Data'!$A$2:$A$2500,J$2,'Chapter Data'!$D$2:$D$2500,$A4,'Chapter Data'!$F$2:$F$2500,"&lt;&gt;")=0,"",SUMIFS('Chapter Data'!$F$2:$F$2500,'Chapter Data'!$A$2:$A$2500,J$2,'Chapter Data'!$D$2:$D$2500,$A4)))</f>
        <v/>
      </c>
      <c r="K4" s="19" t="str">
        <f aca="false">IF($A4="","",IF(COUNTIFS('Chapter Data'!$A$2:$A$2500,K$2,'Chapter Data'!$D$2:$D$2500,$A4,'Chapter Data'!$F$2:$F$2500,"&lt;&gt;")=0,"",SUMIFS('Chapter Data'!$F$2:$F$2500,'Chapter Data'!$A$2:$A$2500,K$2,'Chapter Data'!$D$2:$D$2500,$A4)))</f>
        <v/>
      </c>
      <c r="L4" s="19" t="str">
        <f aca="false">IF($A4="","",IF(COUNTIFS('Chapter Data'!$A$2:$A$2500,L$2,'Chapter Data'!$D$2:$D$2500,$A4,'Chapter Data'!$F$2:$F$2500,"&lt;&gt;")=0,"",SUMIFS('Chapter Data'!$F$2:$F$2500,'Chapter Data'!$A$2:$A$2500,L$2,'Chapter Data'!$D$2:$D$2500,$A4)))</f>
        <v/>
      </c>
      <c r="M4" s="19" t="str">
        <f aca="false">IF($A4="","",IF(COUNTIFS('Chapter Data'!$A$2:$A$2500,M$2,'Chapter Data'!$D$2:$D$2500,$A4,'Chapter Data'!$F$2:$F$2500,"&lt;&gt;")=0,"",SUMIFS('Chapter Data'!$F$2:$F$2500,'Chapter Data'!$A$2:$A$2500,M$2,'Chapter Data'!$D$2:$D$2500,$A4)))</f>
        <v/>
      </c>
      <c r="N4" s="19" t="str">
        <f aca="false">IF($A4="","",IF(COUNTIFS('Chapter Data'!$A$2:$A$2500,N$2,'Chapter Data'!$D$2:$D$2500,$A4,'Chapter Data'!$F$2:$F$2500,"&lt;&gt;")=0,"",SUMIFS('Chapter Data'!$F$2:$F$2500,'Chapter Data'!$A$2:$A$2500,N$2,'Chapter Data'!$D$2:$D$2500,$A4)))</f>
        <v/>
      </c>
      <c r="O4" s="19" t="str">
        <f aca="false">IF($A4="","",IF(COUNTIFS('Chapter Data'!$A$2:$A$2500,O$2,'Chapter Data'!$D$2:$D$2500,$A4,'Chapter Data'!$F$2:$F$2500,"&lt;&gt;")=0,"",SUMIFS('Chapter Data'!$F$2:$F$2500,'Chapter Data'!$A$2:$A$2500,O$2,'Chapter Data'!$D$2:$D$2500,$A4)))</f>
        <v/>
      </c>
      <c r="P4" s="19" t="str">
        <f aca="false">IF($A4="","",IF(COUNTIFS('Chapter Data'!$A$2:$A$2500,P$2,'Chapter Data'!$D$2:$D$2500,$A4,'Chapter Data'!$F$2:$F$2500,"&lt;&gt;")=0,"",SUMIFS('Chapter Data'!$F$2:$F$2500,'Chapter Data'!$A$2:$A$2500,P$2,'Chapter Data'!$D$2:$D$2500,$A4)))</f>
        <v/>
      </c>
      <c r="Q4" s="19" t="str">
        <f aca="false">IF($A4="","",IF(COUNTIFS('Chapter Data'!$A$2:$A$2500,Q$2,'Chapter Data'!$D$2:$D$2500,$A4,'Chapter Data'!$F$2:$F$2500,"&lt;&gt;")=0,"",SUMIFS('Chapter Data'!$F$2:$F$2500,'Chapter Data'!$A$2:$A$2500,Q$2,'Chapter Data'!$D$2:$D$2500,$A4)))</f>
        <v/>
      </c>
      <c r="R4" s="19" t="str">
        <f aca="false">IF($A4="","",IF(COUNTIFS('Chapter Data'!$A$2:$A$2500,R$2,'Chapter Data'!$D$2:$D$2500,$A4,'Chapter Data'!$F$2:$F$2500,"&lt;&gt;")=0,"",SUMIFS('Chapter Data'!$F$2:$F$2500,'Chapter Data'!$A$2:$A$2500,R$2,'Chapter Data'!$D$2:$D$2500,$A4)))</f>
        <v/>
      </c>
      <c r="S4" s="19" t="str">
        <f aca="false">IF($A4="","",IF(COUNTIFS('Chapter Data'!$A$2:$A$2500,S$2,'Chapter Data'!$D$2:$D$2500,$A4,'Chapter Data'!$F$2:$F$2500,"&lt;&gt;")=0,"",SUMIFS('Chapter Data'!$F$2:$F$2500,'Chapter Data'!$A$2:$A$2500,S$2,'Chapter Data'!$D$2:$D$2500,$A4)))</f>
        <v/>
      </c>
      <c r="T4" s="19" t="str">
        <f aca="false">IF($A4="","",IF(COUNTIFS('Chapter Data'!$A$2:$A$2500,T$2,'Chapter Data'!$D$2:$D$2500,$A4,'Chapter Data'!$F$2:$F$2500,"&lt;&gt;")=0,"",SUMIFS('Chapter Data'!$F$2:$F$2500,'Chapter Data'!$A$2:$A$2500,T$2,'Chapter Data'!$D$2:$D$2500,$A4)))</f>
        <v/>
      </c>
      <c r="U4" s="19" t="str">
        <f aca="false">IF($A4="","",IF(COUNTIFS('Chapter Data'!$A$2:$A$2500,U$2,'Chapter Data'!$D$2:$D$2500,$A4,'Chapter Data'!$F$2:$F$2500,"&lt;&gt;")=0,"",SUMIFS('Chapter Data'!$F$2:$F$2500,'Chapter Data'!$A$2:$A$2500,U$2,'Chapter Data'!$D$2:$D$2500,$A4)))</f>
        <v/>
      </c>
    </row>
    <row r="5" customFormat="false" ht="15" hidden="false" customHeight="false" outlineLevel="0" collapsed="false">
      <c r="A5" s="8" t="str">
        <f aca="false">IF(Lists!$D$4="","",Lists!$D$4)</f>
        <v>Alpha Gamma Rho</v>
      </c>
      <c r="B5" s="19" t="n">
        <f aca="false">IF($A5="","",IF(COUNTIFS('Chapter Data'!$A$2:$A$2500,B$2,'Chapter Data'!$D$2:$D$2500,$A5,'Chapter Data'!$F$2:$F$2500,"&lt;&gt;")=0,"",SUMIFS('Chapter Data'!$F$2:$F$2500,'Chapter Data'!$A$2:$A$2500,B$2,'Chapter Data'!$D$2:$D$2500,$A5)))</f>
        <v>31</v>
      </c>
      <c r="C5" s="19" t="n">
        <f aca="false">IF($A5="","",IF(COUNTIFS('Chapter Data'!$A$2:$A$2500,C$2,'Chapter Data'!$D$2:$D$2500,$A5,'Chapter Data'!$F$2:$F$2500,"&lt;&gt;")=0,"",SUMIFS('Chapter Data'!$F$2:$F$2500,'Chapter Data'!$A$2:$A$2500,C$2,'Chapter Data'!$D$2:$D$2500,$A5)))</f>
        <v>0</v>
      </c>
      <c r="D5" s="19" t="n">
        <f aca="false">IF($A5="","",IF(COUNTIFS('Chapter Data'!$A$2:$A$2500,D$2,'Chapter Data'!$D$2:$D$2500,$A5,'Chapter Data'!$F$2:$F$2500,"&lt;&gt;")=0,"",SUMIFS('Chapter Data'!$F$2:$F$2500,'Chapter Data'!$A$2:$A$2500,D$2,'Chapter Data'!$D$2:$D$2500,$A5)))</f>
        <v>27</v>
      </c>
      <c r="E5" s="19" t="str">
        <f aca="false">IF($A5="","",IF(COUNTIFS('Chapter Data'!$A$2:$A$2500,E$2,'Chapter Data'!$D$2:$D$2500,$A5,'Chapter Data'!$F$2:$F$2500,"&lt;&gt;")=0,"",SUMIFS('Chapter Data'!$F$2:$F$2500,'Chapter Data'!$A$2:$A$2500,E$2,'Chapter Data'!$D$2:$D$2500,$A5)))</f>
        <v/>
      </c>
      <c r="F5" s="19" t="n">
        <f aca="false">IF($A5="","",IF(COUNTIFS('Chapter Data'!$A$2:$A$2500,F$2,'Chapter Data'!$D$2:$D$2500,$A5,'Chapter Data'!$F$2:$F$2500,"&lt;&gt;")=0,"",SUMIFS('Chapter Data'!$F$2:$F$2500,'Chapter Data'!$A$2:$A$2500,F$2,'Chapter Data'!$D$2:$D$2500,$A5)))</f>
        <v>28</v>
      </c>
      <c r="G5" s="19" t="n">
        <f aca="false">IF($A5="","",IF(COUNTIFS('Chapter Data'!$A$2:$A$2500,G$2,'Chapter Data'!$D$2:$D$2500,$A5,'Chapter Data'!$F$2:$F$2500,"&lt;&gt;")=0,"",SUMIFS('Chapter Data'!$F$2:$F$2500,'Chapter Data'!$A$2:$A$2500,G$2,'Chapter Data'!$D$2:$D$2500,$A5)))</f>
        <v>4</v>
      </c>
      <c r="H5" s="19" t="n">
        <f aca="false">IF($A5="","",IF(COUNTIFS('Chapter Data'!$A$2:$A$2500,H$2,'Chapter Data'!$D$2:$D$2500,$A5,'Chapter Data'!$F$2:$F$2500,"&lt;&gt;")=0,"",SUMIFS('Chapter Data'!$F$2:$F$2500,'Chapter Data'!$A$2:$A$2500,H$2,'Chapter Data'!$D$2:$D$2500,$A5)))</f>
        <v>30</v>
      </c>
      <c r="I5" s="19" t="str">
        <f aca="false">IF($A5="","",IF(COUNTIFS('Chapter Data'!$A$2:$A$2500,I$2,'Chapter Data'!$D$2:$D$2500,$A5,'Chapter Data'!$F$2:$F$2500,"&lt;&gt;")=0,"",SUMIFS('Chapter Data'!$F$2:$F$2500,'Chapter Data'!$A$2:$A$2500,I$2,'Chapter Data'!$D$2:$D$2500,$A5)))</f>
        <v/>
      </c>
      <c r="J5" s="19" t="n">
        <f aca="false">IF($A5="","",IF(COUNTIFS('Chapter Data'!$A$2:$A$2500,J$2,'Chapter Data'!$D$2:$D$2500,$A5,'Chapter Data'!$F$2:$F$2500,"&lt;&gt;")=0,"",SUMIFS('Chapter Data'!$F$2:$F$2500,'Chapter Data'!$A$2:$A$2500,J$2,'Chapter Data'!$D$2:$D$2500,$A5)))</f>
        <v>23</v>
      </c>
      <c r="K5" s="19" t="n">
        <f aca="false">IF($A5="","",IF(COUNTIFS('Chapter Data'!$A$2:$A$2500,K$2,'Chapter Data'!$D$2:$D$2500,$A5,'Chapter Data'!$F$2:$F$2500,"&lt;&gt;")=0,"",SUMIFS('Chapter Data'!$F$2:$F$2500,'Chapter Data'!$A$2:$A$2500,K$2,'Chapter Data'!$D$2:$D$2500,$A5)))</f>
        <v>2</v>
      </c>
      <c r="L5" s="19" t="str">
        <f aca="false">IF($A5="","",IF(COUNTIFS('Chapter Data'!$A$2:$A$2500,L$2,'Chapter Data'!$D$2:$D$2500,$A5,'Chapter Data'!$F$2:$F$2500,"&lt;&gt;")=0,"",SUMIFS('Chapter Data'!$F$2:$F$2500,'Chapter Data'!$A$2:$A$2500,L$2,'Chapter Data'!$D$2:$D$2500,$A5)))</f>
        <v/>
      </c>
      <c r="M5" s="19" t="n">
        <f aca="false">IF($A5="","",IF(COUNTIFS('Chapter Data'!$A$2:$A$2500,M$2,'Chapter Data'!$D$2:$D$2500,$A5,'Chapter Data'!$F$2:$F$2500,"&lt;&gt;")=0,"",SUMIFS('Chapter Data'!$F$2:$F$2500,'Chapter Data'!$A$2:$A$2500,M$2,'Chapter Data'!$D$2:$D$2500,$A5)))</f>
        <v>4</v>
      </c>
      <c r="N5" s="19" t="n">
        <f aca="false">IF($A5="","",IF(COUNTIFS('Chapter Data'!$A$2:$A$2500,N$2,'Chapter Data'!$D$2:$D$2500,$A5,'Chapter Data'!$F$2:$F$2500,"&lt;&gt;")=0,"",SUMIFS('Chapter Data'!$F$2:$F$2500,'Chapter Data'!$A$2:$A$2500,N$2,'Chapter Data'!$D$2:$D$2500,$A5)))</f>
        <v>33</v>
      </c>
      <c r="O5" s="19" t="n">
        <f aca="false">IF($A5="","",IF(COUNTIFS('Chapter Data'!$A$2:$A$2500,O$2,'Chapter Data'!$D$2:$D$2500,$A5,'Chapter Data'!$F$2:$F$2500,"&lt;&gt;")=0,"",SUMIFS('Chapter Data'!$F$2:$F$2500,'Chapter Data'!$A$2:$A$2500,O$2,'Chapter Data'!$D$2:$D$2500,$A5)))</f>
        <v>4</v>
      </c>
      <c r="P5" s="19" t="n">
        <f aca="false">IF($A5="","",IF(COUNTIFS('Chapter Data'!$A$2:$A$2500,P$2,'Chapter Data'!$D$2:$D$2500,$A5,'Chapter Data'!$F$2:$F$2500,"&lt;&gt;")=0,"",SUMIFS('Chapter Data'!$F$2:$F$2500,'Chapter Data'!$A$2:$A$2500,P$2,'Chapter Data'!$D$2:$D$2500,$A5)))</f>
        <v>25</v>
      </c>
      <c r="Q5" s="19" t="n">
        <f aca="false">IF($A5="","",IF(COUNTIFS('Chapter Data'!$A$2:$A$2500,Q$2,'Chapter Data'!$D$2:$D$2500,$A5,'Chapter Data'!$F$2:$F$2500,"&lt;&gt;")=0,"",SUMIFS('Chapter Data'!$F$2:$F$2500,'Chapter Data'!$A$2:$A$2500,Q$2,'Chapter Data'!$D$2:$D$2500,$A5)))</f>
        <v>2</v>
      </c>
      <c r="R5" s="19" t="str">
        <f aca="false">IF($A5="","",IF(COUNTIFS('Chapter Data'!$A$2:$A$2500,R$2,'Chapter Data'!$D$2:$D$2500,$A5,'Chapter Data'!$F$2:$F$2500,"&lt;&gt;")=0,"",SUMIFS('Chapter Data'!$F$2:$F$2500,'Chapter Data'!$A$2:$A$2500,R$2,'Chapter Data'!$D$2:$D$2500,$A5)))</f>
        <v/>
      </c>
      <c r="S5" s="19" t="str">
        <f aca="false">IF($A5="","",IF(COUNTIFS('Chapter Data'!$A$2:$A$2500,S$2,'Chapter Data'!$D$2:$D$2500,$A5,'Chapter Data'!$F$2:$F$2500,"&lt;&gt;")=0,"",SUMIFS('Chapter Data'!$F$2:$F$2500,'Chapter Data'!$A$2:$A$2500,S$2,'Chapter Data'!$D$2:$D$2500,$A5)))</f>
        <v/>
      </c>
      <c r="T5" s="19" t="str">
        <f aca="false">IF($A5="","",IF(COUNTIFS('Chapter Data'!$A$2:$A$2500,T$2,'Chapter Data'!$D$2:$D$2500,$A5,'Chapter Data'!$F$2:$F$2500,"&lt;&gt;")=0,"",SUMIFS('Chapter Data'!$F$2:$F$2500,'Chapter Data'!$A$2:$A$2500,T$2,'Chapter Data'!$D$2:$D$2500,$A5)))</f>
        <v/>
      </c>
      <c r="U5" s="19" t="str">
        <f aca="false">IF($A5="","",IF(COUNTIFS('Chapter Data'!$A$2:$A$2500,U$2,'Chapter Data'!$D$2:$D$2500,$A5,'Chapter Data'!$F$2:$F$2500,"&lt;&gt;")=0,"",SUMIFS('Chapter Data'!$F$2:$F$2500,'Chapter Data'!$A$2:$A$2500,U$2,'Chapter Data'!$D$2:$D$2500,$A5)))</f>
        <v/>
      </c>
    </row>
    <row r="6" customFormat="false" ht="15" hidden="false" customHeight="false" outlineLevel="0" collapsed="false">
      <c r="A6" s="8" t="str">
        <f aca="false">IF(Lists!$D$5="","",Lists!$D$5)</f>
        <v>Alpha Gamma Sigma</v>
      </c>
      <c r="B6" s="19" t="n">
        <f aca="false">IF($A6="","",IF(COUNTIFS('Chapter Data'!$A$2:$A$2500,B$2,'Chapter Data'!$D$2:$D$2500,$A6,'Chapter Data'!$F$2:$F$2500,"&lt;&gt;")=0,"",SUMIFS('Chapter Data'!$F$2:$F$2500,'Chapter Data'!$A$2:$A$2500,B$2,'Chapter Data'!$D$2:$D$2500,$A6)))</f>
        <v>23</v>
      </c>
      <c r="C6" s="19" t="n">
        <f aca="false">IF($A6="","",IF(COUNTIFS('Chapter Data'!$A$2:$A$2500,C$2,'Chapter Data'!$D$2:$D$2500,$A6,'Chapter Data'!$F$2:$F$2500,"&lt;&gt;")=0,"",SUMIFS('Chapter Data'!$F$2:$F$2500,'Chapter Data'!$A$2:$A$2500,C$2,'Chapter Data'!$D$2:$D$2500,$A6)))</f>
        <v>0</v>
      </c>
      <c r="D6" s="19" t="n">
        <f aca="false">IF($A6="","",IF(COUNTIFS('Chapter Data'!$A$2:$A$2500,D$2,'Chapter Data'!$D$2:$D$2500,$A6,'Chapter Data'!$F$2:$F$2500,"&lt;&gt;")=0,"",SUMIFS('Chapter Data'!$F$2:$F$2500,'Chapter Data'!$A$2:$A$2500,D$2,'Chapter Data'!$D$2:$D$2500,$A6)))</f>
        <v>26</v>
      </c>
      <c r="E6" s="19" t="str">
        <f aca="false">IF($A6="","",IF(COUNTIFS('Chapter Data'!$A$2:$A$2500,E$2,'Chapter Data'!$D$2:$D$2500,$A6,'Chapter Data'!$F$2:$F$2500,"&lt;&gt;")=0,"",SUMIFS('Chapter Data'!$F$2:$F$2500,'Chapter Data'!$A$2:$A$2500,E$2,'Chapter Data'!$D$2:$D$2500,$A6)))</f>
        <v/>
      </c>
      <c r="F6" s="19" t="n">
        <f aca="false">IF($A6="","",IF(COUNTIFS('Chapter Data'!$A$2:$A$2500,F$2,'Chapter Data'!$D$2:$D$2500,$A6,'Chapter Data'!$F$2:$F$2500,"&lt;&gt;")=0,"",SUMIFS('Chapter Data'!$F$2:$F$2500,'Chapter Data'!$A$2:$A$2500,F$2,'Chapter Data'!$D$2:$D$2500,$A6)))</f>
        <v>25</v>
      </c>
      <c r="G6" s="19" t="n">
        <f aca="false">IF($A6="","",IF(COUNTIFS('Chapter Data'!$A$2:$A$2500,G$2,'Chapter Data'!$D$2:$D$2500,$A6,'Chapter Data'!$F$2:$F$2500,"&lt;&gt;")=0,"",SUMIFS('Chapter Data'!$F$2:$F$2500,'Chapter Data'!$A$2:$A$2500,G$2,'Chapter Data'!$D$2:$D$2500,$A6)))</f>
        <v>3</v>
      </c>
      <c r="H6" s="19" t="n">
        <f aca="false">IF($A6="","",IF(COUNTIFS('Chapter Data'!$A$2:$A$2500,H$2,'Chapter Data'!$D$2:$D$2500,$A6,'Chapter Data'!$F$2:$F$2500,"&lt;&gt;")=0,"",SUMIFS('Chapter Data'!$F$2:$F$2500,'Chapter Data'!$A$2:$A$2500,H$2,'Chapter Data'!$D$2:$D$2500,$A6)))</f>
        <v>25</v>
      </c>
      <c r="I6" s="19" t="str">
        <f aca="false">IF($A6="","",IF(COUNTIFS('Chapter Data'!$A$2:$A$2500,I$2,'Chapter Data'!$D$2:$D$2500,$A6,'Chapter Data'!$F$2:$F$2500,"&lt;&gt;")=0,"",SUMIFS('Chapter Data'!$F$2:$F$2500,'Chapter Data'!$A$2:$A$2500,I$2,'Chapter Data'!$D$2:$D$2500,$A6)))</f>
        <v/>
      </c>
      <c r="J6" s="19" t="n">
        <f aca="false">IF($A6="","",IF(COUNTIFS('Chapter Data'!$A$2:$A$2500,J$2,'Chapter Data'!$D$2:$D$2500,$A6,'Chapter Data'!$F$2:$F$2500,"&lt;&gt;")=0,"",SUMIFS('Chapter Data'!$F$2:$F$2500,'Chapter Data'!$A$2:$A$2500,J$2,'Chapter Data'!$D$2:$D$2500,$A6)))</f>
        <v>32</v>
      </c>
      <c r="K6" s="19" t="str">
        <f aca="false">IF($A6="","",IF(COUNTIFS('Chapter Data'!$A$2:$A$2500,K$2,'Chapter Data'!$D$2:$D$2500,$A6,'Chapter Data'!$F$2:$F$2500,"&lt;&gt;")=0,"",SUMIFS('Chapter Data'!$F$2:$F$2500,'Chapter Data'!$A$2:$A$2500,K$2,'Chapter Data'!$D$2:$D$2500,$A6)))</f>
        <v/>
      </c>
      <c r="L6" s="19" t="str">
        <f aca="false">IF($A6="","",IF(COUNTIFS('Chapter Data'!$A$2:$A$2500,L$2,'Chapter Data'!$D$2:$D$2500,$A6,'Chapter Data'!$F$2:$F$2500,"&lt;&gt;")=0,"",SUMIFS('Chapter Data'!$F$2:$F$2500,'Chapter Data'!$A$2:$A$2500,L$2,'Chapter Data'!$D$2:$D$2500,$A6)))</f>
        <v/>
      </c>
      <c r="M6" s="19" t="n">
        <f aca="false">IF($A6="","",IF(COUNTIFS('Chapter Data'!$A$2:$A$2500,M$2,'Chapter Data'!$D$2:$D$2500,$A6,'Chapter Data'!$F$2:$F$2500,"&lt;&gt;")=0,"",SUMIFS('Chapter Data'!$F$2:$F$2500,'Chapter Data'!$A$2:$A$2500,M$2,'Chapter Data'!$D$2:$D$2500,$A6)))</f>
        <v>0</v>
      </c>
      <c r="N6" s="19" t="n">
        <f aca="false">IF($A6="","",IF(COUNTIFS('Chapter Data'!$A$2:$A$2500,N$2,'Chapter Data'!$D$2:$D$2500,$A6,'Chapter Data'!$F$2:$F$2500,"&lt;&gt;")=0,"",SUMIFS('Chapter Data'!$F$2:$F$2500,'Chapter Data'!$A$2:$A$2500,N$2,'Chapter Data'!$D$2:$D$2500,$A6)))</f>
        <v>27</v>
      </c>
      <c r="O6" s="19" t="n">
        <f aca="false">IF($A6="","",IF(COUNTIFS('Chapter Data'!$A$2:$A$2500,O$2,'Chapter Data'!$D$2:$D$2500,$A6,'Chapter Data'!$F$2:$F$2500,"&lt;&gt;")=0,"",SUMIFS('Chapter Data'!$F$2:$F$2500,'Chapter Data'!$A$2:$A$2500,O$2,'Chapter Data'!$D$2:$D$2500,$A6)))</f>
        <v>0</v>
      </c>
      <c r="P6" s="19" t="n">
        <f aca="false">IF($A6="","",IF(COUNTIFS('Chapter Data'!$A$2:$A$2500,P$2,'Chapter Data'!$D$2:$D$2500,$A6,'Chapter Data'!$F$2:$F$2500,"&lt;&gt;")=0,"",SUMIFS('Chapter Data'!$F$2:$F$2500,'Chapter Data'!$A$2:$A$2500,P$2,'Chapter Data'!$D$2:$D$2500,$A6)))</f>
        <v>37</v>
      </c>
      <c r="Q6" s="19" t="n">
        <f aca="false">IF($A6="","",IF(COUNTIFS('Chapter Data'!$A$2:$A$2500,Q$2,'Chapter Data'!$D$2:$D$2500,$A6,'Chapter Data'!$F$2:$F$2500,"&lt;&gt;")=0,"",SUMIFS('Chapter Data'!$F$2:$F$2500,'Chapter Data'!$A$2:$A$2500,Q$2,'Chapter Data'!$D$2:$D$2500,$A6)))</f>
        <v>4</v>
      </c>
      <c r="R6" s="19" t="str">
        <f aca="false">IF($A6="","",IF(COUNTIFS('Chapter Data'!$A$2:$A$2500,R$2,'Chapter Data'!$D$2:$D$2500,$A6,'Chapter Data'!$F$2:$F$2500,"&lt;&gt;")=0,"",SUMIFS('Chapter Data'!$F$2:$F$2500,'Chapter Data'!$A$2:$A$2500,R$2,'Chapter Data'!$D$2:$D$2500,$A6)))</f>
        <v/>
      </c>
      <c r="S6" s="19" t="str">
        <f aca="false">IF($A6="","",IF(COUNTIFS('Chapter Data'!$A$2:$A$2500,S$2,'Chapter Data'!$D$2:$D$2500,$A6,'Chapter Data'!$F$2:$F$2500,"&lt;&gt;")=0,"",SUMIFS('Chapter Data'!$F$2:$F$2500,'Chapter Data'!$A$2:$A$2500,S$2,'Chapter Data'!$D$2:$D$2500,$A6)))</f>
        <v/>
      </c>
      <c r="T6" s="19" t="str">
        <f aca="false">IF($A6="","",IF(COUNTIFS('Chapter Data'!$A$2:$A$2500,T$2,'Chapter Data'!$D$2:$D$2500,$A6,'Chapter Data'!$F$2:$F$2500,"&lt;&gt;")=0,"",SUMIFS('Chapter Data'!$F$2:$F$2500,'Chapter Data'!$A$2:$A$2500,T$2,'Chapter Data'!$D$2:$D$2500,$A6)))</f>
        <v/>
      </c>
      <c r="U6" s="19" t="str">
        <f aca="false">IF($A6="","",IF(COUNTIFS('Chapter Data'!$A$2:$A$2500,U$2,'Chapter Data'!$D$2:$D$2500,$A6,'Chapter Data'!$F$2:$F$2500,"&lt;&gt;")=0,"",SUMIFS('Chapter Data'!$F$2:$F$2500,'Chapter Data'!$A$2:$A$2500,U$2,'Chapter Data'!$D$2:$D$2500,$A6)))</f>
        <v/>
      </c>
    </row>
    <row r="7" customFormat="false" ht="15" hidden="false" customHeight="false" outlineLevel="0" collapsed="false">
      <c r="A7" s="8" t="str">
        <f aca="false">IF(Lists!$D$6="","",Lists!$D$6)</f>
        <v>Alpha Tau Omega</v>
      </c>
      <c r="B7" s="19" t="n">
        <f aca="false">IF($A7="","",IF(COUNTIFS('Chapter Data'!$A$2:$A$2500,B$2,'Chapter Data'!$D$2:$D$2500,$A7,'Chapter Data'!$F$2:$F$2500,"&lt;&gt;")=0,"",SUMIFS('Chapter Data'!$F$2:$F$2500,'Chapter Data'!$A$2:$A$2500,B$2,'Chapter Data'!$D$2:$D$2500,$A7)))</f>
        <v>32</v>
      </c>
      <c r="C7" s="19" t="n">
        <f aca="false">IF($A7="","",IF(COUNTIFS('Chapter Data'!$A$2:$A$2500,C$2,'Chapter Data'!$D$2:$D$2500,$A7,'Chapter Data'!$F$2:$F$2500,"&lt;&gt;")=0,"",SUMIFS('Chapter Data'!$F$2:$F$2500,'Chapter Data'!$A$2:$A$2500,C$2,'Chapter Data'!$D$2:$D$2500,$A7)))</f>
        <v>10</v>
      </c>
      <c r="D7" s="19" t="n">
        <f aca="false">IF($A7="","",IF(COUNTIFS('Chapter Data'!$A$2:$A$2500,D$2,'Chapter Data'!$D$2:$D$2500,$A7,'Chapter Data'!$F$2:$F$2500,"&lt;&gt;")=0,"",SUMIFS('Chapter Data'!$F$2:$F$2500,'Chapter Data'!$A$2:$A$2500,D$2,'Chapter Data'!$D$2:$D$2500,$A7)))</f>
        <v>35</v>
      </c>
      <c r="E7" s="19" t="str">
        <f aca="false">IF($A7="","",IF(COUNTIFS('Chapter Data'!$A$2:$A$2500,E$2,'Chapter Data'!$D$2:$D$2500,$A7,'Chapter Data'!$F$2:$F$2500,"&lt;&gt;")=0,"",SUMIFS('Chapter Data'!$F$2:$F$2500,'Chapter Data'!$A$2:$A$2500,E$2,'Chapter Data'!$D$2:$D$2500,$A7)))</f>
        <v/>
      </c>
      <c r="F7" s="19" t="n">
        <f aca="false">IF($A7="","",IF(COUNTIFS('Chapter Data'!$A$2:$A$2500,F$2,'Chapter Data'!$D$2:$D$2500,$A7,'Chapter Data'!$F$2:$F$2500,"&lt;&gt;")=0,"",SUMIFS('Chapter Data'!$F$2:$F$2500,'Chapter Data'!$A$2:$A$2500,F$2,'Chapter Data'!$D$2:$D$2500,$A7)))</f>
        <v>38</v>
      </c>
      <c r="G7" s="19" t="n">
        <f aca="false">IF($A7="","",IF(COUNTIFS('Chapter Data'!$A$2:$A$2500,G$2,'Chapter Data'!$D$2:$D$2500,$A7,'Chapter Data'!$F$2:$F$2500,"&lt;&gt;")=0,"",SUMIFS('Chapter Data'!$F$2:$F$2500,'Chapter Data'!$A$2:$A$2500,G$2,'Chapter Data'!$D$2:$D$2500,$A7)))</f>
        <v>3</v>
      </c>
      <c r="H7" s="19" t="n">
        <f aca="false">IF($A7="","",IF(COUNTIFS('Chapter Data'!$A$2:$A$2500,H$2,'Chapter Data'!$D$2:$D$2500,$A7,'Chapter Data'!$F$2:$F$2500,"&lt;&gt;")=0,"",SUMIFS('Chapter Data'!$F$2:$F$2500,'Chapter Data'!$A$2:$A$2500,H$2,'Chapter Data'!$D$2:$D$2500,$A7)))</f>
        <v>19</v>
      </c>
      <c r="I7" s="19" t="str">
        <f aca="false">IF($A7="","",IF(COUNTIFS('Chapter Data'!$A$2:$A$2500,I$2,'Chapter Data'!$D$2:$D$2500,$A7,'Chapter Data'!$F$2:$F$2500,"&lt;&gt;")=0,"",SUMIFS('Chapter Data'!$F$2:$F$2500,'Chapter Data'!$A$2:$A$2500,I$2,'Chapter Data'!$D$2:$D$2500,$A7)))</f>
        <v/>
      </c>
      <c r="J7" s="19" t="n">
        <f aca="false">IF($A7="","",IF(COUNTIFS('Chapter Data'!$A$2:$A$2500,J$2,'Chapter Data'!$D$2:$D$2500,$A7,'Chapter Data'!$F$2:$F$2500,"&lt;&gt;")=0,"",SUMIFS('Chapter Data'!$F$2:$F$2500,'Chapter Data'!$A$2:$A$2500,J$2,'Chapter Data'!$D$2:$D$2500,$A7)))</f>
        <v>35</v>
      </c>
      <c r="K7" s="19" t="n">
        <f aca="false">IF($A7="","",IF(COUNTIFS('Chapter Data'!$A$2:$A$2500,K$2,'Chapter Data'!$D$2:$D$2500,$A7,'Chapter Data'!$F$2:$F$2500,"&lt;&gt;")=0,"",SUMIFS('Chapter Data'!$F$2:$F$2500,'Chapter Data'!$A$2:$A$2500,K$2,'Chapter Data'!$D$2:$D$2500,$A7)))</f>
        <v>6</v>
      </c>
      <c r="L7" s="19" t="str">
        <f aca="false">IF($A7="","",IF(COUNTIFS('Chapter Data'!$A$2:$A$2500,L$2,'Chapter Data'!$D$2:$D$2500,$A7,'Chapter Data'!$F$2:$F$2500,"&lt;&gt;")=0,"",SUMIFS('Chapter Data'!$F$2:$F$2500,'Chapter Data'!$A$2:$A$2500,L$2,'Chapter Data'!$D$2:$D$2500,$A7)))</f>
        <v/>
      </c>
      <c r="M7" s="19" t="n">
        <f aca="false">IF($A7="","",IF(COUNTIFS('Chapter Data'!$A$2:$A$2500,M$2,'Chapter Data'!$D$2:$D$2500,$A7,'Chapter Data'!$F$2:$F$2500,"&lt;&gt;")=0,"",SUMIFS('Chapter Data'!$F$2:$F$2500,'Chapter Data'!$A$2:$A$2500,M$2,'Chapter Data'!$D$2:$D$2500,$A7)))</f>
        <v>2</v>
      </c>
      <c r="N7" s="19" t="n">
        <f aca="false">IF($A7="","",IF(COUNTIFS('Chapter Data'!$A$2:$A$2500,N$2,'Chapter Data'!$D$2:$D$2500,$A7,'Chapter Data'!$F$2:$F$2500,"&lt;&gt;")=0,"",SUMIFS('Chapter Data'!$F$2:$F$2500,'Chapter Data'!$A$2:$A$2500,N$2,'Chapter Data'!$D$2:$D$2500,$A7)))</f>
        <v>39</v>
      </c>
      <c r="O7" s="19" t="n">
        <f aca="false">IF($A7="","",IF(COUNTIFS('Chapter Data'!$A$2:$A$2500,O$2,'Chapter Data'!$D$2:$D$2500,$A7,'Chapter Data'!$F$2:$F$2500,"&lt;&gt;")=0,"",SUMIFS('Chapter Data'!$F$2:$F$2500,'Chapter Data'!$A$2:$A$2500,O$2,'Chapter Data'!$D$2:$D$2500,$A7)))</f>
        <v>4</v>
      </c>
      <c r="P7" s="19" t="n">
        <f aca="false">IF($A7="","",IF(COUNTIFS('Chapter Data'!$A$2:$A$2500,P$2,'Chapter Data'!$D$2:$D$2500,$A7,'Chapter Data'!$F$2:$F$2500,"&lt;&gt;")=0,"",SUMIFS('Chapter Data'!$F$2:$F$2500,'Chapter Data'!$A$2:$A$2500,P$2,'Chapter Data'!$D$2:$D$2500,$A7)))</f>
        <v>36</v>
      </c>
      <c r="Q7" s="19" t="n">
        <f aca="false">IF($A7="","",IF(COUNTIFS('Chapter Data'!$A$2:$A$2500,Q$2,'Chapter Data'!$D$2:$D$2500,$A7,'Chapter Data'!$F$2:$F$2500,"&lt;&gt;")=0,"",SUMIFS('Chapter Data'!$F$2:$F$2500,'Chapter Data'!$A$2:$A$2500,Q$2,'Chapter Data'!$D$2:$D$2500,$A7)))</f>
        <v>4</v>
      </c>
      <c r="R7" s="19" t="str">
        <f aca="false">IF($A7="","",IF(COUNTIFS('Chapter Data'!$A$2:$A$2500,R$2,'Chapter Data'!$D$2:$D$2500,$A7,'Chapter Data'!$F$2:$F$2500,"&lt;&gt;")=0,"",SUMIFS('Chapter Data'!$F$2:$F$2500,'Chapter Data'!$A$2:$A$2500,R$2,'Chapter Data'!$D$2:$D$2500,$A7)))</f>
        <v/>
      </c>
      <c r="S7" s="19" t="str">
        <f aca="false">IF($A7="","",IF(COUNTIFS('Chapter Data'!$A$2:$A$2500,S$2,'Chapter Data'!$D$2:$D$2500,$A7,'Chapter Data'!$F$2:$F$2500,"&lt;&gt;")=0,"",SUMIFS('Chapter Data'!$F$2:$F$2500,'Chapter Data'!$A$2:$A$2500,S$2,'Chapter Data'!$D$2:$D$2500,$A7)))</f>
        <v/>
      </c>
      <c r="T7" s="19" t="str">
        <f aca="false">IF($A7="","",IF(COUNTIFS('Chapter Data'!$A$2:$A$2500,T$2,'Chapter Data'!$D$2:$D$2500,$A7,'Chapter Data'!$F$2:$F$2500,"&lt;&gt;")=0,"",SUMIFS('Chapter Data'!$F$2:$F$2500,'Chapter Data'!$A$2:$A$2500,T$2,'Chapter Data'!$D$2:$D$2500,$A7)))</f>
        <v/>
      </c>
      <c r="U7" s="19" t="str">
        <f aca="false">IF($A7="","",IF(COUNTIFS('Chapter Data'!$A$2:$A$2500,U$2,'Chapter Data'!$D$2:$D$2500,$A7,'Chapter Data'!$F$2:$F$2500,"&lt;&gt;")=0,"",SUMIFS('Chapter Data'!$F$2:$F$2500,'Chapter Data'!$A$2:$A$2500,U$2,'Chapter Data'!$D$2:$D$2500,$A7)))</f>
        <v/>
      </c>
    </row>
    <row r="8" customFormat="false" ht="15" hidden="false" customHeight="false" outlineLevel="0" collapsed="false">
      <c r="A8" s="8" t="str">
        <f aca="false">IF(Lists!$D$7="","",Lists!$D$7)</f>
        <v>Beta Sigma Psi</v>
      </c>
      <c r="B8" s="19" t="n">
        <f aca="false">IF($A8="","",IF(COUNTIFS('Chapter Data'!$A$2:$A$2500,B$2,'Chapter Data'!$D$2:$D$2500,$A8,'Chapter Data'!$F$2:$F$2500,"&lt;&gt;")=0,"",SUMIFS('Chapter Data'!$F$2:$F$2500,'Chapter Data'!$A$2:$A$2500,B$2,'Chapter Data'!$D$2:$D$2500,$A8)))</f>
        <v>6</v>
      </c>
      <c r="C8" s="19" t="n">
        <f aca="false">IF($A8="","",IF(COUNTIFS('Chapter Data'!$A$2:$A$2500,C$2,'Chapter Data'!$D$2:$D$2500,$A8,'Chapter Data'!$F$2:$F$2500,"&lt;&gt;")=0,"",SUMIFS('Chapter Data'!$F$2:$F$2500,'Chapter Data'!$A$2:$A$2500,C$2,'Chapter Data'!$D$2:$D$2500,$A8)))</f>
        <v>0</v>
      </c>
      <c r="D8" s="19" t="n">
        <f aca="false">IF($A8="","",IF(COUNTIFS('Chapter Data'!$A$2:$A$2500,D$2,'Chapter Data'!$D$2:$D$2500,$A8,'Chapter Data'!$F$2:$F$2500,"&lt;&gt;")=0,"",SUMIFS('Chapter Data'!$F$2:$F$2500,'Chapter Data'!$A$2:$A$2500,D$2,'Chapter Data'!$D$2:$D$2500,$A8)))</f>
        <v>5</v>
      </c>
      <c r="E8" s="19" t="str">
        <f aca="false">IF($A8="","",IF(COUNTIFS('Chapter Data'!$A$2:$A$2500,E$2,'Chapter Data'!$D$2:$D$2500,$A8,'Chapter Data'!$F$2:$F$2500,"&lt;&gt;")=0,"",SUMIFS('Chapter Data'!$F$2:$F$2500,'Chapter Data'!$A$2:$A$2500,E$2,'Chapter Data'!$D$2:$D$2500,$A8)))</f>
        <v/>
      </c>
      <c r="F8" s="19" t="n">
        <f aca="false">IF($A8="","",IF(COUNTIFS('Chapter Data'!$A$2:$A$2500,F$2,'Chapter Data'!$D$2:$D$2500,$A8,'Chapter Data'!$F$2:$F$2500,"&lt;&gt;")=0,"",SUMIFS('Chapter Data'!$F$2:$F$2500,'Chapter Data'!$A$2:$A$2500,F$2,'Chapter Data'!$D$2:$D$2500,$A8)))</f>
        <v>5</v>
      </c>
      <c r="G8" s="19" t="n">
        <f aca="false">IF($A8="","",IF(COUNTIFS('Chapter Data'!$A$2:$A$2500,G$2,'Chapter Data'!$D$2:$D$2500,$A8,'Chapter Data'!$F$2:$F$2500,"&lt;&gt;")=0,"",SUMIFS('Chapter Data'!$F$2:$F$2500,'Chapter Data'!$A$2:$A$2500,G$2,'Chapter Data'!$D$2:$D$2500,$A8)))</f>
        <v>1</v>
      </c>
      <c r="H8" s="19" t="n">
        <f aca="false">IF($A8="","",IF(COUNTIFS('Chapter Data'!$A$2:$A$2500,H$2,'Chapter Data'!$D$2:$D$2500,$A8,'Chapter Data'!$F$2:$F$2500,"&lt;&gt;")=0,"",SUMIFS('Chapter Data'!$F$2:$F$2500,'Chapter Data'!$A$2:$A$2500,H$2,'Chapter Data'!$D$2:$D$2500,$A8)))</f>
        <v>5</v>
      </c>
      <c r="I8" s="19" t="str">
        <f aca="false">IF($A8="","",IF(COUNTIFS('Chapter Data'!$A$2:$A$2500,I$2,'Chapter Data'!$D$2:$D$2500,$A8,'Chapter Data'!$F$2:$F$2500,"&lt;&gt;")=0,"",SUMIFS('Chapter Data'!$F$2:$F$2500,'Chapter Data'!$A$2:$A$2500,I$2,'Chapter Data'!$D$2:$D$2500,$A8)))</f>
        <v/>
      </c>
      <c r="J8" s="19" t="n">
        <f aca="false">IF($A8="","",IF(COUNTIFS('Chapter Data'!$A$2:$A$2500,J$2,'Chapter Data'!$D$2:$D$2500,$A8,'Chapter Data'!$F$2:$F$2500,"&lt;&gt;")=0,"",SUMIFS('Chapter Data'!$F$2:$F$2500,'Chapter Data'!$A$2:$A$2500,J$2,'Chapter Data'!$D$2:$D$2500,$A8)))</f>
        <v>8</v>
      </c>
      <c r="K8" s="19" t="str">
        <f aca="false">IF($A8="","",IF(COUNTIFS('Chapter Data'!$A$2:$A$2500,K$2,'Chapter Data'!$D$2:$D$2500,$A8,'Chapter Data'!$F$2:$F$2500,"&lt;&gt;")=0,"",SUMIFS('Chapter Data'!$F$2:$F$2500,'Chapter Data'!$A$2:$A$2500,K$2,'Chapter Data'!$D$2:$D$2500,$A8)))</f>
        <v/>
      </c>
      <c r="L8" s="19" t="str">
        <f aca="false">IF($A8="","",IF(COUNTIFS('Chapter Data'!$A$2:$A$2500,L$2,'Chapter Data'!$D$2:$D$2500,$A8,'Chapter Data'!$F$2:$F$2500,"&lt;&gt;")=0,"",SUMIFS('Chapter Data'!$F$2:$F$2500,'Chapter Data'!$A$2:$A$2500,L$2,'Chapter Data'!$D$2:$D$2500,$A8)))</f>
        <v/>
      </c>
      <c r="M8" s="19" t="n">
        <f aca="false">IF($A8="","",IF(COUNTIFS('Chapter Data'!$A$2:$A$2500,M$2,'Chapter Data'!$D$2:$D$2500,$A8,'Chapter Data'!$F$2:$F$2500,"&lt;&gt;")=0,"",SUMIFS('Chapter Data'!$F$2:$F$2500,'Chapter Data'!$A$2:$A$2500,M$2,'Chapter Data'!$D$2:$D$2500,$A8)))</f>
        <v>1</v>
      </c>
      <c r="N8" s="19" t="n">
        <f aca="false">IF($A8="","",IF(COUNTIFS('Chapter Data'!$A$2:$A$2500,N$2,'Chapter Data'!$D$2:$D$2500,$A8,'Chapter Data'!$F$2:$F$2500,"&lt;&gt;")=0,"",SUMIFS('Chapter Data'!$F$2:$F$2500,'Chapter Data'!$A$2:$A$2500,N$2,'Chapter Data'!$D$2:$D$2500,$A8)))</f>
        <v>4</v>
      </c>
      <c r="O8" s="19" t="n">
        <f aca="false">IF($A8="","",IF(COUNTIFS('Chapter Data'!$A$2:$A$2500,O$2,'Chapter Data'!$D$2:$D$2500,$A8,'Chapter Data'!$F$2:$F$2500,"&lt;&gt;")=0,"",SUMIFS('Chapter Data'!$F$2:$F$2500,'Chapter Data'!$A$2:$A$2500,O$2,'Chapter Data'!$D$2:$D$2500,$A8)))</f>
        <v>1</v>
      </c>
      <c r="P8" s="19" t="n">
        <f aca="false">IF($A8="","",IF(COUNTIFS('Chapter Data'!$A$2:$A$2500,P$2,'Chapter Data'!$D$2:$D$2500,$A8,'Chapter Data'!$F$2:$F$2500,"&lt;&gt;")=0,"",SUMIFS('Chapter Data'!$F$2:$F$2500,'Chapter Data'!$A$2:$A$2500,P$2,'Chapter Data'!$D$2:$D$2500,$A8)))</f>
        <v>3</v>
      </c>
      <c r="Q8" s="19" t="n">
        <f aca="false">IF($A8="","",IF(COUNTIFS('Chapter Data'!$A$2:$A$2500,Q$2,'Chapter Data'!$D$2:$D$2500,$A8,'Chapter Data'!$F$2:$F$2500,"&lt;&gt;")=0,"",SUMIFS('Chapter Data'!$F$2:$F$2500,'Chapter Data'!$A$2:$A$2500,Q$2,'Chapter Data'!$D$2:$D$2500,$A8)))</f>
        <v>0</v>
      </c>
      <c r="R8" s="19" t="str">
        <f aca="false">IF($A8="","",IF(COUNTIFS('Chapter Data'!$A$2:$A$2500,R$2,'Chapter Data'!$D$2:$D$2500,$A8,'Chapter Data'!$F$2:$F$2500,"&lt;&gt;")=0,"",SUMIFS('Chapter Data'!$F$2:$F$2500,'Chapter Data'!$A$2:$A$2500,R$2,'Chapter Data'!$D$2:$D$2500,$A8)))</f>
        <v/>
      </c>
      <c r="S8" s="19" t="str">
        <f aca="false">IF($A8="","",IF(COUNTIFS('Chapter Data'!$A$2:$A$2500,S$2,'Chapter Data'!$D$2:$D$2500,$A8,'Chapter Data'!$F$2:$F$2500,"&lt;&gt;")=0,"",SUMIFS('Chapter Data'!$F$2:$F$2500,'Chapter Data'!$A$2:$A$2500,S$2,'Chapter Data'!$D$2:$D$2500,$A8)))</f>
        <v/>
      </c>
      <c r="T8" s="19" t="str">
        <f aca="false">IF($A8="","",IF(COUNTIFS('Chapter Data'!$A$2:$A$2500,T$2,'Chapter Data'!$D$2:$D$2500,$A8,'Chapter Data'!$F$2:$F$2500,"&lt;&gt;")=0,"",SUMIFS('Chapter Data'!$F$2:$F$2500,'Chapter Data'!$A$2:$A$2500,T$2,'Chapter Data'!$D$2:$D$2500,$A8)))</f>
        <v/>
      </c>
      <c r="U8" s="19" t="str">
        <f aca="false">IF($A8="","",IF(COUNTIFS('Chapter Data'!$A$2:$A$2500,U$2,'Chapter Data'!$D$2:$D$2500,$A8,'Chapter Data'!$F$2:$F$2500,"&lt;&gt;")=0,"",SUMIFS('Chapter Data'!$F$2:$F$2500,'Chapter Data'!$A$2:$A$2500,U$2,'Chapter Data'!$D$2:$D$2500,$A8)))</f>
        <v/>
      </c>
    </row>
    <row r="9" customFormat="false" ht="15" hidden="false" customHeight="false" outlineLevel="0" collapsed="false">
      <c r="A9" s="8" t="str">
        <f aca="false">IF(Lists!$D$8="","",Lists!$D$8)</f>
        <v>Beta Theta Pi</v>
      </c>
      <c r="B9" s="19" t="n">
        <f aca="false">IF($A9="","",IF(COUNTIFS('Chapter Data'!$A$2:$A$2500,B$2,'Chapter Data'!$D$2:$D$2500,$A9,'Chapter Data'!$F$2:$F$2500,"&lt;&gt;")=0,"",SUMIFS('Chapter Data'!$F$2:$F$2500,'Chapter Data'!$A$2:$A$2500,B$2,'Chapter Data'!$D$2:$D$2500,$A9)))</f>
        <v>32</v>
      </c>
      <c r="C9" s="19" t="n">
        <f aca="false">IF($A9="","",IF(COUNTIFS('Chapter Data'!$A$2:$A$2500,C$2,'Chapter Data'!$D$2:$D$2500,$A9,'Chapter Data'!$F$2:$F$2500,"&lt;&gt;")=0,"",SUMIFS('Chapter Data'!$F$2:$F$2500,'Chapter Data'!$A$2:$A$2500,C$2,'Chapter Data'!$D$2:$D$2500,$A9)))</f>
        <v>0</v>
      </c>
      <c r="D9" s="19" t="n">
        <f aca="false">IF($A9="","",IF(COUNTIFS('Chapter Data'!$A$2:$A$2500,D$2,'Chapter Data'!$D$2:$D$2500,$A9,'Chapter Data'!$F$2:$F$2500,"&lt;&gt;")=0,"",SUMIFS('Chapter Data'!$F$2:$F$2500,'Chapter Data'!$A$2:$A$2500,D$2,'Chapter Data'!$D$2:$D$2500,$A9)))</f>
        <v>30</v>
      </c>
      <c r="E9" s="19" t="str">
        <f aca="false">IF($A9="","",IF(COUNTIFS('Chapter Data'!$A$2:$A$2500,E$2,'Chapter Data'!$D$2:$D$2500,$A9,'Chapter Data'!$F$2:$F$2500,"&lt;&gt;")=0,"",SUMIFS('Chapter Data'!$F$2:$F$2500,'Chapter Data'!$A$2:$A$2500,E$2,'Chapter Data'!$D$2:$D$2500,$A9)))</f>
        <v/>
      </c>
      <c r="F9" s="19" t="n">
        <f aca="false">IF($A9="","",IF(COUNTIFS('Chapter Data'!$A$2:$A$2500,F$2,'Chapter Data'!$D$2:$D$2500,$A9,'Chapter Data'!$F$2:$F$2500,"&lt;&gt;")=0,"",SUMIFS('Chapter Data'!$F$2:$F$2500,'Chapter Data'!$A$2:$A$2500,F$2,'Chapter Data'!$D$2:$D$2500,$A9)))</f>
        <v>31</v>
      </c>
      <c r="G9" s="19" t="n">
        <f aca="false">IF($A9="","",IF(COUNTIFS('Chapter Data'!$A$2:$A$2500,G$2,'Chapter Data'!$D$2:$D$2500,$A9,'Chapter Data'!$F$2:$F$2500,"&lt;&gt;")=0,"",SUMIFS('Chapter Data'!$F$2:$F$2500,'Chapter Data'!$A$2:$A$2500,G$2,'Chapter Data'!$D$2:$D$2500,$A9)))</f>
        <v>1</v>
      </c>
      <c r="H9" s="19" t="n">
        <f aca="false">IF($A9="","",IF(COUNTIFS('Chapter Data'!$A$2:$A$2500,H$2,'Chapter Data'!$D$2:$D$2500,$A9,'Chapter Data'!$F$2:$F$2500,"&lt;&gt;")=0,"",SUMIFS('Chapter Data'!$F$2:$F$2500,'Chapter Data'!$A$2:$A$2500,H$2,'Chapter Data'!$D$2:$D$2500,$A9)))</f>
        <v>30</v>
      </c>
      <c r="I9" s="19" t="str">
        <f aca="false">IF($A9="","",IF(COUNTIFS('Chapter Data'!$A$2:$A$2500,I$2,'Chapter Data'!$D$2:$D$2500,$A9,'Chapter Data'!$F$2:$F$2500,"&lt;&gt;")=0,"",SUMIFS('Chapter Data'!$F$2:$F$2500,'Chapter Data'!$A$2:$A$2500,I$2,'Chapter Data'!$D$2:$D$2500,$A9)))</f>
        <v/>
      </c>
      <c r="J9" s="19" t="n">
        <f aca="false">IF($A9="","",IF(COUNTIFS('Chapter Data'!$A$2:$A$2500,J$2,'Chapter Data'!$D$2:$D$2500,$A9,'Chapter Data'!$F$2:$F$2500,"&lt;&gt;")=0,"",SUMIFS('Chapter Data'!$F$2:$F$2500,'Chapter Data'!$A$2:$A$2500,J$2,'Chapter Data'!$D$2:$D$2500,$A9)))</f>
        <v>34</v>
      </c>
      <c r="K9" s="19" t="str">
        <f aca="false">IF($A9="","",IF(COUNTIFS('Chapter Data'!$A$2:$A$2500,K$2,'Chapter Data'!$D$2:$D$2500,$A9,'Chapter Data'!$F$2:$F$2500,"&lt;&gt;")=0,"",SUMIFS('Chapter Data'!$F$2:$F$2500,'Chapter Data'!$A$2:$A$2500,K$2,'Chapter Data'!$D$2:$D$2500,$A9)))</f>
        <v/>
      </c>
      <c r="L9" s="19" t="str">
        <f aca="false">IF($A9="","",IF(COUNTIFS('Chapter Data'!$A$2:$A$2500,L$2,'Chapter Data'!$D$2:$D$2500,$A9,'Chapter Data'!$F$2:$F$2500,"&lt;&gt;")=0,"",SUMIFS('Chapter Data'!$F$2:$F$2500,'Chapter Data'!$A$2:$A$2500,L$2,'Chapter Data'!$D$2:$D$2500,$A9)))</f>
        <v/>
      </c>
      <c r="M9" s="19" t="n">
        <f aca="false">IF($A9="","",IF(COUNTIFS('Chapter Data'!$A$2:$A$2500,M$2,'Chapter Data'!$D$2:$D$2500,$A9,'Chapter Data'!$F$2:$F$2500,"&lt;&gt;")=0,"",SUMIFS('Chapter Data'!$F$2:$F$2500,'Chapter Data'!$A$2:$A$2500,M$2,'Chapter Data'!$D$2:$D$2500,$A9)))</f>
        <v>0</v>
      </c>
      <c r="N9" s="19" t="n">
        <f aca="false">IF($A9="","",IF(COUNTIFS('Chapter Data'!$A$2:$A$2500,N$2,'Chapter Data'!$D$2:$D$2500,$A9,'Chapter Data'!$F$2:$F$2500,"&lt;&gt;")=0,"",SUMIFS('Chapter Data'!$F$2:$F$2500,'Chapter Data'!$A$2:$A$2500,N$2,'Chapter Data'!$D$2:$D$2500,$A9)))</f>
        <v>34</v>
      </c>
      <c r="O9" s="19" t="n">
        <f aca="false">IF($A9="","",IF(COUNTIFS('Chapter Data'!$A$2:$A$2500,O$2,'Chapter Data'!$D$2:$D$2500,$A9,'Chapter Data'!$F$2:$F$2500,"&lt;&gt;")=0,"",SUMIFS('Chapter Data'!$F$2:$F$2500,'Chapter Data'!$A$2:$A$2500,O$2,'Chapter Data'!$D$2:$D$2500,$A9)))</f>
        <v>0</v>
      </c>
      <c r="P9" s="19" t="n">
        <f aca="false">IF($A9="","",IF(COUNTIFS('Chapter Data'!$A$2:$A$2500,P$2,'Chapter Data'!$D$2:$D$2500,$A9,'Chapter Data'!$F$2:$F$2500,"&lt;&gt;")=0,"",SUMIFS('Chapter Data'!$F$2:$F$2500,'Chapter Data'!$A$2:$A$2500,P$2,'Chapter Data'!$D$2:$D$2500,$A9)))</f>
        <v>34</v>
      </c>
      <c r="Q9" s="19" t="n">
        <f aca="false">IF($A9="","",IF(COUNTIFS('Chapter Data'!$A$2:$A$2500,Q$2,'Chapter Data'!$D$2:$D$2500,$A9,'Chapter Data'!$F$2:$F$2500,"&lt;&gt;")=0,"",SUMIFS('Chapter Data'!$F$2:$F$2500,'Chapter Data'!$A$2:$A$2500,Q$2,'Chapter Data'!$D$2:$D$2500,$A9)))</f>
        <v>0</v>
      </c>
      <c r="R9" s="19" t="str">
        <f aca="false">IF($A9="","",IF(COUNTIFS('Chapter Data'!$A$2:$A$2500,R$2,'Chapter Data'!$D$2:$D$2500,$A9,'Chapter Data'!$F$2:$F$2500,"&lt;&gt;")=0,"",SUMIFS('Chapter Data'!$F$2:$F$2500,'Chapter Data'!$A$2:$A$2500,R$2,'Chapter Data'!$D$2:$D$2500,$A9)))</f>
        <v/>
      </c>
      <c r="S9" s="19" t="str">
        <f aca="false">IF($A9="","",IF(COUNTIFS('Chapter Data'!$A$2:$A$2500,S$2,'Chapter Data'!$D$2:$D$2500,$A9,'Chapter Data'!$F$2:$F$2500,"&lt;&gt;")=0,"",SUMIFS('Chapter Data'!$F$2:$F$2500,'Chapter Data'!$A$2:$A$2500,S$2,'Chapter Data'!$D$2:$D$2500,$A9)))</f>
        <v/>
      </c>
      <c r="T9" s="19" t="str">
        <f aca="false">IF($A9="","",IF(COUNTIFS('Chapter Data'!$A$2:$A$2500,T$2,'Chapter Data'!$D$2:$D$2500,$A9,'Chapter Data'!$F$2:$F$2500,"&lt;&gt;")=0,"",SUMIFS('Chapter Data'!$F$2:$F$2500,'Chapter Data'!$A$2:$A$2500,T$2,'Chapter Data'!$D$2:$D$2500,$A9)))</f>
        <v/>
      </c>
      <c r="U9" s="19" t="str">
        <f aca="false">IF($A9="","",IF(COUNTIFS('Chapter Data'!$A$2:$A$2500,U$2,'Chapter Data'!$D$2:$D$2500,$A9,'Chapter Data'!$F$2:$F$2500,"&lt;&gt;")=0,"",SUMIFS('Chapter Data'!$F$2:$F$2500,'Chapter Data'!$A$2:$A$2500,U$2,'Chapter Data'!$D$2:$D$2500,$A9)))</f>
        <v/>
      </c>
    </row>
    <row r="10" customFormat="false" ht="15" hidden="false" customHeight="false" outlineLevel="0" collapsed="false">
      <c r="A10" s="8" t="str">
        <f aca="false">IF(Lists!$D$9="","",Lists!$D$9)</f>
        <v>Chi Phi</v>
      </c>
      <c r="B10" s="19" t="n">
        <f aca="false">IF($A10="","",IF(COUNTIFS('Chapter Data'!$A$2:$A$2500,B$2,'Chapter Data'!$D$2:$D$2500,$A10,'Chapter Data'!$F$2:$F$2500,"&lt;&gt;")=0,"",SUMIFS('Chapter Data'!$F$2:$F$2500,'Chapter Data'!$A$2:$A$2500,B$2,'Chapter Data'!$D$2:$D$2500,$A10)))</f>
        <v>3</v>
      </c>
      <c r="C10" s="19" t="n">
        <f aca="false">IF($A10="","",IF(COUNTIFS('Chapter Data'!$A$2:$A$2500,C$2,'Chapter Data'!$D$2:$D$2500,$A10,'Chapter Data'!$F$2:$F$2500,"&lt;&gt;")=0,"",SUMIFS('Chapter Data'!$F$2:$F$2500,'Chapter Data'!$A$2:$A$2500,C$2,'Chapter Data'!$D$2:$D$2500,$A10)))</f>
        <v>0</v>
      </c>
      <c r="D10" s="19" t="n">
        <f aca="false">IF($A10="","",IF(COUNTIFS('Chapter Data'!$A$2:$A$2500,D$2,'Chapter Data'!$D$2:$D$2500,$A10,'Chapter Data'!$F$2:$F$2500,"&lt;&gt;")=0,"",SUMIFS('Chapter Data'!$F$2:$F$2500,'Chapter Data'!$A$2:$A$2500,D$2,'Chapter Data'!$D$2:$D$2500,$A10)))</f>
        <v>0</v>
      </c>
      <c r="E10" s="19" t="str">
        <f aca="false">IF($A10="","",IF(COUNTIFS('Chapter Data'!$A$2:$A$2500,E$2,'Chapter Data'!$D$2:$D$2500,$A10,'Chapter Data'!$F$2:$F$2500,"&lt;&gt;")=0,"",SUMIFS('Chapter Data'!$F$2:$F$2500,'Chapter Data'!$A$2:$A$2500,E$2,'Chapter Data'!$D$2:$D$2500,$A10)))</f>
        <v/>
      </c>
      <c r="F10" s="19" t="n">
        <f aca="false">IF($A10="","",IF(COUNTIFS('Chapter Data'!$A$2:$A$2500,F$2,'Chapter Data'!$D$2:$D$2500,$A10,'Chapter Data'!$F$2:$F$2500,"&lt;&gt;")=0,"",SUMIFS('Chapter Data'!$F$2:$F$2500,'Chapter Data'!$A$2:$A$2500,F$2,'Chapter Data'!$D$2:$D$2500,$A10)))</f>
        <v>5</v>
      </c>
      <c r="G10" s="19" t="n">
        <f aca="false">IF($A10="","",IF(COUNTIFS('Chapter Data'!$A$2:$A$2500,G$2,'Chapter Data'!$D$2:$D$2500,$A10,'Chapter Data'!$F$2:$F$2500,"&lt;&gt;")=0,"",SUMIFS('Chapter Data'!$F$2:$F$2500,'Chapter Data'!$A$2:$A$2500,G$2,'Chapter Data'!$D$2:$D$2500,$A10)))</f>
        <v>3</v>
      </c>
      <c r="H10" s="19" t="n">
        <f aca="false">IF($A10="","",IF(COUNTIFS('Chapter Data'!$A$2:$A$2500,H$2,'Chapter Data'!$D$2:$D$2500,$A10,'Chapter Data'!$F$2:$F$2500,"&lt;&gt;")=0,"",SUMIFS('Chapter Data'!$F$2:$F$2500,'Chapter Data'!$A$2:$A$2500,H$2,'Chapter Data'!$D$2:$D$2500,$A10)))</f>
        <v>5</v>
      </c>
      <c r="I10" s="19" t="str">
        <f aca="false">IF($A10="","",IF(COUNTIFS('Chapter Data'!$A$2:$A$2500,I$2,'Chapter Data'!$D$2:$D$2500,$A10,'Chapter Data'!$F$2:$F$2500,"&lt;&gt;")=0,"",SUMIFS('Chapter Data'!$F$2:$F$2500,'Chapter Data'!$A$2:$A$2500,I$2,'Chapter Data'!$D$2:$D$2500,$A10)))</f>
        <v/>
      </c>
      <c r="J10" s="19" t="n">
        <f aca="false">IF($A10="","",IF(COUNTIFS('Chapter Data'!$A$2:$A$2500,J$2,'Chapter Data'!$D$2:$D$2500,$A10,'Chapter Data'!$F$2:$F$2500,"&lt;&gt;")=0,"",SUMIFS('Chapter Data'!$F$2:$F$2500,'Chapter Data'!$A$2:$A$2500,J$2,'Chapter Data'!$D$2:$D$2500,$A10)))</f>
        <v>3</v>
      </c>
      <c r="K10" s="19" t="str">
        <f aca="false">IF($A10="","",IF(COUNTIFS('Chapter Data'!$A$2:$A$2500,K$2,'Chapter Data'!$D$2:$D$2500,$A10,'Chapter Data'!$F$2:$F$2500,"&lt;&gt;")=0,"",SUMIFS('Chapter Data'!$F$2:$F$2500,'Chapter Data'!$A$2:$A$2500,K$2,'Chapter Data'!$D$2:$D$2500,$A10)))</f>
        <v/>
      </c>
      <c r="L10" s="19" t="str">
        <f aca="false">IF($A10="","",IF(COUNTIFS('Chapter Data'!$A$2:$A$2500,L$2,'Chapter Data'!$D$2:$D$2500,$A10,'Chapter Data'!$F$2:$F$2500,"&lt;&gt;")=0,"",SUMIFS('Chapter Data'!$F$2:$F$2500,'Chapter Data'!$A$2:$A$2500,L$2,'Chapter Data'!$D$2:$D$2500,$A10)))</f>
        <v/>
      </c>
      <c r="M10" s="19" t="n">
        <f aca="false">IF($A10="","",IF(COUNTIFS('Chapter Data'!$A$2:$A$2500,M$2,'Chapter Data'!$D$2:$D$2500,$A10,'Chapter Data'!$F$2:$F$2500,"&lt;&gt;")=0,"",SUMIFS('Chapter Data'!$F$2:$F$2500,'Chapter Data'!$A$2:$A$2500,M$2,'Chapter Data'!$D$2:$D$2500,$A10)))</f>
        <v>2</v>
      </c>
      <c r="N10" s="19" t="n">
        <f aca="false">IF($A10="","",IF(COUNTIFS('Chapter Data'!$A$2:$A$2500,N$2,'Chapter Data'!$D$2:$D$2500,$A10,'Chapter Data'!$F$2:$F$2500,"&lt;&gt;")=0,"",SUMIFS('Chapter Data'!$F$2:$F$2500,'Chapter Data'!$A$2:$A$2500,N$2,'Chapter Data'!$D$2:$D$2500,$A10)))</f>
        <v>2</v>
      </c>
      <c r="O10" s="19" t="n">
        <f aca="false">IF($A10="","",IF(COUNTIFS('Chapter Data'!$A$2:$A$2500,O$2,'Chapter Data'!$D$2:$D$2500,$A10,'Chapter Data'!$F$2:$F$2500,"&lt;&gt;")=0,"",SUMIFS('Chapter Data'!$F$2:$F$2500,'Chapter Data'!$A$2:$A$2500,O$2,'Chapter Data'!$D$2:$D$2500,$A10)))</f>
        <v>2</v>
      </c>
      <c r="P10" s="19" t="n">
        <f aca="false">IF($A10="","",IF(COUNTIFS('Chapter Data'!$A$2:$A$2500,P$2,'Chapter Data'!$D$2:$D$2500,$A10,'Chapter Data'!$F$2:$F$2500,"&lt;&gt;")=0,"",SUMIFS('Chapter Data'!$F$2:$F$2500,'Chapter Data'!$A$2:$A$2500,P$2,'Chapter Data'!$D$2:$D$2500,$A10)))</f>
        <v>3</v>
      </c>
      <c r="Q10" s="19" t="n">
        <f aca="false">IF($A10="","",IF(COUNTIFS('Chapter Data'!$A$2:$A$2500,Q$2,'Chapter Data'!$D$2:$D$2500,$A10,'Chapter Data'!$F$2:$F$2500,"&lt;&gt;")=0,"",SUMIFS('Chapter Data'!$F$2:$F$2500,'Chapter Data'!$A$2:$A$2500,Q$2,'Chapter Data'!$D$2:$D$2500,$A10)))</f>
        <v>4</v>
      </c>
      <c r="R10" s="19" t="str">
        <f aca="false">IF($A10="","",IF(COUNTIFS('Chapter Data'!$A$2:$A$2500,R$2,'Chapter Data'!$D$2:$D$2500,$A10,'Chapter Data'!$F$2:$F$2500,"&lt;&gt;")=0,"",SUMIFS('Chapter Data'!$F$2:$F$2500,'Chapter Data'!$A$2:$A$2500,R$2,'Chapter Data'!$D$2:$D$2500,$A10)))</f>
        <v/>
      </c>
      <c r="S10" s="19" t="str">
        <f aca="false">IF($A10="","",IF(COUNTIFS('Chapter Data'!$A$2:$A$2500,S$2,'Chapter Data'!$D$2:$D$2500,$A10,'Chapter Data'!$F$2:$F$2500,"&lt;&gt;")=0,"",SUMIFS('Chapter Data'!$F$2:$F$2500,'Chapter Data'!$A$2:$A$2500,S$2,'Chapter Data'!$D$2:$D$2500,$A10)))</f>
        <v/>
      </c>
      <c r="T10" s="19" t="str">
        <f aca="false">IF($A10="","",IF(COUNTIFS('Chapter Data'!$A$2:$A$2500,T$2,'Chapter Data'!$D$2:$D$2500,$A10,'Chapter Data'!$F$2:$F$2500,"&lt;&gt;")=0,"",SUMIFS('Chapter Data'!$F$2:$F$2500,'Chapter Data'!$A$2:$A$2500,T$2,'Chapter Data'!$D$2:$D$2500,$A10)))</f>
        <v/>
      </c>
      <c r="U10" s="19" t="str">
        <f aca="false">IF($A10="","",IF(COUNTIFS('Chapter Data'!$A$2:$A$2500,U$2,'Chapter Data'!$D$2:$D$2500,$A10,'Chapter Data'!$F$2:$F$2500,"&lt;&gt;")=0,"",SUMIFS('Chapter Data'!$F$2:$F$2500,'Chapter Data'!$A$2:$A$2500,U$2,'Chapter Data'!$D$2:$D$2500,$A10)))</f>
        <v/>
      </c>
    </row>
    <row r="11" customFormat="false" ht="15" hidden="false" customHeight="false" outlineLevel="0" collapsed="false">
      <c r="A11" s="8" t="str">
        <f aca="false">IF(Lists!$D$10="","",Lists!$D$10)</f>
        <v>Delta Sigma Phi</v>
      </c>
      <c r="B11" s="19" t="str">
        <f aca="false">IF($A11="","",IF(COUNTIFS('Chapter Data'!$A$2:$A$2500,B$2,'Chapter Data'!$D$2:$D$2500,$A11,'Chapter Data'!$F$2:$F$2500,"&lt;&gt;")=0,"",SUMIFS('Chapter Data'!$F$2:$F$2500,'Chapter Data'!$A$2:$A$2500,B$2,'Chapter Data'!$D$2:$D$2500,$A11)))</f>
        <v/>
      </c>
      <c r="C11" s="19" t="str">
        <f aca="false">IF($A11="","",IF(COUNTIFS('Chapter Data'!$A$2:$A$2500,C$2,'Chapter Data'!$D$2:$D$2500,$A11,'Chapter Data'!$F$2:$F$2500,"&lt;&gt;")=0,"",SUMIFS('Chapter Data'!$F$2:$F$2500,'Chapter Data'!$A$2:$A$2500,C$2,'Chapter Data'!$D$2:$D$2500,$A11)))</f>
        <v/>
      </c>
      <c r="D11" s="19" t="str">
        <f aca="false">IF($A11="","",IF(COUNTIFS('Chapter Data'!$A$2:$A$2500,D$2,'Chapter Data'!$D$2:$D$2500,$A11,'Chapter Data'!$F$2:$F$2500,"&lt;&gt;")=0,"",SUMIFS('Chapter Data'!$F$2:$F$2500,'Chapter Data'!$A$2:$A$2500,D$2,'Chapter Data'!$D$2:$D$2500,$A11)))</f>
        <v/>
      </c>
      <c r="E11" s="19" t="str">
        <f aca="false">IF($A11="","",IF(COUNTIFS('Chapter Data'!$A$2:$A$2500,E$2,'Chapter Data'!$D$2:$D$2500,$A11,'Chapter Data'!$F$2:$F$2500,"&lt;&gt;")=0,"",SUMIFS('Chapter Data'!$F$2:$F$2500,'Chapter Data'!$A$2:$A$2500,E$2,'Chapter Data'!$D$2:$D$2500,$A11)))</f>
        <v/>
      </c>
      <c r="F11" s="19" t="str">
        <f aca="false">IF($A11="","",IF(COUNTIFS('Chapter Data'!$A$2:$A$2500,F$2,'Chapter Data'!$D$2:$D$2500,$A11,'Chapter Data'!$F$2:$F$2500,"&lt;&gt;")=0,"",SUMIFS('Chapter Data'!$F$2:$F$2500,'Chapter Data'!$A$2:$A$2500,F$2,'Chapter Data'!$D$2:$D$2500,$A11)))</f>
        <v/>
      </c>
      <c r="G11" s="19" t="str">
        <f aca="false">IF($A11="","",IF(COUNTIFS('Chapter Data'!$A$2:$A$2500,G$2,'Chapter Data'!$D$2:$D$2500,$A11,'Chapter Data'!$F$2:$F$2500,"&lt;&gt;")=0,"",SUMIFS('Chapter Data'!$F$2:$F$2500,'Chapter Data'!$A$2:$A$2500,G$2,'Chapter Data'!$D$2:$D$2500,$A11)))</f>
        <v/>
      </c>
      <c r="H11" s="19" t="n">
        <f aca="false">IF($A11="","",IF(COUNTIFS('Chapter Data'!$A$2:$A$2500,H$2,'Chapter Data'!$D$2:$D$2500,$A11,'Chapter Data'!$F$2:$F$2500,"&lt;&gt;")=0,"",SUMIFS('Chapter Data'!$F$2:$F$2500,'Chapter Data'!$A$2:$A$2500,H$2,'Chapter Data'!$D$2:$D$2500,$A11)))</f>
        <v>18</v>
      </c>
      <c r="I11" s="19" t="str">
        <f aca="false">IF($A11="","",IF(COUNTIFS('Chapter Data'!$A$2:$A$2500,I$2,'Chapter Data'!$D$2:$D$2500,$A11,'Chapter Data'!$F$2:$F$2500,"&lt;&gt;")=0,"",SUMIFS('Chapter Data'!$F$2:$F$2500,'Chapter Data'!$A$2:$A$2500,I$2,'Chapter Data'!$D$2:$D$2500,$A11)))</f>
        <v/>
      </c>
      <c r="J11" s="19" t="n">
        <f aca="false">IF($A11="","",IF(COUNTIFS('Chapter Data'!$A$2:$A$2500,J$2,'Chapter Data'!$D$2:$D$2500,$A11,'Chapter Data'!$F$2:$F$2500,"&lt;&gt;")=0,"",SUMIFS('Chapter Data'!$F$2:$F$2500,'Chapter Data'!$A$2:$A$2500,J$2,'Chapter Data'!$D$2:$D$2500,$A11)))</f>
        <v>6</v>
      </c>
      <c r="K11" s="19" t="str">
        <f aca="false">IF($A11="","",IF(COUNTIFS('Chapter Data'!$A$2:$A$2500,K$2,'Chapter Data'!$D$2:$D$2500,$A11,'Chapter Data'!$F$2:$F$2500,"&lt;&gt;")=0,"",SUMIFS('Chapter Data'!$F$2:$F$2500,'Chapter Data'!$A$2:$A$2500,K$2,'Chapter Data'!$D$2:$D$2500,$A11)))</f>
        <v/>
      </c>
      <c r="L11" s="19" t="str">
        <f aca="false">IF($A11="","",IF(COUNTIFS('Chapter Data'!$A$2:$A$2500,L$2,'Chapter Data'!$D$2:$D$2500,$A11,'Chapter Data'!$F$2:$F$2500,"&lt;&gt;")=0,"",SUMIFS('Chapter Data'!$F$2:$F$2500,'Chapter Data'!$A$2:$A$2500,L$2,'Chapter Data'!$D$2:$D$2500,$A11)))</f>
        <v/>
      </c>
      <c r="M11" s="19" t="n">
        <f aca="false">IF($A11="","",IF(COUNTIFS('Chapter Data'!$A$2:$A$2500,M$2,'Chapter Data'!$D$2:$D$2500,$A11,'Chapter Data'!$F$2:$F$2500,"&lt;&gt;")=0,"",SUMIFS('Chapter Data'!$F$2:$F$2500,'Chapter Data'!$A$2:$A$2500,M$2,'Chapter Data'!$D$2:$D$2500,$A11)))</f>
        <v>0</v>
      </c>
      <c r="N11" s="19" t="n">
        <f aca="false">IF($A11="","",IF(COUNTIFS('Chapter Data'!$A$2:$A$2500,N$2,'Chapter Data'!$D$2:$D$2500,$A11,'Chapter Data'!$F$2:$F$2500,"&lt;&gt;")=0,"",SUMIFS('Chapter Data'!$F$2:$F$2500,'Chapter Data'!$A$2:$A$2500,N$2,'Chapter Data'!$D$2:$D$2500,$A11)))</f>
        <v>0</v>
      </c>
      <c r="O11" s="19" t="str">
        <f aca="false">IF($A11="","",IF(COUNTIFS('Chapter Data'!$A$2:$A$2500,O$2,'Chapter Data'!$D$2:$D$2500,$A11,'Chapter Data'!$F$2:$F$2500,"&lt;&gt;")=0,"",SUMIFS('Chapter Data'!$F$2:$F$2500,'Chapter Data'!$A$2:$A$2500,O$2,'Chapter Data'!$D$2:$D$2500,$A11)))</f>
        <v/>
      </c>
      <c r="P11" s="19" t="str">
        <f aca="false">IF($A11="","",IF(COUNTIFS('Chapter Data'!$A$2:$A$2500,P$2,'Chapter Data'!$D$2:$D$2500,$A11,'Chapter Data'!$F$2:$F$2500,"&lt;&gt;")=0,"",SUMIFS('Chapter Data'!$F$2:$F$2500,'Chapter Data'!$A$2:$A$2500,P$2,'Chapter Data'!$D$2:$D$2500,$A11)))</f>
        <v/>
      </c>
      <c r="Q11" s="19" t="str">
        <f aca="false">IF($A11="","",IF(COUNTIFS('Chapter Data'!$A$2:$A$2500,Q$2,'Chapter Data'!$D$2:$D$2500,$A11,'Chapter Data'!$F$2:$F$2500,"&lt;&gt;")=0,"",SUMIFS('Chapter Data'!$F$2:$F$2500,'Chapter Data'!$A$2:$A$2500,Q$2,'Chapter Data'!$D$2:$D$2500,$A11)))</f>
        <v/>
      </c>
      <c r="R11" s="19" t="str">
        <f aca="false">IF($A11="","",IF(COUNTIFS('Chapter Data'!$A$2:$A$2500,R$2,'Chapter Data'!$D$2:$D$2500,$A11,'Chapter Data'!$F$2:$F$2500,"&lt;&gt;")=0,"",SUMIFS('Chapter Data'!$F$2:$F$2500,'Chapter Data'!$A$2:$A$2500,R$2,'Chapter Data'!$D$2:$D$2500,$A11)))</f>
        <v/>
      </c>
      <c r="S11" s="19" t="str">
        <f aca="false">IF($A11="","",IF(COUNTIFS('Chapter Data'!$A$2:$A$2500,S$2,'Chapter Data'!$D$2:$D$2500,$A11,'Chapter Data'!$F$2:$F$2500,"&lt;&gt;")=0,"",SUMIFS('Chapter Data'!$F$2:$F$2500,'Chapter Data'!$A$2:$A$2500,S$2,'Chapter Data'!$D$2:$D$2500,$A11)))</f>
        <v/>
      </c>
      <c r="T11" s="19" t="str">
        <f aca="false">IF($A11="","",IF(COUNTIFS('Chapter Data'!$A$2:$A$2500,T$2,'Chapter Data'!$D$2:$D$2500,$A11,'Chapter Data'!$F$2:$F$2500,"&lt;&gt;")=0,"",SUMIFS('Chapter Data'!$F$2:$F$2500,'Chapter Data'!$A$2:$A$2500,T$2,'Chapter Data'!$D$2:$D$2500,$A11)))</f>
        <v/>
      </c>
      <c r="U11" s="19" t="str">
        <f aca="false">IF($A11="","",IF(COUNTIFS('Chapter Data'!$A$2:$A$2500,U$2,'Chapter Data'!$D$2:$D$2500,$A11,'Chapter Data'!$F$2:$F$2500,"&lt;&gt;")=0,"",SUMIFS('Chapter Data'!$F$2:$F$2500,'Chapter Data'!$A$2:$A$2500,U$2,'Chapter Data'!$D$2:$D$2500,$A11)))</f>
        <v/>
      </c>
    </row>
    <row r="12" customFormat="false" ht="15" hidden="false" customHeight="false" outlineLevel="0" collapsed="false">
      <c r="A12" s="8" t="str">
        <f aca="false">IF(Lists!$D$11="","",Lists!$D$11)</f>
        <v>Delta Tau Delta</v>
      </c>
      <c r="B12" s="19" t="str">
        <f aca="false">IF($A12="","",IF(COUNTIFS('Chapter Data'!$A$2:$A$2500,B$2,'Chapter Data'!$D$2:$D$2500,$A12,'Chapter Data'!$F$2:$F$2500,"&lt;&gt;")=0,"",SUMIFS('Chapter Data'!$F$2:$F$2500,'Chapter Data'!$A$2:$A$2500,B$2,'Chapter Data'!$D$2:$D$2500,$A12)))</f>
        <v/>
      </c>
      <c r="C12" s="19" t="str">
        <f aca="false">IF($A12="","",IF(COUNTIFS('Chapter Data'!$A$2:$A$2500,C$2,'Chapter Data'!$D$2:$D$2500,$A12,'Chapter Data'!$F$2:$F$2500,"&lt;&gt;")=0,"",SUMIFS('Chapter Data'!$F$2:$F$2500,'Chapter Data'!$A$2:$A$2500,C$2,'Chapter Data'!$D$2:$D$2500,$A12)))</f>
        <v/>
      </c>
      <c r="D12" s="19" t="n">
        <f aca="false">IF($A12="","",IF(COUNTIFS('Chapter Data'!$A$2:$A$2500,D$2,'Chapter Data'!$D$2:$D$2500,$A12,'Chapter Data'!$F$2:$F$2500,"&lt;&gt;")=0,"",SUMIFS('Chapter Data'!$F$2:$F$2500,'Chapter Data'!$A$2:$A$2500,D$2,'Chapter Data'!$D$2:$D$2500,$A12)))</f>
        <v>21</v>
      </c>
      <c r="E12" s="19" t="str">
        <f aca="false">IF($A12="","",IF(COUNTIFS('Chapter Data'!$A$2:$A$2500,E$2,'Chapter Data'!$D$2:$D$2500,$A12,'Chapter Data'!$F$2:$F$2500,"&lt;&gt;")=0,"",SUMIFS('Chapter Data'!$F$2:$F$2500,'Chapter Data'!$A$2:$A$2500,E$2,'Chapter Data'!$D$2:$D$2500,$A12)))</f>
        <v/>
      </c>
      <c r="F12" s="19" t="n">
        <f aca="false">IF($A12="","",IF(COUNTIFS('Chapter Data'!$A$2:$A$2500,F$2,'Chapter Data'!$D$2:$D$2500,$A12,'Chapter Data'!$F$2:$F$2500,"&lt;&gt;")=0,"",SUMIFS('Chapter Data'!$F$2:$F$2500,'Chapter Data'!$A$2:$A$2500,F$2,'Chapter Data'!$D$2:$D$2500,$A12)))</f>
        <v>19</v>
      </c>
      <c r="G12" s="19" t="n">
        <f aca="false">IF($A12="","",IF(COUNTIFS('Chapter Data'!$A$2:$A$2500,G$2,'Chapter Data'!$D$2:$D$2500,$A12,'Chapter Data'!$F$2:$F$2500,"&lt;&gt;")=0,"",SUMIFS('Chapter Data'!$F$2:$F$2500,'Chapter Data'!$A$2:$A$2500,G$2,'Chapter Data'!$D$2:$D$2500,$A12)))</f>
        <v>10</v>
      </c>
      <c r="H12" s="19" t="n">
        <f aca="false">IF($A12="","",IF(COUNTIFS('Chapter Data'!$A$2:$A$2500,H$2,'Chapter Data'!$D$2:$D$2500,$A12,'Chapter Data'!$F$2:$F$2500,"&lt;&gt;")=0,"",SUMIFS('Chapter Data'!$F$2:$F$2500,'Chapter Data'!$A$2:$A$2500,H$2,'Chapter Data'!$D$2:$D$2500,$A12)))</f>
        <v>20</v>
      </c>
      <c r="I12" s="19" t="str">
        <f aca="false">IF($A12="","",IF(COUNTIFS('Chapter Data'!$A$2:$A$2500,I$2,'Chapter Data'!$D$2:$D$2500,$A12,'Chapter Data'!$F$2:$F$2500,"&lt;&gt;")=0,"",SUMIFS('Chapter Data'!$F$2:$F$2500,'Chapter Data'!$A$2:$A$2500,I$2,'Chapter Data'!$D$2:$D$2500,$A12)))</f>
        <v/>
      </c>
      <c r="J12" s="19" t="n">
        <f aca="false">IF($A12="","",IF(COUNTIFS('Chapter Data'!$A$2:$A$2500,J$2,'Chapter Data'!$D$2:$D$2500,$A12,'Chapter Data'!$F$2:$F$2500,"&lt;&gt;")=0,"",SUMIFS('Chapter Data'!$F$2:$F$2500,'Chapter Data'!$A$2:$A$2500,J$2,'Chapter Data'!$D$2:$D$2500,$A12)))</f>
        <v>22</v>
      </c>
      <c r="K12" s="19" t="n">
        <f aca="false">IF($A12="","",IF(COUNTIFS('Chapter Data'!$A$2:$A$2500,K$2,'Chapter Data'!$D$2:$D$2500,$A12,'Chapter Data'!$F$2:$F$2500,"&lt;&gt;")=0,"",SUMIFS('Chapter Data'!$F$2:$F$2500,'Chapter Data'!$A$2:$A$2500,K$2,'Chapter Data'!$D$2:$D$2500,$A12)))</f>
        <v>10</v>
      </c>
      <c r="L12" s="19" t="str">
        <f aca="false">IF($A12="","",IF(COUNTIFS('Chapter Data'!$A$2:$A$2500,L$2,'Chapter Data'!$D$2:$D$2500,$A12,'Chapter Data'!$F$2:$F$2500,"&lt;&gt;")=0,"",SUMIFS('Chapter Data'!$F$2:$F$2500,'Chapter Data'!$A$2:$A$2500,L$2,'Chapter Data'!$D$2:$D$2500,$A12)))</f>
        <v/>
      </c>
      <c r="M12" s="19" t="n">
        <f aca="false">IF($A12="","",IF(COUNTIFS('Chapter Data'!$A$2:$A$2500,M$2,'Chapter Data'!$D$2:$D$2500,$A12,'Chapter Data'!$F$2:$F$2500,"&lt;&gt;")=0,"",SUMIFS('Chapter Data'!$F$2:$F$2500,'Chapter Data'!$A$2:$A$2500,M$2,'Chapter Data'!$D$2:$D$2500,$A12)))</f>
        <v>5</v>
      </c>
      <c r="N12" s="19" t="n">
        <f aca="false">IF($A12="","",IF(COUNTIFS('Chapter Data'!$A$2:$A$2500,N$2,'Chapter Data'!$D$2:$D$2500,$A12,'Chapter Data'!$F$2:$F$2500,"&lt;&gt;")=0,"",SUMIFS('Chapter Data'!$F$2:$F$2500,'Chapter Data'!$A$2:$A$2500,N$2,'Chapter Data'!$D$2:$D$2500,$A12)))</f>
        <v>31</v>
      </c>
      <c r="O12" s="19" t="n">
        <f aca="false">IF($A12="","",IF(COUNTIFS('Chapter Data'!$A$2:$A$2500,O$2,'Chapter Data'!$D$2:$D$2500,$A12,'Chapter Data'!$F$2:$F$2500,"&lt;&gt;")=0,"",SUMIFS('Chapter Data'!$F$2:$F$2500,'Chapter Data'!$A$2:$A$2500,O$2,'Chapter Data'!$D$2:$D$2500,$A12)))</f>
        <v>8</v>
      </c>
      <c r="P12" s="19" t="n">
        <f aca="false">IF($A12="","",IF(COUNTIFS('Chapter Data'!$A$2:$A$2500,P$2,'Chapter Data'!$D$2:$D$2500,$A12,'Chapter Data'!$F$2:$F$2500,"&lt;&gt;")=0,"",SUMIFS('Chapter Data'!$F$2:$F$2500,'Chapter Data'!$A$2:$A$2500,P$2,'Chapter Data'!$D$2:$D$2500,$A12)))</f>
        <v>29</v>
      </c>
      <c r="Q12" s="19" t="str">
        <f aca="false">IF($A12="","",IF(COUNTIFS('Chapter Data'!$A$2:$A$2500,Q$2,'Chapter Data'!$D$2:$D$2500,$A12,'Chapter Data'!$F$2:$F$2500,"&lt;&gt;")=0,"",SUMIFS('Chapter Data'!$F$2:$F$2500,'Chapter Data'!$A$2:$A$2500,Q$2,'Chapter Data'!$D$2:$D$2500,$A12)))</f>
        <v/>
      </c>
      <c r="R12" s="19" t="str">
        <f aca="false">IF($A12="","",IF(COUNTIFS('Chapter Data'!$A$2:$A$2500,R$2,'Chapter Data'!$D$2:$D$2500,$A12,'Chapter Data'!$F$2:$F$2500,"&lt;&gt;")=0,"",SUMIFS('Chapter Data'!$F$2:$F$2500,'Chapter Data'!$A$2:$A$2500,R$2,'Chapter Data'!$D$2:$D$2500,$A12)))</f>
        <v/>
      </c>
      <c r="S12" s="19" t="str">
        <f aca="false">IF($A12="","",IF(COUNTIFS('Chapter Data'!$A$2:$A$2500,S$2,'Chapter Data'!$D$2:$D$2500,$A12,'Chapter Data'!$F$2:$F$2500,"&lt;&gt;")=0,"",SUMIFS('Chapter Data'!$F$2:$F$2500,'Chapter Data'!$A$2:$A$2500,S$2,'Chapter Data'!$D$2:$D$2500,$A12)))</f>
        <v/>
      </c>
      <c r="T12" s="19" t="str">
        <f aca="false">IF($A12="","",IF(COUNTIFS('Chapter Data'!$A$2:$A$2500,T$2,'Chapter Data'!$D$2:$D$2500,$A12,'Chapter Data'!$F$2:$F$2500,"&lt;&gt;")=0,"",SUMIFS('Chapter Data'!$F$2:$F$2500,'Chapter Data'!$A$2:$A$2500,T$2,'Chapter Data'!$D$2:$D$2500,$A12)))</f>
        <v/>
      </c>
      <c r="U12" s="19" t="str">
        <f aca="false">IF($A12="","",IF(COUNTIFS('Chapter Data'!$A$2:$A$2500,U$2,'Chapter Data'!$D$2:$D$2500,$A12,'Chapter Data'!$F$2:$F$2500,"&lt;&gt;")=0,"",SUMIFS('Chapter Data'!$F$2:$F$2500,'Chapter Data'!$A$2:$A$2500,U$2,'Chapter Data'!$D$2:$D$2500,$A12)))</f>
        <v/>
      </c>
    </row>
    <row r="13" customFormat="false" ht="15" hidden="false" customHeight="false" outlineLevel="0" collapsed="false">
      <c r="A13" s="8" t="str">
        <f aca="false">IF(Lists!$D$12="","",Lists!$D$12)</f>
        <v>Delta Upsilon</v>
      </c>
      <c r="B13" s="19" t="n">
        <f aca="false">IF($A13="","",IF(COUNTIFS('Chapter Data'!$A$2:$A$2500,B$2,'Chapter Data'!$D$2:$D$2500,$A13,'Chapter Data'!$F$2:$F$2500,"&lt;&gt;")=0,"",SUMIFS('Chapter Data'!$F$2:$F$2500,'Chapter Data'!$A$2:$A$2500,B$2,'Chapter Data'!$D$2:$D$2500,$A13)))</f>
        <v>41</v>
      </c>
      <c r="C13" s="19" t="n">
        <f aca="false">IF($A13="","",IF(COUNTIFS('Chapter Data'!$A$2:$A$2500,C$2,'Chapter Data'!$D$2:$D$2500,$A13,'Chapter Data'!$F$2:$F$2500,"&lt;&gt;")=0,"",SUMIFS('Chapter Data'!$F$2:$F$2500,'Chapter Data'!$A$2:$A$2500,C$2,'Chapter Data'!$D$2:$D$2500,$A13)))</f>
        <v>1</v>
      </c>
      <c r="D13" s="19" t="n">
        <f aca="false">IF($A13="","",IF(COUNTIFS('Chapter Data'!$A$2:$A$2500,D$2,'Chapter Data'!$D$2:$D$2500,$A13,'Chapter Data'!$F$2:$F$2500,"&lt;&gt;")=0,"",SUMIFS('Chapter Data'!$F$2:$F$2500,'Chapter Data'!$A$2:$A$2500,D$2,'Chapter Data'!$D$2:$D$2500,$A13)))</f>
        <v>30</v>
      </c>
      <c r="E13" s="19" t="str">
        <f aca="false">IF($A13="","",IF(COUNTIFS('Chapter Data'!$A$2:$A$2500,E$2,'Chapter Data'!$D$2:$D$2500,$A13,'Chapter Data'!$F$2:$F$2500,"&lt;&gt;")=0,"",SUMIFS('Chapter Data'!$F$2:$F$2500,'Chapter Data'!$A$2:$A$2500,E$2,'Chapter Data'!$D$2:$D$2500,$A13)))</f>
        <v/>
      </c>
      <c r="F13" s="19" t="n">
        <f aca="false">IF($A13="","",IF(COUNTIFS('Chapter Data'!$A$2:$A$2500,F$2,'Chapter Data'!$D$2:$D$2500,$A13,'Chapter Data'!$F$2:$F$2500,"&lt;&gt;")=0,"",SUMIFS('Chapter Data'!$F$2:$F$2500,'Chapter Data'!$A$2:$A$2500,F$2,'Chapter Data'!$D$2:$D$2500,$A13)))</f>
        <v>30</v>
      </c>
      <c r="G13" s="19" t="n">
        <f aca="false">IF($A13="","",IF(COUNTIFS('Chapter Data'!$A$2:$A$2500,G$2,'Chapter Data'!$D$2:$D$2500,$A13,'Chapter Data'!$F$2:$F$2500,"&lt;&gt;")=0,"",SUMIFS('Chapter Data'!$F$2:$F$2500,'Chapter Data'!$A$2:$A$2500,G$2,'Chapter Data'!$D$2:$D$2500,$A13)))</f>
        <v>1</v>
      </c>
      <c r="H13" s="19" t="n">
        <f aca="false">IF($A13="","",IF(COUNTIFS('Chapter Data'!$A$2:$A$2500,H$2,'Chapter Data'!$D$2:$D$2500,$A13,'Chapter Data'!$F$2:$F$2500,"&lt;&gt;")=0,"",SUMIFS('Chapter Data'!$F$2:$F$2500,'Chapter Data'!$A$2:$A$2500,H$2,'Chapter Data'!$D$2:$D$2500,$A13)))</f>
        <v>31</v>
      </c>
      <c r="I13" s="19" t="str">
        <f aca="false">IF($A13="","",IF(COUNTIFS('Chapter Data'!$A$2:$A$2500,I$2,'Chapter Data'!$D$2:$D$2500,$A13,'Chapter Data'!$F$2:$F$2500,"&lt;&gt;")=0,"",SUMIFS('Chapter Data'!$F$2:$F$2500,'Chapter Data'!$A$2:$A$2500,I$2,'Chapter Data'!$D$2:$D$2500,$A13)))</f>
        <v/>
      </c>
      <c r="J13" s="19" t="n">
        <f aca="false">IF($A13="","",IF(COUNTIFS('Chapter Data'!$A$2:$A$2500,J$2,'Chapter Data'!$D$2:$D$2500,$A13,'Chapter Data'!$F$2:$F$2500,"&lt;&gt;")=0,"",SUMIFS('Chapter Data'!$F$2:$F$2500,'Chapter Data'!$A$2:$A$2500,J$2,'Chapter Data'!$D$2:$D$2500,$A13)))</f>
        <v>8</v>
      </c>
      <c r="K13" s="19" t="n">
        <f aca="false">IF($A13="","",IF(COUNTIFS('Chapter Data'!$A$2:$A$2500,K$2,'Chapter Data'!$D$2:$D$2500,$A13,'Chapter Data'!$F$2:$F$2500,"&lt;&gt;")=0,"",SUMIFS('Chapter Data'!$F$2:$F$2500,'Chapter Data'!$A$2:$A$2500,K$2,'Chapter Data'!$D$2:$D$2500,$A13)))</f>
        <v>2</v>
      </c>
      <c r="L13" s="19" t="str">
        <f aca="false">IF($A13="","",IF(COUNTIFS('Chapter Data'!$A$2:$A$2500,L$2,'Chapter Data'!$D$2:$D$2500,$A13,'Chapter Data'!$F$2:$F$2500,"&lt;&gt;")=0,"",SUMIFS('Chapter Data'!$F$2:$F$2500,'Chapter Data'!$A$2:$A$2500,L$2,'Chapter Data'!$D$2:$D$2500,$A13)))</f>
        <v/>
      </c>
      <c r="M13" s="19" t="n">
        <f aca="false">IF($A13="","",IF(COUNTIFS('Chapter Data'!$A$2:$A$2500,M$2,'Chapter Data'!$D$2:$D$2500,$A13,'Chapter Data'!$F$2:$F$2500,"&lt;&gt;")=0,"",SUMIFS('Chapter Data'!$F$2:$F$2500,'Chapter Data'!$A$2:$A$2500,M$2,'Chapter Data'!$D$2:$D$2500,$A13)))</f>
        <v>3</v>
      </c>
      <c r="N13" s="19" t="n">
        <f aca="false">IF($A13="","",IF(COUNTIFS('Chapter Data'!$A$2:$A$2500,N$2,'Chapter Data'!$D$2:$D$2500,$A13,'Chapter Data'!$F$2:$F$2500,"&lt;&gt;")=0,"",SUMIFS('Chapter Data'!$F$2:$F$2500,'Chapter Data'!$A$2:$A$2500,N$2,'Chapter Data'!$D$2:$D$2500,$A13)))</f>
        <v>29</v>
      </c>
      <c r="O13" s="19" t="n">
        <f aca="false">IF($A13="","",IF(COUNTIFS('Chapter Data'!$A$2:$A$2500,O$2,'Chapter Data'!$D$2:$D$2500,$A13,'Chapter Data'!$F$2:$F$2500,"&lt;&gt;")=0,"",SUMIFS('Chapter Data'!$F$2:$F$2500,'Chapter Data'!$A$2:$A$2500,O$2,'Chapter Data'!$D$2:$D$2500,$A13)))</f>
        <v>6</v>
      </c>
      <c r="P13" s="19" t="n">
        <f aca="false">IF($A13="","",IF(COUNTIFS('Chapter Data'!$A$2:$A$2500,P$2,'Chapter Data'!$D$2:$D$2500,$A13,'Chapter Data'!$F$2:$F$2500,"&lt;&gt;")=0,"",SUMIFS('Chapter Data'!$F$2:$F$2500,'Chapter Data'!$A$2:$A$2500,P$2,'Chapter Data'!$D$2:$D$2500,$A13)))</f>
        <v>26</v>
      </c>
      <c r="Q13" s="19" t="n">
        <f aca="false">IF($A13="","",IF(COUNTIFS('Chapter Data'!$A$2:$A$2500,Q$2,'Chapter Data'!$D$2:$D$2500,$A13,'Chapter Data'!$F$2:$F$2500,"&lt;&gt;")=0,"",SUMIFS('Chapter Data'!$F$2:$F$2500,'Chapter Data'!$A$2:$A$2500,Q$2,'Chapter Data'!$D$2:$D$2500,$A13)))</f>
        <v>4</v>
      </c>
      <c r="R13" s="19" t="str">
        <f aca="false">IF($A13="","",IF(COUNTIFS('Chapter Data'!$A$2:$A$2500,R$2,'Chapter Data'!$D$2:$D$2500,$A13,'Chapter Data'!$F$2:$F$2500,"&lt;&gt;")=0,"",SUMIFS('Chapter Data'!$F$2:$F$2500,'Chapter Data'!$A$2:$A$2500,R$2,'Chapter Data'!$D$2:$D$2500,$A13)))</f>
        <v/>
      </c>
      <c r="S13" s="19" t="str">
        <f aca="false">IF($A13="","",IF(COUNTIFS('Chapter Data'!$A$2:$A$2500,S$2,'Chapter Data'!$D$2:$D$2500,$A13,'Chapter Data'!$F$2:$F$2500,"&lt;&gt;")=0,"",SUMIFS('Chapter Data'!$F$2:$F$2500,'Chapter Data'!$A$2:$A$2500,S$2,'Chapter Data'!$D$2:$D$2500,$A13)))</f>
        <v/>
      </c>
      <c r="T13" s="19" t="str">
        <f aca="false">IF($A13="","",IF(COUNTIFS('Chapter Data'!$A$2:$A$2500,T$2,'Chapter Data'!$D$2:$D$2500,$A13,'Chapter Data'!$F$2:$F$2500,"&lt;&gt;")=0,"",SUMIFS('Chapter Data'!$F$2:$F$2500,'Chapter Data'!$A$2:$A$2500,T$2,'Chapter Data'!$D$2:$D$2500,$A13)))</f>
        <v/>
      </c>
      <c r="U13" s="19" t="str">
        <f aca="false">IF($A13="","",IF(COUNTIFS('Chapter Data'!$A$2:$A$2500,U$2,'Chapter Data'!$D$2:$D$2500,$A13,'Chapter Data'!$F$2:$F$2500,"&lt;&gt;")=0,"",SUMIFS('Chapter Data'!$F$2:$F$2500,'Chapter Data'!$A$2:$A$2500,U$2,'Chapter Data'!$D$2:$D$2500,$A13)))</f>
        <v/>
      </c>
    </row>
    <row r="14" customFormat="false" ht="15" hidden="false" customHeight="false" outlineLevel="0" collapsed="false">
      <c r="A14" s="8" t="str">
        <f aca="false">IF(Lists!$D$13="","",Lists!$D$13)</f>
        <v>Farmhouse</v>
      </c>
      <c r="B14" s="19" t="n">
        <f aca="false">IF($A14="","",IF(COUNTIFS('Chapter Data'!$A$2:$A$2500,B$2,'Chapter Data'!$D$2:$D$2500,$A14,'Chapter Data'!$F$2:$F$2500,"&lt;&gt;")=0,"",SUMIFS('Chapter Data'!$F$2:$F$2500,'Chapter Data'!$A$2:$A$2500,B$2,'Chapter Data'!$D$2:$D$2500,$A14)))</f>
        <v>28</v>
      </c>
      <c r="C14" s="19" t="n">
        <f aca="false">IF($A14="","",IF(COUNTIFS('Chapter Data'!$A$2:$A$2500,C$2,'Chapter Data'!$D$2:$D$2500,$A14,'Chapter Data'!$F$2:$F$2500,"&lt;&gt;")=0,"",SUMIFS('Chapter Data'!$F$2:$F$2500,'Chapter Data'!$A$2:$A$2500,C$2,'Chapter Data'!$D$2:$D$2500,$A14)))</f>
        <v>0</v>
      </c>
      <c r="D14" s="19" t="n">
        <f aca="false">IF($A14="","",IF(COUNTIFS('Chapter Data'!$A$2:$A$2500,D$2,'Chapter Data'!$D$2:$D$2500,$A14,'Chapter Data'!$F$2:$F$2500,"&lt;&gt;")=0,"",SUMIFS('Chapter Data'!$F$2:$F$2500,'Chapter Data'!$A$2:$A$2500,D$2,'Chapter Data'!$D$2:$D$2500,$A14)))</f>
        <v>29</v>
      </c>
      <c r="E14" s="19" t="str">
        <f aca="false">IF($A14="","",IF(COUNTIFS('Chapter Data'!$A$2:$A$2500,E$2,'Chapter Data'!$D$2:$D$2500,$A14,'Chapter Data'!$F$2:$F$2500,"&lt;&gt;")=0,"",SUMIFS('Chapter Data'!$F$2:$F$2500,'Chapter Data'!$A$2:$A$2500,E$2,'Chapter Data'!$D$2:$D$2500,$A14)))</f>
        <v/>
      </c>
      <c r="F14" s="19" t="n">
        <f aca="false">IF($A14="","",IF(COUNTIFS('Chapter Data'!$A$2:$A$2500,F$2,'Chapter Data'!$D$2:$D$2500,$A14,'Chapter Data'!$F$2:$F$2500,"&lt;&gt;")=0,"",SUMIFS('Chapter Data'!$F$2:$F$2500,'Chapter Data'!$A$2:$A$2500,F$2,'Chapter Data'!$D$2:$D$2500,$A14)))</f>
        <v>27</v>
      </c>
      <c r="G14" s="19" t="n">
        <f aca="false">IF($A14="","",IF(COUNTIFS('Chapter Data'!$A$2:$A$2500,G$2,'Chapter Data'!$D$2:$D$2500,$A14,'Chapter Data'!$F$2:$F$2500,"&lt;&gt;")=0,"",SUMIFS('Chapter Data'!$F$2:$F$2500,'Chapter Data'!$A$2:$A$2500,G$2,'Chapter Data'!$D$2:$D$2500,$A14)))</f>
        <v>2</v>
      </c>
      <c r="H14" s="19" t="n">
        <f aca="false">IF($A14="","",IF(COUNTIFS('Chapter Data'!$A$2:$A$2500,H$2,'Chapter Data'!$D$2:$D$2500,$A14,'Chapter Data'!$F$2:$F$2500,"&lt;&gt;")=0,"",SUMIFS('Chapter Data'!$F$2:$F$2500,'Chapter Data'!$A$2:$A$2500,H$2,'Chapter Data'!$D$2:$D$2500,$A14)))</f>
        <v>31</v>
      </c>
      <c r="I14" s="19" t="str">
        <f aca="false">IF($A14="","",IF(COUNTIFS('Chapter Data'!$A$2:$A$2500,I$2,'Chapter Data'!$D$2:$D$2500,$A14,'Chapter Data'!$F$2:$F$2500,"&lt;&gt;")=0,"",SUMIFS('Chapter Data'!$F$2:$F$2500,'Chapter Data'!$A$2:$A$2500,I$2,'Chapter Data'!$D$2:$D$2500,$A14)))</f>
        <v/>
      </c>
      <c r="J14" s="19" t="n">
        <f aca="false">IF($A14="","",IF(COUNTIFS('Chapter Data'!$A$2:$A$2500,J$2,'Chapter Data'!$D$2:$D$2500,$A14,'Chapter Data'!$F$2:$F$2500,"&lt;&gt;")=0,"",SUMIFS('Chapter Data'!$F$2:$F$2500,'Chapter Data'!$A$2:$A$2500,J$2,'Chapter Data'!$D$2:$D$2500,$A14)))</f>
        <v>22</v>
      </c>
      <c r="K14" s="19" t="n">
        <f aca="false">IF($A14="","",IF(COUNTIFS('Chapter Data'!$A$2:$A$2500,K$2,'Chapter Data'!$D$2:$D$2500,$A14,'Chapter Data'!$F$2:$F$2500,"&lt;&gt;")=0,"",SUMIFS('Chapter Data'!$F$2:$F$2500,'Chapter Data'!$A$2:$A$2500,K$2,'Chapter Data'!$D$2:$D$2500,$A14)))</f>
        <v>4</v>
      </c>
      <c r="L14" s="19" t="str">
        <f aca="false">IF($A14="","",IF(COUNTIFS('Chapter Data'!$A$2:$A$2500,L$2,'Chapter Data'!$D$2:$D$2500,$A14,'Chapter Data'!$F$2:$F$2500,"&lt;&gt;")=0,"",SUMIFS('Chapter Data'!$F$2:$F$2500,'Chapter Data'!$A$2:$A$2500,L$2,'Chapter Data'!$D$2:$D$2500,$A14)))</f>
        <v/>
      </c>
      <c r="M14" s="19" t="n">
        <f aca="false">IF($A14="","",IF(COUNTIFS('Chapter Data'!$A$2:$A$2500,M$2,'Chapter Data'!$D$2:$D$2500,$A14,'Chapter Data'!$F$2:$F$2500,"&lt;&gt;")=0,"",SUMIFS('Chapter Data'!$F$2:$F$2500,'Chapter Data'!$A$2:$A$2500,M$2,'Chapter Data'!$D$2:$D$2500,$A14)))</f>
        <v>1</v>
      </c>
      <c r="N14" s="19" t="n">
        <f aca="false">IF($A14="","",IF(COUNTIFS('Chapter Data'!$A$2:$A$2500,N$2,'Chapter Data'!$D$2:$D$2500,$A14,'Chapter Data'!$F$2:$F$2500,"&lt;&gt;")=0,"",SUMIFS('Chapter Data'!$F$2:$F$2500,'Chapter Data'!$A$2:$A$2500,N$2,'Chapter Data'!$D$2:$D$2500,$A14)))</f>
        <v>33</v>
      </c>
      <c r="O14" s="19" t="n">
        <f aca="false">IF($A14="","",IF(COUNTIFS('Chapter Data'!$A$2:$A$2500,O$2,'Chapter Data'!$D$2:$D$2500,$A14,'Chapter Data'!$F$2:$F$2500,"&lt;&gt;")=0,"",SUMIFS('Chapter Data'!$F$2:$F$2500,'Chapter Data'!$A$2:$A$2500,O$2,'Chapter Data'!$D$2:$D$2500,$A14)))</f>
        <v>4</v>
      </c>
      <c r="P14" s="19" t="n">
        <f aca="false">IF($A14="","",IF(COUNTIFS('Chapter Data'!$A$2:$A$2500,P$2,'Chapter Data'!$D$2:$D$2500,$A14,'Chapter Data'!$F$2:$F$2500,"&lt;&gt;")=0,"",SUMIFS('Chapter Data'!$F$2:$F$2500,'Chapter Data'!$A$2:$A$2500,P$2,'Chapter Data'!$D$2:$D$2500,$A14)))</f>
        <v>28</v>
      </c>
      <c r="Q14" s="19" t="n">
        <f aca="false">IF($A14="","",IF(COUNTIFS('Chapter Data'!$A$2:$A$2500,Q$2,'Chapter Data'!$D$2:$D$2500,$A14,'Chapter Data'!$F$2:$F$2500,"&lt;&gt;")=0,"",SUMIFS('Chapter Data'!$F$2:$F$2500,'Chapter Data'!$A$2:$A$2500,Q$2,'Chapter Data'!$D$2:$D$2500,$A14)))</f>
        <v>2</v>
      </c>
      <c r="R14" s="19" t="str">
        <f aca="false">IF($A14="","",IF(COUNTIFS('Chapter Data'!$A$2:$A$2500,R$2,'Chapter Data'!$D$2:$D$2500,$A14,'Chapter Data'!$F$2:$F$2500,"&lt;&gt;")=0,"",SUMIFS('Chapter Data'!$F$2:$F$2500,'Chapter Data'!$A$2:$A$2500,R$2,'Chapter Data'!$D$2:$D$2500,$A14)))</f>
        <v/>
      </c>
      <c r="S14" s="19" t="str">
        <f aca="false">IF($A14="","",IF(COUNTIFS('Chapter Data'!$A$2:$A$2500,S$2,'Chapter Data'!$D$2:$D$2500,$A14,'Chapter Data'!$F$2:$F$2500,"&lt;&gt;")=0,"",SUMIFS('Chapter Data'!$F$2:$F$2500,'Chapter Data'!$A$2:$A$2500,S$2,'Chapter Data'!$D$2:$D$2500,$A14)))</f>
        <v/>
      </c>
      <c r="T14" s="19" t="str">
        <f aca="false">IF($A14="","",IF(COUNTIFS('Chapter Data'!$A$2:$A$2500,T$2,'Chapter Data'!$D$2:$D$2500,$A14,'Chapter Data'!$F$2:$F$2500,"&lt;&gt;")=0,"",SUMIFS('Chapter Data'!$F$2:$F$2500,'Chapter Data'!$A$2:$A$2500,T$2,'Chapter Data'!$D$2:$D$2500,$A14)))</f>
        <v/>
      </c>
      <c r="U14" s="19" t="str">
        <f aca="false">IF($A14="","",IF(COUNTIFS('Chapter Data'!$A$2:$A$2500,U$2,'Chapter Data'!$D$2:$D$2500,$A14,'Chapter Data'!$F$2:$F$2500,"&lt;&gt;")=0,"",SUMIFS('Chapter Data'!$F$2:$F$2500,'Chapter Data'!$A$2:$A$2500,U$2,'Chapter Data'!$D$2:$D$2500,$A14)))</f>
        <v/>
      </c>
    </row>
    <row r="15" customFormat="false" ht="15" hidden="false" customHeight="false" outlineLevel="0" collapsed="false">
      <c r="A15" s="8" t="str">
        <f aca="false">IF(Lists!$D$14="","",Lists!$D$14)</f>
        <v>Kappa Sigma</v>
      </c>
      <c r="B15" s="19" t="n">
        <f aca="false">IF($A15="","",IF(COUNTIFS('Chapter Data'!$A$2:$A$2500,B$2,'Chapter Data'!$D$2:$D$2500,$A15,'Chapter Data'!$F$2:$F$2500,"&lt;&gt;")=0,"",SUMIFS('Chapter Data'!$F$2:$F$2500,'Chapter Data'!$A$2:$A$2500,B$2,'Chapter Data'!$D$2:$D$2500,$A15)))</f>
        <v>9</v>
      </c>
      <c r="C15" s="19" t="n">
        <f aca="false">IF($A15="","",IF(COUNTIFS('Chapter Data'!$A$2:$A$2500,C$2,'Chapter Data'!$D$2:$D$2500,$A15,'Chapter Data'!$F$2:$F$2500,"&lt;&gt;")=0,"",SUMIFS('Chapter Data'!$F$2:$F$2500,'Chapter Data'!$A$2:$A$2500,C$2,'Chapter Data'!$D$2:$D$2500,$A15)))</f>
        <v>7</v>
      </c>
      <c r="D15" s="19" t="n">
        <f aca="false">IF($A15="","",IF(COUNTIFS('Chapter Data'!$A$2:$A$2500,D$2,'Chapter Data'!$D$2:$D$2500,$A15,'Chapter Data'!$F$2:$F$2500,"&lt;&gt;")=0,"",SUMIFS('Chapter Data'!$F$2:$F$2500,'Chapter Data'!$A$2:$A$2500,D$2,'Chapter Data'!$D$2:$D$2500,$A15)))</f>
        <v>24</v>
      </c>
      <c r="E15" s="19" t="str">
        <f aca="false">IF($A15="","",IF(COUNTIFS('Chapter Data'!$A$2:$A$2500,E$2,'Chapter Data'!$D$2:$D$2500,$A15,'Chapter Data'!$F$2:$F$2500,"&lt;&gt;")=0,"",SUMIFS('Chapter Data'!$F$2:$F$2500,'Chapter Data'!$A$2:$A$2500,E$2,'Chapter Data'!$D$2:$D$2500,$A15)))</f>
        <v/>
      </c>
      <c r="F15" s="19" t="n">
        <f aca="false">IF($A15="","",IF(COUNTIFS('Chapter Data'!$A$2:$A$2500,F$2,'Chapter Data'!$D$2:$D$2500,$A15,'Chapter Data'!$F$2:$F$2500,"&lt;&gt;")=0,"",SUMIFS('Chapter Data'!$F$2:$F$2500,'Chapter Data'!$A$2:$A$2500,F$2,'Chapter Data'!$D$2:$D$2500,$A15)))</f>
        <v>38</v>
      </c>
      <c r="G15" s="19" t="n">
        <f aca="false">IF($A15="","",IF(COUNTIFS('Chapter Data'!$A$2:$A$2500,G$2,'Chapter Data'!$D$2:$D$2500,$A15,'Chapter Data'!$F$2:$F$2500,"&lt;&gt;")=0,"",SUMIFS('Chapter Data'!$F$2:$F$2500,'Chapter Data'!$A$2:$A$2500,G$2,'Chapter Data'!$D$2:$D$2500,$A15)))</f>
        <v>11</v>
      </c>
      <c r="H15" s="19" t="n">
        <f aca="false">IF($A15="","",IF(COUNTIFS('Chapter Data'!$A$2:$A$2500,H$2,'Chapter Data'!$D$2:$D$2500,$A15,'Chapter Data'!$F$2:$F$2500,"&lt;&gt;")=0,"",SUMIFS('Chapter Data'!$F$2:$F$2500,'Chapter Data'!$A$2:$A$2500,H$2,'Chapter Data'!$D$2:$D$2500,$A15)))</f>
        <v>13</v>
      </c>
      <c r="I15" s="19" t="str">
        <f aca="false">IF($A15="","",IF(COUNTIFS('Chapter Data'!$A$2:$A$2500,I$2,'Chapter Data'!$D$2:$D$2500,$A15,'Chapter Data'!$F$2:$F$2500,"&lt;&gt;")=0,"",SUMIFS('Chapter Data'!$F$2:$F$2500,'Chapter Data'!$A$2:$A$2500,I$2,'Chapter Data'!$D$2:$D$2500,$A15)))</f>
        <v/>
      </c>
      <c r="J15" s="19" t="n">
        <f aca="false">IF($A15="","",IF(COUNTIFS('Chapter Data'!$A$2:$A$2500,J$2,'Chapter Data'!$D$2:$D$2500,$A15,'Chapter Data'!$F$2:$F$2500,"&lt;&gt;")=0,"",SUMIFS('Chapter Data'!$F$2:$F$2500,'Chapter Data'!$A$2:$A$2500,J$2,'Chapter Data'!$D$2:$D$2500,$A15)))</f>
        <v>1</v>
      </c>
      <c r="K15" s="19" t="n">
        <f aca="false">IF($A15="","",IF(COUNTIFS('Chapter Data'!$A$2:$A$2500,K$2,'Chapter Data'!$D$2:$D$2500,$A15,'Chapter Data'!$F$2:$F$2500,"&lt;&gt;")=0,"",SUMIFS('Chapter Data'!$F$2:$F$2500,'Chapter Data'!$A$2:$A$2500,K$2,'Chapter Data'!$D$2:$D$2500,$A15)))</f>
        <v>9</v>
      </c>
      <c r="L15" s="19" t="str">
        <f aca="false">IF($A15="","",IF(COUNTIFS('Chapter Data'!$A$2:$A$2500,L$2,'Chapter Data'!$D$2:$D$2500,$A15,'Chapter Data'!$F$2:$F$2500,"&lt;&gt;")=0,"",SUMIFS('Chapter Data'!$F$2:$F$2500,'Chapter Data'!$A$2:$A$2500,L$2,'Chapter Data'!$D$2:$D$2500,$A15)))</f>
        <v/>
      </c>
      <c r="M15" s="19" t="n">
        <f aca="false">IF($A15="","",IF(COUNTIFS('Chapter Data'!$A$2:$A$2500,M$2,'Chapter Data'!$D$2:$D$2500,$A15,'Chapter Data'!$F$2:$F$2500,"&lt;&gt;")=0,"",SUMIFS('Chapter Data'!$F$2:$F$2500,'Chapter Data'!$A$2:$A$2500,M$2,'Chapter Data'!$D$2:$D$2500,$A15)))</f>
        <v>0</v>
      </c>
      <c r="N15" s="19" t="n">
        <f aca="false">IF($A15="","",IF(COUNTIFS('Chapter Data'!$A$2:$A$2500,N$2,'Chapter Data'!$D$2:$D$2500,$A15,'Chapter Data'!$F$2:$F$2500,"&lt;&gt;")=0,"",SUMIFS('Chapter Data'!$F$2:$F$2500,'Chapter Data'!$A$2:$A$2500,N$2,'Chapter Data'!$D$2:$D$2500,$A15)))</f>
        <v>23</v>
      </c>
      <c r="O15" s="19" t="n">
        <f aca="false">IF($A15="","",IF(COUNTIFS('Chapter Data'!$A$2:$A$2500,O$2,'Chapter Data'!$D$2:$D$2500,$A15,'Chapter Data'!$F$2:$F$2500,"&lt;&gt;")=0,"",SUMIFS('Chapter Data'!$F$2:$F$2500,'Chapter Data'!$A$2:$A$2500,O$2,'Chapter Data'!$D$2:$D$2500,$A15)))</f>
        <v>13</v>
      </c>
      <c r="P15" s="19" t="n">
        <f aca="false">IF($A15="","",IF(COUNTIFS('Chapter Data'!$A$2:$A$2500,P$2,'Chapter Data'!$D$2:$D$2500,$A15,'Chapter Data'!$F$2:$F$2500,"&lt;&gt;")=0,"",SUMIFS('Chapter Data'!$F$2:$F$2500,'Chapter Data'!$A$2:$A$2500,P$2,'Chapter Data'!$D$2:$D$2500,$A15)))</f>
        <v>23</v>
      </c>
      <c r="Q15" s="19" t="n">
        <f aca="false">IF($A15="","",IF(COUNTIFS('Chapter Data'!$A$2:$A$2500,Q$2,'Chapter Data'!$D$2:$D$2500,$A15,'Chapter Data'!$F$2:$F$2500,"&lt;&gt;")=0,"",SUMIFS('Chapter Data'!$F$2:$F$2500,'Chapter Data'!$A$2:$A$2500,Q$2,'Chapter Data'!$D$2:$D$2500,$A15)))</f>
        <v>8</v>
      </c>
      <c r="R15" s="19" t="str">
        <f aca="false">IF($A15="","",IF(COUNTIFS('Chapter Data'!$A$2:$A$2500,R$2,'Chapter Data'!$D$2:$D$2500,$A15,'Chapter Data'!$F$2:$F$2500,"&lt;&gt;")=0,"",SUMIFS('Chapter Data'!$F$2:$F$2500,'Chapter Data'!$A$2:$A$2500,R$2,'Chapter Data'!$D$2:$D$2500,$A15)))</f>
        <v/>
      </c>
      <c r="S15" s="19" t="str">
        <f aca="false">IF($A15="","",IF(COUNTIFS('Chapter Data'!$A$2:$A$2500,S$2,'Chapter Data'!$D$2:$D$2500,$A15,'Chapter Data'!$F$2:$F$2500,"&lt;&gt;")=0,"",SUMIFS('Chapter Data'!$F$2:$F$2500,'Chapter Data'!$A$2:$A$2500,S$2,'Chapter Data'!$D$2:$D$2500,$A15)))</f>
        <v/>
      </c>
      <c r="T15" s="19" t="str">
        <f aca="false">IF($A15="","",IF(COUNTIFS('Chapter Data'!$A$2:$A$2500,T$2,'Chapter Data'!$D$2:$D$2500,$A15,'Chapter Data'!$F$2:$F$2500,"&lt;&gt;")=0,"",SUMIFS('Chapter Data'!$F$2:$F$2500,'Chapter Data'!$A$2:$A$2500,T$2,'Chapter Data'!$D$2:$D$2500,$A15)))</f>
        <v/>
      </c>
      <c r="U15" s="19" t="str">
        <f aca="false">IF($A15="","",IF(COUNTIFS('Chapter Data'!$A$2:$A$2500,U$2,'Chapter Data'!$D$2:$D$2500,$A15,'Chapter Data'!$F$2:$F$2500,"&lt;&gt;")=0,"",SUMIFS('Chapter Data'!$F$2:$F$2500,'Chapter Data'!$A$2:$A$2500,U$2,'Chapter Data'!$D$2:$D$2500,$A15)))</f>
        <v/>
      </c>
    </row>
    <row r="16" customFormat="false" ht="15" hidden="false" customHeight="false" outlineLevel="0" collapsed="false">
      <c r="A16" s="8" t="str">
        <f aca="false">IF(Lists!$D$15="","",Lists!$D$15)</f>
        <v>Lambda Chi Alpha</v>
      </c>
      <c r="B16" s="19" t="str">
        <f aca="false">IF($A16="","",IF(COUNTIFS('Chapter Data'!$A$2:$A$2500,B$2,'Chapter Data'!$D$2:$D$2500,$A16,'Chapter Data'!$F$2:$F$2500,"&lt;&gt;")=0,"",SUMIFS('Chapter Data'!$F$2:$F$2500,'Chapter Data'!$A$2:$A$2500,B$2,'Chapter Data'!$D$2:$D$2500,$A16)))</f>
        <v/>
      </c>
      <c r="C16" s="19" t="str">
        <f aca="false">IF($A16="","",IF(COUNTIFS('Chapter Data'!$A$2:$A$2500,C$2,'Chapter Data'!$D$2:$D$2500,$A16,'Chapter Data'!$F$2:$F$2500,"&lt;&gt;")=0,"",SUMIFS('Chapter Data'!$F$2:$F$2500,'Chapter Data'!$A$2:$A$2500,C$2,'Chapter Data'!$D$2:$D$2500,$A16)))</f>
        <v/>
      </c>
      <c r="D16" s="19" t="str">
        <f aca="false">IF($A16="","",IF(COUNTIFS('Chapter Data'!$A$2:$A$2500,D$2,'Chapter Data'!$D$2:$D$2500,$A16,'Chapter Data'!$F$2:$F$2500,"&lt;&gt;")=0,"",SUMIFS('Chapter Data'!$F$2:$F$2500,'Chapter Data'!$A$2:$A$2500,D$2,'Chapter Data'!$D$2:$D$2500,$A16)))</f>
        <v/>
      </c>
      <c r="E16" s="19" t="str">
        <f aca="false">IF($A16="","",IF(COUNTIFS('Chapter Data'!$A$2:$A$2500,E$2,'Chapter Data'!$D$2:$D$2500,$A16,'Chapter Data'!$F$2:$F$2500,"&lt;&gt;")=0,"",SUMIFS('Chapter Data'!$F$2:$F$2500,'Chapter Data'!$A$2:$A$2500,E$2,'Chapter Data'!$D$2:$D$2500,$A16)))</f>
        <v/>
      </c>
      <c r="F16" s="19" t="str">
        <f aca="false">IF($A16="","",IF(COUNTIFS('Chapter Data'!$A$2:$A$2500,F$2,'Chapter Data'!$D$2:$D$2500,$A16,'Chapter Data'!$F$2:$F$2500,"&lt;&gt;")=0,"",SUMIFS('Chapter Data'!$F$2:$F$2500,'Chapter Data'!$A$2:$A$2500,F$2,'Chapter Data'!$D$2:$D$2500,$A16)))</f>
        <v/>
      </c>
      <c r="G16" s="19" t="str">
        <f aca="false">IF($A16="","",IF(COUNTIFS('Chapter Data'!$A$2:$A$2500,G$2,'Chapter Data'!$D$2:$D$2500,$A16,'Chapter Data'!$F$2:$F$2500,"&lt;&gt;")=0,"",SUMIFS('Chapter Data'!$F$2:$F$2500,'Chapter Data'!$A$2:$A$2500,G$2,'Chapter Data'!$D$2:$D$2500,$A16)))</f>
        <v/>
      </c>
      <c r="H16" s="19" t="str">
        <f aca="false">IF($A16="","",IF(COUNTIFS('Chapter Data'!$A$2:$A$2500,H$2,'Chapter Data'!$D$2:$D$2500,$A16,'Chapter Data'!$F$2:$F$2500,"&lt;&gt;")=0,"",SUMIFS('Chapter Data'!$F$2:$F$2500,'Chapter Data'!$A$2:$A$2500,H$2,'Chapter Data'!$D$2:$D$2500,$A16)))</f>
        <v/>
      </c>
      <c r="I16" s="19" t="str">
        <f aca="false">IF($A16="","",IF(COUNTIFS('Chapter Data'!$A$2:$A$2500,I$2,'Chapter Data'!$D$2:$D$2500,$A16,'Chapter Data'!$F$2:$F$2500,"&lt;&gt;")=0,"",SUMIFS('Chapter Data'!$F$2:$F$2500,'Chapter Data'!$A$2:$A$2500,I$2,'Chapter Data'!$D$2:$D$2500,$A16)))</f>
        <v/>
      </c>
      <c r="J16" s="19" t="str">
        <f aca="false">IF($A16="","",IF(COUNTIFS('Chapter Data'!$A$2:$A$2500,J$2,'Chapter Data'!$D$2:$D$2500,$A16,'Chapter Data'!$F$2:$F$2500,"&lt;&gt;")=0,"",SUMIFS('Chapter Data'!$F$2:$F$2500,'Chapter Data'!$A$2:$A$2500,J$2,'Chapter Data'!$D$2:$D$2500,$A16)))</f>
        <v/>
      </c>
      <c r="K16" s="19" t="str">
        <f aca="false">IF($A16="","",IF(COUNTIFS('Chapter Data'!$A$2:$A$2500,K$2,'Chapter Data'!$D$2:$D$2500,$A16,'Chapter Data'!$F$2:$F$2500,"&lt;&gt;")=0,"",SUMIFS('Chapter Data'!$F$2:$F$2500,'Chapter Data'!$A$2:$A$2500,K$2,'Chapter Data'!$D$2:$D$2500,$A16)))</f>
        <v/>
      </c>
      <c r="L16" s="19" t="str">
        <f aca="false">IF($A16="","",IF(COUNTIFS('Chapter Data'!$A$2:$A$2500,L$2,'Chapter Data'!$D$2:$D$2500,$A16,'Chapter Data'!$F$2:$F$2500,"&lt;&gt;")=0,"",SUMIFS('Chapter Data'!$F$2:$F$2500,'Chapter Data'!$A$2:$A$2500,L$2,'Chapter Data'!$D$2:$D$2500,$A16)))</f>
        <v/>
      </c>
      <c r="M16" s="19" t="str">
        <f aca="false">IF($A16="","",IF(COUNTIFS('Chapter Data'!$A$2:$A$2500,M$2,'Chapter Data'!$D$2:$D$2500,$A16,'Chapter Data'!$F$2:$F$2500,"&lt;&gt;")=0,"",SUMIFS('Chapter Data'!$F$2:$F$2500,'Chapter Data'!$A$2:$A$2500,M$2,'Chapter Data'!$D$2:$D$2500,$A16)))</f>
        <v/>
      </c>
      <c r="N16" s="19" t="n">
        <f aca="false">IF($A16="","",IF(COUNTIFS('Chapter Data'!$A$2:$A$2500,N$2,'Chapter Data'!$D$2:$D$2500,$A16,'Chapter Data'!$F$2:$F$2500,"&lt;&gt;")=0,"",SUMIFS('Chapter Data'!$F$2:$F$2500,'Chapter Data'!$A$2:$A$2500,N$2,'Chapter Data'!$D$2:$D$2500,$A16)))</f>
        <v>24</v>
      </c>
      <c r="O16" s="19" t="n">
        <f aca="false">IF($A16="","",IF(COUNTIFS('Chapter Data'!$A$2:$A$2500,O$2,'Chapter Data'!$D$2:$D$2500,$A16,'Chapter Data'!$F$2:$F$2500,"&lt;&gt;")=0,"",SUMIFS('Chapter Data'!$F$2:$F$2500,'Chapter Data'!$A$2:$A$2500,O$2,'Chapter Data'!$D$2:$D$2500,$A16)))</f>
        <v>7</v>
      </c>
      <c r="P16" s="19" t="n">
        <f aca="false">IF($A16="","",IF(COUNTIFS('Chapter Data'!$A$2:$A$2500,P$2,'Chapter Data'!$D$2:$D$2500,$A16,'Chapter Data'!$F$2:$F$2500,"&lt;&gt;")=0,"",SUMIFS('Chapter Data'!$F$2:$F$2500,'Chapter Data'!$A$2:$A$2500,P$2,'Chapter Data'!$D$2:$D$2500,$A16)))</f>
        <v>13</v>
      </c>
      <c r="Q16" s="19" t="n">
        <f aca="false">IF($A16="","",IF(COUNTIFS('Chapter Data'!$A$2:$A$2500,Q$2,'Chapter Data'!$D$2:$D$2500,$A16,'Chapter Data'!$F$2:$F$2500,"&lt;&gt;")=0,"",SUMIFS('Chapter Data'!$F$2:$F$2500,'Chapter Data'!$A$2:$A$2500,Q$2,'Chapter Data'!$D$2:$D$2500,$A16)))</f>
        <v>4</v>
      </c>
      <c r="R16" s="19" t="str">
        <f aca="false">IF($A16="","",IF(COUNTIFS('Chapter Data'!$A$2:$A$2500,R$2,'Chapter Data'!$D$2:$D$2500,$A16,'Chapter Data'!$F$2:$F$2500,"&lt;&gt;")=0,"",SUMIFS('Chapter Data'!$F$2:$F$2500,'Chapter Data'!$A$2:$A$2500,R$2,'Chapter Data'!$D$2:$D$2500,$A16)))</f>
        <v/>
      </c>
      <c r="S16" s="19" t="str">
        <f aca="false">IF($A16="","",IF(COUNTIFS('Chapter Data'!$A$2:$A$2500,S$2,'Chapter Data'!$D$2:$D$2500,$A16,'Chapter Data'!$F$2:$F$2500,"&lt;&gt;")=0,"",SUMIFS('Chapter Data'!$F$2:$F$2500,'Chapter Data'!$A$2:$A$2500,S$2,'Chapter Data'!$D$2:$D$2500,$A16)))</f>
        <v/>
      </c>
      <c r="T16" s="19" t="str">
        <f aca="false">IF($A16="","",IF(COUNTIFS('Chapter Data'!$A$2:$A$2500,T$2,'Chapter Data'!$D$2:$D$2500,$A16,'Chapter Data'!$F$2:$F$2500,"&lt;&gt;")=0,"",SUMIFS('Chapter Data'!$F$2:$F$2500,'Chapter Data'!$A$2:$A$2500,T$2,'Chapter Data'!$D$2:$D$2500,$A16)))</f>
        <v/>
      </c>
      <c r="U16" s="19" t="str">
        <f aca="false">IF($A16="","",IF(COUNTIFS('Chapter Data'!$A$2:$A$2500,U$2,'Chapter Data'!$D$2:$D$2500,$A16,'Chapter Data'!$F$2:$F$2500,"&lt;&gt;")=0,"",SUMIFS('Chapter Data'!$F$2:$F$2500,'Chapter Data'!$A$2:$A$2500,U$2,'Chapter Data'!$D$2:$D$2500,$A16)))</f>
        <v/>
      </c>
    </row>
    <row r="17" customFormat="false" ht="15" hidden="false" customHeight="false" outlineLevel="0" collapsed="false">
      <c r="A17" s="8" t="str">
        <f aca="false">IF(Lists!$D$16="","",Lists!$D$16)</f>
        <v>Phi Delta Theta</v>
      </c>
      <c r="B17" s="19" t="n">
        <f aca="false">IF($A17="","",IF(COUNTIFS('Chapter Data'!$A$2:$A$2500,B$2,'Chapter Data'!$D$2:$D$2500,$A17,'Chapter Data'!$F$2:$F$2500,"&lt;&gt;")=0,"",SUMIFS('Chapter Data'!$F$2:$F$2500,'Chapter Data'!$A$2:$A$2500,B$2,'Chapter Data'!$D$2:$D$2500,$A17)))</f>
        <v>33</v>
      </c>
      <c r="C17" s="19" t="n">
        <f aca="false">IF($A17="","",IF(COUNTIFS('Chapter Data'!$A$2:$A$2500,C$2,'Chapter Data'!$D$2:$D$2500,$A17,'Chapter Data'!$F$2:$F$2500,"&lt;&gt;")=0,"",SUMIFS('Chapter Data'!$F$2:$F$2500,'Chapter Data'!$A$2:$A$2500,C$2,'Chapter Data'!$D$2:$D$2500,$A17)))</f>
        <v>1</v>
      </c>
      <c r="D17" s="19" t="n">
        <f aca="false">IF($A17="","",IF(COUNTIFS('Chapter Data'!$A$2:$A$2500,D$2,'Chapter Data'!$D$2:$D$2500,$A17,'Chapter Data'!$F$2:$F$2500,"&lt;&gt;")=0,"",SUMIFS('Chapter Data'!$F$2:$F$2500,'Chapter Data'!$A$2:$A$2500,D$2,'Chapter Data'!$D$2:$D$2500,$A17)))</f>
        <v>44</v>
      </c>
      <c r="E17" s="19" t="str">
        <f aca="false">IF($A17="","",IF(COUNTIFS('Chapter Data'!$A$2:$A$2500,E$2,'Chapter Data'!$D$2:$D$2500,$A17,'Chapter Data'!$F$2:$F$2500,"&lt;&gt;")=0,"",SUMIFS('Chapter Data'!$F$2:$F$2500,'Chapter Data'!$A$2:$A$2500,E$2,'Chapter Data'!$D$2:$D$2500,$A17)))</f>
        <v/>
      </c>
      <c r="F17" s="19" t="n">
        <f aca="false">IF($A17="","",IF(COUNTIFS('Chapter Data'!$A$2:$A$2500,F$2,'Chapter Data'!$D$2:$D$2500,$A17,'Chapter Data'!$F$2:$F$2500,"&lt;&gt;")=0,"",SUMIFS('Chapter Data'!$F$2:$F$2500,'Chapter Data'!$A$2:$A$2500,F$2,'Chapter Data'!$D$2:$D$2500,$A17)))</f>
        <v>33</v>
      </c>
      <c r="G17" s="19" t="n">
        <f aca="false">IF($A17="","",IF(COUNTIFS('Chapter Data'!$A$2:$A$2500,G$2,'Chapter Data'!$D$2:$D$2500,$A17,'Chapter Data'!$F$2:$F$2500,"&lt;&gt;")=0,"",SUMIFS('Chapter Data'!$F$2:$F$2500,'Chapter Data'!$A$2:$A$2500,G$2,'Chapter Data'!$D$2:$D$2500,$A17)))</f>
        <v>2</v>
      </c>
      <c r="H17" s="19" t="n">
        <f aca="false">IF($A17="","",IF(COUNTIFS('Chapter Data'!$A$2:$A$2500,H$2,'Chapter Data'!$D$2:$D$2500,$A17,'Chapter Data'!$F$2:$F$2500,"&lt;&gt;")=0,"",SUMIFS('Chapter Data'!$F$2:$F$2500,'Chapter Data'!$A$2:$A$2500,H$2,'Chapter Data'!$D$2:$D$2500,$A17)))</f>
        <v>40</v>
      </c>
      <c r="I17" s="19" t="str">
        <f aca="false">IF($A17="","",IF(COUNTIFS('Chapter Data'!$A$2:$A$2500,I$2,'Chapter Data'!$D$2:$D$2500,$A17,'Chapter Data'!$F$2:$F$2500,"&lt;&gt;")=0,"",SUMIFS('Chapter Data'!$F$2:$F$2500,'Chapter Data'!$A$2:$A$2500,I$2,'Chapter Data'!$D$2:$D$2500,$A17)))</f>
        <v/>
      </c>
      <c r="J17" s="19" t="n">
        <f aca="false">IF($A17="","",IF(COUNTIFS('Chapter Data'!$A$2:$A$2500,J$2,'Chapter Data'!$D$2:$D$2500,$A17,'Chapter Data'!$F$2:$F$2500,"&lt;&gt;")=0,"",SUMIFS('Chapter Data'!$F$2:$F$2500,'Chapter Data'!$A$2:$A$2500,J$2,'Chapter Data'!$D$2:$D$2500,$A17)))</f>
        <v>45</v>
      </c>
      <c r="K17" s="19" t="n">
        <f aca="false">IF($A17="","",IF(COUNTIFS('Chapter Data'!$A$2:$A$2500,K$2,'Chapter Data'!$D$2:$D$2500,$A17,'Chapter Data'!$F$2:$F$2500,"&lt;&gt;")=0,"",SUMIFS('Chapter Data'!$F$2:$F$2500,'Chapter Data'!$A$2:$A$2500,K$2,'Chapter Data'!$D$2:$D$2500,$A17)))</f>
        <v>5</v>
      </c>
      <c r="L17" s="19" t="str">
        <f aca="false">IF($A17="","",IF(COUNTIFS('Chapter Data'!$A$2:$A$2500,L$2,'Chapter Data'!$D$2:$D$2500,$A17,'Chapter Data'!$F$2:$F$2500,"&lt;&gt;")=0,"",SUMIFS('Chapter Data'!$F$2:$F$2500,'Chapter Data'!$A$2:$A$2500,L$2,'Chapter Data'!$D$2:$D$2500,$A17)))</f>
        <v/>
      </c>
      <c r="M17" s="19" t="n">
        <f aca="false">IF($A17="","",IF(COUNTIFS('Chapter Data'!$A$2:$A$2500,M$2,'Chapter Data'!$D$2:$D$2500,$A17,'Chapter Data'!$F$2:$F$2500,"&lt;&gt;")=0,"",SUMIFS('Chapter Data'!$F$2:$F$2500,'Chapter Data'!$A$2:$A$2500,M$2,'Chapter Data'!$D$2:$D$2500,$A17)))</f>
        <v>7</v>
      </c>
      <c r="N17" s="19" t="n">
        <f aca="false">IF($A17="","",IF(COUNTIFS('Chapter Data'!$A$2:$A$2500,N$2,'Chapter Data'!$D$2:$D$2500,$A17,'Chapter Data'!$F$2:$F$2500,"&lt;&gt;")=0,"",SUMIFS('Chapter Data'!$F$2:$F$2500,'Chapter Data'!$A$2:$A$2500,N$2,'Chapter Data'!$D$2:$D$2500,$A17)))</f>
        <v>42</v>
      </c>
      <c r="O17" s="19" t="n">
        <f aca="false">IF($A17="","",IF(COUNTIFS('Chapter Data'!$A$2:$A$2500,O$2,'Chapter Data'!$D$2:$D$2500,$A17,'Chapter Data'!$F$2:$F$2500,"&lt;&gt;")=0,"",SUMIFS('Chapter Data'!$F$2:$F$2500,'Chapter Data'!$A$2:$A$2500,O$2,'Chapter Data'!$D$2:$D$2500,$A17)))</f>
        <v>4</v>
      </c>
      <c r="P17" s="19" t="n">
        <f aca="false">IF($A17="","",IF(COUNTIFS('Chapter Data'!$A$2:$A$2500,P$2,'Chapter Data'!$D$2:$D$2500,$A17,'Chapter Data'!$F$2:$F$2500,"&lt;&gt;")=0,"",SUMIFS('Chapter Data'!$F$2:$F$2500,'Chapter Data'!$A$2:$A$2500,P$2,'Chapter Data'!$D$2:$D$2500,$A17)))</f>
        <v>34</v>
      </c>
      <c r="Q17" s="19" t="n">
        <f aca="false">IF($A17="","",IF(COUNTIFS('Chapter Data'!$A$2:$A$2500,Q$2,'Chapter Data'!$D$2:$D$2500,$A17,'Chapter Data'!$F$2:$F$2500,"&lt;&gt;")=0,"",SUMIFS('Chapter Data'!$F$2:$F$2500,'Chapter Data'!$A$2:$A$2500,Q$2,'Chapter Data'!$D$2:$D$2500,$A17)))</f>
        <v>10</v>
      </c>
      <c r="R17" s="19" t="str">
        <f aca="false">IF($A17="","",IF(COUNTIFS('Chapter Data'!$A$2:$A$2500,R$2,'Chapter Data'!$D$2:$D$2500,$A17,'Chapter Data'!$F$2:$F$2500,"&lt;&gt;")=0,"",SUMIFS('Chapter Data'!$F$2:$F$2500,'Chapter Data'!$A$2:$A$2500,R$2,'Chapter Data'!$D$2:$D$2500,$A17)))</f>
        <v/>
      </c>
      <c r="S17" s="19" t="str">
        <f aca="false">IF($A17="","",IF(COUNTIFS('Chapter Data'!$A$2:$A$2500,S$2,'Chapter Data'!$D$2:$D$2500,$A17,'Chapter Data'!$F$2:$F$2500,"&lt;&gt;")=0,"",SUMIFS('Chapter Data'!$F$2:$F$2500,'Chapter Data'!$A$2:$A$2500,S$2,'Chapter Data'!$D$2:$D$2500,$A17)))</f>
        <v/>
      </c>
      <c r="T17" s="19" t="str">
        <f aca="false">IF($A17="","",IF(COUNTIFS('Chapter Data'!$A$2:$A$2500,T$2,'Chapter Data'!$D$2:$D$2500,$A17,'Chapter Data'!$F$2:$F$2500,"&lt;&gt;")=0,"",SUMIFS('Chapter Data'!$F$2:$F$2500,'Chapter Data'!$A$2:$A$2500,T$2,'Chapter Data'!$D$2:$D$2500,$A17)))</f>
        <v/>
      </c>
      <c r="U17" s="19" t="str">
        <f aca="false">IF($A17="","",IF(COUNTIFS('Chapter Data'!$A$2:$A$2500,U$2,'Chapter Data'!$D$2:$D$2500,$A17,'Chapter Data'!$F$2:$F$2500,"&lt;&gt;")=0,"",SUMIFS('Chapter Data'!$F$2:$F$2500,'Chapter Data'!$A$2:$A$2500,U$2,'Chapter Data'!$D$2:$D$2500,$A17)))</f>
        <v/>
      </c>
    </row>
    <row r="18" customFormat="false" ht="15" hidden="false" customHeight="false" outlineLevel="0" collapsed="false">
      <c r="A18" s="8" t="str">
        <f aca="false">IF(Lists!$D$17="","",Lists!$D$17)</f>
        <v>Phi Gamma Delta</v>
      </c>
      <c r="B18" s="19" t="str">
        <f aca="false">IF($A18="","",IF(COUNTIFS('Chapter Data'!$A$2:$A$2500,B$2,'Chapter Data'!$D$2:$D$2500,$A18,'Chapter Data'!$F$2:$F$2500,"&lt;&gt;")=0,"",SUMIFS('Chapter Data'!$F$2:$F$2500,'Chapter Data'!$A$2:$A$2500,B$2,'Chapter Data'!$D$2:$D$2500,$A18)))</f>
        <v/>
      </c>
      <c r="C18" s="19" t="str">
        <f aca="false">IF($A18="","",IF(COUNTIFS('Chapter Data'!$A$2:$A$2500,C$2,'Chapter Data'!$D$2:$D$2500,$A18,'Chapter Data'!$F$2:$F$2500,"&lt;&gt;")=0,"",SUMIFS('Chapter Data'!$F$2:$F$2500,'Chapter Data'!$A$2:$A$2500,C$2,'Chapter Data'!$D$2:$D$2500,$A18)))</f>
        <v/>
      </c>
      <c r="D18" s="19" t="n">
        <f aca="false">IF($A18="","",IF(COUNTIFS('Chapter Data'!$A$2:$A$2500,D$2,'Chapter Data'!$D$2:$D$2500,$A18,'Chapter Data'!$F$2:$F$2500,"&lt;&gt;")=0,"",SUMIFS('Chapter Data'!$F$2:$F$2500,'Chapter Data'!$A$2:$A$2500,D$2,'Chapter Data'!$D$2:$D$2500,$A18)))</f>
        <v>33</v>
      </c>
      <c r="E18" s="19" t="str">
        <f aca="false">IF($A18="","",IF(COUNTIFS('Chapter Data'!$A$2:$A$2500,E$2,'Chapter Data'!$D$2:$D$2500,$A18,'Chapter Data'!$F$2:$F$2500,"&lt;&gt;")=0,"",SUMIFS('Chapter Data'!$F$2:$F$2500,'Chapter Data'!$A$2:$A$2500,E$2,'Chapter Data'!$D$2:$D$2500,$A18)))</f>
        <v/>
      </c>
      <c r="F18" s="19" t="n">
        <f aca="false">IF($A18="","",IF(COUNTIFS('Chapter Data'!$A$2:$A$2500,F$2,'Chapter Data'!$D$2:$D$2500,$A18,'Chapter Data'!$F$2:$F$2500,"&lt;&gt;")=0,"",SUMIFS('Chapter Data'!$F$2:$F$2500,'Chapter Data'!$A$2:$A$2500,F$2,'Chapter Data'!$D$2:$D$2500,$A18)))</f>
        <v>35</v>
      </c>
      <c r="G18" s="19" t="n">
        <f aca="false">IF($A18="","",IF(COUNTIFS('Chapter Data'!$A$2:$A$2500,G$2,'Chapter Data'!$D$2:$D$2500,$A18,'Chapter Data'!$F$2:$F$2500,"&lt;&gt;")=0,"",SUMIFS('Chapter Data'!$F$2:$F$2500,'Chapter Data'!$A$2:$A$2500,G$2,'Chapter Data'!$D$2:$D$2500,$A18)))</f>
        <v>2</v>
      </c>
      <c r="H18" s="19" t="str">
        <f aca="false">IF($A18="","",IF(COUNTIFS('Chapter Data'!$A$2:$A$2500,H$2,'Chapter Data'!$D$2:$D$2500,$A18,'Chapter Data'!$F$2:$F$2500,"&lt;&gt;")=0,"",SUMIFS('Chapter Data'!$F$2:$F$2500,'Chapter Data'!$A$2:$A$2500,H$2,'Chapter Data'!$D$2:$D$2500,$A18)))</f>
        <v/>
      </c>
      <c r="I18" s="19" t="str">
        <f aca="false">IF($A18="","",IF(COUNTIFS('Chapter Data'!$A$2:$A$2500,I$2,'Chapter Data'!$D$2:$D$2500,$A18,'Chapter Data'!$F$2:$F$2500,"&lt;&gt;")=0,"",SUMIFS('Chapter Data'!$F$2:$F$2500,'Chapter Data'!$A$2:$A$2500,I$2,'Chapter Data'!$D$2:$D$2500,$A18)))</f>
        <v/>
      </c>
      <c r="J18" s="19" t="str">
        <f aca="false">IF($A18="","",IF(COUNTIFS('Chapter Data'!$A$2:$A$2500,J$2,'Chapter Data'!$D$2:$D$2500,$A18,'Chapter Data'!$F$2:$F$2500,"&lt;&gt;")=0,"",SUMIFS('Chapter Data'!$F$2:$F$2500,'Chapter Data'!$A$2:$A$2500,J$2,'Chapter Data'!$D$2:$D$2500,$A18)))</f>
        <v/>
      </c>
      <c r="K18" s="19" t="str">
        <f aca="false">IF($A18="","",IF(COUNTIFS('Chapter Data'!$A$2:$A$2500,K$2,'Chapter Data'!$D$2:$D$2500,$A18,'Chapter Data'!$F$2:$F$2500,"&lt;&gt;")=0,"",SUMIFS('Chapter Data'!$F$2:$F$2500,'Chapter Data'!$A$2:$A$2500,K$2,'Chapter Data'!$D$2:$D$2500,$A18)))</f>
        <v/>
      </c>
      <c r="L18" s="19" t="str">
        <f aca="false">IF($A18="","",IF(COUNTIFS('Chapter Data'!$A$2:$A$2500,L$2,'Chapter Data'!$D$2:$D$2500,$A18,'Chapter Data'!$F$2:$F$2500,"&lt;&gt;")=0,"",SUMIFS('Chapter Data'!$F$2:$F$2500,'Chapter Data'!$A$2:$A$2500,L$2,'Chapter Data'!$D$2:$D$2500,$A18)))</f>
        <v/>
      </c>
      <c r="M18" s="19" t="str">
        <f aca="false">IF($A18="","",IF(COUNTIFS('Chapter Data'!$A$2:$A$2500,M$2,'Chapter Data'!$D$2:$D$2500,$A18,'Chapter Data'!$F$2:$F$2500,"&lt;&gt;")=0,"",SUMIFS('Chapter Data'!$F$2:$F$2500,'Chapter Data'!$A$2:$A$2500,M$2,'Chapter Data'!$D$2:$D$2500,$A18)))</f>
        <v/>
      </c>
      <c r="N18" s="19" t="str">
        <f aca="false">IF($A18="","",IF(COUNTIFS('Chapter Data'!$A$2:$A$2500,N$2,'Chapter Data'!$D$2:$D$2500,$A18,'Chapter Data'!$F$2:$F$2500,"&lt;&gt;")=0,"",SUMIFS('Chapter Data'!$F$2:$F$2500,'Chapter Data'!$A$2:$A$2500,N$2,'Chapter Data'!$D$2:$D$2500,$A18)))</f>
        <v/>
      </c>
      <c r="O18" s="19" t="str">
        <f aca="false">IF($A18="","",IF(COUNTIFS('Chapter Data'!$A$2:$A$2500,O$2,'Chapter Data'!$D$2:$D$2500,$A18,'Chapter Data'!$F$2:$F$2500,"&lt;&gt;")=0,"",SUMIFS('Chapter Data'!$F$2:$F$2500,'Chapter Data'!$A$2:$A$2500,O$2,'Chapter Data'!$D$2:$D$2500,$A18)))</f>
        <v/>
      </c>
      <c r="P18" s="19" t="n">
        <f aca="false">IF($A18="","",IF(COUNTIFS('Chapter Data'!$A$2:$A$2500,P$2,'Chapter Data'!$D$2:$D$2500,$A18,'Chapter Data'!$F$2:$F$2500,"&lt;&gt;")=0,"",SUMIFS('Chapter Data'!$F$2:$F$2500,'Chapter Data'!$A$2:$A$2500,P$2,'Chapter Data'!$D$2:$D$2500,$A18)))</f>
        <v>15</v>
      </c>
      <c r="Q18" s="19" t="n">
        <f aca="false">IF($A18="","",IF(COUNTIFS('Chapter Data'!$A$2:$A$2500,Q$2,'Chapter Data'!$D$2:$D$2500,$A18,'Chapter Data'!$F$2:$F$2500,"&lt;&gt;")=0,"",SUMIFS('Chapter Data'!$F$2:$F$2500,'Chapter Data'!$A$2:$A$2500,Q$2,'Chapter Data'!$D$2:$D$2500,$A18)))</f>
        <v>2</v>
      </c>
      <c r="R18" s="19" t="str">
        <f aca="false">IF($A18="","",IF(COUNTIFS('Chapter Data'!$A$2:$A$2500,R$2,'Chapter Data'!$D$2:$D$2500,$A18,'Chapter Data'!$F$2:$F$2500,"&lt;&gt;")=0,"",SUMIFS('Chapter Data'!$F$2:$F$2500,'Chapter Data'!$A$2:$A$2500,R$2,'Chapter Data'!$D$2:$D$2500,$A18)))</f>
        <v/>
      </c>
      <c r="S18" s="19" t="str">
        <f aca="false">IF($A18="","",IF(COUNTIFS('Chapter Data'!$A$2:$A$2500,S$2,'Chapter Data'!$D$2:$D$2500,$A18,'Chapter Data'!$F$2:$F$2500,"&lt;&gt;")=0,"",SUMIFS('Chapter Data'!$F$2:$F$2500,'Chapter Data'!$A$2:$A$2500,S$2,'Chapter Data'!$D$2:$D$2500,$A18)))</f>
        <v/>
      </c>
      <c r="T18" s="19" t="str">
        <f aca="false">IF($A18="","",IF(COUNTIFS('Chapter Data'!$A$2:$A$2500,T$2,'Chapter Data'!$D$2:$D$2500,$A18,'Chapter Data'!$F$2:$F$2500,"&lt;&gt;")=0,"",SUMIFS('Chapter Data'!$F$2:$F$2500,'Chapter Data'!$A$2:$A$2500,T$2,'Chapter Data'!$D$2:$D$2500,$A18)))</f>
        <v/>
      </c>
      <c r="U18" s="19" t="str">
        <f aca="false">IF($A18="","",IF(COUNTIFS('Chapter Data'!$A$2:$A$2500,U$2,'Chapter Data'!$D$2:$D$2500,$A18,'Chapter Data'!$F$2:$F$2500,"&lt;&gt;")=0,"",SUMIFS('Chapter Data'!$F$2:$F$2500,'Chapter Data'!$A$2:$A$2500,U$2,'Chapter Data'!$D$2:$D$2500,$A18)))</f>
        <v/>
      </c>
    </row>
    <row r="19" customFormat="false" ht="15" hidden="false" customHeight="false" outlineLevel="0" collapsed="false">
      <c r="A19" s="8" t="str">
        <f aca="false">IF(Lists!$D$18="","",Lists!$D$18)</f>
        <v>Phi Kappa Psi</v>
      </c>
      <c r="B19" s="19" t="n">
        <f aca="false">IF($A19="","",IF(COUNTIFS('Chapter Data'!$A$2:$A$2500,B$2,'Chapter Data'!$D$2:$D$2500,$A19,'Chapter Data'!$F$2:$F$2500,"&lt;&gt;")=0,"",SUMIFS('Chapter Data'!$F$2:$F$2500,'Chapter Data'!$A$2:$A$2500,B$2,'Chapter Data'!$D$2:$D$2500,$A19)))</f>
        <v>15</v>
      </c>
      <c r="C19" s="19" t="n">
        <f aca="false">IF($A19="","",IF(COUNTIFS('Chapter Data'!$A$2:$A$2500,C$2,'Chapter Data'!$D$2:$D$2500,$A19,'Chapter Data'!$F$2:$F$2500,"&lt;&gt;")=0,"",SUMIFS('Chapter Data'!$F$2:$F$2500,'Chapter Data'!$A$2:$A$2500,C$2,'Chapter Data'!$D$2:$D$2500,$A19)))</f>
        <v>3</v>
      </c>
      <c r="D19" s="19" t="n">
        <f aca="false">IF($A19="","",IF(COUNTIFS('Chapter Data'!$A$2:$A$2500,D$2,'Chapter Data'!$D$2:$D$2500,$A19,'Chapter Data'!$F$2:$F$2500,"&lt;&gt;")=0,"",SUMIFS('Chapter Data'!$F$2:$F$2500,'Chapter Data'!$A$2:$A$2500,D$2,'Chapter Data'!$D$2:$D$2500,$A19)))</f>
        <v>17</v>
      </c>
      <c r="E19" s="19" t="str">
        <f aca="false">IF($A19="","",IF(COUNTIFS('Chapter Data'!$A$2:$A$2500,E$2,'Chapter Data'!$D$2:$D$2500,$A19,'Chapter Data'!$F$2:$F$2500,"&lt;&gt;")=0,"",SUMIFS('Chapter Data'!$F$2:$F$2500,'Chapter Data'!$A$2:$A$2500,E$2,'Chapter Data'!$D$2:$D$2500,$A19)))</f>
        <v/>
      </c>
      <c r="F19" s="19" t="n">
        <f aca="false">IF($A19="","",IF(COUNTIFS('Chapter Data'!$A$2:$A$2500,F$2,'Chapter Data'!$D$2:$D$2500,$A19,'Chapter Data'!$F$2:$F$2500,"&lt;&gt;")=0,"",SUMIFS('Chapter Data'!$F$2:$F$2500,'Chapter Data'!$A$2:$A$2500,F$2,'Chapter Data'!$D$2:$D$2500,$A19)))</f>
        <v>10</v>
      </c>
      <c r="G19" s="19" t="n">
        <f aca="false">IF($A19="","",IF(COUNTIFS('Chapter Data'!$A$2:$A$2500,G$2,'Chapter Data'!$D$2:$D$2500,$A19,'Chapter Data'!$F$2:$F$2500,"&lt;&gt;")=0,"",SUMIFS('Chapter Data'!$F$2:$F$2500,'Chapter Data'!$A$2:$A$2500,G$2,'Chapter Data'!$D$2:$D$2500,$A19)))</f>
        <v>1</v>
      </c>
      <c r="H19" s="19" t="n">
        <f aca="false">IF($A19="","",IF(COUNTIFS('Chapter Data'!$A$2:$A$2500,H$2,'Chapter Data'!$D$2:$D$2500,$A19,'Chapter Data'!$F$2:$F$2500,"&lt;&gt;")=0,"",SUMIFS('Chapter Data'!$F$2:$F$2500,'Chapter Data'!$A$2:$A$2500,H$2,'Chapter Data'!$D$2:$D$2500,$A19)))</f>
        <v>14</v>
      </c>
      <c r="I19" s="19" t="str">
        <f aca="false">IF($A19="","",IF(COUNTIFS('Chapter Data'!$A$2:$A$2500,I$2,'Chapter Data'!$D$2:$D$2500,$A19,'Chapter Data'!$F$2:$F$2500,"&lt;&gt;")=0,"",SUMIFS('Chapter Data'!$F$2:$F$2500,'Chapter Data'!$A$2:$A$2500,I$2,'Chapter Data'!$D$2:$D$2500,$A19)))</f>
        <v/>
      </c>
      <c r="J19" s="19" t="n">
        <f aca="false">IF($A19="","",IF(COUNTIFS('Chapter Data'!$A$2:$A$2500,J$2,'Chapter Data'!$D$2:$D$2500,$A19,'Chapter Data'!$F$2:$F$2500,"&lt;&gt;")=0,"",SUMIFS('Chapter Data'!$F$2:$F$2500,'Chapter Data'!$A$2:$A$2500,J$2,'Chapter Data'!$D$2:$D$2500,$A19)))</f>
        <v>11</v>
      </c>
      <c r="K19" s="19" t="n">
        <f aca="false">IF($A19="","",IF(COUNTIFS('Chapter Data'!$A$2:$A$2500,K$2,'Chapter Data'!$D$2:$D$2500,$A19,'Chapter Data'!$F$2:$F$2500,"&lt;&gt;")=0,"",SUMIFS('Chapter Data'!$F$2:$F$2500,'Chapter Data'!$A$2:$A$2500,K$2,'Chapter Data'!$D$2:$D$2500,$A19)))</f>
        <v>2</v>
      </c>
      <c r="L19" s="19" t="str">
        <f aca="false">IF($A19="","",IF(COUNTIFS('Chapter Data'!$A$2:$A$2500,L$2,'Chapter Data'!$D$2:$D$2500,$A19,'Chapter Data'!$F$2:$F$2500,"&lt;&gt;")=0,"",SUMIFS('Chapter Data'!$F$2:$F$2500,'Chapter Data'!$A$2:$A$2500,L$2,'Chapter Data'!$D$2:$D$2500,$A19)))</f>
        <v/>
      </c>
      <c r="M19" s="19" t="n">
        <f aca="false">IF($A19="","",IF(COUNTIFS('Chapter Data'!$A$2:$A$2500,M$2,'Chapter Data'!$D$2:$D$2500,$A19,'Chapter Data'!$F$2:$F$2500,"&lt;&gt;")=0,"",SUMIFS('Chapter Data'!$F$2:$F$2500,'Chapter Data'!$A$2:$A$2500,M$2,'Chapter Data'!$D$2:$D$2500,$A19)))</f>
        <v>3</v>
      </c>
      <c r="N19" s="19" t="n">
        <f aca="false">IF($A19="","",IF(COUNTIFS('Chapter Data'!$A$2:$A$2500,N$2,'Chapter Data'!$D$2:$D$2500,$A19,'Chapter Data'!$F$2:$F$2500,"&lt;&gt;")=0,"",SUMIFS('Chapter Data'!$F$2:$F$2500,'Chapter Data'!$A$2:$A$2500,N$2,'Chapter Data'!$D$2:$D$2500,$A19)))</f>
        <v>10</v>
      </c>
      <c r="O19" s="19" t="n">
        <f aca="false">IF($A19="","",IF(COUNTIFS('Chapter Data'!$A$2:$A$2500,O$2,'Chapter Data'!$D$2:$D$2500,$A19,'Chapter Data'!$F$2:$F$2500,"&lt;&gt;")=0,"",SUMIFS('Chapter Data'!$F$2:$F$2500,'Chapter Data'!$A$2:$A$2500,O$2,'Chapter Data'!$D$2:$D$2500,$A19)))</f>
        <v>5</v>
      </c>
      <c r="P19" s="19" t="n">
        <f aca="false">IF($A19="","",IF(COUNTIFS('Chapter Data'!$A$2:$A$2500,P$2,'Chapter Data'!$D$2:$D$2500,$A19,'Chapter Data'!$F$2:$F$2500,"&lt;&gt;")=0,"",SUMIFS('Chapter Data'!$F$2:$F$2500,'Chapter Data'!$A$2:$A$2500,P$2,'Chapter Data'!$D$2:$D$2500,$A19)))</f>
        <v>6</v>
      </c>
      <c r="Q19" s="19" t="n">
        <f aca="false">IF($A19="","",IF(COUNTIFS('Chapter Data'!$A$2:$A$2500,Q$2,'Chapter Data'!$D$2:$D$2500,$A19,'Chapter Data'!$F$2:$F$2500,"&lt;&gt;")=0,"",SUMIFS('Chapter Data'!$F$2:$F$2500,'Chapter Data'!$A$2:$A$2500,Q$2,'Chapter Data'!$D$2:$D$2500,$A19)))</f>
        <v>2</v>
      </c>
      <c r="R19" s="19" t="str">
        <f aca="false">IF($A19="","",IF(COUNTIFS('Chapter Data'!$A$2:$A$2500,R$2,'Chapter Data'!$D$2:$D$2500,$A19,'Chapter Data'!$F$2:$F$2500,"&lt;&gt;")=0,"",SUMIFS('Chapter Data'!$F$2:$F$2500,'Chapter Data'!$A$2:$A$2500,R$2,'Chapter Data'!$D$2:$D$2500,$A19)))</f>
        <v/>
      </c>
      <c r="S19" s="19" t="str">
        <f aca="false">IF($A19="","",IF(COUNTIFS('Chapter Data'!$A$2:$A$2500,S$2,'Chapter Data'!$D$2:$D$2500,$A19,'Chapter Data'!$F$2:$F$2500,"&lt;&gt;")=0,"",SUMIFS('Chapter Data'!$F$2:$F$2500,'Chapter Data'!$A$2:$A$2500,S$2,'Chapter Data'!$D$2:$D$2500,$A19)))</f>
        <v/>
      </c>
      <c r="T19" s="19" t="str">
        <f aca="false">IF($A19="","",IF(COUNTIFS('Chapter Data'!$A$2:$A$2500,T$2,'Chapter Data'!$D$2:$D$2500,$A19,'Chapter Data'!$F$2:$F$2500,"&lt;&gt;")=0,"",SUMIFS('Chapter Data'!$F$2:$F$2500,'Chapter Data'!$A$2:$A$2500,T$2,'Chapter Data'!$D$2:$D$2500,$A19)))</f>
        <v/>
      </c>
      <c r="U19" s="19" t="str">
        <f aca="false">IF($A19="","",IF(COUNTIFS('Chapter Data'!$A$2:$A$2500,U$2,'Chapter Data'!$D$2:$D$2500,$A19,'Chapter Data'!$F$2:$F$2500,"&lt;&gt;")=0,"",SUMIFS('Chapter Data'!$F$2:$F$2500,'Chapter Data'!$A$2:$A$2500,U$2,'Chapter Data'!$D$2:$D$2500,$A19)))</f>
        <v/>
      </c>
    </row>
    <row r="20" customFormat="false" ht="15" hidden="false" customHeight="false" outlineLevel="0" collapsed="false">
      <c r="A20" s="8" t="str">
        <f aca="false">IF(Lists!$D$19="","",Lists!$D$19)</f>
        <v>Phi Kappa Theta</v>
      </c>
      <c r="B20" s="19" t="n">
        <f aca="false">IF($A20="","",IF(COUNTIFS('Chapter Data'!$A$2:$A$2500,B$2,'Chapter Data'!$D$2:$D$2500,$A20,'Chapter Data'!$F$2:$F$2500,"&lt;&gt;")=0,"",SUMIFS('Chapter Data'!$F$2:$F$2500,'Chapter Data'!$A$2:$A$2500,B$2,'Chapter Data'!$D$2:$D$2500,$A20)))</f>
        <v>27</v>
      </c>
      <c r="C20" s="19" t="n">
        <f aca="false">IF($A20="","",IF(COUNTIFS('Chapter Data'!$A$2:$A$2500,C$2,'Chapter Data'!$D$2:$D$2500,$A20,'Chapter Data'!$F$2:$F$2500,"&lt;&gt;")=0,"",SUMIFS('Chapter Data'!$F$2:$F$2500,'Chapter Data'!$A$2:$A$2500,C$2,'Chapter Data'!$D$2:$D$2500,$A20)))</f>
        <v>0</v>
      </c>
      <c r="D20" s="19" t="n">
        <f aca="false">IF($A20="","",IF(COUNTIFS('Chapter Data'!$A$2:$A$2500,D$2,'Chapter Data'!$D$2:$D$2500,$A20,'Chapter Data'!$F$2:$F$2500,"&lt;&gt;")=0,"",SUMIFS('Chapter Data'!$F$2:$F$2500,'Chapter Data'!$A$2:$A$2500,D$2,'Chapter Data'!$D$2:$D$2500,$A20)))</f>
        <v>26</v>
      </c>
      <c r="E20" s="19" t="str">
        <f aca="false">IF($A20="","",IF(COUNTIFS('Chapter Data'!$A$2:$A$2500,E$2,'Chapter Data'!$D$2:$D$2500,$A20,'Chapter Data'!$F$2:$F$2500,"&lt;&gt;")=0,"",SUMIFS('Chapter Data'!$F$2:$F$2500,'Chapter Data'!$A$2:$A$2500,E$2,'Chapter Data'!$D$2:$D$2500,$A20)))</f>
        <v/>
      </c>
      <c r="F20" s="19" t="n">
        <f aca="false">IF($A20="","",IF(COUNTIFS('Chapter Data'!$A$2:$A$2500,F$2,'Chapter Data'!$D$2:$D$2500,$A20,'Chapter Data'!$F$2:$F$2500,"&lt;&gt;")=0,"",SUMIFS('Chapter Data'!$F$2:$F$2500,'Chapter Data'!$A$2:$A$2500,F$2,'Chapter Data'!$D$2:$D$2500,$A20)))</f>
        <v>21</v>
      </c>
      <c r="G20" s="19" t="n">
        <f aca="false">IF($A20="","",IF(COUNTIFS('Chapter Data'!$A$2:$A$2500,G$2,'Chapter Data'!$D$2:$D$2500,$A20,'Chapter Data'!$F$2:$F$2500,"&lt;&gt;")=0,"",SUMIFS('Chapter Data'!$F$2:$F$2500,'Chapter Data'!$A$2:$A$2500,G$2,'Chapter Data'!$D$2:$D$2500,$A20)))</f>
        <v>1</v>
      </c>
      <c r="H20" s="19" t="n">
        <f aca="false">IF($A20="","",IF(COUNTIFS('Chapter Data'!$A$2:$A$2500,H$2,'Chapter Data'!$D$2:$D$2500,$A20,'Chapter Data'!$F$2:$F$2500,"&lt;&gt;")=0,"",SUMIFS('Chapter Data'!$F$2:$F$2500,'Chapter Data'!$A$2:$A$2500,H$2,'Chapter Data'!$D$2:$D$2500,$A20)))</f>
        <v>26</v>
      </c>
      <c r="I20" s="19" t="str">
        <f aca="false">IF($A20="","",IF(COUNTIFS('Chapter Data'!$A$2:$A$2500,I$2,'Chapter Data'!$D$2:$D$2500,$A20,'Chapter Data'!$F$2:$F$2500,"&lt;&gt;")=0,"",SUMIFS('Chapter Data'!$F$2:$F$2500,'Chapter Data'!$A$2:$A$2500,I$2,'Chapter Data'!$D$2:$D$2500,$A20)))</f>
        <v/>
      </c>
      <c r="J20" s="19" t="n">
        <f aca="false">IF($A20="","",IF(COUNTIFS('Chapter Data'!$A$2:$A$2500,J$2,'Chapter Data'!$D$2:$D$2500,$A20,'Chapter Data'!$F$2:$F$2500,"&lt;&gt;")=0,"",SUMIFS('Chapter Data'!$F$2:$F$2500,'Chapter Data'!$A$2:$A$2500,J$2,'Chapter Data'!$D$2:$D$2500,$A20)))</f>
        <v>21</v>
      </c>
      <c r="K20" s="19" t="str">
        <f aca="false">IF($A20="","",IF(COUNTIFS('Chapter Data'!$A$2:$A$2500,K$2,'Chapter Data'!$D$2:$D$2500,$A20,'Chapter Data'!$F$2:$F$2500,"&lt;&gt;")=0,"",SUMIFS('Chapter Data'!$F$2:$F$2500,'Chapter Data'!$A$2:$A$2500,K$2,'Chapter Data'!$D$2:$D$2500,$A20)))</f>
        <v/>
      </c>
      <c r="L20" s="19" t="str">
        <f aca="false">IF($A20="","",IF(COUNTIFS('Chapter Data'!$A$2:$A$2500,L$2,'Chapter Data'!$D$2:$D$2500,$A20,'Chapter Data'!$F$2:$F$2500,"&lt;&gt;")=0,"",SUMIFS('Chapter Data'!$F$2:$F$2500,'Chapter Data'!$A$2:$A$2500,L$2,'Chapter Data'!$D$2:$D$2500,$A20)))</f>
        <v/>
      </c>
      <c r="M20" s="19" t="n">
        <f aca="false">IF($A20="","",IF(COUNTIFS('Chapter Data'!$A$2:$A$2500,M$2,'Chapter Data'!$D$2:$D$2500,$A20,'Chapter Data'!$F$2:$F$2500,"&lt;&gt;")=0,"",SUMIFS('Chapter Data'!$F$2:$F$2500,'Chapter Data'!$A$2:$A$2500,M$2,'Chapter Data'!$D$2:$D$2500,$A20)))</f>
        <v>9</v>
      </c>
      <c r="N20" s="19" t="n">
        <f aca="false">IF($A20="","",IF(COUNTIFS('Chapter Data'!$A$2:$A$2500,N$2,'Chapter Data'!$D$2:$D$2500,$A20,'Chapter Data'!$F$2:$F$2500,"&lt;&gt;")=0,"",SUMIFS('Chapter Data'!$F$2:$F$2500,'Chapter Data'!$A$2:$A$2500,N$2,'Chapter Data'!$D$2:$D$2500,$A20)))</f>
        <v>33</v>
      </c>
      <c r="O20" s="19" t="n">
        <f aca="false">IF($A20="","",IF(COUNTIFS('Chapter Data'!$A$2:$A$2500,O$2,'Chapter Data'!$D$2:$D$2500,$A20,'Chapter Data'!$F$2:$F$2500,"&lt;&gt;")=0,"",SUMIFS('Chapter Data'!$F$2:$F$2500,'Chapter Data'!$A$2:$A$2500,O$2,'Chapter Data'!$D$2:$D$2500,$A20)))</f>
        <v>4</v>
      </c>
      <c r="P20" s="19" t="n">
        <f aca="false">IF($A20="","",IF(COUNTIFS('Chapter Data'!$A$2:$A$2500,P$2,'Chapter Data'!$D$2:$D$2500,$A20,'Chapter Data'!$F$2:$F$2500,"&lt;&gt;")=0,"",SUMIFS('Chapter Data'!$F$2:$F$2500,'Chapter Data'!$A$2:$A$2500,P$2,'Chapter Data'!$D$2:$D$2500,$A20)))</f>
        <v>31</v>
      </c>
      <c r="Q20" s="19" t="n">
        <f aca="false">IF($A20="","",IF(COUNTIFS('Chapter Data'!$A$2:$A$2500,Q$2,'Chapter Data'!$D$2:$D$2500,$A20,'Chapter Data'!$F$2:$F$2500,"&lt;&gt;")=0,"",SUMIFS('Chapter Data'!$F$2:$F$2500,'Chapter Data'!$A$2:$A$2500,Q$2,'Chapter Data'!$D$2:$D$2500,$A20)))</f>
        <v>5</v>
      </c>
      <c r="R20" s="19" t="str">
        <f aca="false">IF($A20="","",IF(COUNTIFS('Chapter Data'!$A$2:$A$2500,R$2,'Chapter Data'!$D$2:$D$2500,$A20,'Chapter Data'!$F$2:$F$2500,"&lt;&gt;")=0,"",SUMIFS('Chapter Data'!$F$2:$F$2500,'Chapter Data'!$A$2:$A$2500,R$2,'Chapter Data'!$D$2:$D$2500,$A20)))</f>
        <v/>
      </c>
      <c r="S20" s="19" t="str">
        <f aca="false">IF($A20="","",IF(COUNTIFS('Chapter Data'!$A$2:$A$2500,S$2,'Chapter Data'!$D$2:$D$2500,$A20,'Chapter Data'!$F$2:$F$2500,"&lt;&gt;")=0,"",SUMIFS('Chapter Data'!$F$2:$F$2500,'Chapter Data'!$A$2:$A$2500,S$2,'Chapter Data'!$D$2:$D$2500,$A20)))</f>
        <v/>
      </c>
      <c r="T20" s="19" t="str">
        <f aca="false">IF($A20="","",IF(COUNTIFS('Chapter Data'!$A$2:$A$2500,T$2,'Chapter Data'!$D$2:$D$2500,$A20,'Chapter Data'!$F$2:$F$2500,"&lt;&gt;")=0,"",SUMIFS('Chapter Data'!$F$2:$F$2500,'Chapter Data'!$A$2:$A$2500,T$2,'Chapter Data'!$D$2:$D$2500,$A20)))</f>
        <v/>
      </c>
      <c r="U20" s="19" t="str">
        <f aca="false">IF($A20="","",IF(COUNTIFS('Chapter Data'!$A$2:$A$2500,U$2,'Chapter Data'!$D$2:$D$2500,$A20,'Chapter Data'!$F$2:$F$2500,"&lt;&gt;")=0,"",SUMIFS('Chapter Data'!$F$2:$F$2500,'Chapter Data'!$A$2:$A$2500,U$2,'Chapter Data'!$D$2:$D$2500,$A20)))</f>
        <v/>
      </c>
    </row>
    <row r="21" customFormat="false" ht="15" hidden="false" customHeight="false" outlineLevel="0" collapsed="false">
      <c r="A21" s="8" t="str">
        <f aca="false">IF(Lists!$D$20="","",Lists!$D$20)</f>
        <v>Pi Kappa Alpha</v>
      </c>
      <c r="B21" s="19" t="n">
        <f aca="false">IF($A21="","",IF(COUNTIFS('Chapter Data'!$A$2:$A$2500,B$2,'Chapter Data'!$D$2:$D$2500,$A21,'Chapter Data'!$F$2:$F$2500,"&lt;&gt;")=0,"",SUMIFS('Chapter Data'!$F$2:$F$2500,'Chapter Data'!$A$2:$A$2500,B$2,'Chapter Data'!$D$2:$D$2500,$A21)))</f>
        <v>24</v>
      </c>
      <c r="C21" s="19" t="n">
        <f aca="false">IF($A21="","",IF(COUNTIFS('Chapter Data'!$A$2:$A$2500,C$2,'Chapter Data'!$D$2:$D$2500,$A21,'Chapter Data'!$F$2:$F$2500,"&lt;&gt;")=0,"",SUMIFS('Chapter Data'!$F$2:$F$2500,'Chapter Data'!$A$2:$A$2500,C$2,'Chapter Data'!$D$2:$D$2500,$A21)))</f>
        <v>21</v>
      </c>
      <c r="D21" s="19" t="n">
        <f aca="false">IF($A21="","",IF(COUNTIFS('Chapter Data'!$A$2:$A$2500,D$2,'Chapter Data'!$D$2:$D$2500,$A21,'Chapter Data'!$F$2:$F$2500,"&lt;&gt;")=0,"",SUMIFS('Chapter Data'!$F$2:$F$2500,'Chapter Data'!$A$2:$A$2500,D$2,'Chapter Data'!$D$2:$D$2500,$A21)))</f>
        <v>35</v>
      </c>
      <c r="E21" s="19" t="str">
        <f aca="false">IF($A21="","",IF(COUNTIFS('Chapter Data'!$A$2:$A$2500,E$2,'Chapter Data'!$D$2:$D$2500,$A21,'Chapter Data'!$F$2:$F$2500,"&lt;&gt;")=0,"",SUMIFS('Chapter Data'!$F$2:$F$2500,'Chapter Data'!$A$2:$A$2500,E$2,'Chapter Data'!$D$2:$D$2500,$A21)))</f>
        <v/>
      </c>
      <c r="F21" s="19" t="n">
        <f aca="false">IF($A21="","",IF(COUNTIFS('Chapter Data'!$A$2:$A$2500,F$2,'Chapter Data'!$D$2:$D$2500,$A21,'Chapter Data'!$F$2:$F$2500,"&lt;&gt;")=0,"",SUMIFS('Chapter Data'!$F$2:$F$2500,'Chapter Data'!$A$2:$A$2500,F$2,'Chapter Data'!$D$2:$D$2500,$A21)))</f>
        <v>33</v>
      </c>
      <c r="G21" s="19" t="n">
        <f aca="false">IF($A21="","",IF(COUNTIFS('Chapter Data'!$A$2:$A$2500,G$2,'Chapter Data'!$D$2:$D$2500,$A21,'Chapter Data'!$F$2:$F$2500,"&lt;&gt;")=0,"",SUMIFS('Chapter Data'!$F$2:$F$2500,'Chapter Data'!$A$2:$A$2500,G$2,'Chapter Data'!$D$2:$D$2500,$A21)))</f>
        <v>9</v>
      </c>
      <c r="H21" s="19" t="n">
        <f aca="false">IF($A21="","",IF(COUNTIFS('Chapter Data'!$A$2:$A$2500,H$2,'Chapter Data'!$D$2:$D$2500,$A21,'Chapter Data'!$F$2:$F$2500,"&lt;&gt;")=0,"",SUMIFS('Chapter Data'!$F$2:$F$2500,'Chapter Data'!$A$2:$A$2500,H$2,'Chapter Data'!$D$2:$D$2500,$A21)))</f>
        <v>32</v>
      </c>
      <c r="I21" s="19" t="str">
        <f aca="false">IF($A21="","",IF(COUNTIFS('Chapter Data'!$A$2:$A$2500,I$2,'Chapter Data'!$D$2:$D$2500,$A21,'Chapter Data'!$F$2:$F$2500,"&lt;&gt;")=0,"",SUMIFS('Chapter Data'!$F$2:$F$2500,'Chapter Data'!$A$2:$A$2500,I$2,'Chapter Data'!$D$2:$D$2500,$A21)))</f>
        <v/>
      </c>
      <c r="J21" s="19" t="n">
        <f aca="false">IF($A21="","",IF(COUNTIFS('Chapter Data'!$A$2:$A$2500,J$2,'Chapter Data'!$D$2:$D$2500,$A21,'Chapter Data'!$F$2:$F$2500,"&lt;&gt;")=0,"",SUMIFS('Chapter Data'!$F$2:$F$2500,'Chapter Data'!$A$2:$A$2500,J$2,'Chapter Data'!$D$2:$D$2500,$A21)))</f>
        <v>25</v>
      </c>
      <c r="K21" s="19" t="n">
        <f aca="false">IF($A21="","",IF(COUNTIFS('Chapter Data'!$A$2:$A$2500,K$2,'Chapter Data'!$D$2:$D$2500,$A21,'Chapter Data'!$F$2:$F$2500,"&lt;&gt;")=0,"",SUMIFS('Chapter Data'!$F$2:$F$2500,'Chapter Data'!$A$2:$A$2500,K$2,'Chapter Data'!$D$2:$D$2500,$A21)))</f>
        <v>21</v>
      </c>
      <c r="L21" s="19" t="str">
        <f aca="false">IF($A21="","",IF(COUNTIFS('Chapter Data'!$A$2:$A$2500,L$2,'Chapter Data'!$D$2:$D$2500,$A21,'Chapter Data'!$F$2:$F$2500,"&lt;&gt;")=0,"",SUMIFS('Chapter Data'!$F$2:$F$2500,'Chapter Data'!$A$2:$A$2500,L$2,'Chapter Data'!$D$2:$D$2500,$A21)))</f>
        <v/>
      </c>
      <c r="M21" s="19" t="n">
        <f aca="false">IF($A21="","",IF(COUNTIFS('Chapter Data'!$A$2:$A$2500,M$2,'Chapter Data'!$D$2:$D$2500,$A21,'Chapter Data'!$F$2:$F$2500,"&lt;&gt;")=0,"",SUMIFS('Chapter Data'!$F$2:$F$2500,'Chapter Data'!$A$2:$A$2500,M$2,'Chapter Data'!$D$2:$D$2500,$A21)))</f>
        <v>18</v>
      </c>
      <c r="N21" s="19" t="n">
        <f aca="false">IF($A21="","",IF(COUNTIFS('Chapter Data'!$A$2:$A$2500,N$2,'Chapter Data'!$D$2:$D$2500,$A21,'Chapter Data'!$F$2:$F$2500,"&lt;&gt;")=0,"",SUMIFS('Chapter Data'!$F$2:$F$2500,'Chapter Data'!$A$2:$A$2500,N$2,'Chapter Data'!$D$2:$D$2500,$A21)))</f>
        <v>27</v>
      </c>
      <c r="O21" s="19" t="n">
        <f aca="false">IF($A21="","",IF(COUNTIFS('Chapter Data'!$A$2:$A$2500,O$2,'Chapter Data'!$D$2:$D$2500,$A21,'Chapter Data'!$F$2:$F$2500,"&lt;&gt;")=0,"",SUMIFS('Chapter Data'!$F$2:$F$2500,'Chapter Data'!$A$2:$A$2500,O$2,'Chapter Data'!$D$2:$D$2500,$A21)))</f>
        <v>14</v>
      </c>
      <c r="P21" s="19" t="n">
        <f aca="false">IF($A21="","",IF(COUNTIFS('Chapter Data'!$A$2:$A$2500,P$2,'Chapter Data'!$D$2:$D$2500,$A21,'Chapter Data'!$F$2:$F$2500,"&lt;&gt;")=0,"",SUMIFS('Chapter Data'!$F$2:$F$2500,'Chapter Data'!$A$2:$A$2500,P$2,'Chapter Data'!$D$2:$D$2500,$A21)))</f>
        <v>38</v>
      </c>
      <c r="Q21" s="19" t="n">
        <f aca="false">IF($A21="","",IF(COUNTIFS('Chapter Data'!$A$2:$A$2500,Q$2,'Chapter Data'!$D$2:$D$2500,$A21,'Chapter Data'!$F$2:$F$2500,"&lt;&gt;")=0,"",SUMIFS('Chapter Data'!$F$2:$F$2500,'Chapter Data'!$A$2:$A$2500,Q$2,'Chapter Data'!$D$2:$D$2500,$A21)))</f>
        <v>18</v>
      </c>
      <c r="R21" s="19" t="str">
        <f aca="false">IF($A21="","",IF(COUNTIFS('Chapter Data'!$A$2:$A$2500,R$2,'Chapter Data'!$D$2:$D$2500,$A21,'Chapter Data'!$F$2:$F$2500,"&lt;&gt;")=0,"",SUMIFS('Chapter Data'!$F$2:$F$2500,'Chapter Data'!$A$2:$A$2500,R$2,'Chapter Data'!$D$2:$D$2500,$A21)))</f>
        <v/>
      </c>
      <c r="S21" s="19" t="str">
        <f aca="false">IF($A21="","",IF(COUNTIFS('Chapter Data'!$A$2:$A$2500,S$2,'Chapter Data'!$D$2:$D$2500,$A21,'Chapter Data'!$F$2:$F$2500,"&lt;&gt;")=0,"",SUMIFS('Chapter Data'!$F$2:$F$2500,'Chapter Data'!$A$2:$A$2500,S$2,'Chapter Data'!$D$2:$D$2500,$A21)))</f>
        <v/>
      </c>
      <c r="T21" s="19" t="str">
        <f aca="false">IF($A21="","",IF(COUNTIFS('Chapter Data'!$A$2:$A$2500,T$2,'Chapter Data'!$D$2:$D$2500,$A21,'Chapter Data'!$F$2:$F$2500,"&lt;&gt;")=0,"",SUMIFS('Chapter Data'!$F$2:$F$2500,'Chapter Data'!$A$2:$A$2500,T$2,'Chapter Data'!$D$2:$D$2500,$A21)))</f>
        <v/>
      </c>
      <c r="U21" s="19" t="str">
        <f aca="false">IF($A21="","",IF(COUNTIFS('Chapter Data'!$A$2:$A$2500,U$2,'Chapter Data'!$D$2:$D$2500,$A21,'Chapter Data'!$F$2:$F$2500,"&lt;&gt;")=0,"",SUMIFS('Chapter Data'!$F$2:$F$2500,'Chapter Data'!$A$2:$A$2500,U$2,'Chapter Data'!$D$2:$D$2500,$A21)))</f>
        <v/>
      </c>
    </row>
    <row r="22" customFormat="false" ht="15" hidden="false" customHeight="false" outlineLevel="0" collapsed="false">
      <c r="A22" s="8" t="str">
        <f aca="false">IF(Lists!$D$21="","",Lists!$D$21)</f>
        <v>Pi Kappa Phi</v>
      </c>
      <c r="B22" s="19" t="n">
        <f aca="false">IF($A22="","",IF(COUNTIFS('Chapter Data'!$A$2:$A$2500,B$2,'Chapter Data'!$D$2:$D$2500,$A22,'Chapter Data'!$F$2:$F$2500,"&lt;&gt;")=0,"",SUMIFS('Chapter Data'!$F$2:$F$2500,'Chapter Data'!$A$2:$A$2500,B$2,'Chapter Data'!$D$2:$D$2500,$A22)))</f>
        <v>11</v>
      </c>
      <c r="C22" s="19" t="n">
        <f aca="false">IF($A22="","",IF(COUNTIFS('Chapter Data'!$A$2:$A$2500,C$2,'Chapter Data'!$D$2:$D$2500,$A22,'Chapter Data'!$F$2:$F$2500,"&lt;&gt;")=0,"",SUMIFS('Chapter Data'!$F$2:$F$2500,'Chapter Data'!$A$2:$A$2500,C$2,'Chapter Data'!$D$2:$D$2500,$A22)))</f>
        <v>2</v>
      </c>
      <c r="D22" s="19" t="n">
        <f aca="false">IF($A22="","",IF(COUNTIFS('Chapter Data'!$A$2:$A$2500,D$2,'Chapter Data'!$D$2:$D$2500,$A22,'Chapter Data'!$F$2:$F$2500,"&lt;&gt;")=0,"",SUMIFS('Chapter Data'!$F$2:$F$2500,'Chapter Data'!$A$2:$A$2500,D$2,'Chapter Data'!$D$2:$D$2500,$A22)))</f>
        <v>18</v>
      </c>
      <c r="E22" s="19" t="str">
        <f aca="false">IF($A22="","",IF(COUNTIFS('Chapter Data'!$A$2:$A$2500,E$2,'Chapter Data'!$D$2:$D$2500,$A22,'Chapter Data'!$F$2:$F$2500,"&lt;&gt;")=0,"",SUMIFS('Chapter Data'!$F$2:$F$2500,'Chapter Data'!$A$2:$A$2500,E$2,'Chapter Data'!$D$2:$D$2500,$A22)))</f>
        <v/>
      </c>
      <c r="F22" s="19" t="n">
        <f aca="false">IF($A22="","",IF(COUNTIFS('Chapter Data'!$A$2:$A$2500,F$2,'Chapter Data'!$D$2:$D$2500,$A22,'Chapter Data'!$F$2:$F$2500,"&lt;&gt;")=0,"",SUMIFS('Chapter Data'!$F$2:$F$2500,'Chapter Data'!$A$2:$A$2500,F$2,'Chapter Data'!$D$2:$D$2500,$A22)))</f>
        <v>0</v>
      </c>
      <c r="G22" s="19" t="n">
        <f aca="false">IF($A22="","",IF(COUNTIFS('Chapter Data'!$A$2:$A$2500,G$2,'Chapter Data'!$D$2:$D$2500,$A22,'Chapter Data'!$F$2:$F$2500,"&lt;&gt;")=0,"",SUMIFS('Chapter Data'!$F$2:$F$2500,'Chapter Data'!$A$2:$A$2500,G$2,'Chapter Data'!$D$2:$D$2500,$A22)))</f>
        <v>0</v>
      </c>
      <c r="H22" s="19" t="n">
        <f aca="false">IF($A22="","",IF(COUNTIFS('Chapter Data'!$A$2:$A$2500,H$2,'Chapter Data'!$D$2:$D$2500,$A22,'Chapter Data'!$F$2:$F$2500,"&lt;&gt;")=0,"",SUMIFS('Chapter Data'!$F$2:$F$2500,'Chapter Data'!$A$2:$A$2500,H$2,'Chapter Data'!$D$2:$D$2500,$A22)))</f>
        <v>23</v>
      </c>
      <c r="I22" s="19" t="str">
        <f aca="false">IF($A22="","",IF(COUNTIFS('Chapter Data'!$A$2:$A$2500,I$2,'Chapter Data'!$D$2:$D$2500,$A22,'Chapter Data'!$F$2:$F$2500,"&lt;&gt;")=0,"",SUMIFS('Chapter Data'!$F$2:$F$2500,'Chapter Data'!$A$2:$A$2500,I$2,'Chapter Data'!$D$2:$D$2500,$A22)))</f>
        <v/>
      </c>
      <c r="J22" s="19" t="n">
        <f aca="false">IF($A22="","",IF(COUNTIFS('Chapter Data'!$A$2:$A$2500,J$2,'Chapter Data'!$D$2:$D$2500,$A22,'Chapter Data'!$F$2:$F$2500,"&lt;&gt;")=0,"",SUMIFS('Chapter Data'!$F$2:$F$2500,'Chapter Data'!$A$2:$A$2500,J$2,'Chapter Data'!$D$2:$D$2500,$A22)))</f>
        <v>27</v>
      </c>
      <c r="K22" s="19" t="n">
        <f aca="false">IF($A22="","",IF(COUNTIFS('Chapter Data'!$A$2:$A$2500,K$2,'Chapter Data'!$D$2:$D$2500,$A22,'Chapter Data'!$F$2:$F$2500,"&lt;&gt;")=0,"",SUMIFS('Chapter Data'!$F$2:$F$2500,'Chapter Data'!$A$2:$A$2500,K$2,'Chapter Data'!$D$2:$D$2500,$A22)))</f>
        <v>10</v>
      </c>
      <c r="L22" s="19" t="str">
        <f aca="false">IF($A22="","",IF(COUNTIFS('Chapter Data'!$A$2:$A$2500,L$2,'Chapter Data'!$D$2:$D$2500,$A22,'Chapter Data'!$F$2:$F$2500,"&lt;&gt;")=0,"",SUMIFS('Chapter Data'!$F$2:$F$2500,'Chapter Data'!$A$2:$A$2500,L$2,'Chapter Data'!$D$2:$D$2500,$A22)))</f>
        <v/>
      </c>
      <c r="M22" s="19" t="n">
        <f aca="false">IF($A22="","",IF(COUNTIFS('Chapter Data'!$A$2:$A$2500,M$2,'Chapter Data'!$D$2:$D$2500,$A22,'Chapter Data'!$F$2:$F$2500,"&lt;&gt;")=0,"",SUMIFS('Chapter Data'!$F$2:$F$2500,'Chapter Data'!$A$2:$A$2500,M$2,'Chapter Data'!$D$2:$D$2500,$A22)))</f>
        <v>4</v>
      </c>
      <c r="N22" s="19" t="n">
        <f aca="false">IF($A22="","",IF(COUNTIFS('Chapter Data'!$A$2:$A$2500,N$2,'Chapter Data'!$D$2:$D$2500,$A22,'Chapter Data'!$F$2:$F$2500,"&lt;&gt;")=0,"",SUMIFS('Chapter Data'!$F$2:$F$2500,'Chapter Data'!$A$2:$A$2500,N$2,'Chapter Data'!$D$2:$D$2500,$A22)))</f>
        <v>11</v>
      </c>
      <c r="O22" s="19" t="n">
        <f aca="false">IF($A22="","",IF(COUNTIFS('Chapter Data'!$A$2:$A$2500,O$2,'Chapter Data'!$D$2:$D$2500,$A22,'Chapter Data'!$F$2:$F$2500,"&lt;&gt;")=0,"",SUMIFS('Chapter Data'!$F$2:$F$2500,'Chapter Data'!$A$2:$A$2500,O$2,'Chapter Data'!$D$2:$D$2500,$A22)))</f>
        <v>5</v>
      </c>
      <c r="P22" s="19" t="n">
        <f aca="false">IF($A22="","",IF(COUNTIFS('Chapter Data'!$A$2:$A$2500,P$2,'Chapter Data'!$D$2:$D$2500,$A22,'Chapter Data'!$F$2:$F$2500,"&lt;&gt;")=0,"",SUMIFS('Chapter Data'!$F$2:$F$2500,'Chapter Data'!$A$2:$A$2500,P$2,'Chapter Data'!$D$2:$D$2500,$A22)))</f>
        <v>7</v>
      </c>
      <c r="Q22" s="19" t="str">
        <f aca="false">IF($A22="","",IF(COUNTIFS('Chapter Data'!$A$2:$A$2500,Q$2,'Chapter Data'!$D$2:$D$2500,$A22,'Chapter Data'!$F$2:$F$2500,"&lt;&gt;")=0,"",SUMIFS('Chapter Data'!$F$2:$F$2500,'Chapter Data'!$A$2:$A$2500,Q$2,'Chapter Data'!$D$2:$D$2500,$A22)))</f>
        <v/>
      </c>
      <c r="R22" s="19" t="str">
        <f aca="false">IF($A22="","",IF(COUNTIFS('Chapter Data'!$A$2:$A$2500,R$2,'Chapter Data'!$D$2:$D$2500,$A22,'Chapter Data'!$F$2:$F$2500,"&lt;&gt;")=0,"",SUMIFS('Chapter Data'!$F$2:$F$2500,'Chapter Data'!$A$2:$A$2500,R$2,'Chapter Data'!$D$2:$D$2500,$A22)))</f>
        <v/>
      </c>
      <c r="S22" s="19" t="str">
        <f aca="false">IF($A22="","",IF(COUNTIFS('Chapter Data'!$A$2:$A$2500,S$2,'Chapter Data'!$D$2:$D$2500,$A22,'Chapter Data'!$F$2:$F$2500,"&lt;&gt;")=0,"",SUMIFS('Chapter Data'!$F$2:$F$2500,'Chapter Data'!$A$2:$A$2500,S$2,'Chapter Data'!$D$2:$D$2500,$A22)))</f>
        <v/>
      </c>
      <c r="T22" s="19" t="str">
        <f aca="false">IF($A22="","",IF(COUNTIFS('Chapter Data'!$A$2:$A$2500,T$2,'Chapter Data'!$D$2:$D$2500,$A22,'Chapter Data'!$F$2:$F$2500,"&lt;&gt;")=0,"",SUMIFS('Chapter Data'!$F$2:$F$2500,'Chapter Data'!$A$2:$A$2500,T$2,'Chapter Data'!$D$2:$D$2500,$A22)))</f>
        <v/>
      </c>
      <c r="U22" s="19" t="str">
        <f aca="false">IF($A22="","",IF(COUNTIFS('Chapter Data'!$A$2:$A$2500,U$2,'Chapter Data'!$D$2:$D$2500,$A22,'Chapter Data'!$F$2:$F$2500,"&lt;&gt;")=0,"",SUMIFS('Chapter Data'!$F$2:$F$2500,'Chapter Data'!$A$2:$A$2500,U$2,'Chapter Data'!$D$2:$D$2500,$A22)))</f>
        <v/>
      </c>
    </row>
    <row r="23" customFormat="false" ht="15" hidden="false" customHeight="false" outlineLevel="0" collapsed="false">
      <c r="A23" s="8" t="str">
        <f aca="false">IF(Lists!$D$22="","",Lists!$D$22)</f>
        <v>Sigma Alpha Epsilon</v>
      </c>
      <c r="B23" s="19" t="n">
        <f aca="false">IF($A23="","",IF(COUNTIFS('Chapter Data'!$A$2:$A$2500,B$2,'Chapter Data'!$D$2:$D$2500,$A23,'Chapter Data'!$F$2:$F$2500,"&lt;&gt;")=0,"",SUMIFS('Chapter Data'!$F$2:$F$2500,'Chapter Data'!$A$2:$A$2500,B$2,'Chapter Data'!$D$2:$D$2500,$A23)))</f>
        <v>33</v>
      </c>
      <c r="C23" s="19" t="n">
        <f aca="false">IF($A23="","",IF(COUNTIFS('Chapter Data'!$A$2:$A$2500,C$2,'Chapter Data'!$D$2:$D$2500,$A23,'Chapter Data'!$F$2:$F$2500,"&lt;&gt;")=0,"",SUMIFS('Chapter Data'!$F$2:$F$2500,'Chapter Data'!$A$2:$A$2500,C$2,'Chapter Data'!$D$2:$D$2500,$A23)))</f>
        <v>0</v>
      </c>
      <c r="D23" s="19" t="n">
        <f aca="false">IF($A23="","",IF(COUNTIFS('Chapter Data'!$A$2:$A$2500,D$2,'Chapter Data'!$D$2:$D$2500,$A23,'Chapter Data'!$F$2:$F$2500,"&lt;&gt;")=0,"",SUMIFS('Chapter Data'!$F$2:$F$2500,'Chapter Data'!$A$2:$A$2500,D$2,'Chapter Data'!$D$2:$D$2500,$A23)))</f>
        <v>38</v>
      </c>
      <c r="E23" s="19" t="str">
        <f aca="false">IF($A23="","",IF(COUNTIFS('Chapter Data'!$A$2:$A$2500,E$2,'Chapter Data'!$D$2:$D$2500,$A23,'Chapter Data'!$F$2:$F$2500,"&lt;&gt;")=0,"",SUMIFS('Chapter Data'!$F$2:$F$2500,'Chapter Data'!$A$2:$A$2500,E$2,'Chapter Data'!$D$2:$D$2500,$A23)))</f>
        <v/>
      </c>
      <c r="F23" s="19" t="n">
        <f aca="false">IF($A23="","",IF(COUNTIFS('Chapter Data'!$A$2:$A$2500,F$2,'Chapter Data'!$D$2:$D$2500,$A23,'Chapter Data'!$F$2:$F$2500,"&lt;&gt;")=0,"",SUMIFS('Chapter Data'!$F$2:$F$2500,'Chapter Data'!$A$2:$A$2500,F$2,'Chapter Data'!$D$2:$D$2500,$A23)))</f>
        <v>28</v>
      </c>
      <c r="G23" s="19" t="n">
        <f aca="false">IF($A23="","",IF(COUNTIFS('Chapter Data'!$A$2:$A$2500,G$2,'Chapter Data'!$D$2:$D$2500,$A23,'Chapter Data'!$F$2:$F$2500,"&lt;&gt;")=0,"",SUMIFS('Chapter Data'!$F$2:$F$2500,'Chapter Data'!$A$2:$A$2500,G$2,'Chapter Data'!$D$2:$D$2500,$A23)))</f>
        <v>4</v>
      </c>
      <c r="H23" s="19" t="n">
        <f aca="false">IF($A23="","",IF(COUNTIFS('Chapter Data'!$A$2:$A$2500,H$2,'Chapter Data'!$D$2:$D$2500,$A23,'Chapter Data'!$F$2:$F$2500,"&lt;&gt;")=0,"",SUMIFS('Chapter Data'!$F$2:$F$2500,'Chapter Data'!$A$2:$A$2500,H$2,'Chapter Data'!$D$2:$D$2500,$A23)))</f>
        <v>32</v>
      </c>
      <c r="I23" s="19" t="str">
        <f aca="false">IF($A23="","",IF(COUNTIFS('Chapter Data'!$A$2:$A$2500,I$2,'Chapter Data'!$D$2:$D$2500,$A23,'Chapter Data'!$F$2:$F$2500,"&lt;&gt;")=0,"",SUMIFS('Chapter Data'!$F$2:$F$2500,'Chapter Data'!$A$2:$A$2500,I$2,'Chapter Data'!$D$2:$D$2500,$A23)))</f>
        <v/>
      </c>
      <c r="J23" s="19" t="n">
        <f aca="false">IF($A23="","",IF(COUNTIFS('Chapter Data'!$A$2:$A$2500,J$2,'Chapter Data'!$D$2:$D$2500,$A23,'Chapter Data'!$F$2:$F$2500,"&lt;&gt;")=0,"",SUMIFS('Chapter Data'!$F$2:$F$2500,'Chapter Data'!$A$2:$A$2500,J$2,'Chapter Data'!$D$2:$D$2500,$A23)))</f>
        <v>35</v>
      </c>
      <c r="K23" s="19" t="n">
        <f aca="false">IF($A23="","",IF(COUNTIFS('Chapter Data'!$A$2:$A$2500,K$2,'Chapter Data'!$D$2:$D$2500,$A23,'Chapter Data'!$F$2:$F$2500,"&lt;&gt;")=0,"",SUMIFS('Chapter Data'!$F$2:$F$2500,'Chapter Data'!$A$2:$A$2500,K$2,'Chapter Data'!$D$2:$D$2500,$A23)))</f>
        <v>5</v>
      </c>
      <c r="L23" s="19" t="str">
        <f aca="false">IF($A23="","",IF(COUNTIFS('Chapter Data'!$A$2:$A$2500,L$2,'Chapter Data'!$D$2:$D$2500,$A23,'Chapter Data'!$F$2:$F$2500,"&lt;&gt;")=0,"",SUMIFS('Chapter Data'!$F$2:$F$2500,'Chapter Data'!$A$2:$A$2500,L$2,'Chapter Data'!$D$2:$D$2500,$A23)))</f>
        <v/>
      </c>
      <c r="M23" s="19" t="n">
        <f aca="false">IF($A23="","",IF(COUNTIFS('Chapter Data'!$A$2:$A$2500,M$2,'Chapter Data'!$D$2:$D$2500,$A23,'Chapter Data'!$F$2:$F$2500,"&lt;&gt;")=0,"",SUMIFS('Chapter Data'!$F$2:$F$2500,'Chapter Data'!$A$2:$A$2500,M$2,'Chapter Data'!$D$2:$D$2500,$A23)))</f>
        <v>4</v>
      </c>
      <c r="N23" s="19" t="n">
        <f aca="false">IF($A23="","",IF(COUNTIFS('Chapter Data'!$A$2:$A$2500,N$2,'Chapter Data'!$D$2:$D$2500,$A23,'Chapter Data'!$F$2:$F$2500,"&lt;&gt;")=0,"",SUMIFS('Chapter Data'!$F$2:$F$2500,'Chapter Data'!$A$2:$A$2500,N$2,'Chapter Data'!$D$2:$D$2500,$A23)))</f>
        <v>37</v>
      </c>
      <c r="O23" s="19" t="n">
        <f aca="false">IF($A23="","",IF(COUNTIFS('Chapter Data'!$A$2:$A$2500,O$2,'Chapter Data'!$D$2:$D$2500,$A23,'Chapter Data'!$F$2:$F$2500,"&lt;&gt;")=0,"",SUMIFS('Chapter Data'!$F$2:$F$2500,'Chapter Data'!$A$2:$A$2500,O$2,'Chapter Data'!$D$2:$D$2500,$A23)))</f>
        <v>3</v>
      </c>
      <c r="P23" s="19" t="n">
        <f aca="false">IF($A23="","",IF(COUNTIFS('Chapter Data'!$A$2:$A$2500,P$2,'Chapter Data'!$D$2:$D$2500,$A23,'Chapter Data'!$F$2:$F$2500,"&lt;&gt;")=0,"",SUMIFS('Chapter Data'!$F$2:$F$2500,'Chapter Data'!$A$2:$A$2500,P$2,'Chapter Data'!$D$2:$D$2500,$A23)))</f>
        <v>41</v>
      </c>
      <c r="Q23" s="19" t="n">
        <f aca="false">IF($A23="","",IF(COUNTIFS('Chapter Data'!$A$2:$A$2500,Q$2,'Chapter Data'!$D$2:$D$2500,$A23,'Chapter Data'!$F$2:$F$2500,"&lt;&gt;")=0,"",SUMIFS('Chapter Data'!$F$2:$F$2500,'Chapter Data'!$A$2:$A$2500,Q$2,'Chapter Data'!$D$2:$D$2500,$A23)))</f>
        <v>1</v>
      </c>
      <c r="R23" s="19" t="str">
        <f aca="false">IF($A23="","",IF(COUNTIFS('Chapter Data'!$A$2:$A$2500,R$2,'Chapter Data'!$D$2:$D$2500,$A23,'Chapter Data'!$F$2:$F$2500,"&lt;&gt;")=0,"",SUMIFS('Chapter Data'!$F$2:$F$2500,'Chapter Data'!$A$2:$A$2500,R$2,'Chapter Data'!$D$2:$D$2500,$A23)))</f>
        <v/>
      </c>
      <c r="S23" s="19" t="str">
        <f aca="false">IF($A23="","",IF(COUNTIFS('Chapter Data'!$A$2:$A$2500,S$2,'Chapter Data'!$D$2:$D$2500,$A23,'Chapter Data'!$F$2:$F$2500,"&lt;&gt;")=0,"",SUMIFS('Chapter Data'!$F$2:$F$2500,'Chapter Data'!$A$2:$A$2500,S$2,'Chapter Data'!$D$2:$D$2500,$A23)))</f>
        <v/>
      </c>
      <c r="T23" s="19" t="str">
        <f aca="false">IF($A23="","",IF(COUNTIFS('Chapter Data'!$A$2:$A$2500,T$2,'Chapter Data'!$D$2:$D$2500,$A23,'Chapter Data'!$F$2:$F$2500,"&lt;&gt;")=0,"",SUMIFS('Chapter Data'!$F$2:$F$2500,'Chapter Data'!$A$2:$A$2500,T$2,'Chapter Data'!$D$2:$D$2500,$A23)))</f>
        <v/>
      </c>
      <c r="U23" s="19" t="str">
        <f aca="false">IF($A23="","",IF(COUNTIFS('Chapter Data'!$A$2:$A$2500,U$2,'Chapter Data'!$D$2:$D$2500,$A23,'Chapter Data'!$F$2:$F$2500,"&lt;&gt;")=0,"",SUMIFS('Chapter Data'!$F$2:$F$2500,'Chapter Data'!$A$2:$A$2500,U$2,'Chapter Data'!$D$2:$D$2500,$A23)))</f>
        <v/>
      </c>
    </row>
    <row r="24" customFormat="false" ht="15" hidden="false" customHeight="false" outlineLevel="0" collapsed="false">
      <c r="A24" s="8" t="str">
        <f aca="false">IF(Lists!$D$23="","",Lists!$D$23)</f>
        <v>Sigma Alpha Mu</v>
      </c>
      <c r="B24" s="19" t="n">
        <f aca="false">IF($A24="","",IF(COUNTIFS('Chapter Data'!$A$2:$A$2500,B$2,'Chapter Data'!$D$2:$D$2500,$A24,'Chapter Data'!$F$2:$F$2500,"&lt;&gt;")=0,"",SUMIFS('Chapter Data'!$F$2:$F$2500,'Chapter Data'!$A$2:$A$2500,B$2,'Chapter Data'!$D$2:$D$2500,$A24)))</f>
        <v>4</v>
      </c>
      <c r="C24" s="19" t="n">
        <f aca="false">IF($A24="","",IF(COUNTIFS('Chapter Data'!$A$2:$A$2500,C$2,'Chapter Data'!$D$2:$D$2500,$A24,'Chapter Data'!$F$2:$F$2500,"&lt;&gt;")=0,"",SUMIFS('Chapter Data'!$F$2:$F$2500,'Chapter Data'!$A$2:$A$2500,C$2,'Chapter Data'!$D$2:$D$2500,$A24)))</f>
        <v>0</v>
      </c>
      <c r="D24" s="19" t="n">
        <f aca="false">IF($A24="","",IF(COUNTIFS('Chapter Data'!$A$2:$A$2500,D$2,'Chapter Data'!$D$2:$D$2500,$A24,'Chapter Data'!$F$2:$F$2500,"&lt;&gt;")=0,"",SUMIFS('Chapter Data'!$F$2:$F$2500,'Chapter Data'!$A$2:$A$2500,D$2,'Chapter Data'!$D$2:$D$2500,$A24)))</f>
        <v>3</v>
      </c>
      <c r="E24" s="19" t="str">
        <f aca="false">IF($A24="","",IF(COUNTIFS('Chapter Data'!$A$2:$A$2500,E$2,'Chapter Data'!$D$2:$D$2500,$A24,'Chapter Data'!$F$2:$F$2500,"&lt;&gt;")=0,"",SUMIFS('Chapter Data'!$F$2:$F$2500,'Chapter Data'!$A$2:$A$2500,E$2,'Chapter Data'!$D$2:$D$2500,$A24)))</f>
        <v/>
      </c>
      <c r="F24" s="19" t="n">
        <f aca="false">IF($A24="","",IF(COUNTIFS('Chapter Data'!$A$2:$A$2500,F$2,'Chapter Data'!$D$2:$D$2500,$A24,'Chapter Data'!$F$2:$F$2500,"&lt;&gt;")=0,"",SUMIFS('Chapter Data'!$F$2:$F$2500,'Chapter Data'!$A$2:$A$2500,F$2,'Chapter Data'!$D$2:$D$2500,$A24)))</f>
        <v>3</v>
      </c>
      <c r="G24" s="19" t="n">
        <f aca="false">IF($A24="","",IF(COUNTIFS('Chapter Data'!$A$2:$A$2500,G$2,'Chapter Data'!$D$2:$D$2500,$A24,'Chapter Data'!$F$2:$F$2500,"&lt;&gt;")=0,"",SUMIFS('Chapter Data'!$F$2:$F$2500,'Chapter Data'!$A$2:$A$2500,G$2,'Chapter Data'!$D$2:$D$2500,$A24)))</f>
        <v>0</v>
      </c>
      <c r="H24" s="19" t="n">
        <f aca="false">IF($A24="","",IF(COUNTIFS('Chapter Data'!$A$2:$A$2500,H$2,'Chapter Data'!$D$2:$D$2500,$A24,'Chapter Data'!$F$2:$F$2500,"&lt;&gt;")=0,"",SUMIFS('Chapter Data'!$F$2:$F$2500,'Chapter Data'!$A$2:$A$2500,H$2,'Chapter Data'!$D$2:$D$2500,$A24)))</f>
        <v>3</v>
      </c>
      <c r="I24" s="19" t="str">
        <f aca="false">IF($A24="","",IF(COUNTIFS('Chapter Data'!$A$2:$A$2500,I$2,'Chapter Data'!$D$2:$D$2500,$A24,'Chapter Data'!$F$2:$F$2500,"&lt;&gt;")=0,"",SUMIFS('Chapter Data'!$F$2:$F$2500,'Chapter Data'!$A$2:$A$2500,I$2,'Chapter Data'!$D$2:$D$2500,$A24)))</f>
        <v/>
      </c>
      <c r="J24" s="19" t="n">
        <f aca="false">IF($A24="","",IF(COUNTIFS('Chapter Data'!$A$2:$A$2500,J$2,'Chapter Data'!$D$2:$D$2500,$A24,'Chapter Data'!$F$2:$F$2500,"&lt;&gt;")=0,"",SUMIFS('Chapter Data'!$F$2:$F$2500,'Chapter Data'!$A$2:$A$2500,J$2,'Chapter Data'!$D$2:$D$2500,$A24)))</f>
        <v>3</v>
      </c>
      <c r="K24" s="19" t="n">
        <f aca="false">IF($A24="","",IF(COUNTIFS('Chapter Data'!$A$2:$A$2500,K$2,'Chapter Data'!$D$2:$D$2500,$A24,'Chapter Data'!$F$2:$F$2500,"&lt;&gt;")=0,"",SUMIFS('Chapter Data'!$F$2:$F$2500,'Chapter Data'!$A$2:$A$2500,K$2,'Chapter Data'!$D$2:$D$2500,$A24)))</f>
        <v>4</v>
      </c>
      <c r="L24" s="19" t="str">
        <f aca="false">IF($A24="","",IF(COUNTIFS('Chapter Data'!$A$2:$A$2500,L$2,'Chapter Data'!$D$2:$D$2500,$A24,'Chapter Data'!$F$2:$F$2500,"&lt;&gt;")=0,"",SUMIFS('Chapter Data'!$F$2:$F$2500,'Chapter Data'!$A$2:$A$2500,L$2,'Chapter Data'!$D$2:$D$2500,$A24)))</f>
        <v/>
      </c>
      <c r="M24" s="19" t="n">
        <f aca="false">IF($A24="","",IF(COUNTIFS('Chapter Data'!$A$2:$A$2500,M$2,'Chapter Data'!$D$2:$D$2500,$A24,'Chapter Data'!$F$2:$F$2500,"&lt;&gt;")=0,"",SUMIFS('Chapter Data'!$F$2:$F$2500,'Chapter Data'!$A$2:$A$2500,M$2,'Chapter Data'!$D$2:$D$2500,$A24)))</f>
        <v>3</v>
      </c>
      <c r="N24" s="19" t="n">
        <f aca="false">IF($A24="","",IF(COUNTIFS('Chapter Data'!$A$2:$A$2500,N$2,'Chapter Data'!$D$2:$D$2500,$A24,'Chapter Data'!$F$2:$F$2500,"&lt;&gt;")=0,"",SUMIFS('Chapter Data'!$F$2:$F$2500,'Chapter Data'!$A$2:$A$2500,N$2,'Chapter Data'!$D$2:$D$2500,$A24)))</f>
        <v>0</v>
      </c>
      <c r="O24" s="19" t="n">
        <f aca="false">IF($A24="","",IF(COUNTIFS('Chapter Data'!$A$2:$A$2500,O$2,'Chapter Data'!$D$2:$D$2500,$A24,'Chapter Data'!$F$2:$F$2500,"&lt;&gt;")=0,"",SUMIFS('Chapter Data'!$F$2:$F$2500,'Chapter Data'!$A$2:$A$2500,O$2,'Chapter Data'!$D$2:$D$2500,$A24)))</f>
        <v>3</v>
      </c>
      <c r="P24" s="19" t="n">
        <f aca="false">IF($A24="","",IF(COUNTIFS('Chapter Data'!$A$2:$A$2500,P$2,'Chapter Data'!$D$2:$D$2500,$A24,'Chapter Data'!$F$2:$F$2500,"&lt;&gt;")=0,"",SUMIFS('Chapter Data'!$F$2:$F$2500,'Chapter Data'!$A$2:$A$2500,P$2,'Chapter Data'!$D$2:$D$2500,$A24)))</f>
        <v>2</v>
      </c>
      <c r="Q24" s="19" t="n">
        <f aca="false">IF($A24="","",IF(COUNTIFS('Chapter Data'!$A$2:$A$2500,Q$2,'Chapter Data'!$D$2:$D$2500,$A24,'Chapter Data'!$F$2:$F$2500,"&lt;&gt;")=0,"",SUMIFS('Chapter Data'!$F$2:$F$2500,'Chapter Data'!$A$2:$A$2500,Q$2,'Chapter Data'!$D$2:$D$2500,$A24)))</f>
        <v>1</v>
      </c>
      <c r="R24" s="19" t="str">
        <f aca="false">IF($A24="","",IF(COUNTIFS('Chapter Data'!$A$2:$A$2500,R$2,'Chapter Data'!$D$2:$D$2500,$A24,'Chapter Data'!$F$2:$F$2500,"&lt;&gt;")=0,"",SUMIFS('Chapter Data'!$F$2:$F$2500,'Chapter Data'!$A$2:$A$2500,R$2,'Chapter Data'!$D$2:$D$2500,$A24)))</f>
        <v/>
      </c>
      <c r="S24" s="19" t="str">
        <f aca="false">IF($A24="","",IF(COUNTIFS('Chapter Data'!$A$2:$A$2500,S$2,'Chapter Data'!$D$2:$D$2500,$A24,'Chapter Data'!$F$2:$F$2500,"&lt;&gt;")=0,"",SUMIFS('Chapter Data'!$F$2:$F$2500,'Chapter Data'!$A$2:$A$2500,S$2,'Chapter Data'!$D$2:$D$2500,$A24)))</f>
        <v/>
      </c>
      <c r="T24" s="19" t="str">
        <f aca="false">IF($A24="","",IF(COUNTIFS('Chapter Data'!$A$2:$A$2500,T$2,'Chapter Data'!$D$2:$D$2500,$A24,'Chapter Data'!$F$2:$F$2500,"&lt;&gt;")=0,"",SUMIFS('Chapter Data'!$F$2:$F$2500,'Chapter Data'!$A$2:$A$2500,T$2,'Chapter Data'!$D$2:$D$2500,$A24)))</f>
        <v/>
      </c>
      <c r="U24" s="19" t="str">
        <f aca="false">IF($A24="","",IF(COUNTIFS('Chapter Data'!$A$2:$A$2500,U$2,'Chapter Data'!$D$2:$D$2500,$A24,'Chapter Data'!$F$2:$F$2500,"&lt;&gt;")=0,"",SUMIFS('Chapter Data'!$F$2:$F$2500,'Chapter Data'!$A$2:$A$2500,U$2,'Chapter Data'!$D$2:$D$2500,$A24)))</f>
        <v/>
      </c>
    </row>
    <row r="25" customFormat="false" ht="15" hidden="false" customHeight="false" outlineLevel="0" collapsed="false">
      <c r="A25" s="8" t="str">
        <f aca="false">IF(Lists!$D$24="","",Lists!$D$24)</f>
        <v>Sigma Chi</v>
      </c>
      <c r="B25" s="19" t="n">
        <f aca="false">IF($A25="","",IF(COUNTIFS('Chapter Data'!$A$2:$A$2500,B$2,'Chapter Data'!$D$2:$D$2500,$A25,'Chapter Data'!$F$2:$F$2500,"&lt;&gt;")=0,"",SUMIFS('Chapter Data'!$F$2:$F$2500,'Chapter Data'!$A$2:$A$2500,B$2,'Chapter Data'!$D$2:$D$2500,$A25)))</f>
        <v>23</v>
      </c>
      <c r="C25" s="19" t="n">
        <f aca="false">IF($A25="","",IF(COUNTIFS('Chapter Data'!$A$2:$A$2500,C$2,'Chapter Data'!$D$2:$D$2500,$A25,'Chapter Data'!$F$2:$F$2500,"&lt;&gt;")=0,"",SUMIFS('Chapter Data'!$F$2:$F$2500,'Chapter Data'!$A$2:$A$2500,C$2,'Chapter Data'!$D$2:$D$2500,$A25)))</f>
        <v>4</v>
      </c>
      <c r="D25" s="19" t="n">
        <f aca="false">IF($A25="","",IF(COUNTIFS('Chapter Data'!$A$2:$A$2500,D$2,'Chapter Data'!$D$2:$D$2500,$A25,'Chapter Data'!$F$2:$F$2500,"&lt;&gt;")=0,"",SUMIFS('Chapter Data'!$F$2:$F$2500,'Chapter Data'!$A$2:$A$2500,D$2,'Chapter Data'!$D$2:$D$2500,$A25)))</f>
        <v>30</v>
      </c>
      <c r="E25" s="19" t="str">
        <f aca="false">IF($A25="","",IF(COUNTIFS('Chapter Data'!$A$2:$A$2500,E$2,'Chapter Data'!$D$2:$D$2500,$A25,'Chapter Data'!$F$2:$F$2500,"&lt;&gt;")=0,"",SUMIFS('Chapter Data'!$F$2:$F$2500,'Chapter Data'!$A$2:$A$2500,E$2,'Chapter Data'!$D$2:$D$2500,$A25)))</f>
        <v/>
      </c>
      <c r="F25" s="19" t="n">
        <f aca="false">IF($A25="","",IF(COUNTIFS('Chapter Data'!$A$2:$A$2500,F$2,'Chapter Data'!$D$2:$D$2500,$A25,'Chapter Data'!$F$2:$F$2500,"&lt;&gt;")=0,"",SUMIFS('Chapter Data'!$F$2:$F$2500,'Chapter Data'!$A$2:$A$2500,F$2,'Chapter Data'!$D$2:$D$2500,$A25)))</f>
        <v>23</v>
      </c>
      <c r="G25" s="19" t="n">
        <f aca="false">IF($A25="","",IF(COUNTIFS('Chapter Data'!$A$2:$A$2500,G$2,'Chapter Data'!$D$2:$D$2500,$A25,'Chapter Data'!$F$2:$F$2500,"&lt;&gt;")=0,"",SUMIFS('Chapter Data'!$F$2:$F$2500,'Chapter Data'!$A$2:$A$2500,G$2,'Chapter Data'!$D$2:$D$2500,$A25)))</f>
        <v>4</v>
      </c>
      <c r="H25" s="19" t="n">
        <f aca="false">IF($A25="","",IF(COUNTIFS('Chapter Data'!$A$2:$A$2500,H$2,'Chapter Data'!$D$2:$D$2500,$A25,'Chapter Data'!$F$2:$F$2500,"&lt;&gt;")=0,"",SUMIFS('Chapter Data'!$F$2:$F$2500,'Chapter Data'!$A$2:$A$2500,H$2,'Chapter Data'!$D$2:$D$2500,$A25)))</f>
        <v>42</v>
      </c>
      <c r="I25" s="19" t="str">
        <f aca="false">IF($A25="","",IF(COUNTIFS('Chapter Data'!$A$2:$A$2500,I$2,'Chapter Data'!$D$2:$D$2500,$A25,'Chapter Data'!$F$2:$F$2500,"&lt;&gt;")=0,"",SUMIFS('Chapter Data'!$F$2:$F$2500,'Chapter Data'!$A$2:$A$2500,I$2,'Chapter Data'!$D$2:$D$2500,$A25)))</f>
        <v/>
      </c>
      <c r="J25" s="19" t="n">
        <f aca="false">IF($A25="","",IF(COUNTIFS('Chapter Data'!$A$2:$A$2500,J$2,'Chapter Data'!$D$2:$D$2500,$A25,'Chapter Data'!$F$2:$F$2500,"&lt;&gt;")=0,"",SUMIFS('Chapter Data'!$F$2:$F$2500,'Chapter Data'!$A$2:$A$2500,J$2,'Chapter Data'!$D$2:$D$2500,$A25)))</f>
        <v>40</v>
      </c>
      <c r="K25" s="19" t="str">
        <f aca="false">IF($A25="","",IF(COUNTIFS('Chapter Data'!$A$2:$A$2500,K$2,'Chapter Data'!$D$2:$D$2500,$A25,'Chapter Data'!$F$2:$F$2500,"&lt;&gt;")=0,"",SUMIFS('Chapter Data'!$F$2:$F$2500,'Chapter Data'!$A$2:$A$2500,K$2,'Chapter Data'!$D$2:$D$2500,$A25)))</f>
        <v/>
      </c>
      <c r="L25" s="19" t="str">
        <f aca="false">IF($A25="","",IF(COUNTIFS('Chapter Data'!$A$2:$A$2500,L$2,'Chapter Data'!$D$2:$D$2500,$A25,'Chapter Data'!$F$2:$F$2500,"&lt;&gt;")=0,"",SUMIFS('Chapter Data'!$F$2:$F$2500,'Chapter Data'!$A$2:$A$2500,L$2,'Chapter Data'!$D$2:$D$2500,$A25)))</f>
        <v/>
      </c>
      <c r="M25" s="19" t="n">
        <f aca="false">IF($A25="","",IF(COUNTIFS('Chapter Data'!$A$2:$A$2500,M$2,'Chapter Data'!$D$2:$D$2500,$A25,'Chapter Data'!$F$2:$F$2500,"&lt;&gt;")=0,"",SUMIFS('Chapter Data'!$F$2:$F$2500,'Chapter Data'!$A$2:$A$2500,M$2,'Chapter Data'!$D$2:$D$2500,$A25)))</f>
        <v>3</v>
      </c>
      <c r="N25" s="19" t="n">
        <f aca="false">IF($A25="","",IF(COUNTIFS('Chapter Data'!$A$2:$A$2500,N$2,'Chapter Data'!$D$2:$D$2500,$A25,'Chapter Data'!$F$2:$F$2500,"&lt;&gt;")=0,"",SUMIFS('Chapter Data'!$F$2:$F$2500,'Chapter Data'!$A$2:$A$2500,N$2,'Chapter Data'!$D$2:$D$2500,$A25)))</f>
        <v>38</v>
      </c>
      <c r="O25" s="19" t="n">
        <f aca="false">IF($A25="","",IF(COUNTIFS('Chapter Data'!$A$2:$A$2500,O$2,'Chapter Data'!$D$2:$D$2500,$A25,'Chapter Data'!$F$2:$F$2500,"&lt;&gt;")=0,"",SUMIFS('Chapter Data'!$F$2:$F$2500,'Chapter Data'!$A$2:$A$2500,O$2,'Chapter Data'!$D$2:$D$2500,$A25)))</f>
        <v>6</v>
      </c>
      <c r="P25" s="19" t="n">
        <f aca="false">IF($A25="","",IF(COUNTIFS('Chapter Data'!$A$2:$A$2500,P$2,'Chapter Data'!$D$2:$D$2500,$A25,'Chapter Data'!$F$2:$F$2500,"&lt;&gt;")=0,"",SUMIFS('Chapter Data'!$F$2:$F$2500,'Chapter Data'!$A$2:$A$2500,P$2,'Chapter Data'!$D$2:$D$2500,$A25)))</f>
        <v>41</v>
      </c>
      <c r="Q25" s="19" t="n">
        <f aca="false">IF($A25="","",IF(COUNTIFS('Chapter Data'!$A$2:$A$2500,Q$2,'Chapter Data'!$D$2:$D$2500,$A25,'Chapter Data'!$F$2:$F$2500,"&lt;&gt;")=0,"",SUMIFS('Chapter Data'!$F$2:$F$2500,'Chapter Data'!$A$2:$A$2500,Q$2,'Chapter Data'!$D$2:$D$2500,$A25)))</f>
        <v>3</v>
      </c>
      <c r="R25" s="19" t="str">
        <f aca="false">IF($A25="","",IF(COUNTIFS('Chapter Data'!$A$2:$A$2500,R$2,'Chapter Data'!$D$2:$D$2500,$A25,'Chapter Data'!$F$2:$F$2500,"&lt;&gt;")=0,"",SUMIFS('Chapter Data'!$F$2:$F$2500,'Chapter Data'!$A$2:$A$2500,R$2,'Chapter Data'!$D$2:$D$2500,$A25)))</f>
        <v/>
      </c>
      <c r="S25" s="19" t="str">
        <f aca="false">IF($A25="","",IF(COUNTIFS('Chapter Data'!$A$2:$A$2500,S$2,'Chapter Data'!$D$2:$D$2500,$A25,'Chapter Data'!$F$2:$F$2500,"&lt;&gt;")=0,"",SUMIFS('Chapter Data'!$F$2:$F$2500,'Chapter Data'!$A$2:$A$2500,S$2,'Chapter Data'!$D$2:$D$2500,$A25)))</f>
        <v/>
      </c>
      <c r="T25" s="19" t="str">
        <f aca="false">IF($A25="","",IF(COUNTIFS('Chapter Data'!$A$2:$A$2500,T$2,'Chapter Data'!$D$2:$D$2500,$A25,'Chapter Data'!$F$2:$F$2500,"&lt;&gt;")=0,"",SUMIFS('Chapter Data'!$F$2:$F$2500,'Chapter Data'!$A$2:$A$2500,T$2,'Chapter Data'!$D$2:$D$2500,$A25)))</f>
        <v/>
      </c>
      <c r="U25" s="19" t="str">
        <f aca="false">IF($A25="","",IF(COUNTIFS('Chapter Data'!$A$2:$A$2500,U$2,'Chapter Data'!$D$2:$D$2500,$A25,'Chapter Data'!$F$2:$F$2500,"&lt;&gt;")=0,"",SUMIFS('Chapter Data'!$F$2:$F$2500,'Chapter Data'!$A$2:$A$2500,U$2,'Chapter Data'!$D$2:$D$2500,$A25)))</f>
        <v/>
      </c>
    </row>
    <row r="26" customFormat="false" ht="15" hidden="false" customHeight="false" outlineLevel="0" collapsed="false">
      <c r="A26" s="8" t="str">
        <f aca="false">IF(Lists!$D$25="","",Lists!$D$25)</f>
        <v>Sigma Nu</v>
      </c>
      <c r="B26" s="19" t="n">
        <f aca="false">IF($A26="","",IF(COUNTIFS('Chapter Data'!$A$2:$A$2500,B$2,'Chapter Data'!$D$2:$D$2500,$A26,'Chapter Data'!$F$2:$F$2500,"&lt;&gt;")=0,"",SUMIFS('Chapter Data'!$F$2:$F$2500,'Chapter Data'!$A$2:$A$2500,B$2,'Chapter Data'!$D$2:$D$2500,$A26)))</f>
        <v>10</v>
      </c>
      <c r="C26" s="19" t="n">
        <f aca="false">IF($A26="","",IF(COUNTIFS('Chapter Data'!$A$2:$A$2500,C$2,'Chapter Data'!$D$2:$D$2500,$A26,'Chapter Data'!$F$2:$F$2500,"&lt;&gt;")=0,"",SUMIFS('Chapter Data'!$F$2:$F$2500,'Chapter Data'!$A$2:$A$2500,C$2,'Chapter Data'!$D$2:$D$2500,$A26)))</f>
        <v>2</v>
      </c>
      <c r="D26" s="19" t="n">
        <f aca="false">IF($A26="","",IF(COUNTIFS('Chapter Data'!$A$2:$A$2500,D$2,'Chapter Data'!$D$2:$D$2500,$A26,'Chapter Data'!$F$2:$F$2500,"&lt;&gt;")=0,"",SUMIFS('Chapter Data'!$F$2:$F$2500,'Chapter Data'!$A$2:$A$2500,D$2,'Chapter Data'!$D$2:$D$2500,$A26)))</f>
        <v>13</v>
      </c>
      <c r="E26" s="19" t="str">
        <f aca="false">IF($A26="","",IF(COUNTIFS('Chapter Data'!$A$2:$A$2500,E$2,'Chapter Data'!$D$2:$D$2500,$A26,'Chapter Data'!$F$2:$F$2500,"&lt;&gt;")=0,"",SUMIFS('Chapter Data'!$F$2:$F$2500,'Chapter Data'!$A$2:$A$2500,E$2,'Chapter Data'!$D$2:$D$2500,$A26)))</f>
        <v/>
      </c>
      <c r="F26" s="19" t="n">
        <f aca="false">IF($A26="","",IF(COUNTIFS('Chapter Data'!$A$2:$A$2500,F$2,'Chapter Data'!$D$2:$D$2500,$A26,'Chapter Data'!$F$2:$F$2500,"&lt;&gt;")=0,"",SUMIFS('Chapter Data'!$F$2:$F$2500,'Chapter Data'!$A$2:$A$2500,F$2,'Chapter Data'!$D$2:$D$2500,$A26)))</f>
        <v>19</v>
      </c>
      <c r="G26" s="19" t="n">
        <f aca="false">IF($A26="","",IF(COUNTIFS('Chapter Data'!$A$2:$A$2500,G$2,'Chapter Data'!$D$2:$D$2500,$A26,'Chapter Data'!$F$2:$F$2500,"&lt;&gt;")=0,"",SUMIFS('Chapter Data'!$F$2:$F$2500,'Chapter Data'!$A$2:$A$2500,G$2,'Chapter Data'!$D$2:$D$2500,$A26)))</f>
        <v>5</v>
      </c>
      <c r="H26" s="19" t="n">
        <f aca="false">IF($A26="","",IF(COUNTIFS('Chapter Data'!$A$2:$A$2500,H$2,'Chapter Data'!$D$2:$D$2500,$A26,'Chapter Data'!$F$2:$F$2500,"&lt;&gt;")=0,"",SUMIFS('Chapter Data'!$F$2:$F$2500,'Chapter Data'!$A$2:$A$2500,H$2,'Chapter Data'!$D$2:$D$2500,$A26)))</f>
        <v>13</v>
      </c>
      <c r="I26" s="19" t="str">
        <f aca="false">IF($A26="","",IF(COUNTIFS('Chapter Data'!$A$2:$A$2500,I$2,'Chapter Data'!$D$2:$D$2500,$A26,'Chapter Data'!$F$2:$F$2500,"&lt;&gt;")=0,"",SUMIFS('Chapter Data'!$F$2:$F$2500,'Chapter Data'!$A$2:$A$2500,I$2,'Chapter Data'!$D$2:$D$2500,$A26)))</f>
        <v/>
      </c>
      <c r="J26" s="19" t="n">
        <f aca="false">IF($A26="","",IF(COUNTIFS('Chapter Data'!$A$2:$A$2500,J$2,'Chapter Data'!$D$2:$D$2500,$A26,'Chapter Data'!$F$2:$F$2500,"&lt;&gt;")=0,"",SUMIFS('Chapter Data'!$F$2:$F$2500,'Chapter Data'!$A$2:$A$2500,J$2,'Chapter Data'!$D$2:$D$2500,$A26)))</f>
        <v>1</v>
      </c>
      <c r="K26" s="19" t="n">
        <f aca="false">IF($A26="","",IF(COUNTIFS('Chapter Data'!$A$2:$A$2500,K$2,'Chapter Data'!$D$2:$D$2500,$A26,'Chapter Data'!$F$2:$F$2500,"&lt;&gt;")=0,"",SUMIFS('Chapter Data'!$F$2:$F$2500,'Chapter Data'!$A$2:$A$2500,K$2,'Chapter Data'!$D$2:$D$2500,$A26)))</f>
        <v>1</v>
      </c>
      <c r="L26" s="19" t="str">
        <f aca="false">IF($A26="","",IF(COUNTIFS('Chapter Data'!$A$2:$A$2500,L$2,'Chapter Data'!$D$2:$D$2500,$A26,'Chapter Data'!$F$2:$F$2500,"&lt;&gt;")=0,"",SUMIFS('Chapter Data'!$F$2:$F$2500,'Chapter Data'!$A$2:$A$2500,L$2,'Chapter Data'!$D$2:$D$2500,$A26)))</f>
        <v/>
      </c>
      <c r="M26" s="19" t="n">
        <f aca="false">IF($A26="","",IF(COUNTIFS('Chapter Data'!$A$2:$A$2500,M$2,'Chapter Data'!$D$2:$D$2500,$A26,'Chapter Data'!$F$2:$F$2500,"&lt;&gt;")=0,"",SUMIFS('Chapter Data'!$F$2:$F$2500,'Chapter Data'!$A$2:$A$2500,M$2,'Chapter Data'!$D$2:$D$2500,$A26)))</f>
        <v>0</v>
      </c>
      <c r="N26" s="19" t="n">
        <f aca="false">IF($A26="","",IF(COUNTIFS('Chapter Data'!$A$2:$A$2500,N$2,'Chapter Data'!$D$2:$D$2500,$A26,'Chapter Data'!$F$2:$F$2500,"&lt;&gt;")=0,"",SUMIFS('Chapter Data'!$F$2:$F$2500,'Chapter Data'!$A$2:$A$2500,N$2,'Chapter Data'!$D$2:$D$2500,$A26)))</f>
        <v>0</v>
      </c>
      <c r="O26" s="19" t="str">
        <f aca="false">IF($A26="","",IF(COUNTIFS('Chapter Data'!$A$2:$A$2500,O$2,'Chapter Data'!$D$2:$D$2500,$A26,'Chapter Data'!$F$2:$F$2500,"&lt;&gt;")=0,"",SUMIFS('Chapter Data'!$F$2:$F$2500,'Chapter Data'!$A$2:$A$2500,O$2,'Chapter Data'!$D$2:$D$2500,$A26)))</f>
        <v/>
      </c>
      <c r="P26" s="19" t="str">
        <f aca="false">IF($A26="","",IF(COUNTIFS('Chapter Data'!$A$2:$A$2500,P$2,'Chapter Data'!$D$2:$D$2500,$A26,'Chapter Data'!$F$2:$F$2500,"&lt;&gt;")=0,"",SUMIFS('Chapter Data'!$F$2:$F$2500,'Chapter Data'!$A$2:$A$2500,P$2,'Chapter Data'!$D$2:$D$2500,$A26)))</f>
        <v/>
      </c>
      <c r="Q26" s="19" t="str">
        <f aca="false">IF($A26="","",IF(COUNTIFS('Chapter Data'!$A$2:$A$2500,Q$2,'Chapter Data'!$D$2:$D$2500,$A26,'Chapter Data'!$F$2:$F$2500,"&lt;&gt;")=0,"",SUMIFS('Chapter Data'!$F$2:$F$2500,'Chapter Data'!$A$2:$A$2500,Q$2,'Chapter Data'!$D$2:$D$2500,$A26)))</f>
        <v/>
      </c>
      <c r="R26" s="19" t="str">
        <f aca="false">IF($A26="","",IF(COUNTIFS('Chapter Data'!$A$2:$A$2500,R$2,'Chapter Data'!$D$2:$D$2500,$A26,'Chapter Data'!$F$2:$F$2500,"&lt;&gt;")=0,"",SUMIFS('Chapter Data'!$F$2:$F$2500,'Chapter Data'!$A$2:$A$2500,R$2,'Chapter Data'!$D$2:$D$2500,$A26)))</f>
        <v/>
      </c>
      <c r="S26" s="19" t="str">
        <f aca="false">IF($A26="","",IF(COUNTIFS('Chapter Data'!$A$2:$A$2500,S$2,'Chapter Data'!$D$2:$D$2500,$A26,'Chapter Data'!$F$2:$F$2500,"&lt;&gt;")=0,"",SUMIFS('Chapter Data'!$F$2:$F$2500,'Chapter Data'!$A$2:$A$2500,S$2,'Chapter Data'!$D$2:$D$2500,$A26)))</f>
        <v/>
      </c>
      <c r="T26" s="19" t="str">
        <f aca="false">IF($A26="","",IF(COUNTIFS('Chapter Data'!$A$2:$A$2500,T$2,'Chapter Data'!$D$2:$D$2500,$A26,'Chapter Data'!$F$2:$F$2500,"&lt;&gt;")=0,"",SUMIFS('Chapter Data'!$F$2:$F$2500,'Chapter Data'!$A$2:$A$2500,T$2,'Chapter Data'!$D$2:$D$2500,$A26)))</f>
        <v/>
      </c>
      <c r="U26" s="19" t="str">
        <f aca="false">IF($A26="","",IF(COUNTIFS('Chapter Data'!$A$2:$A$2500,U$2,'Chapter Data'!$D$2:$D$2500,$A26,'Chapter Data'!$F$2:$F$2500,"&lt;&gt;")=0,"",SUMIFS('Chapter Data'!$F$2:$F$2500,'Chapter Data'!$A$2:$A$2500,U$2,'Chapter Data'!$D$2:$D$2500,$A26)))</f>
        <v/>
      </c>
    </row>
    <row r="27" customFormat="false" ht="15" hidden="false" customHeight="false" outlineLevel="0" collapsed="false">
      <c r="A27" s="8" t="str">
        <f aca="false">IF(Lists!$D$26="","",Lists!$D$26)</f>
        <v>Sigma Phi Epsilon</v>
      </c>
      <c r="B27" s="19" t="n">
        <f aca="false">IF($A27="","",IF(COUNTIFS('Chapter Data'!$A$2:$A$2500,B$2,'Chapter Data'!$D$2:$D$2500,$A27,'Chapter Data'!$F$2:$F$2500,"&lt;&gt;")=0,"",SUMIFS('Chapter Data'!$F$2:$F$2500,'Chapter Data'!$A$2:$A$2500,B$2,'Chapter Data'!$D$2:$D$2500,$A27)))</f>
        <v>43</v>
      </c>
      <c r="C27" s="19" t="n">
        <f aca="false">IF($A27="","",IF(COUNTIFS('Chapter Data'!$A$2:$A$2500,C$2,'Chapter Data'!$D$2:$D$2500,$A27,'Chapter Data'!$F$2:$F$2500,"&lt;&gt;")=0,"",SUMIFS('Chapter Data'!$F$2:$F$2500,'Chapter Data'!$A$2:$A$2500,C$2,'Chapter Data'!$D$2:$D$2500,$A27)))</f>
        <v>0</v>
      </c>
      <c r="D27" s="19" t="n">
        <f aca="false">IF($A27="","",IF(COUNTIFS('Chapter Data'!$A$2:$A$2500,D$2,'Chapter Data'!$D$2:$D$2500,$A27,'Chapter Data'!$F$2:$F$2500,"&lt;&gt;")=0,"",SUMIFS('Chapter Data'!$F$2:$F$2500,'Chapter Data'!$A$2:$A$2500,D$2,'Chapter Data'!$D$2:$D$2500,$A27)))</f>
        <v>39</v>
      </c>
      <c r="E27" s="19" t="str">
        <f aca="false">IF($A27="","",IF(COUNTIFS('Chapter Data'!$A$2:$A$2500,E$2,'Chapter Data'!$D$2:$D$2500,$A27,'Chapter Data'!$F$2:$F$2500,"&lt;&gt;")=0,"",SUMIFS('Chapter Data'!$F$2:$F$2500,'Chapter Data'!$A$2:$A$2500,E$2,'Chapter Data'!$D$2:$D$2500,$A27)))</f>
        <v/>
      </c>
      <c r="F27" s="19" t="n">
        <f aca="false">IF($A27="","",IF(COUNTIFS('Chapter Data'!$A$2:$A$2500,F$2,'Chapter Data'!$D$2:$D$2500,$A27,'Chapter Data'!$F$2:$F$2500,"&lt;&gt;")=0,"",SUMIFS('Chapter Data'!$F$2:$F$2500,'Chapter Data'!$A$2:$A$2500,F$2,'Chapter Data'!$D$2:$D$2500,$A27)))</f>
        <v>44</v>
      </c>
      <c r="G27" s="19" t="n">
        <f aca="false">IF($A27="","",IF(COUNTIFS('Chapter Data'!$A$2:$A$2500,G$2,'Chapter Data'!$D$2:$D$2500,$A27,'Chapter Data'!$F$2:$F$2500,"&lt;&gt;")=0,"",SUMIFS('Chapter Data'!$F$2:$F$2500,'Chapter Data'!$A$2:$A$2500,G$2,'Chapter Data'!$D$2:$D$2500,$A27)))</f>
        <v>0</v>
      </c>
      <c r="H27" s="19" t="n">
        <f aca="false">IF($A27="","",IF(COUNTIFS('Chapter Data'!$A$2:$A$2500,H$2,'Chapter Data'!$D$2:$D$2500,$A27,'Chapter Data'!$F$2:$F$2500,"&lt;&gt;")=0,"",SUMIFS('Chapter Data'!$F$2:$F$2500,'Chapter Data'!$A$2:$A$2500,H$2,'Chapter Data'!$D$2:$D$2500,$A27)))</f>
        <v>40</v>
      </c>
      <c r="I27" s="19" t="str">
        <f aca="false">IF($A27="","",IF(COUNTIFS('Chapter Data'!$A$2:$A$2500,I$2,'Chapter Data'!$D$2:$D$2500,$A27,'Chapter Data'!$F$2:$F$2500,"&lt;&gt;")=0,"",SUMIFS('Chapter Data'!$F$2:$F$2500,'Chapter Data'!$A$2:$A$2500,I$2,'Chapter Data'!$D$2:$D$2500,$A27)))</f>
        <v/>
      </c>
      <c r="J27" s="19" t="n">
        <f aca="false">IF($A27="","",IF(COUNTIFS('Chapter Data'!$A$2:$A$2500,J$2,'Chapter Data'!$D$2:$D$2500,$A27,'Chapter Data'!$F$2:$F$2500,"&lt;&gt;")=0,"",SUMIFS('Chapter Data'!$F$2:$F$2500,'Chapter Data'!$A$2:$A$2500,J$2,'Chapter Data'!$D$2:$D$2500,$A27)))</f>
        <v>43</v>
      </c>
      <c r="K27" s="19" t="str">
        <f aca="false">IF($A27="","",IF(COUNTIFS('Chapter Data'!$A$2:$A$2500,K$2,'Chapter Data'!$D$2:$D$2500,$A27,'Chapter Data'!$F$2:$F$2500,"&lt;&gt;")=0,"",SUMIFS('Chapter Data'!$F$2:$F$2500,'Chapter Data'!$A$2:$A$2500,K$2,'Chapter Data'!$D$2:$D$2500,$A27)))</f>
        <v/>
      </c>
      <c r="L27" s="19" t="str">
        <f aca="false">IF($A27="","",IF(COUNTIFS('Chapter Data'!$A$2:$A$2500,L$2,'Chapter Data'!$D$2:$D$2500,$A27,'Chapter Data'!$F$2:$F$2500,"&lt;&gt;")=0,"",SUMIFS('Chapter Data'!$F$2:$F$2500,'Chapter Data'!$A$2:$A$2500,L$2,'Chapter Data'!$D$2:$D$2500,$A27)))</f>
        <v/>
      </c>
      <c r="M27" s="19" t="n">
        <f aca="false">IF($A27="","",IF(COUNTIFS('Chapter Data'!$A$2:$A$2500,M$2,'Chapter Data'!$D$2:$D$2500,$A27,'Chapter Data'!$F$2:$F$2500,"&lt;&gt;")=0,"",SUMIFS('Chapter Data'!$F$2:$F$2500,'Chapter Data'!$A$2:$A$2500,M$2,'Chapter Data'!$D$2:$D$2500,$A27)))</f>
        <v>0</v>
      </c>
      <c r="N27" s="19" t="n">
        <f aca="false">IF($A27="","",IF(COUNTIFS('Chapter Data'!$A$2:$A$2500,N$2,'Chapter Data'!$D$2:$D$2500,$A27,'Chapter Data'!$F$2:$F$2500,"&lt;&gt;")=0,"",SUMIFS('Chapter Data'!$F$2:$F$2500,'Chapter Data'!$A$2:$A$2500,N$2,'Chapter Data'!$D$2:$D$2500,$A27)))</f>
        <v>39</v>
      </c>
      <c r="O27" s="19" t="n">
        <f aca="false">IF($A27="","",IF(COUNTIFS('Chapter Data'!$A$2:$A$2500,O$2,'Chapter Data'!$D$2:$D$2500,$A27,'Chapter Data'!$F$2:$F$2500,"&lt;&gt;")=0,"",SUMIFS('Chapter Data'!$F$2:$F$2500,'Chapter Data'!$A$2:$A$2500,O$2,'Chapter Data'!$D$2:$D$2500,$A27)))</f>
        <v>0</v>
      </c>
      <c r="P27" s="19" t="n">
        <f aca="false">IF($A27="","",IF(COUNTIFS('Chapter Data'!$A$2:$A$2500,P$2,'Chapter Data'!$D$2:$D$2500,$A27,'Chapter Data'!$F$2:$F$2500,"&lt;&gt;")=0,"",SUMIFS('Chapter Data'!$F$2:$F$2500,'Chapter Data'!$A$2:$A$2500,P$2,'Chapter Data'!$D$2:$D$2500,$A27)))</f>
        <v>45</v>
      </c>
      <c r="Q27" s="19" t="n">
        <f aca="false">IF($A27="","",IF(COUNTIFS('Chapter Data'!$A$2:$A$2500,Q$2,'Chapter Data'!$D$2:$D$2500,$A27,'Chapter Data'!$F$2:$F$2500,"&lt;&gt;")=0,"",SUMIFS('Chapter Data'!$F$2:$F$2500,'Chapter Data'!$A$2:$A$2500,Q$2,'Chapter Data'!$D$2:$D$2500,$A27)))</f>
        <v>1</v>
      </c>
      <c r="R27" s="19" t="str">
        <f aca="false">IF($A27="","",IF(COUNTIFS('Chapter Data'!$A$2:$A$2500,R$2,'Chapter Data'!$D$2:$D$2500,$A27,'Chapter Data'!$F$2:$F$2500,"&lt;&gt;")=0,"",SUMIFS('Chapter Data'!$F$2:$F$2500,'Chapter Data'!$A$2:$A$2500,R$2,'Chapter Data'!$D$2:$D$2500,$A27)))</f>
        <v/>
      </c>
      <c r="S27" s="19" t="str">
        <f aca="false">IF($A27="","",IF(COUNTIFS('Chapter Data'!$A$2:$A$2500,S$2,'Chapter Data'!$D$2:$D$2500,$A27,'Chapter Data'!$F$2:$F$2500,"&lt;&gt;")=0,"",SUMIFS('Chapter Data'!$F$2:$F$2500,'Chapter Data'!$A$2:$A$2500,S$2,'Chapter Data'!$D$2:$D$2500,$A27)))</f>
        <v/>
      </c>
      <c r="T27" s="19" t="str">
        <f aca="false">IF($A27="","",IF(COUNTIFS('Chapter Data'!$A$2:$A$2500,T$2,'Chapter Data'!$D$2:$D$2500,$A27,'Chapter Data'!$F$2:$F$2500,"&lt;&gt;")=0,"",SUMIFS('Chapter Data'!$F$2:$F$2500,'Chapter Data'!$A$2:$A$2500,T$2,'Chapter Data'!$D$2:$D$2500,$A27)))</f>
        <v/>
      </c>
      <c r="U27" s="19" t="str">
        <f aca="false">IF($A27="","",IF(COUNTIFS('Chapter Data'!$A$2:$A$2500,U$2,'Chapter Data'!$D$2:$D$2500,$A27,'Chapter Data'!$F$2:$F$2500,"&lt;&gt;")=0,"",SUMIFS('Chapter Data'!$F$2:$F$2500,'Chapter Data'!$A$2:$A$2500,U$2,'Chapter Data'!$D$2:$D$2500,$A27)))</f>
        <v/>
      </c>
    </row>
    <row r="28" customFormat="false" ht="15" hidden="false" customHeight="false" outlineLevel="0" collapsed="false">
      <c r="A28" s="8" t="str">
        <f aca="false">IF(Lists!$D$27="","",Lists!$D$27)</f>
        <v>Sigma Tau Gamma</v>
      </c>
      <c r="B28" s="19" t="str">
        <f aca="false">IF($A28="","",IF(COUNTIFS('Chapter Data'!$A$2:$A$2500,B$2,'Chapter Data'!$D$2:$D$2500,$A28,'Chapter Data'!$F$2:$F$2500,"&lt;&gt;")=0,"",SUMIFS('Chapter Data'!$F$2:$F$2500,'Chapter Data'!$A$2:$A$2500,B$2,'Chapter Data'!$D$2:$D$2500,$A28)))</f>
        <v/>
      </c>
      <c r="C28" s="19" t="str">
        <f aca="false">IF($A28="","",IF(COUNTIFS('Chapter Data'!$A$2:$A$2500,C$2,'Chapter Data'!$D$2:$D$2500,$A28,'Chapter Data'!$F$2:$F$2500,"&lt;&gt;")=0,"",SUMIFS('Chapter Data'!$F$2:$F$2500,'Chapter Data'!$A$2:$A$2500,C$2,'Chapter Data'!$D$2:$D$2500,$A28)))</f>
        <v/>
      </c>
      <c r="D28" s="19" t="str">
        <f aca="false">IF($A28="","",IF(COUNTIFS('Chapter Data'!$A$2:$A$2500,D$2,'Chapter Data'!$D$2:$D$2500,$A28,'Chapter Data'!$F$2:$F$2500,"&lt;&gt;")=0,"",SUMIFS('Chapter Data'!$F$2:$F$2500,'Chapter Data'!$A$2:$A$2500,D$2,'Chapter Data'!$D$2:$D$2500,$A28)))</f>
        <v/>
      </c>
      <c r="E28" s="19" t="str">
        <f aca="false">IF($A28="","",IF(COUNTIFS('Chapter Data'!$A$2:$A$2500,E$2,'Chapter Data'!$D$2:$D$2500,$A28,'Chapter Data'!$F$2:$F$2500,"&lt;&gt;")=0,"",SUMIFS('Chapter Data'!$F$2:$F$2500,'Chapter Data'!$A$2:$A$2500,E$2,'Chapter Data'!$D$2:$D$2500,$A28)))</f>
        <v/>
      </c>
      <c r="F28" s="19" t="n">
        <f aca="false">IF($A28="","",IF(COUNTIFS('Chapter Data'!$A$2:$A$2500,F$2,'Chapter Data'!$D$2:$D$2500,$A28,'Chapter Data'!$F$2:$F$2500,"&lt;&gt;")=0,"",SUMIFS('Chapter Data'!$F$2:$F$2500,'Chapter Data'!$A$2:$A$2500,F$2,'Chapter Data'!$D$2:$D$2500,$A28)))</f>
        <v>4</v>
      </c>
      <c r="G28" s="19" t="n">
        <f aca="false">IF($A28="","",IF(COUNTIFS('Chapter Data'!$A$2:$A$2500,G$2,'Chapter Data'!$D$2:$D$2500,$A28,'Chapter Data'!$F$2:$F$2500,"&lt;&gt;")=0,"",SUMIFS('Chapter Data'!$F$2:$F$2500,'Chapter Data'!$A$2:$A$2500,G$2,'Chapter Data'!$D$2:$D$2500,$A28)))</f>
        <v>0</v>
      </c>
      <c r="H28" s="19" t="n">
        <f aca="false">IF($A28="","",IF(COUNTIFS('Chapter Data'!$A$2:$A$2500,H$2,'Chapter Data'!$D$2:$D$2500,$A28,'Chapter Data'!$F$2:$F$2500,"&lt;&gt;")=0,"",SUMIFS('Chapter Data'!$F$2:$F$2500,'Chapter Data'!$A$2:$A$2500,H$2,'Chapter Data'!$D$2:$D$2500,$A28)))</f>
        <v>1</v>
      </c>
      <c r="I28" s="19" t="str">
        <f aca="false">IF($A28="","",IF(COUNTIFS('Chapter Data'!$A$2:$A$2500,I$2,'Chapter Data'!$D$2:$D$2500,$A28,'Chapter Data'!$F$2:$F$2500,"&lt;&gt;")=0,"",SUMIFS('Chapter Data'!$F$2:$F$2500,'Chapter Data'!$A$2:$A$2500,I$2,'Chapter Data'!$D$2:$D$2500,$A28)))</f>
        <v/>
      </c>
      <c r="J28" s="19" t="str">
        <f aca="false">IF($A28="","",IF(COUNTIFS('Chapter Data'!$A$2:$A$2500,J$2,'Chapter Data'!$D$2:$D$2500,$A28,'Chapter Data'!$F$2:$F$2500,"&lt;&gt;")=0,"",SUMIFS('Chapter Data'!$F$2:$F$2500,'Chapter Data'!$A$2:$A$2500,J$2,'Chapter Data'!$D$2:$D$2500,$A28)))</f>
        <v/>
      </c>
      <c r="K28" s="19" t="str">
        <f aca="false">IF($A28="","",IF(COUNTIFS('Chapter Data'!$A$2:$A$2500,K$2,'Chapter Data'!$D$2:$D$2500,$A28,'Chapter Data'!$F$2:$F$2500,"&lt;&gt;")=0,"",SUMIFS('Chapter Data'!$F$2:$F$2500,'Chapter Data'!$A$2:$A$2500,K$2,'Chapter Data'!$D$2:$D$2500,$A28)))</f>
        <v/>
      </c>
      <c r="L28" s="19" t="str">
        <f aca="false">IF($A28="","",IF(COUNTIFS('Chapter Data'!$A$2:$A$2500,L$2,'Chapter Data'!$D$2:$D$2500,$A28,'Chapter Data'!$F$2:$F$2500,"&lt;&gt;")=0,"",SUMIFS('Chapter Data'!$F$2:$F$2500,'Chapter Data'!$A$2:$A$2500,L$2,'Chapter Data'!$D$2:$D$2500,$A28)))</f>
        <v/>
      </c>
      <c r="M28" s="19" t="str">
        <f aca="false">IF($A28="","",IF(COUNTIFS('Chapter Data'!$A$2:$A$2500,M$2,'Chapter Data'!$D$2:$D$2500,$A28,'Chapter Data'!$F$2:$F$2500,"&lt;&gt;")=0,"",SUMIFS('Chapter Data'!$F$2:$F$2500,'Chapter Data'!$A$2:$A$2500,M$2,'Chapter Data'!$D$2:$D$2500,$A28)))</f>
        <v/>
      </c>
      <c r="N28" s="19" t="str">
        <f aca="false">IF($A28="","",IF(COUNTIFS('Chapter Data'!$A$2:$A$2500,N$2,'Chapter Data'!$D$2:$D$2500,$A28,'Chapter Data'!$F$2:$F$2500,"&lt;&gt;")=0,"",SUMIFS('Chapter Data'!$F$2:$F$2500,'Chapter Data'!$A$2:$A$2500,N$2,'Chapter Data'!$D$2:$D$2500,$A28)))</f>
        <v/>
      </c>
      <c r="O28" s="19" t="str">
        <f aca="false">IF($A28="","",IF(COUNTIFS('Chapter Data'!$A$2:$A$2500,O$2,'Chapter Data'!$D$2:$D$2500,$A28,'Chapter Data'!$F$2:$F$2500,"&lt;&gt;")=0,"",SUMIFS('Chapter Data'!$F$2:$F$2500,'Chapter Data'!$A$2:$A$2500,O$2,'Chapter Data'!$D$2:$D$2500,$A28)))</f>
        <v/>
      </c>
      <c r="P28" s="19" t="str">
        <f aca="false">IF($A28="","",IF(COUNTIFS('Chapter Data'!$A$2:$A$2500,P$2,'Chapter Data'!$D$2:$D$2500,$A28,'Chapter Data'!$F$2:$F$2500,"&lt;&gt;")=0,"",SUMIFS('Chapter Data'!$F$2:$F$2500,'Chapter Data'!$A$2:$A$2500,P$2,'Chapter Data'!$D$2:$D$2500,$A28)))</f>
        <v/>
      </c>
      <c r="Q28" s="19" t="str">
        <f aca="false">IF($A28="","",IF(COUNTIFS('Chapter Data'!$A$2:$A$2500,Q$2,'Chapter Data'!$D$2:$D$2500,$A28,'Chapter Data'!$F$2:$F$2500,"&lt;&gt;")=0,"",SUMIFS('Chapter Data'!$F$2:$F$2500,'Chapter Data'!$A$2:$A$2500,Q$2,'Chapter Data'!$D$2:$D$2500,$A28)))</f>
        <v/>
      </c>
      <c r="R28" s="19" t="str">
        <f aca="false">IF($A28="","",IF(COUNTIFS('Chapter Data'!$A$2:$A$2500,R$2,'Chapter Data'!$D$2:$D$2500,$A28,'Chapter Data'!$F$2:$F$2500,"&lt;&gt;")=0,"",SUMIFS('Chapter Data'!$F$2:$F$2500,'Chapter Data'!$A$2:$A$2500,R$2,'Chapter Data'!$D$2:$D$2500,$A28)))</f>
        <v/>
      </c>
      <c r="S28" s="19" t="str">
        <f aca="false">IF($A28="","",IF(COUNTIFS('Chapter Data'!$A$2:$A$2500,S$2,'Chapter Data'!$D$2:$D$2500,$A28,'Chapter Data'!$F$2:$F$2500,"&lt;&gt;")=0,"",SUMIFS('Chapter Data'!$F$2:$F$2500,'Chapter Data'!$A$2:$A$2500,S$2,'Chapter Data'!$D$2:$D$2500,$A28)))</f>
        <v/>
      </c>
      <c r="T28" s="19" t="str">
        <f aca="false">IF($A28="","",IF(COUNTIFS('Chapter Data'!$A$2:$A$2500,T$2,'Chapter Data'!$D$2:$D$2500,$A28,'Chapter Data'!$F$2:$F$2500,"&lt;&gt;")=0,"",SUMIFS('Chapter Data'!$F$2:$F$2500,'Chapter Data'!$A$2:$A$2500,T$2,'Chapter Data'!$D$2:$D$2500,$A28)))</f>
        <v/>
      </c>
      <c r="U28" s="19" t="str">
        <f aca="false">IF($A28="","",IF(COUNTIFS('Chapter Data'!$A$2:$A$2500,U$2,'Chapter Data'!$D$2:$D$2500,$A28,'Chapter Data'!$F$2:$F$2500,"&lt;&gt;")=0,"",SUMIFS('Chapter Data'!$F$2:$F$2500,'Chapter Data'!$A$2:$A$2500,U$2,'Chapter Data'!$D$2:$D$2500,$A28)))</f>
        <v/>
      </c>
    </row>
    <row r="29" customFormat="false" ht="15" hidden="false" customHeight="false" outlineLevel="0" collapsed="false">
      <c r="A29" s="8" t="str">
        <f aca="false">IF(Lists!$D$28="","",Lists!$D$28)</f>
        <v>Tau Kappa Epsilon</v>
      </c>
      <c r="B29" s="19" t="n">
        <f aca="false">IF($A29="","",IF(COUNTIFS('Chapter Data'!$A$2:$A$2500,B$2,'Chapter Data'!$D$2:$D$2500,$A29,'Chapter Data'!$F$2:$F$2500,"&lt;&gt;")=0,"",SUMIFS('Chapter Data'!$F$2:$F$2500,'Chapter Data'!$A$2:$A$2500,B$2,'Chapter Data'!$D$2:$D$2500,$A29)))</f>
        <v>1</v>
      </c>
      <c r="C29" s="19" t="n">
        <f aca="false">IF($A29="","",IF(COUNTIFS('Chapter Data'!$A$2:$A$2500,C$2,'Chapter Data'!$D$2:$D$2500,$A29,'Chapter Data'!$F$2:$F$2500,"&lt;&gt;")=0,"",SUMIFS('Chapter Data'!$F$2:$F$2500,'Chapter Data'!$A$2:$A$2500,C$2,'Chapter Data'!$D$2:$D$2500,$A29)))</f>
        <v>2</v>
      </c>
      <c r="D29" s="19" t="n">
        <f aca="false">IF($A29="","",IF(COUNTIFS('Chapter Data'!$A$2:$A$2500,D$2,'Chapter Data'!$D$2:$D$2500,$A29,'Chapter Data'!$F$2:$F$2500,"&lt;&gt;")=0,"",SUMIFS('Chapter Data'!$F$2:$F$2500,'Chapter Data'!$A$2:$A$2500,D$2,'Chapter Data'!$D$2:$D$2500,$A29)))</f>
        <v>0</v>
      </c>
      <c r="E29" s="19" t="str">
        <f aca="false">IF($A29="","",IF(COUNTIFS('Chapter Data'!$A$2:$A$2500,E$2,'Chapter Data'!$D$2:$D$2500,$A29,'Chapter Data'!$F$2:$F$2500,"&lt;&gt;")=0,"",SUMIFS('Chapter Data'!$F$2:$F$2500,'Chapter Data'!$A$2:$A$2500,E$2,'Chapter Data'!$D$2:$D$2500,$A29)))</f>
        <v/>
      </c>
      <c r="F29" s="19" t="str">
        <f aca="false">IF($A29="","",IF(COUNTIFS('Chapter Data'!$A$2:$A$2500,F$2,'Chapter Data'!$D$2:$D$2500,$A29,'Chapter Data'!$F$2:$F$2500,"&lt;&gt;")=0,"",SUMIFS('Chapter Data'!$F$2:$F$2500,'Chapter Data'!$A$2:$A$2500,F$2,'Chapter Data'!$D$2:$D$2500,$A29)))</f>
        <v/>
      </c>
      <c r="G29" s="19" t="str">
        <f aca="false">IF($A29="","",IF(COUNTIFS('Chapter Data'!$A$2:$A$2500,G$2,'Chapter Data'!$D$2:$D$2500,$A29,'Chapter Data'!$F$2:$F$2500,"&lt;&gt;")=0,"",SUMIFS('Chapter Data'!$F$2:$F$2500,'Chapter Data'!$A$2:$A$2500,G$2,'Chapter Data'!$D$2:$D$2500,$A29)))</f>
        <v/>
      </c>
      <c r="H29" s="19" t="str">
        <f aca="false">IF($A29="","",IF(COUNTIFS('Chapter Data'!$A$2:$A$2500,H$2,'Chapter Data'!$D$2:$D$2500,$A29,'Chapter Data'!$F$2:$F$2500,"&lt;&gt;")=0,"",SUMIFS('Chapter Data'!$F$2:$F$2500,'Chapter Data'!$A$2:$A$2500,H$2,'Chapter Data'!$D$2:$D$2500,$A29)))</f>
        <v/>
      </c>
      <c r="I29" s="19" t="str">
        <f aca="false">IF($A29="","",IF(COUNTIFS('Chapter Data'!$A$2:$A$2500,I$2,'Chapter Data'!$D$2:$D$2500,$A29,'Chapter Data'!$F$2:$F$2500,"&lt;&gt;")=0,"",SUMIFS('Chapter Data'!$F$2:$F$2500,'Chapter Data'!$A$2:$A$2500,I$2,'Chapter Data'!$D$2:$D$2500,$A29)))</f>
        <v/>
      </c>
      <c r="J29" s="19" t="str">
        <f aca="false">IF($A29="","",IF(COUNTIFS('Chapter Data'!$A$2:$A$2500,J$2,'Chapter Data'!$D$2:$D$2500,$A29,'Chapter Data'!$F$2:$F$2500,"&lt;&gt;")=0,"",SUMIFS('Chapter Data'!$F$2:$F$2500,'Chapter Data'!$A$2:$A$2500,J$2,'Chapter Data'!$D$2:$D$2500,$A29)))</f>
        <v/>
      </c>
      <c r="K29" s="19" t="str">
        <f aca="false">IF($A29="","",IF(COUNTIFS('Chapter Data'!$A$2:$A$2500,K$2,'Chapter Data'!$D$2:$D$2500,$A29,'Chapter Data'!$F$2:$F$2500,"&lt;&gt;")=0,"",SUMIFS('Chapter Data'!$F$2:$F$2500,'Chapter Data'!$A$2:$A$2500,K$2,'Chapter Data'!$D$2:$D$2500,$A29)))</f>
        <v/>
      </c>
      <c r="L29" s="19" t="str">
        <f aca="false">IF($A29="","",IF(COUNTIFS('Chapter Data'!$A$2:$A$2500,L$2,'Chapter Data'!$D$2:$D$2500,$A29,'Chapter Data'!$F$2:$F$2500,"&lt;&gt;")=0,"",SUMIFS('Chapter Data'!$F$2:$F$2500,'Chapter Data'!$A$2:$A$2500,L$2,'Chapter Data'!$D$2:$D$2500,$A29)))</f>
        <v/>
      </c>
      <c r="M29" s="19" t="str">
        <f aca="false">IF($A29="","",IF(COUNTIFS('Chapter Data'!$A$2:$A$2500,M$2,'Chapter Data'!$D$2:$D$2500,$A29,'Chapter Data'!$F$2:$F$2500,"&lt;&gt;")=0,"",SUMIFS('Chapter Data'!$F$2:$F$2500,'Chapter Data'!$A$2:$A$2500,M$2,'Chapter Data'!$D$2:$D$2500,$A29)))</f>
        <v/>
      </c>
      <c r="N29" s="19" t="str">
        <f aca="false">IF($A29="","",IF(COUNTIFS('Chapter Data'!$A$2:$A$2500,N$2,'Chapter Data'!$D$2:$D$2500,$A29,'Chapter Data'!$F$2:$F$2500,"&lt;&gt;")=0,"",SUMIFS('Chapter Data'!$F$2:$F$2500,'Chapter Data'!$A$2:$A$2500,N$2,'Chapter Data'!$D$2:$D$2500,$A29)))</f>
        <v/>
      </c>
      <c r="O29" s="19" t="str">
        <f aca="false">IF($A29="","",IF(COUNTIFS('Chapter Data'!$A$2:$A$2500,O$2,'Chapter Data'!$D$2:$D$2500,$A29,'Chapter Data'!$F$2:$F$2500,"&lt;&gt;")=0,"",SUMIFS('Chapter Data'!$F$2:$F$2500,'Chapter Data'!$A$2:$A$2500,O$2,'Chapter Data'!$D$2:$D$2500,$A29)))</f>
        <v/>
      </c>
      <c r="P29" s="19" t="str">
        <f aca="false">IF($A29="","",IF(COUNTIFS('Chapter Data'!$A$2:$A$2500,P$2,'Chapter Data'!$D$2:$D$2500,$A29,'Chapter Data'!$F$2:$F$2500,"&lt;&gt;")=0,"",SUMIFS('Chapter Data'!$F$2:$F$2500,'Chapter Data'!$A$2:$A$2500,P$2,'Chapter Data'!$D$2:$D$2500,$A29)))</f>
        <v/>
      </c>
      <c r="Q29" s="19" t="str">
        <f aca="false">IF($A29="","",IF(COUNTIFS('Chapter Data'!$A$2:$A$2500,Q$2,'Chapter Data'!$D$2:$D$2500,$A29,'Chapter Data'!$F$2:$F$2500,"&lt;&gt;")=0,"",SUMIFS('Chapter Data'!$F$2:$F$2500,'Chapter Data'!$A$2:$A$2500,Q$2,'Chapter Data'!$D$2:$D$2500,$A29)))</f>
        <v/>
      </c>
      <c r="R29" s="19" t="str">
        <f aca="false">IF($A29="","",IF(COUNTIFS('Chapter Data'!$A$2:$A$2500,R$2,'Chapter Data'!$D$2:$D$2500,$A29,'Chapter Data'!$F$2:$F$2500,"&lt;&gt;")=0,"",SUMIFS('Chapter Data'!$F$2:$F$2500,'Chapter Data'!$A$2:$A$2500,R$2,'Chapter Data'!$D$2:$D$2500,$A29)))</f>
        <v/>
      </c>
      <c r="S29" s="19" t="str">
        <f aca="false">IF($A29="","",IF(COUNTIFS('Chapter Data'!$A$2:$A$2500,S$2,'Chapter Data'!$D$2:$D$2500,$A29,'Chapter Data'!$F$2:$F$2500,"&lt;&gt;")=0,"",SUMIFS('Chapter Data'!$F$2:$F$2500,'Chapter Data'!$A$2:$A$2500,S$2,'Chapter Data'!$D$2:$D$2500,$A29)))</f>
        <v/>
      </c>
      <c r="T29" s="19" t="str">
        <f aca="false">IF($A29="","",IF(COUNTIFS('Chapter Data'!$A$2:$A$2500,T$2,'Chapter Data'!$D$2:$D$2500,$A29,'Chapter Data'!$F$2:$F$2500,"&lt;&gt;")=0,"",SUMIFS('Chapter Data'!$F$2:$F$2500,'Chapter Data'!$A$2:$A$2500,T$2,'Chapter Data'!$D$2:$D$2500,$A29)))</f>
        <v/>
      </c>
      <c r="U29" s="19" t="str">
        <f aca="false">IF($A29="","",IF(COUNTIFS('Chapter Data'!$A$2:$A$2500,U$2,'Chapter Data'!$D$2:$D$2500,$A29,'Chapter Data'!$F$2:$F$2500,"&lt;&gt;")=0,"",SUMIFS('Chapter Data'!$F$2:$F$2500,'Chapter Data'!$A$2:$A$2500,U$2,'Chapter Data'!$D$2:$D$2500,$A29)))</f>
        <v/>
      </c>
    </row>
    <row r="30" customFormat="false" ht="15" hidden="false" customHeight="false" outlineLevel="0" collapsed="false">
      <c r="A30" s="8" t="str">
        <f aca="false">IF(Lists!$D$29="","",Lists!$D$29)</f>
        <v>Theta Chi</v>
      </c>
      <c r="B30" s="19" t="n">
        <f aca="false">IF($A30="","",IF(COUNTIFS('Chapter Data'!$A$2:$A$2500,B$2,'Chapter Data'!$D$2:$D$2500,$A30,'Chapter Data'!$F$2:$F$2500,"&lt;&gt;")=0,"",SUMIFS('Chapter Data'!$F$2:$F$2500,'Chapter Data'!$A$2:$A$2500,B$2,'Chapter Data'!$D$2:$D$2500,$A30)))</f>
        <v>0</v>
      </c>
      <c r="C30" s="19" t="n">
        <f aca="false">IF($A30="","",IF(COUNTIFS('Chapter Data'!$A$2:$A$2500,C$2,'Chapter Data'!$D$2:$D$2500,$A30,'Chapter Data'!$F$2:$F$2500,"&lt;&gt;")=0,"",SUMIFS('Chapter Data'!$F$2:$F$2500,'Chapter Data'!$A$2:$A$2500,C$2,'Chapter Data'!$D$2:$D$2500,$A30)))</f>
        <v>0</v>
      </c>
      <c r="D30" s="19" t="n">
        <f aca="false">IF($A30="","",IF(COUNTIFS('Chapter Data'!$A$2:$A$2500,D$2,'Chapter Data'!$D$2:$D$2500,$A30,'Chapter Data'!$F$2:$F$2500,"&lt;&gt;")=0,"",SUMIFS('Chapter Data'!$F$2:$F$2500,'Chapter Data'!$A$2:$A$2500,D$2,'Chapter Data'!$D$2:$D$2500,$A30)))</f>
        <v>1</v>
      </c>
      <c r="E30" s="19" t="str">
        <f aca="false">IF($A30="","",IF(COUNTIFS('Chapter Data'!$A$2:$A$2500,E$2,'Chapter Data'!$D$2:$D$2500,$A30,'Chapter Data'!$F$2:$F$2500,"&lt;&gt;")=0,"",SUMIFS('Chapter Data'!$F$2:$F$2500,'Chapter Data'!$A$2:$A$2500,E$2,'Chapter Data'!$D$2:$D$2500,$A30)))</f>
        <v/>
      </c>
      <c r="F30" s="19" t="str">
        <f aca="false">IF($A30="","",IF(COUNTIFS('Chapter Data'!$A$2:$A$2500,F$2,'Chapter Data'!$D$2:$D$2500,$A30,'Chapter Data'!$F$2:$F$2500,"&lt;&gt;")=0,"",SUMIFS('Chapter Data'!$F$2:$F$2500,'Chapter Data'!$A$2:$A$2500,F$2,'Chapter Data'!$D$2:$D$2500,$A30)))</f>
        <v/>
      </c>
      <c r="G30" s="19" t="str">
        <f aca="false">IF($A30="","",IF(COUNTIFS('Chapter Data'!$A$2:$A$2500,G$2,'Chapter Data'!$D$2:$D$2500,$A30,'Chapter Data'!$F$2:$F$2500,"&lt;&gt;")=0,"",SUMIFS('Chapter Data'!$F$2:$F$2500,'Chapter Data'!$A$2:$A$2500,G$2,'Chapter Data'!$D$2:$D$2500,$A30)))</f>
        <v/>
      </c>
      <c r="H30" s="19" t="str">
        <f aca="false">IF($A30="","",IF(COUNTIFS('Chapter Data'!$A$2:$A$2500,H$2,'Chapter Data'!$D$2:$D$2500,$A30,'Chapter Data'!$F$2:$F$2500,"&lt;&gt;")=0,"",SUMIFS('Chapter Data'!$F$2:$F$2500,'Chapter Data'!$A$2:$A$2500,H$2,'Chapter Data'!$D$2:$D$2500,$A30)))</f>
        <v/>
      </c>
      <c r="I30" s="19" t="str">
        <f aca="false">IF($A30="","",IF(COUNTIFS('Chapter Data'!$A$2:$A$2500,I$2,'Chapter Data'!$D$2:$D$2500,$A30,'Chapter Data'!$F$2:$F$2500,"&lt;&gt;")=0,"",SUMIFS('Chapter Data'!$F$2:$F$2500,'Chapter Data'!$A$2:$A$2500,I$2,'Chapter Data'!$D$2:$D$2500,$A30)))</f>
        <v/>
      </c>
      <c r="J30" s="19" t="str">
        <f aca="false">IF($A30="","",IF(COUNTIFS('Chapter Data'!$A$2:$A$2500,J$2,'Chapter Data'!$D$2:$D$2500,$A30,'Chapter Data'!$F$2:$F$2500,"&lt;&gt;")=0,"",SUMIFS('Chapter Data'!$F$2:$F$2500,'Chapter Data'!$A$2:$A$2500,J$2,'Chapter Data'!$D$2:$D$2500,$A30)))</f>
        <v/>
      </c>
      <c r="K30" s="19" t="n">
        <f aca="false">IF($A30="","",IF(COUNTIFS('Chapter Data'!$A$2:$A$2500,K$2,'Chapter Data'!$D$2:$D$2500,$A30,'Chapter Data'!$F$2:$F$2500,"&lt;&gt;")=0,"",SUMIFS('Chapter Data'!$F$2:$F$2500,'Chapter Data'!$A$2:$A$2500,K$2,'Chapter Data'!$D$2:$D$2500,$A30)))</f>
        <v>10</v>
      </c>
      <c r="L30" s="19" t="str">
        <f aca="false">IF($A30="","",IF(COUNTIFS('Chapter Data'!$A$2:$A$2500,L$2,'Chapter Data'!$D$2:$D$2500,$A30,'Chapter Data'!$F$2:$F$2500,"&lt;&gt;")=0,"",SUMIFS('Chapter Data'!$F$2:$F$2500,'Chapter Data'!$A$2:$A$2500,L$2,'Chapter Data'!$D$2:$D$2500,$A30)))</f>
        <v/>
      </c>
      <c r="M30" s="19" t="n">
        <f aca="false">IF($A30="","",IF(COUNTIFS('Chapter Data'!$A$2:$A$2500,M$2,'Chapter Data'!$D$2:$D$2500,$A30,'Chapter Data'!$F$2:$F$2500,"&lt;&gt;")=0,"",SUMIFS('Chapter Data'!$F$2:$F$2500,'Chapter Data'!$A$2:$A$2500,M$2,'Chapter Data'!$D$2:$D$2500,$A30)))</f>
        <v>13</v>
      </c>
      <c r="N30" s="19" t="n">
        <f aca="false">IF($A30="","",IF(COUNTIFS('Chapter Data'!$A$2:$A$2500,N$2,'Chapter Data'!$D$2:$D$2500,$A30,'Chapter Data'!$F$2:$F$2500,"&lt;&gt;")=0,"",SUMIFS('Chapter Data'!$F$2:$F$2500,'Chapter Data'!$A$2:$A$2500,N$2,'Chapter Data'!$D$2:$D$2500,$A30)))</f>
        <v>8</v>
      </c>
      <c r="O30" s="19" t="n">
        <f aca="false">IF($A30="","",IF(COUNTIFS('Chapter Data'!$A$2:$A$2500,O$2,'Chapter Data'!$D$2:$D$2500,$A30,'Chapter Data'!$F$2:$F$2500,"&lt;&gt;")=0,"",SUMIFS('Chapter Data'!$F$2:$F$2500,'Chapter Data'!$A$2:$A$2500,O$2,'Chapter Data'!$D$2:$D$2500,$A30)))</f>
        <v>11</v>
      </c>
      <c r="P30" s="19" t="n">
        <f aca="false">IF($A30="","",IF(COUNTIFS('Chapter Data'!$A$2:$A$2500,P$2,'Chapter Data'!$D$2:$D$2500,$A30,'Chapter Data'!$F$2:$F$2500,"&lt;&gt;")=0,"",SUMIFS('Chapter Data'!$F$2:$F$2500,'Chapter Data'!$A$2:$A$2500,P$2,'Chapter Data'!$D$2:$D$2500,$A30)))</f>
        <v>9</v>
      </c>
      <c r="Q30" s="19" t="n">
        <f aca="false">IF($A30="","",IF(COUNTIFS('Chapter Data'!$A$2:$A$2500,Q$2,'Chapter Data'!$D$2:$D$2500,$A30,'Chapter Data'!$F$2:$F$2500,"&lt;&gt;")=0,"",SUMIFS('Chapter Data'!$F$2:$F$2500,'Chapter Data'!$A$2:$A$2500,Q$2,'Chapter Data'!$D$2:$D$2500,$A30)))</f>
        <v>6</v>
      </c>
      <c r="R30" s="19" t="str">
        <f aca="false">IF($A30="","",IF(COUNTIFS('Chapter Data'!$A$2:$A$2500,R$2,'Chapter Data'!$D$2:$D$2500,$A30,'Chapter Data'!$F$2:$F$2500,"&lt;&gt;")=0,"",SUMIFS('Chapter Data'!$F$2:$F$2500,'Chapter Data'!$A$2:$A$2500,R$2,'Chapter Data'!$D$2:$D$2500,$A30)))</f>
        <v/>
      </c>
      <c r="S30" s="19" t="str">
        <f aca="false">IF($A30="","",IF(COUNTIFS('Chapter Data'!$A$2:$A$2500,S$2,'Chapter Data'!$D$2:$D$2500,$A30,'Chapter Data'!$F$2:$F$2500,"&lt;&gt;")=0,"",SUMIFS('Chapter Data'!$F$2:$F$2500,'Chapter Data'!$A$2:$A$2500,S$2,'Chapter Data'!$D$2:$D$2500,$A30)))</f>
        <v/>
      </c>
      <c r="T30" s="19" t="str">
        <f aca="false">IF($A30="","",IF(COUNTIFS('Chapter Data'!$A$2:$A$2500,T$2,'Chapter Data'!$D$2:$D$2500,$A30,'Chapter Data'!$F$2:$F$2500,"&lt;&gt;")=0,"",SUMIFS('Chapter Data'!$F$2:$F$2500,'Chapter Data'!$A$2:$A$2500,T$2,'Chapter Data'!$D$2:$D$2500,$A30)))</f>
        <v/>
      </c>
      <c r="U30" s="19" t="str">
        <f aca="false">IF($A30="","",IF(COUNTIFS('Chapter Data'!$A$2:$A$2500,U$2,'Chapter Data'!$D$2:$D$2500,$A30,'Chapter Data'!$F$2:$F$2500,"&lt;&gt;")=0,"",SUMIFS('Chapter Data'!$F$2:$F$2500,'Chapter Data'!$A$2:$A$2500,U$2,'Chapter Data'!$D$2:$D$2500,$A30)))</f>
        <v/>
      </c>
    </row>
    <row r="31" customFormat="false" ht="15" hidden="false" customHeight="false" outlineLevel="0" collapsed="false">
      <c r="A31" s="8" t="str">
        <f aca="false">IF(Lists!$D$30="","",Lists!$D$30)</f>
        <v>Theta Xi</v>
      </c>
      <c r="B31" s="19" t="n">
        <f aca="false">IF($A31="","",IF(COUNTIFS('Chapter Data'!$A$2:$A$2500,B$2,'Chapter Data'!$D$2:$D$2500,$A31,'Chapter Data'!$F$2:$F$2500,"&lt;&gt;")=0,"",SUMIFS('Chapter Data'!$F$2:$F$2500,'Chapter Data'!$A$2:$A$2500,B$2,'Chapter Data'!$D$2:$D$2500,$A31)))</f>
        <v>22</v>
      </c>
      <c r="C31" s="19" t="n">
        <f aca="false">IF($A31="","",IF(COUNTIFS('Chapter Data'!$A$2:$A$2500,C$2,'Chapter Data'!$D$2:$D$2500,$A31,'Chapter Data'!$F$2:$F$2500,"&lt;&gt;")=0,"",SUMIFS('Chapter Data'!$F$2:$F$2500,'Chapter Data'!$A$2:$A$2500,C$2,'Chapter Data'!$D$2:$D$2500,$A31)))</f>
        <v>9</v>
      </c>
      <c r="D31" s="19" t="n">
        <f aca="false">IF($A31="","",IF(COUNTIFS('Chapter Data'!$A$2:$A$2500,D$2,'Chapter Data'!$D$2:$D$2500,$A31,'Chapter Data'!$F$2:$F$2500,"&lt;&gt;")=0,"",SUMIFS('Chapter Data'!$F$2:$F$2500,'Chapter Data'!$A$2:$A$2500,D$2,'Chapter Data'!$D$2:$D$2500,$A31)))</f>
        <v>25</v>
      </c>
      <c r="E31" s="19" t="str">
        <f aca="false">IF($A31="","",IF(COUNTIFS('Chapter Data'!$A$2:$A$2500,E$2,'Chapter Data'!$D$2:$D$2500,$A31,'Chapter Data'!$F$2:$F$2500,"&lt;&gt;")=0,"",SUMIFS('Chapter Data'!$F$2:$F$2500,'Chapter Data'!$A$2:$A$2500,E$2,'Chapter Data'!$D$2:$D$2500,$A31)))</f>
        <v/>
      </c>
      <c r="F31" s="19" t="n">
        <f aca="false">IF($A31="","",IF(COUNTIFS('Chapter Data'!$A$2:$A$2500,F$2,'Chapter Data'!$D$2:$D$2500,$A31,'Chapter Data'!$F$2:$F$2500,"&lt;&gt;")=0,"",SUMIFS('Chapter Data'!$F$2:$F$2500,'Chapter Data'!$A$2:$A$2500,F$2,'Chapter Data'!$D$2:$D$2500,$A31)))</f>
        <v>28</v>
      </c>
      <c r="G31" s="19" t="n">
        <f aca="false">IF($A31="","",IF(COUNTIFS('Chapter Data'!$A$2:$A$2500,G$2,'Chapter Data'!$D$2:$D$2500,$A31,'Chapter Data'!$F$2:$F$2500,"&lt;&gt;")=0,"",SUMIFS('Chapter Data'!$F$2:$F$2500,'Chapter Data'!$A$2:$A$2500,G$2,'Chapter Data'!$D$2:$D$2500,$A31)))</f>
        <v>10</v>
      </c>
      <c r="H31" s="19" t="n">
        <f aca="false">IF($A31="","",IF(COUNTIFS('Chapter Data'!$A$2:$A$2500,H$2,'Chapter Data'!$D$2:$D$2500,$A31,'Chapter Data'!$F$2:$F$2500,"&lt;&gt;")=0,"",SUMIFS('Chapter Data'!$F$2:$F$2500,'Chapter Data'!$A$2:$A$2500,H$2,'Chapter Data'!$D$2:$D$2500,$A31)))</f>
        <v>14</v>
      </c>
      <c r="I31" s="19" t="str">
        <f aca="false">IF($A31="","",IF(COUNTIFS('Chapter Data'!$A$2:$A$2500,I$2,'Chapter Data'!$D$2:$D$2500,$A31,'Chapter Data'!$F$2:$F$2500,"&lt;&gt;")=0,"",SUMIFS('Chapter Data'!$F$2:$F$2500,'Chapter Data'!$A$2:$A$2500,I$2,'Chapter Data'!$D$2:$D$2500,$A31)))</f>
        <v/>
      </c>
      <c r="J31" s="19" t="n">
        <f aca="false">IF($A31="","",IF(COUNTIFS('Chapter Data'!$A$2:$A$2500,J$2,'Chapter Data'!$D$2:$D$2500,$A31,'Chapter Data'!$F$2:$F$2500,"&lt;&gt;")=0,"",SUMIFS('Chapter Data'!$F$2:$F$2500,'Chapter Data'!$A$2:$A$2500,J$2,'Chapter Data'!$D$2:$D$2500,$A31)))</f>
        <v>17</v>
      </c>
      <c r="K31" s="19" t="n">
        <f aca="false">IF($A31="","",IF(COUNTIFS('Chapter Data'!$A$2:$A$2500,K$2,'Chapter Data'!$D$2:$D$2500,$A31,'Chapter Data'!$F$2:$F$2500,"&lt;&gt;")=0,"",SUMIFS('Chapter Data'!$F$2:$F$2500,'Chapter Data'!$A$2:$A$2500,K$2,'Chapter Data'!$D$2:$D$2500,$A31)))</f>
        <v>6</v>
      </c>
      <c r="L31" s="19" t="str">
        <f aca="false">IF($A31="","",IF(COUNTIFS('Chapter Data'!$A$2:$A$2500,L$2,'Chapter Data'!$D$2:$D$2500,$A31,'Chapter Data'!$F$2:$F$2500,"&lt;&gt;")=0,"",SUMIFS('Chapter Data'!$F$2:$F$2500,'Chapter Data'!$A$2:$A$2500,L$2,'Chapter Data'!$D$2:$D$2500,$A31)))</f>
        <v/>
      </c>
      <c r="M31" s="19" t="n">
        <f aca="false">IF($A31="","",IF(COUNTIFS('Chapter Data'!$A$2:$A$2500,M$2,'Chapter Data'!$D$2:$D$2500,$A31,'Chapter Data'!$F$2:$F$2500,"&lt;&gt;")=0,"",SUMIFS('Chapter Data'!$F$2:$F$2500,'Chapter Data'!$A$2:$A$2500,M$2,'Chapter Data'!$D$2:$D$2500,$A31)))</f>
        <v>5</v>
      </c>
      <c r="N31" s="19" t="n">
        <f aca="false">IF($A31="","",IF(COUNTIFS('Chapter Data'!$A$2:$A$2500,N$2,'Chapter Data'!$D$2:$D$2500,$A31,'Chapter Data'!$F$2:$F$2500,"&lt;&gt;")=0,"",SUMIFS('Chapter Data'!$F$2:$F$2500,'Chapter Data'!$A$2:$A$2500,N$2,'Chapter Data'!$D$2:$D$2500,$A31)))</f>
        <v>12</v>
      </c>
      <c r="O31" s="19" t="n">
        <f aca="false">IF($A31="","",IF(COUNTIFS('Chapter Data'!$A$2:$A$2500,O$2,'Chapter Data'!$D$2:$D$2500,$A31,'Chapter Data'!$F$2:$F$2500,"&lt;&gt;")=0,"",SUMIFS('Chapter Data'!$F$2:$F$2500,'Chapter Data'!$A$2:$A$2500,O$2,'Chapter Data'!$D$2:$D$2500,$A31)))</f>
        <v>3</v>
      </c>
      <c r="P31" s="19" t="n">
        <f aca="false">IF($A31="","",IF(COUNTIFS('Chapter Data'!$A$2:$A$2500,P$2,'Chapter Data'!$D$2:$D$2500,$A31,'Chapter Data'!$F$2:$F$2500,"&lt;&gt;")=0,"",SUMIFS('Chapter Data'!$F$2:$F$2500,'Chapter Data'!$A$2:$A$2500,P$2,'Chapter Data'!$D$2:$D$2500,$A31)))</f>
        <v>12</v>
      </c>
      <c r="Q31" s="19" t="n">
        <f aca="false">IF($A31="","",IF(COUNTIFS('Chapter Data'!$A$2:$A$2500,Q$2,'Chapter Data'!$D$2:$D$2500,$A31,'Chapter Data'!$F$2:$F$2500,"&lt;&gt;")=0,"",SUMIFS('Chapter Data'!$F$2:$F$2500,'Chapter Data'!$A$2:$A$2500,Q$2,'Chapter Data'!$D$2:$D$2500,$A31)))</f>
        <v>6</v>
      </c>
      <c r="R31" s="19" t="str">
        <f aca="false">IF($A31="","",IF(COUNTIFS('Chapter Data'!$A$2:$A$2500,R$2,'Chapter Data'!$D$2:$D$2500,$A31,'Chapter Data'!$F$2:$F$2500,"&lt;&gt;")=0,"",SUMIFS('Chapter Data'!$F$2:$F$2500,'Chapter Data'!$A$2:$A$2500,R$2,'Chapter Data'!$D$2:$D$2500,$A31)))</f>
        <v/>
      </c>
      <c r="S31" s="19" t="str">
        <f aca="false">IF($A31="","",IF(COUNTIFS('Chapter Data'!$A$2:$A$2500,S$2,'Chapter Data'!$D$2:$D$2500,$A31,'Chapter Data'!$F$2:$F$2500,"&lt;&gt;")=0,"",SUMIFS('Chapter Data'!$F$2:$F$2500,'Chapter Data'!$A$2:$A$2500,S$2,'Chapter Data'!$D$2:$D$2500,$A31)))</f>
        <v/>
      </c>
      <c r="T31" s="19" t="str">
        <f aca="false">IF($A31="","",IF(COUNTIFS('Chapter Data'!$A$2:$A$2500,T$2,'Chapter Data'!$D$2:$D$2500,$A31,'Chapter Data'!$F$2:$F$2500,"&lt;&gt;")=0,"",SUMIFS('Chapter Data'!$F$2:$F$2500,'Chapter Data'!$A$2:$A$2500,T$2,'Chapter Data'!$D$2:$D$2500,$A31)))</f>
        <v/>
      </c>
      <c r="U31" s="19" t="str">
        <f aca="false">IF($A31="","",IF(COUNTIFS('Chapter Data'!$A$2:$A$2500,U$2,'Chapter Data'!$D$2:$D$2500,$A31,'Chapter Data'!$F$2:$F$2500,"&lt;&gt;")=0,"",SUMIFS('Chapter Data'!$F$2:$F$2500,'Chapter Data'!$A$2:$A$2500,U$2,'Chapter Data'!$D$2:$D$2500,$A31)))</f>
        <v/>
      </c>
    </row>
    <row r="32" customFormat="false" ht="15" hidden="false" customHeight="false" outlineLevel="0" collapsed="false">
      <c r="A32" s="8" t="str">
        <f aca="false">IF(Lists!$D$31="","",Lists!$D$31)</f>
        <v>Triangle</v>
      </c>
      <c r="B32" s="19" t="n">
        <f aca="false">IF($A32="","",IF(COUNTIFS('Chapter Data'!$A$2:$A$2500,B$2,'Chapter Data'!$D$2:$D$2500,$A32,'Chapter Data'!$F$2:$F$2500,"&lt;&gt;")=0,"",SUMIFS('Chapter Data'!$F$2:$F$2500,'Chapter Data'!$A$2:$A$2500,B$2,'Chapter Data'!$D$2:$D$2500,$A32)))</f>
        <v>11</v>
      </c>
      <c r="C32" s="19" t="n">
        <f aca="false">IF($A32="","",IF(COUNTIFS('Chapter Data'!$A$2:$A$2500,C$2,'Chapter Data'!$D$2:$D$2500,$A32,'Chapter Data'!$F$2:$F$2500,"&lt;&gt;")=0,"",SUMIFS('Chapter Data'!$F$2:$F$2500,'Chapter Data'!$A$2:$A$2500,C$2,'Chapter Data'!$D$2:$D$2500,$A32)))</f>
        <v>0</v>
      </c>
      <c r="D32" s="19" t="n">
        <f aca="false">IF($A32="","",IF(COUNTIFS('Chapter Data'!$A$2:$A$2500,D$2,'Chapter Data'!$D$2:$D$2500,$A32,'Chapter Data'!$F$2:$F$2500,"&lt;&gt;")=0,"",SUMIFS('Chapter Data'!$F$2:$F$2500,'Chapter Data'!$A$2:$A$2500,D$2,'Chapter Data'!$D$2:$D$2500,$A32)))</f>
        <v>0</v>
      </c>
      <c r="E32" s="19" t="str">
        <f aca="false">IF($A32="","",IF(COUNTIFS('Chapter Data'!$A$2:$A$2500,E$2,'Chapter Data'!$D$2:$D$2500,$A32,'Chapter Data'!$F$2:$F$2500,"&lt;&gt;")=0,"",SUMIFS('Chapter Data'!$F$2:$F$2500,'Chapter Data'!$A$2:$A$2500,E$2,'Chapter Data'!$D$2:$D$2500,$A32)))</f>
        <v/>
      </c>
      <c r="F32" s="19" t="n">
        <f aca="false">IF($A32="","",IF(COUNTIFS('Chapter Data'!$A$2:$A$2500,F$2,'Chapter Data'!$D$2:$D$2500,$A32,'Chapter Data'!$F$2:$F$2500,"&lt;&gt;")=0,"",SUMIFS('Chapter Data'!$F$2:$F$2500,'Chapter Data'!$A$2:$A$2500,F$2,'Chapter Data'!$D$2:$D$2500,$A32)))</f>
        <v>3</v>
      </c>
      <c r="G32" s="19" t="n">
        <f aca="false">IF($A32="","",IF(COUNTIFS('Chapter Data'!$A$2:$A$2500,G$2,'Chapter Data'!$D$2:$D$2500,$A32,'Chapter Data'!$F$2:$F$2500,"&lt;&gt;")=0,"",SUMIFS('Chapter Data'!$F$2:$F$2500,'Chapter Data'!$A$2:$A$2500,G$2,'Chapter Data'!$D$2:$D$2500,$A32)))</f>
        <v>0</v>
      </c>
      <c r="H32" s="19" t="n">
        <f aca="false">IF($A32="","",IF(COUNTIFS('Chapter Data'!$A$2:$A$2500,H$2,'Chapter Data'!$D$2:$D$2500,$A32,'Chapter Data'!$F$2:$F$2500,"&lt;&gt;")=0,"",SUMIFS('Chapter Data'!$F$2:$F$2500,'Chapter Data'!$A$2:$A$2500,H$2,'Chapter Data'!$D$2:$D$2500,$A32)))</f>
        <v>5</v>
      </c>
      <c r="I32" s="19" t="str">
        <f aca="false">IF($A32="","",IF(COUNTIFS('Chapter Data'!$A$2:$A$2500,I$2,'Chapter Data'!$D$2:$D$2500,$A32,'Chapter Data'!$F$2:$F$2500,"&lt;&gt;")=0,"",SUMIFS('Chapter Data'!$F$2:$F$2500,'Chapter Data'!$A$2:$A$2500,I$2,'Chapter Data'!$D$2:$D$2500,$A32)))</f>
        <v/>
      </c>
      <c r="J32" s="19" t="n">
        <f aca="false">IF($A32="","",IF(COUNTIFS('Chapter Data'!$A$2:$A$2500,J$2,'Chapter Data'!$D$2:$D$2500,$A32,'Chapter Data'!$F$2:$F$2500,"&lt;&gt;")=0,"",SUMIFS('Chapter Data'!$F$2:$F$2500,'Chapter Data'!$A$2:$A$2500,J$2,'Chapter Data'!$D$2:$D$2500,$A32)))</f>
        <v>6</v>
      </c>
      <c r="K32" s="19" t="n">
        <f aca="false">IF($A32="","",IF(COUNTIFS('Chapter Data'!$A$2:$A$2500,K$2,'Chapter Data'!$D$2:$D$2500,$A32,'Chapter Data'!$F$2:$F$2500,"&lt;&gt;")=0,"",SUMIFS('Chapter Data'!$F$2:$F$2500,'Chapter Data'!$A$2:$A$2500,K$2,'Chapter Data'!$D$2:$D$2500,$A32)))</f>
        <v>3</v>
      </c>
      <c r="L32" s="19" t="str">
        <f aca="false">IF($A32="","",IF(COUNTIFS('Chapter Data'!$A$2:$A$2500,L$2,'Chapter Data'!$D$2:$D$2500,$A32,'Chapter Data'!$F$2:$F$2500,"&lt;&gt;")=0,"",SUMIFS('Chapter Data'!$F$2:$F$2500,'Chapter Data'!$A$2:$A$2500,L$2,'Chapter Data'!$D$2:$D$2500,$A32)))</f>
        <v/>
      </c>
      <c r="M32" s="19" t="n">
        <f aca="false">IF($A32="","",IF(COUNTIFS('Chapter Data'!$A$2:$A$2500,M$2,'Chapter Data'!$D$2:$D$2500,$A32,'Chapter Data'!$F$2:$F$2500,"&lt;&gt;")=0,"",SUMIFS('Chapter Data'!$F$2:$F$2500,'Chapter Data'!$A$2:$A$2500,M$2,'Chapter Data'!$D$2:$D$2500,$A32)))</f>
        <v>4</v>
      </c>
      <c r="N32" s="19" t="n">
        <f aca="false">IF($A32="","",IF(COUNTIFS('Chapter Data'!$A$2:$A$2500,N$2,'Chapter Data'!$D$2:$D$2500,$A32,'Chapter Data'!$F$2:$F$2500,"&lt;&gt;")=0,"",SUMIFS('Chapter Data'!$F$2:$F$2500,'Chapter Data'!$A$2:$A$2500,N$2,'Chapter Data'!$D$2:$D$2500,$A32)))</f>
        <v>5</v>
      </c>
      <c r="O32" s="19" t="n">
        <f aca="false">IF($A32="","",IF(COUNTIFS('Chapter Data'!$A$2:$A$2500,O$2,'Chapter Data'!$D$2:$D$2500,$A32,'Chapter Data'!$F$2:$F$2500,"&lt;&gt;")=0,"",SUMIFS('Chapter Data'!$F$2:$F$2500,'Chapter Data'!$A$2:$A$2500,O$2,'Chapter Data'!$D$2:$D$2500,$A32)))</f>
        <v>5</v>
      </c>
      <c r="P32" s="19" t="n">
        <f aca="false">IF($A32="","",IF(COUNTIFS('Chapter Data'!$A$2:$A$2500,P$2,'Chapter Data'!$D$2:$D$2500,$A32,'Chapter Data'!$F$2:$F$2500,"&lt;&gt;")=0,"",SUMIFS('Chapter Data'!$F$2:$F$2500,'Chapter Data'!$A$2:$A$2500,P$2,'Chapter Data'!$D$2:$D$2500,$A32)))</f>
        <v>8</v>
      </c>
      <c r="Q32" s="19" t="n">
        <f aca="false">IF($A32="","",IF(COUNTIFS('Chapter Data'!$A$2:$A$2500,Q$2,'Chapter Data'!$D$2:$D$2500,$A32,'Chapter Data'!$F$2:$F$2500,"&lt;&gt;")=0,"",SUMIFS('Chapter Data'!$F$2:$F$2500,'Chapter Data'!$A$2:$A$2500,Q$2,'Chapter Data'!$D$2:$D$2500,$A32)))</f>
        <v>7</v>
      </c>
      <c r="R32" s="19" t="str">
        <f aca="false">IF($A32="","",IF(COUNTIFS('Chapter Data'!$A$2:$A$2500,R$2,'Chapter Data'!$D$2:$D$2500,$A32,'Chapter Data'!$F$2:$F$2500,"&lt;&gt;")=0,"",SUMIFS('Chapter Data'!$F$2:$F$2500,'Chapter Data'!$A$2:$A$2500,R$2,'Chapter Data'!$D$2:$D$2500,$A32)))</f>
        <v/>
      </c>
      <c r="S32" s="19" t="str">
        <f aca="false">IF($A32="","",IF(COUNTIFS('Chapter Data'!$A$2:$A$2500,S$2,'Chapter Data'!$D$2:$D$2500,$A32,'Chapter Data'!$F$2:$F$2500,"&lt;&gt;")=0,"",SUMIFS('Chapter Data'!$F$2:$F$2500,'Chapter Data'!$A$2:$A$2500,S$2,'Chapter Data'!$D$2:$D$2500,$A32)))</f>
        <v/>
      </c>
      <c r="T32" s="19" t="str">
        <f aca="false">IF($A32="","",IF(COUNTIFS('Chapter Data'!$A$2:$A$2500,T$2,'Chapter Data'!$D$2:$D$2500,$A32,'Chapter Data'!$F$2:$F$2500,"&lt;&gt;")=0,"",SUMIFS('Chapter Data'!$F$2:$F$2500,'Chapter Data'!$A$2:$A$2500,T$2,'Chapter Data'!$D$2:$D$2500,$A32)))</f>
        <v/>
      </c>
      <c r="U32" s="19" t="str">
        <f aca="false">IF($A32="","",IF(COUNTIFS('Chapter Data'!$A$2:$A$2500,U$2,'Chapter Data'!$D$2:$D$2500,$A32,'Chapter Data'!$F$2:$F$2500,"&lt;&gt;")=0,"",SUMIFS('Chapter Data'!$F$2:$F$2500,'Chapter Data'!$A$2:$A$2500,U$2,'Chapter Data'!$D$2:$D$2500,$A32)))</f>
        <v/>
      </c>
    </row>
    <row r="33" customFormat="false" ht="15" hidden="false" customHeight="false" outlineLevel="0" collapsed="false">
      <c r="A33" s="8" t="str">
        <f aca="false">IF(Lists!$D$32="","",Lists!$D$32)</f>
        <v/>
      </c>
      <c r="B33" s="19" t="str">
        <f aca="false">IF($A33="","",IF(COUNTIFS('Chapter Data'!$A$2:$A$2500,B$2,'Chapter Data'!$D$2:$D$2500,$A33,'Chapter Data'!$F$2:$F$2500,"&lt;&gt;")=0,"",SUMIFS('Chapter Data'!$F$2:$F$2500,'Chapter Data'!$A$2:$A$2500,B$2,'Chapter Data'!$D$2:$D$2500,$A33)))</f>
        <v/>
      </c>
      <c r="C33" s="19" t="str">
        <f aca="false">IF($A33="","",IF(COUNTIFS('Chapter Data'!$A$2:$A$2500,C$2,'Chapter Data'!$D$2:$D$2500,$A33,'Chapter Data'!$F$2:$F$2500,"&lt;&gt;")=0,"",SUMIFS('Chapter Data'!$F$2:$F$2500,'Chapter Data'!$A$2:$A$2500,C$2,'Chapter Data'!$D$2:$D$2500,$A33)))</f>
        <v/>
      </c>
      <c r="D33" s="19" t="str">
        <f aca="false">IF($A33="","",IF(COUNTIFS('Chapter Data'!$A$2:$A$2500,D$2,'Chapter Data'!$D$2:$D$2500,$A33,'Chapter Data'!$F$2:$F$2500,"&lt;&gt;")=0,"",SUMIFS('Chapter Data'!$F$2:$F$2500,'Chapter Data'!$A$2:$A$2500,D$2,'Chapter Data'!$D$2:$D$2500,$A33)))</f>
        <v/>
      </c>
      <c r="E33" s="19" t="str">
        <f aca="false">IF($A33="","",IF(COUNTIFS('Chapter Data'!$A$2:$A$2500,E$2,'Chapter Data'!$D$2:$D$2500,$A33,'Chapter Data'!$F$2:$F$2500,"&lt;&gt;")=0,"",SUMIFS('Chapter Data'!$F$2:$F$2500,'Chapter Data'!$A$2:$A$2500,E$2,'Chapter Data'!$D$2:$D$2500,$A33)))</f>
        <v/>
      </c>
      <c r="F33" s="19" t="str">
        <f aca="false">IF($A33="","",IF(COUNTIFS('Chapter Data'!$A$2:$A$2500,F$2,'Chapter Data'!$D$2:$D$2500,$A33,'Chapter Data'!$F$2:$F$2500,"&lt;&gt;")=0,"",SUMIFS('Chapter Data'!$F$2:$F$2500,'Chapter Data'!$A$2:$A$2500,F$2,'Chapter Data'!$D$2:$D$2500,$A33)))</f>
        <v/>
      </c>
      <c r="G33" s="19" t="str">
        <f aca="false">IF($A33="","",IF(COUNTIFS('Chapter Data'!$A$2:$A$2500,G$2,'Chapter Data'!$D$2:$D$2500,$A33,'Chapter Data'!$F$2:$F$2500,"&lt;&gt;")=0,"",SUMIFS('Chapter Data'!$F$2:$F$2500,'Chapter Data'!$A$2:$A$2500,G$2,'Chapter Data'!$D$2:$D$2500,$A33)))</f>
        <v/>
      </c>
      <c r="H33" s="19" t="str">
        <f aca="false">IF($A33="","",IF(COUNTIFS('Chapter Data'!$A$2:$A$2500,H$2,'Chapter Data'!$D$2:$D$2500,$A33,'Chapter Data'!$F$2:$F$2500,"&lt;&gt;")=0,"",SUMIFS('Chapter Data'!$F$2:$F$2500,'Chapter Data'!$A$2:$A$2500,H$2,'Chapter Data'!$D$2:$D$2500,$A33)))</f>
        <v/>
      </c>
      <c r="I33" s="19" t="str">
        <f aca="false">IF($A33="","",IF(COUNTIFS('Chapter Data'!$A$2:$A$2500,I$2,'Chapter Data'!$D$2:$D$2500,$A33,'Chapter Data'!$F$2:$F$2500,"&lt;&gt;")=0,"",SUMIFS('Chapter Data'!$F$2:$F$2500,'Chapter Data'!$A$2:$A$2500,I$2,'Chapter Data'!$D$2:$D$2500,$A33)))</f>
        <v/>
      </c>
      <c r="J33" s="19" t="str">
        <f aca="false">IF($A33="","",IF(COUNTIFS('Chapter Data'!$A$2:$A$2500,J$2,'Chapter Data'!$D$2:$D$2500,$A33,'Chapter Data'!$F$2:$F$2500,"&lt;&gt;")=0,"",SUMIFS('Chapter Data'!$F$2:$F$2500,'Chapter Data'!$A$2:$A$2500,J$2,'Chapter Data'!$D$2:$D$2500,$A33)))</f>
        <v/>
      </c>
      <c r="K33" s="19" t="str">
        <f aca="false">IF($A33="","",IF(COUNTIFS('Chapter Data'!$A$2:$A$2500,K$2,'Chapter Data'!$D$2:$D$2500,$A33,'Chapter Data'!$F$2:$F$2500,"&lt;&gt;")=0,"",SUMIFS('Chapter Data'!$F$2:$F$2500,'Chapter Data'!$A$2:$A$2500,K$2,'Chapter Data'!$D$2:$D$2500,$A33)))</f>
        <v/>
      </c>
      <c r="L33" s="19" t="str">
        <f aca="false">IF($A33="","",IF(COUNTIFS('Chapter Data'!$A$2:$A$2500,L$2,'Chapter Data'!$D$2:$D$2500,$A33,'Chapter Data'!$F$2:$F$2500,"&lt;&gt;")=0,"",SUMIFS('Chapter Data'!$F$2:$F$2500,'Chapter Data'!$A$2:$A$2500,L$2,'Chapter Data'!$D$2:$D$2500,$A33)))</f>
        <v/>
      </c>
      <c r="M33" s="19" t="str">
        <f aca="false">IF($A33="","",IF(COUNTIFS('Chapter Data'!$A$2:$A$2500,M$2,'Chapter Data'!$D$2:$D$2500,$A33,'Chapter Data'!$F$2:$F$2500,"&lt;&gt;")=0,"",SUMIFS('Chapter Data'!$F$2:$F$2500,'Chapter Data'!$A$2:$A$2500,M$2,'Chapter Data'!$D$2:$D$2500,$A33)))</f>
        <v/>
      </c>
      <c r="N33" s="19" t="str">
        <f aca="false">IF($A33="","",IF(COUNTIFS('Chapter Data'!$A$2:$A$2500,N$2,'Chapter Data'!$D$2:$D$2500,$A33,'Chapter Data'!$F$2:$F$2500,"&lt;&gt;")=0,"",SUMIFS('Chapter Data'!$F$2:$F$2500,'Chapter Data'!$A$2:$A$2500,N$2,'Chapter Data'!$D$2:$D$2500,$A33)))</f>
        <v/>
      </c>
      <c r="O33" s="19" t="str">
        <f aca="false">IF($A33="","",IF(COUNTIFS('Chapter Data'!$A$2:$A$2500,O$2,'Chapter Data'!$D$2:$D$2500,$A33,'Chapter Data'!$F$2:$F$2500,"&lt;&gt;")=0,"",SUMIFS('Chapter Data'!$F$2:$F$2500,'Chapter Data'!$A$2:$A$2500,O$2,'Chapter Data'!$D$2:$D$2500,$A33)))</f>
        <v/>
      </c>
      <c r="P33" s="19" t="str">
        <f aca="false">IF($A33="","",IF(COUNTIFS('Chapter Data'!$A$2:$A$2500,P$2,'Chapter Data'!$D$2:$D$2500,$A33,'Chapter Data'!$F$2:$F$2500,"&lt;&gt;")=0,"",SUMIFS('Chapter Data'!$F$2:$F$2500,'Chapter Data'!$A$2:$A$2500,P$2,'Chapter Data'!$D$2:$D$2500,$A33)))</f>
        <v/>
      </c>
      <c r="Q33" s="19" t="str">
        <f aca="false">IF($A33="","",IF(COUNTIFS('Chapter Data'!$A$2:$A$2500,Q$2,'Chapter Data'!$D$2:$D$2500,$A33,'Chapter Data'!$F$2:$F$2500,"&lt;&gt;")=0,"",SUMIFS('Chapter Data'!$F$2:$F$2500,'Chapter Data'!$A$2:$A$2500,Q$2,'Chapter Data'!$D$2:$D$2500,$A33)))</f>
        <v/>
      </c>
      <c r="R33" s="19" t="str">
        <f aca="false">IF($A33="","",IF(COUNTIFS('Chapter Data'!$A$2:$A$2500,R$2,'Chapter Data'!$D$2:$D$2500,$A33,'Chapter Data'!$F$2:$F$2500,"&lt;&gt;")=0,"",SUMIFS('Chapter Data'!$F$2:$F$2500,'Chapter Data'!$A$2:$A$2500,R$2,'Chapter Data'!$D$2:$D$2500,$A33)))</f>
        <v/>
      </c>
      <c r="S33" s="19" t="str">
        <f aca="false">IF($A33="","",IF(COUNTIFS('Chapter Data'!$A$2:$A$2500,S$2,'Chapter Data'!$D$2:$D$2500,$A33,'Chapter Data'!$F$2:$F$2500,"&lt;&gt;")=0,"",SUMIFS('Chapter Data'!$F$2:$F$2500,'Chapter Data'!$A$2:$A$2500,S$2,'Chapter Data'!$D$2:$D$2500,$A33)))</f>
        <v/>
      </c>
      <c r="T33" s="19" t="str">
        <f aca="false">IF($A33="","",IF(COUNTIFS('Chapter Data'!$A$2:$A$2500,T$2,'Chapter Data'!$D$2:$D$2500,$A33,'Chapter Data'!$F$2:$F$2500,"&lt;&gt;")=0,"",SUMIFS('Chapter Data'!$F$2:$F$2500,'Chapter Data'!$A$2:$A$2500,T$2,'Chapter Data'!$D$2:$D$2500,$A33)))</f>
        <v/>
      </c>
      <c r="U33" s="19" t="str">
        <f aca="false">IF($A33="","",IF(COUNTIFS('Chapter Data'!$A$2:$A$2500,U$2,'Chapter Data'!$D$2:$D$2500,$A33,'Chapter Data'!$F$2:$F$2500,"&lt;&gt;")=0,"",SUMIFS('Chapter Data'!$F$2:$F$2500,'Chapter Data'!$A$2:$A$2500,U$2,'Chapter Data'!$D$2:$D$2500,$A33)))</f>
        <v/>
      </c>
    </row>
    <row r="34" customFormat="false" ht="15" hidden="false" customHeight="false" outlineLevel="0" collapsed="false">
      <c r="A34" s="8" t="str">
        <f aca="false">IF(Lists!$D$33="","",Lists!$D$33)</f>
        <v/>
      </c>
      <c r="B34" s="19" t="str">
        <f aca="false">IF($A34="","",IF(COUNTIFS('Chapter Data'!$A$2:$A$2500,B$2,'Chapter Data'!$D$2:$D$2500,$A34,'Chapter Data'!$F$2:$F$2500,"&lt;&gt;")=0,"",SUMIFS('Chapter Data'!$F$2:$F$2500,'Chapter Data'!$A$2:$A$2500,B$2,'Chapter Data'!$D$2:$D$2500,$A34)))</f>
        <v/>
      </c>
      <c r="C34" s="19" t="str">
        <f aca="false">IF($A34="","",IF(COUNTIFS('Chapter Data'!$A$2:$A$2500,C$2,'Chapter Data'!$D$2:$D$2500,$A34,'Chapter Data'!$F$2:$F$2500,"&lt;&gt;")=0,"",SUMIFS('Chapter Data'!$F$2:$F$2500,'Chapter Data'!$A$2:$A$2500,C$2,'Chapter Data'!$D$2:$D$2500,$A34)))</f>
        <v/>
      </c>
      <c r="D34" s="19" t="str">
        <f aca="false">IF($A34="","",IF(COUNTIFS('Chapter Data'!$A$2:$A$2500,D$2,'Chapter Data'!$D$2:$D$2500,$A34,'Chapter Data'!$F$2:$F$2500,"&lt;&gt;")=0,"",SUMIFS('Chapter Data'!$F$2:$F$2500,'Chapter Data'!$A$2:$A$2500,D$2,'Chapter Data'!$D$2:$D$2500,$A34)))</f>
        <v/>
      </c>
      <c r="E34" s="19" t="str">
        <f aca="false">IF($A34="","",IF(COUNTIFS('Chapter Data'!$A$2:$A$2500,E$2,'Chapter Data'!$D$2:$D$2500,$A34,'Chapter Data'!$F$2:$F$2500,"&lt;&gt;")=0,"",SUMIFS('Chapter Data'!$F$2:$F$2500,'Chapter Data'!$A$2:$A$2500,E$2,'Chapter Data'!$D$2:$D$2500,$A34)))</f>
        <v/>
      </c>
      <c r="F34" s="19" t="str">
        <f aca="false">IF($A34="","",IF(COUNTIFS('Chapter Data'!$A$2:$A$2500,F$2,'Chapter Data'!$D$2:$D$2500,$A34,'Chapter Data'!$F$2:$F$2500,"&lt;&gt;")=0,"",SUMIFS('Chapter Data'!$F$2:$F$2500,'Chapter Data'!$A$2:$A$2500,F$2,'Chapter Data'!$D$2:$D$2500,$A34)))</f>
        <v/>
      </c>
      <c r="G34" s="19" t="str">
        <f aca="false">IF($A34="","",IF(COUNTIFS('Chapter Data'!$A$2:$A$2500,G$2,'Chapter Data'!$D$2:$D$2500,$A34,'Chapter Data'!$F$2:$F$2500,"&lt;&gt;")=0,"",SUMIFS('Chapter Data'!$F$2:$F$2500,'Chapter Data'!$A$2:$A$2500,G$2,'Chapter Data'!$D$2:$D$2500,$A34)))</f>
        <v/>
      </c>
      <c r="H34" s="19" t="str">
        <f aca="false">IF($A34="","",IF(COUNTIFS('Chapter Data'!$A$2:$A$2500,H$2,'Chapter Data'!$D$2:$D$2500,$A34,'Chapter Data'!$F$2:$F$2500,"&lt;&gt;")=0,"",SUMIFS('Chapter Data'!$F$2:$F$2500,'Chapter Data'!$A$2:$A$2500,H$2,'Chapter Data'!$D$2:$D$2500,$A34)))</f>
        <v/>
      </c>
      <c r="I34" s="19" t="str">
        <f aca="false">IF($A34="","",IF(COUNTIFS('Chapter Data'!$A$2:$A$2500,I$2,'Chapter Data'!$D$2:$D$2500,$A34,'Chapter Data'!$F$2:$F$2500,"&lt;&gt;")=0,"",SUMIFS('Chapter Data'!$F$2:$F$2500,'Chapter Data'!$A$2:$A$2500,I$2,'Chapter Data'!$D$2:$D$2500,$A34)))</f>
        <v/>
      </c>
      <c r="J34" s="19" t="str">
        <f aca="false">IF($A34="","",IF(COUNTIFS('Chapter Data'!$A$2:$A$2500,J$2,'Chapter Data'!$D$2:$D$2500,$A34,'Chapter Data'!$F$2:$F$2500,"&lt;&gt;")=0,"",SUMIFS('Chapter Data'!$F$2:$F$2500,'Chapter Data'!$A$2:$A$2500,J$2,'Chapter Data'!$D$2:$D$2500,$A34)))</f>
        <v/>
      </c>
      <c r="K34" s="19" t="str">
        <f aca="false">IF($A34="","",IF(COUNTIFS('Chapter Data'!$A$2:$A$2500,K$2,'Chapter Data'!$D$2:$D$2500,$A34,'Chapter Data'!$F$2:$F$2500,"&lt;&gt;")=0,"",SUMIFS('Chapter Data'!$F$2:$F$2500,'Chapter Data'!$A$2:$A$2500,K$2,'Chapter Data'!$D$2:$D$2500,$A34)))</f>
        <v/>
      </c>
      <c r="L34" s="19" t="str">
        <f aca="false">IF($A34="","",IF(COUNTIFS('Chapter Data'!$A$2:$A$2500,L$2,'Chapter Data'!$D$2:$D$2500,$A34,'Chapter Data'!$F$2:$F$2500,"&lt;&gt;")=0,"",SUMIFS('Chapter Data'!$F$2:$F$2500,'Chapter Data'!$A$2:$A$2500,L$2,'Chapter Data'!$D$2:$D$2500,$A34)))</f>
        <v/>
      </c>
      <c r="M34" s="19" t="str">
        <f aca="false">IF($A34="","",IF(COUNTIFS('Chapter Data'!$A$2:$A$2500,M$2,'Chapter Data'!$D$2:$D$2500,$A34,'Chapter Data'!$F$2:$F$2500,"&lt;&gt;")=0,"",SUMIFS('Chapter Data'!$F$2:$F$2500,'Chapter Data'!$A$2:$A$2500,M$2,'Chapter Data'!$D$2:$D$2500,$A34)))</f>
        <v/>
      </c>
      <c r="N34" s="19" t="str">
        <f aca="false">IF($A34="","",IF(COUNTIFS('Chapter Data'!$A$2:$A$2500,N$2,'Chapter Data'!$D$2:$D$2500,$A34,'Chapter Data'!$F$2:$F$2500,"&lt;&gt;")=0,"",SUMIFS('Chapter Data'!$F$2:$F$2500,'Chapter Data'!$A$2:$A$2500,N$2,'Chapter Data'!$D$2:$D$2500,$A34)))</f>
        <v/>
      </c>
      <c r="O34" s="19" t="str">
        <f aca="false">IF($A34="","",IF(COUNTIFS('Chapter Data'!$A$2:$A$2500,O$2,'Chapter Data'!$D$2:$D$2500,$A34,'Chapter Data'!$F$2:$F$2500,"&lt;&gt;")=0,"",SUMIFS('Chapter Data'!$F$2:$F$2500,'Chapter Data'!$A$2:$A$2500,O$2,'Chapter Data'!$D$2:$D$2500,$A34)))</f>
        <v/>
      </c>
      <c r="P34" s="19" t="str">
        <f aca="false">IF($A34="","",IF(COUNTIFS('Chapter Data'!$A$2:$A$2500,P$2,'Chapter Data'!$D$2:$D$2500,$A34,'Chapter Data'!$F$2:$F$2500,"&lt;&gt;")=0,"",SUMIFS('Chapter Data'!$F$2:$F$2500,'Chapter Data'!$A$2:$A$2500,P$2,'Chapter Data'!$D$2:$D$2500,$A34)))</f>
        <v/>
      </c>
      <c r="Q34" s="19" t="str">
        <f aca="false">IF($A34="","",IF(COUNTIFS('Chapter Data'!$A$2:$A$2500,Q$2,'Chapter Data'!$D$2:$D$2500,$A34,'Chapter Data'!$F$2:$F$2500,"&lt;&gt;")=0,"",SUMIFS('Chapter Data'!$F$2:$F$2500,'Chapter Data'!$A$2:$A$2500,Q$2,'Chapter Data'!$D$2:$D$2500,$A34)))</f>
        <v/>
      </c>
      <c r="R34" s="19" t="str">
        <f aca="false">IF($A34="","",IF(COUNTIFS('Chapter Data'!$A$2:$A$2500,R$2,'Chapter Data'!$D$2:$D$2500,$A34,'Chapter Data'!$F$2:$F$2500,"&lt;&gt;")=0,"",SUMIFS('Chapter Data'!$F$2:$F$2500,'Chapter Data'!$A$2:$A$2500,R$2,'Chapter Data'!$D$2:$D$2500,$A34)))</f>
        <v/>
      </c>
      <c r="S34" s="19" t="str">
        <f aca="false">IF($A34="","",IF(COUNTIFS('Chapter Data'!$A$2:$A$2500,S$2,'Chapter Data'!$D$2:$D$2500,$A34,'Chapter Data'!$F$2:$F$2500,"&lt;&gt;")=0,"",SUMIFS('Chapter Data'!$F$2:$F$2500,'Chapter Data'!$A$2:$A$2500,S$2,'Chapter Data'!$D$2:$D$2500,$A34)))</f>
        <v/>
      </c>
      <c r="T34" s="19" t="str">
        <f aca="false">IF($A34="","",IF(COUNTIFS('Chapter Data'!$A$2:$A$2500,T$2,'Chapter Data'!$D$2:$D$2500,$A34,'Chapter Data'!$F$2:$F$2500,"&lt;&gt;")=0,"",SUMIFS('Chapter Data'!$F$2:$F$2500,'Chapter Data'!$A$2:$A$2500,T$2,'Chapter Data'!$D$2:$D$2500,$A34)))</f>
        <v/>
      </c>
      <c r="U34" s="19" t="str">
        <f aca="false">IF($A34="","",IF(COUNTIFS('Chapter Data'!$A$2:$A$2500,U$2,'Chapter Data'!$D$2:$D$2500,$A34,'Chapter Data'!$F$2:$F$2500,"&lt;&gt;")=0,"",SUMIFS('Chapter Data'!$F$2:$F$2500,'Chapter Data'!$A$2:$A$2500,U$2,'Chapter Data'!$D$2:$D$2500,$A34)))</f>
        <v/>
      </c>
    </row>
    <row r="35" customFormat="false" ht="15" hidden="false" customHeight="false" outlineLevel="0" collapsed="false">
      <c r="A35" s="8" t="str">
        <f aca="false">IF(Lists!$D$34="","",Lists!$D$34)</f>
        <v/>
      </c>
      <c r="B35" s="19" t="str">
        <f aca="false">IF($A35="","",IF(COUNTIFS('Chapter Data'!$A$2:$A$2500,B$2,'Chapter Data'!$D$2:$D$2500,$A35,'Chapter Data'!$F$2:$F$2500,"&lt;&gt;")=0,"",SUMIFS('Chapter Data'!$F$2:$F$2500,'Chapter Data'!$A$2:$A$2500,B$2,'Chapter Data'!$D$2:$D$2500,$A35)))</f>
        <v/>
      </c>
      <c r="C35" s="19" t="str">
        <f aca="false">IF($A35="","",IF(COUNTIFS('Chapter Data'!$A$2:$A$2500,C$2,'Chapter Data'!$D$2:$D$2500,$A35,'Chapter Data'!$F$2:$F$2500,"&lt;&gt;")=0,"",SUMIFS('Chapter Data'!$F$2:$F$2500,'Chapter Data'!$A$2:$A$2500,C$2,'Chapter Data'!$D$2:$D$2500,$A35)))</f>
        <v/>
      </c>
      <c r="D35" s="19" t="str">
        <f aca="false">IF($A35="","",IF(COUNTIFS('Chapter Data'!$A$2:$A$2500,D$2,'Chapter Data'!$D$2:$D$2500,$A35,'Chapter Data'!$F$2:$F$2500,"&lt;&gt;")=0,"",SUMIFS('Chapter Data'!$F$2:$F$2500,'Chapter Data'!$A$2:$A$2500,D$2,'Chapter Data'!$D$2:$D$2500,$A35)))</f>
        <v/>
      </c>
      <c r="E35" s="19" t="str">
        <f aca="false">IF($A35="","",IF(COUNTIFS('Chapter Data'!$A$2:$A$2500,E$2,'Chapter Data'!$D$2:$D$2500,$A35,'Chapter Data'!$F$2:$F$2500,"&lt;&gt;")=0,"",SUMIFS('Chapter Data'!$F$2:$F$2500,'Chapter Data'!$A$2:$A$2500,E$2,'Chapter Data'!$D$2:$D$2500,$A35)))</f>
        <v/>
      </c>
      <c r="F35" s="19" t="str">
        <f aca="false">IF($A35="","",IF(COUNTIFS('Chapter Data'!$A$2:$A$2500,F$2,'Chapter Data'!$D$2:$D$2500,$A35,'Chapter Data'!$F$2:$F$2500,"&lt;&gt;")=0,"",SUMIFS('Chapter Data'!$F$2:$F$2500,'Chapter Data'!$A$2:$A$2500,F$2,'Chapter Data'!$D$2:$D$2500,$A35)))</f>
        <v/>
      </c>
      <c r="G35" s="19" t="str">
        <f aca="false">IF($A35="","",IF(COUNTIFS('Chapter Data'!$A$2:$A$2500,G$2,'Chapter Data'!$D$2:$D$2500,$A35,'Chapter Data'!$F$2:$F$2500,"&lt;&gt;")=0,"",SUMIFS('Chapter Data'!$F$2:$F$2500,'Chapter Data'!$A$2:$A$2500,G$2,'Chapter Data'!$D$2:$D$2500,$A35)))</f>
        <v/>
      </c>
      <c r="H35" s="19" t="str">
        <f aca="false">IF($A35="","",IF(COUNTIFS('Chapter Data'!$A$2:$A$2500,H$2,'Chapter Data'!$D$2:$D$2500,$A35,'Chapter Data'!$F$2:$F$2500,"&lt;&gt;")=0,"",SUMIFS('Chapter Data'!$F$2:$F$2500,'Chapter Data'!$A$2:$A$2500,H$2,'Chapter Data'!$D$2:$D$2500,$A35)))</f>
        <v/>
      </c>
      <c r="I35" s="19" t="str">
        <f aca="false">IF($A35="","",IF(COUNTIFS('Chapter Data'!$A$2:$A$2500,I$2,'Chapter Data'!$D$2:$D$2500,$A35,'Chapter Data'!$F$2:$F$2500,"&lt;&gt;")=0,"",SUMIFS('Chapter Data'!$F$2:$F$2500,'Chapter Data'!$A$2:$A$2500,I$2,'Chapter Data'!$D$2:$D$2500,$A35)))</f>
        <v/>
      </c>
      <c r="J35" s="19" t="str">
        <f aca="false">IF($A35="","",IF(COUNTIFS('Chapter Data'!$A$2:$A$2500,J$2,'Chapter Data'!$D$2:$D$2500,$A35,'Chapter Data'!$F$2:$F$2500,"&lt;&gt;")=0,"",SUMIFS('Chapter Data'!$F$2:$F$2500,'Chapter Data'!$A$2:$A$2500,J$2,'Chapter Data'!$D$2:$D$2500,$A35)))</f>
        <v/>
      </c>
      <c r="K35" s="19" t="str">
        <f aca="false">IF($A35="","",IF(COUNTIFS('Chapter Data'!$A$2:$A$2500,K$2,'Chapter Data'!$D$2:$D$2500,$A35,'Chapter Data'!$F$2:$F$2500,"&lt;&gt;")=0,"",SUMIFS('Chapter Data'!$F$2:$F$2500,'Chapter Data'!$A$2:$A$2500,K$2,'Chapter Data'!$D$2:$D$2500,$A35)))</f>
        <v/>
      </c>
      <c r="L35" s="19" t="str">
        <f aca="false">IF($A35="","",IF(COUNTIFS('Chapter Data'!$A$2:$A$2500,L$2,'Chapter Data'!$D$2:$D$2500,$A35,'Chapter Data'!$F$2:$F$2500,"&lt;&gt;")=0,"",SUMIFS('Chapter Data'!$F$2:$F$2500,'Chapter Data'!$A$2:$A$2500,L$2,'Chapter Data'!$D$2:$D$2500,$A35)))</f>
        <v/>
      </c>
      <c r="M35" s="19" t="str">
        <f aca="false">IF($A35="","",IF(COUNTIFS('Chapter Data'!$A$2:$A$2500,M$2,'Chapter Data'!$D$2:$D$2500,$A35,'Chapter Data'!$F$2:$F$2500,"&lt;&gt;")=0,"",SUMIFS('Chapter Data'!$F$2:$F$2500,'Chapter Data'!$A$2:$A$2500,M$2,'Chapter Data'!$D$2:$D$2500,$A35)))</f>
        <v/>
      </c>
      <c r="N35" s="19" t="str">
        <f aca="false">IF($A35="","",IF(COUNTIFS('Chapter Data'!$A$2:$A$2500,N$2,'Chapter Data'!$D$2:$D$2500,$A35,'Chapter Data'!$F$2:$F$2500,"&lt;&gt;")=0,"",SUMIFS('Chapter Data'!$F$2:$F$2500,'Chapter Data'!$A$2:$A$2500,N$2,'Chapter Data'!$D$2:$D$2500,$A35)))</f>
        <v/>
      </c>
      <c r="O35" s="19" t="str">
        <f aca="false">IF($A35="","",IF(COUNTIFS('Chapter Data'!$A$2:$A$2500,O$2,'Chapter Data'!$D$2:$D$2500,$A35,'Chapter Data'!$F$2:$F$2500,"&lt;&gt;")=0,"",SUMIFS('Chapter Data'!$F$2:$F$2500,'Chapter Data'!$A$2:$A$2500,O$2,'Chapter Data'!$D$2:$D$2500,$A35)))</f>
        <v/>
      </c>
      <c r="P35" s="19" t="str">
        <f aca="false">IF($A35="","",IF(COUNTIFS('Chapter Data'!$A$2:$A$2500,P$2,'Chapter Data'!$D$2:$D$2500,$A35,'Chapter Data'!$F$2:$F$2500,"&lt;&gt;")=0,"",SUMIFS('Chapter Data'!$F$2:$F$2500,'Chapter Data'!$A$2:$A$2500,P$2,'Chapter Data'!$D$2:$D$2500,$A35)))</f>
        <v/>
      </c>
      <c r="Q35" s="19" t="str">
        <f aca="false">IF($A35="","",IF(COUNTIFS('Chapter Data'!$A$2:$A$2500,Q$2,'Chapter Data'!$D$2:$D$2500,$A35,'Chapter Data'!$F$2:$F$2500,"&lt;&gt;")=0,"",SUMIFS('Chapter Data'!$F$2:$F$2500,'Chapter Data'!$A$2:$A$2500,Q$2,'Chapter Data'!$D$2:$D$2500,$A35)))</f>
        <v/>
      </c>
      <c r="R35" s="19" t="str">
        <f aca="false">IF($A35="","",IF(COUNTIFS('Chapter Data'!$A$2:$A$2500,R$2,'Chapter Data'!$D$2:$D$2500,$A35,'Chapter Data'!$F$2:$F$2500,"&lt;&gt;")=0,"",SUMIFS('Chapter Data'!$F$2:$F$2500,'Chapter Data'!$A$2:$A$2500,R$2,'Chapter Data'!$D$2:$D$2500,$A35)))</f>
        <v/>
      </c>
      <c r="S35" s="19" t="str">
        <f aca="false">IF($A35="","",IF(COUNTIFS('Chapter Data'!$A$2:$A$2500,S$2,'Chapter Data'!$D$2:$D$2500,$A35,'Chapter Data'!$F$2:$F$2500,"&lt;&gt;")=0,"",SUMIFS('Chapter Data'!$F$2:$F$2500,'Chapter Data'!$A$2:$A$2500,S$2,'Chapter Data'!$D$2:$D$2500,$A35)))</f>
        <v/>
      </c>
      <c r="T35" s="19" t="str">
        <f aca="false">IF($A35="","",IF(COUNTIFS('Chapter Data'!$A$2:$A$2500,T$2,'Chapter Data'!$D$2:$D$2500,$A35,'Chapter Data'!$F$2:$F$2500,"&lt;&gt;")=0,"",SUMIFS('Chapter Data'!$F$2:$F$2500,'Chapter Data'!$A$2:$A$2500,T$2,'Chapter Data'!$D$2:$D$2500,$A35)))</f>
        <v/>
      </c>
      <c r="U35" s="19" t="str">
        <f aca="false">IF($A35="","",IF(COUNTIFS('Chapter Data'!$A$2:$A$2500,U$2,'Chapter Data'!$D$2:$D$2500,$A35,'Chapter Data'!$F$2:$F$2500,"&lt;&gt;")=0,"",SUMIFS('Chapter Data'!$F$2:$F$2500,'Chapter Data'!$A$2:$A$2500,U$2,'Chapter Data'!$D$2:$D$2500,$A35)))</f>
        <v/>
      </c>
    </row>
    <row r="36" customFormat="false" ht="15" hidden="false" customHeight="false" outlineLevel="0" collapsed="false">
      <c r="A36" s="8" t="str">
        <f aca="false">IF(Lists!$D$35="","",Lists!$D$35)</f>
        <v/>
      </c>
      <c r="B36" s="19" t="str">
        <f aca="false">IF($A36="","",IF(COUNTIFS('Chapter Data'!$A$2:$A$2500,B$2,'Chapter Data'!$D$2:$D$2500,$A36,'Chapter Data'!$F$2:$F$2500,"&lt;&gt;")=0,"",SUMIFS('Chapter Data'!$F$2:$F$2500,'Chapter Data'!$A$2:$A$2500,B$2,'Chapter Data'!$D$2:$D$2500,$A36)))</f>
        <v/>
      </c>
      <c r="C36" s="19" t="str">
        <f aca="false">IF($A36="","",IF(COUNTIFS('Chapter Data'!$A$2:$A$2500,C$2,'Chapter Data'!$D$2:$D$2500,$A36,'Chapter Data'!$F$2:$F$2500,"&lt;&gt;")=0,"",SUMIFS('Chapter Data'!$F$2:$F$2500,'Chapter Data'!$A$2:$A$2500,C$2,'Chapter Data'!$D$2:$D$2500,$A36)))</f>
        <v/>
      </c>
      <c r="D36" s="19" t="str">
        <f aca="false">IF($A36="","",IF(COUNTIFS('Chapter Data'!$A$2:$A$2500,D$2,'Chapter Data'!$D$2:$D$2500,$A36,'Chapter Data'!$F$2:$F$2500,"&lt;&gt;")=0,"",SUMIFS('Chapter Data'!$F$2:$F$2500,'Chapter Data'!$A$2:$A$2500,D$2,'Chapter Data'!$D$2:$D$2500,$A36)))</f>
        <v/>
      </c>
      <c r="E36" s="19" t="str">
        <f aca="false">IF($A36="","",IF(COUNTIFS('Chapter Data'!$A$2:$A$2500,E$2,'Chapter Data'!$D$2:$D$2500,$A36,'Chapter Data'!$F$2:$F$2500,"&lt;&gt;")=0,"",SUMIFS('Chapter Data'!$F$2:$F$2500,'Chapter Data'!$A$2:$A$2500,E$2,'Chapter Data'!$D$2:$D$2500,$A36)))</f>
        <v/>
      </c>
      <c r="F36" s="19" t="str">
        <f aca="false">IF($A36="","",IF(COUNTIFS('Chapter Data'!$A$2:$A$2500,F$2,'Chapter Data'!$D$2:$D$2500,$A36,'Chapter Data'!$F$2:$F$2500,"&lt;&gt;")=0,"",SUMIFS('Chapter Data'!$F$2:$F$2500,'Chapter Data'!$A$2:$A$2500,F$2,'Chapter Data'!$D$2:$D$2500,$A36)))</f>
        <v/>
      </c>
      <c r="G36" s="19" t="str">
        <f aca="false">IF($A36="","",IF(COUNTIFS('Chapter Data'!$A$2:$A$2500,G$2,'Chapter Data'!$D$2:$D$2500,$A36,'Chapter Data'!$F$2:$F$2500,"&lt;&gt;")=0,"",SUMIFS('Chapter Data'!$F$2:$F$2500,'Chapter Data'!$A$2:$A$2500,G$2,'Chapter Data'!$D$2:$D$2500,$A36)))</f>
        <v/>
      </c>
      <c r="H36" s="19" t="str">
        <f aca="false">IF($A36="","",IF(COUNTIFS('Chapter Data'!$A$2:$A$2500,H$2,'Chapter Data'!$D$2:$D$2500,$A36,'Chapter Data'!$F$2:$F$2500,"&lt;&gt;")=0,"",SUMIFS('Chapter Data'!$F$2:$F$2500,'Chapter Data'!$A$2:$A$2500,H$2,'Chapter Data'!$D$2:$D$2500,$A36)))</f>
        <v/>
      </c>
      <c r="I36" s="19" t="str">
        <f aca="false">IF($A36="","",IF(COUNTIFS('Chapter Data'!$A$2:$A$2500,I$2,'Chapter Data'!$D$2:$D$2500,$A36,'Chapter Data'!$F$2:$F$2500,"&lt;&gt;")=0,"",SUMIFS('Chapter Data'!$F$2:$F$2500,'Chapter Data'!$A$2:$A$2500,I$2,'Chapter Data'!$D$2:$D$2500,$A36)))</f>
        <v/>
      </c>
      <c r="J36" s="19" t="str">
        <f aca="false">IF($A36="","",IF(COUNTIFS('Chapter Data'!$A$2:$A$2500,J$2,'Chapter Data'!$D$2:$D$2500,$A36,'Chapter Data'!$F$2:$F$2500,"&lt;&gt;")=0,"",SUMIFS('Chapter Data'!$F$2:$F$2500,'Chapter Data'!$A$2:$A$2500,J$2,'Chapter Data'!$D$2:$D$2500,$A36)))</f>
        <v/>
      </c>
      <c r="K36" s="19" t="str">
        <f aca="false">IF($A36="","",IF(COUNTIFS('Chapter Data'!$A$2:$A$2500,K$2,'Chapter Data'!$D$2:$D$2500,$A36,'Chapter Data'!$F$2:$F$2500,"&lt;&gt;")=0,"",SUMIFS('Chapter Data'!$F$2:$F$2500,'Chapter Data'!$A$2:$A$2500,K$2,'Chapter Data'!$D$2:$D$2500,$A36)))</f>
        <v/>
      </c>
      <c r="L36" s="19" t="str">
        <f aca="false">IF($A36="","",IF(COUNTIFS('Chapter Data'!$A$2:$A$2500,L$2,'Chapter Data'!$D$2:$D$2500,$A36,'Chapter Data'!$F$2:$F$2500,"&lt;&gt;")=0,"",SUMIFS('Chapter Data'!$F$2:$F$2500,'Chapter Data'!$A$2:$A$2500,L$2,'Chapter Data'!$D$2:$D$2500,$A36)))</f>
        <v/>
      </c>
      <c r="M36" s="19" t="str">
        <f aca="false">IF($A36="","",IF(COUNTIFS('Chapter Data'!$A$2:$A$2500,M$2,'Chapter Data'!$D$2:$D$2500,$A36,'Chapter Data'!$F$2:$F$2500,"&lt;&gt;")=0,"",SUMIFS('Chapter Data'!$F$2:$F$2500,'Chapter Data'!$A$2:$A$2500,M$2,'Chapter Data'!$D$2:$D$2500,$A36)))</f>
        <v/>
      </c>
      <c r="N36" s="19" t="str">
        <f aca="false">IF($A36="","",IF(COUNTIFS('Chapter Data'!$A$2:$A$2500,N$2,'Chapter Data'!$D$2:$D$2500,$A36,'Chapter Data'!$F$2:$F$2500,"&lt;&gt;")=0,"",SUMIFS('Chapter Data'!$F$2:$F$2500,'Chapter Data'!$A$2:$A$2500,N$2,'Chapter Data'!$D$2:$D$2500,$A36)))</f>
        <v/>
      </c>
      <c r="O36" s="19" t="str">
        <f aca="false">IF($A36="","",IF(COUNTIFS('Chapter Data'!$A$2:$A$2500,O$2,'Chapter Data'!$D$2:$D$2500,$A36,'Chapter Data'!$F$2:$F$2500,"&lt;&gt;")=0,"",SUMIFS('Chapter Data'!$F$2:$F$2500,'Chapter Data'!$A$2:$A$2500,O$2,'Chapter Data'!$D$2:$D$2500,$A36)))</f>
        <v/>
      </c>
      <c r="P36" s="19" t="str">
        <f aca="false">IF($A36="","",IF(COUNTIFS('Chapter Data'!$A$2:$A$2500,P$2,'Chapter Data'!$D$2:$D$2500,$A36,'Chapter Data'!$F$2:$F$2500,"&lt;&gt;")=0,"",SUMIFS('Chapter Data'!$F$2:$F$2500,'Chapter Data'!$A$2:$A$2500,P$2,'Chapter Data'!$D$2:$D$2500,$A36)))</f>
        <v/>
      </c>
      <c r="Q36" s="19" t="str">
        <f aca="false">IF($A36="","",IF(COUNTIFS('Chapter Data'!$A$2:$A$2500,Q$2,'Chapter Data'!$D$2:$D$2500,$A36,'Chapter Data'!$F$2:$F$2500,"&lt;&gt;")=0,"",SUMIFS('Chapter Data'!$F$2:$F$2500,'Chapter Data'!$A$2:$A$2500,Q$2,'Chapter Data'!$D$2:$D$2500,$A36)))</f>
        <v/>
      </c>
      <c r="R36" s="19" t="str">
        <f aca="false">IF($A36="","",IF(COUNTIFS('Chapter Data'!$A$2:$A$2500,R$2,'Chapter Data'!$D$2:$D$2500,$A36,'Chapter Data'!$F$2:$F$2500,"&lt;&gt;")=0,"",SUMIFS('Chapter Data'!$F$2:$F$2500,'Chapter Data'!$A$2:$A$2500,R$2,'Chapter Data'!$D$2:$D$2500,$A36)))</f>
        <v/>
      </c>
      <c r="S36" s="19" t="str">
        <f aca="false">IF($A36="","",IF(COUNTIFS('Chapter Data'!$A$2:$A$2500,S$2,'Chapter Data'!$D$2:$D$2500,$A36,'Chapter Data'!$F$2:$F$2500,"&lt;&gt;")=0,"",SUMIFS('Chapter Data'!$F$2:$F$2500,'Chapter Data'!$A$2:$A$2500,S$2,'Chapter Data'!$D$2:$D$2500,$A36)))</f>
        <v/>
      </c>
      <c r="T36" s="19" t="str">
        <f aca="false">IF($A36="","",IF(COUNTIFS('Chapter Data'!$A$2:$A$2500,T$2,'Chapter Data'!$D$2:$D$2500,$A36,'Chapter Data'!$F$2:$F$2500,"&lt;&gt;")=0,"",SUMIFS('Chapter Data'!$F$2:$F$2500,'Chapter Data'!$A$2:$A$2500,T$2,'Chapter Data'!$D$2:$D$2500,$A36)))</f>
        <v/>
      </c>
      <c r="U36" s="19" t="str">
        <f aca="false">IF($A36="","",IF(COUNTIFS('Chapter Data'!$A$2:$A$2500,U$2,'Chapter Data'!$D$2:$D$2500,$A36,'Chapter Data'!$F$2:$F$2500,"&lt;&gt;")=0,"",SUMIFS('Chapter Data'!$F$2:$F$2500,'Chapter Data'!$A$2:$A$2500,U$2,'Chapter Data'!$D$2:$D$2500,$A36)))</f>
        <v/>
      </c>
    </row>
    <row r="37" customFormat="false" ht="15" hidden="false" customHeight="false" outlineLevel="0" collapsed="false">
      <c r="A37" s="8" t="str">
        <f aca="false">IF(Lists!$D$36="","",Lists!$D$36)</f>
        <v/>
      </c>
      <c r="B37" s="19" t="str">
        <f aca="false">IF($A37="","",IF(COUNTIFS('Chapter Data'!$A$2:$A$2500,B$2,'Chapter Data'!$D$2:$D$2500,$A37,'Chapter Data'!$F$2:$F$2500,"&lt;&gt;")=0,"",SUMIFS('Chapter Data'!$F$2:$F$2500,'Chapter Data'!$A$2:$A$2500,B$2,'Chapter Data'!$D$2:$D$2500,$A37)))</f>
        <v/>
      </c>
      <c r="C37" s="19" t="str">
        <f aca="false">IF($A37="","",IF(COUNTIFS('Chapter Data'!$A$2:$A$2500,C$2,'Chapter Data'!$D$2:$D$2500,$A37,'Chapter Data'!$F$2:$F$2500,"&lt;&gt;")=0,"",SUMIFS('Chapter Data'!$F$2:$F$2500,'Chapter Data'!$A$2:$A$2500,C$2,'Chapter Data'!$D$2:$D$2500,$A37)))</f>
        <v/>
      </c>
      <c r="D37" s="19" t="str">
        <f aca="false">IF($A37="","",IF(COUNTIFS('Chapter Data'!$A$2:$A$2500,D$2,'Chapter Data'!$D$2:$D$2500,$A37,'Chapter Data'!$F$2:$F$2500,"&lt;&gt;")=0,"",SUMIFS('Chapter Data'!$F$2:$F$2500,'Chapter Data'!$A$2:$A$2500,D$2,'Chapter Data'!$D$2:$D$2500,$A37)))</f>
        <v/>
      </c>
      <c r="E37" s="19" t="str">
        <f aca="false">IF($A37="","",IF(COUNTIFS('Chapter Data'!$A$2:$A$2500,E$2,'Chapter Data'!$D$2:$D$2500,$A37,'Chapter Data'!$F$2:$F$2500,"&lt;&gt;")=0,"",SUMIFS('Chapter Data'!$F$2:$F$2500,'Chapter Data'!$A$2:$A$2500,E$2,'Chapter Data'!$D$2:$D$2500,$A37)))</f>
        <v/>
      </c>
      <c r="F37" s="19" t="str">
        <f aca="false">IF($A37="","",IF(COUNTIFS('Chapter Data'!$A$2:$A$2500,F$2,'Chapter Data'!$D$2:$D$2500,$A37,'Chapter Data'!$F$2:$F$2500,"&lt;&gt;")=0,"",SUMIFS('Chapter Data'!$F$2:$F$2500,'Chapter Data'!$A$2:$A$2500,F$2,'Chapter Data'!$D$2:$D$2500,$A37)))</f>
        <v/>
      </c>
      <c r="G37" s="19" t="str">
        <f aca="false">IF($A37="","",IF(COUNTIFS('Chapter Data'!$A$2:$A$2500,G$2,'Chapter Data'!$D$2:$D$2500,$A37,'Chapter Data'!$F$2:$F$2500,"&lt;&gt;")=0,"",SUMIFS('Chapter Data'!$F$2:$F$2500,'Chapter Data'!$A$2:$A$2500,G$2,'Chapter Data'!$D$2:$D$2500,$A37)))</f>
        <v/>
      </c>
      <c r="H37" s="19" t="str">
        <f aca="false">IF($A37="","",IF(COUNTIFS('Chapter Data'!$A$2:$A$2500,H$2,'Chapter Data'!$D$2:$D$2500,$A37,'Chapter Data'!$F$2:$F$2500,"&lt;&gt;")=0,"",SUMIFS('Chapter Data'!$F$2:$F$2500,'Chapter Data'!$A$2:$A$2500,H$2,'Chapter Data'!$D$2:$D$2500,$A37)))</f>
        <v/>
      </c>
      <c r="I37" s="19" t="str">
        <f aca="false">IF($A37="","",IF(COUNTIFS('Chapter Data'!$A$2:$A$2500,I$2,'Chapter Data'!$D$2:$D$2500,$A37,'Chapter Data'!$F$2:$F$2500,"&lt;&gt;")=0,"",SUMIFS('Chapter Data'!$F$2:$F$2500,'Chapter Data'!$A$2:$A$2500,I$2,'Chapter Data'!$D$2:$D$2500,$A37)))</f>
        <v/>
      </c>
      <c r="J37" s="19" t="str">
        <f aca="false">IF($A37="","",IF(COUNTIFS('Chapter Data'!$A$2:$A$2500,J$2,'Chapter Data'!$D$2:$D$2500,$A37,'Chapter Data'!$F$2:$F$2500,"&lt;&gt;")=0,"",SUMIFS('Chapter Data'!$F$2:$F$2500,'Chapter Data'!$A$2:$A$2500,J$2,'Chapter Data'!$D$2:$D$2500,$A37)))</f>
        <v/>
      </c>
      <c r="K37" s="19" t="str">
        <f aca="false">IF($A37="","",IF(COUNTIFS('Chapter Data'!$A$2:$A$2500,K$2,'Chapter Data'!$D$2:$D$2500,$A37,'Chapter Data'!$F$2:$F$2500,"&lt;&gt;")=0,"",SUMIFS('Chapter Data'!$F$2:$F$2500,'Chapter Data'!$A$2:$A$2500,K$2,'Chapter Data'!$D$2:$D$2500,$A37)))</f>
        <v/>
      </c>
      <c r="L37" s="19" t="str">
        <f aca="false">IF($A37="","",IF(COUNTIFS('Chapter Data'!$A$2:$A$2500,L$2,'Chapter Data'!$D$2:$D$2500,$A37,'Chapter Data'!$F$2:$F$2500,"&lt;&gt;")=0,"",SUMIFS('Chapter Data'!$F$2:$F$2500,'Chapter Data'!$A$2:$A$2500,L$2,'Chapter Data'!$D$2:$D$2500,$A37)))</f>
        <v/>
      </c>
      <c r="M37" s="19" t="str">
        <f aca="false">IF($A37="","",IF(COUNTIFS('Chapter Data'!$A$2:$A$2500,M$2,'Chapter Data'!$D$2:$D$2500,$A37,'Chapter Data'!$F$2:$F$2500,"&lt;&gt;")=0,"",SUMIFS('Chapter Data'!$F$2:$F$2500,'Chapter Data'!$A$2:$A$2500,M$2,'Chapter Data'!$D$2:$D$2500,$A37)))</f>
        <v/>
      </c>
      <c r="N37" s="19" t="str">
        <f aca="false">IF($A37="","",IF(COUNTIFS('Chapter Data'!$A$2:$A$2500,N$2,'Chapter Data'!$D$2:$D$2500,$A37,'Chapter Data'!$F$2:$F$2500,"&lt;&gt;")=0,"",SUMIFS('Chapter Data'!$F$2:$F$2500,'Chapter Data'!$A$2:$A$2500,N$2,'Chapter Data'!$D$2:$D$2500,$A37)))</f>
        <v/>
      </c>
      <c r="O37" s="19" t="str">
        <f aca="false">IF($A37="","",IF(COUNTIFS('Chapter Data'!$A$2:$A$2500,O$2,'Chapter Data'!$D$2:$D$2500,$A37,'Chapter Data'!$F$2:$F$2500,"&lt;&gt;")=0,"",SUMIFS('Chapter Data'!$F$2:$F$2500,'Chapter Data'!$A$2:$A$2500,O$2,'Chapter Data'!$D$2:$D$2500,$A37)))</f>
        <v/>
      </c>
      <c r="P37" s="19" t="str">
        <f aca="false">IF($A37="","",IF(COUNTIFS('Chapter Data'!$A$2:$A$2500,P$2,'Chapter Data'!$D$2:$D$2500,$A37,'Chapter Data'!$F$2:$F$2500,"&lt;&gt;")=0,"",SUMIFS('Chapter Data'!$F$2:$F$2500,'Chapter Data'!$A$2:$A$2500,P$2,'Chapter Data'!$D$2:$D$2500,$A37)))</f>
        <v/>
      </c>
      <c r="Q37" s="19" t="str">
        <f aca="false">IF($A37="","",IF(COUNTIFS('Chapter Data'!$A$2:$A$2500,Q$2,'Chapter Data'!$D$2:$D$2500,$A37,'Chapter Data'!$F$2:$F$2500,"&lt;&gt;")=0,"",SUMIFS('Chapter Data'!$F$2:$F$2500,'Chapter Data'!$A$2:$A$2500,Q$2,'Chapter Data'!$D$2:$D$2500,$A37)))</f>
        <v/>
      </c>
      <c r="R37" s="19" t="str">
        <f aca="false">IF($A37="","",IF(COUNTIFS('Chapter Data'!$A$2:$A$2500,R$2,'Chapter Data'!$D$2:$D$2500,$A37,'Chapter Data'!$F$2:$F$2500,"&lt;&gt;")=0,"",SUMIFS('Chapter Data'!$F$2:$F$2500,'Chapter Data'!$A$2:$A$2500,R$2,'Chapter Data'!$D$2:$D$2500,$A37)))</f>
        <v/>
      </c>
      <c r="S37" s="19" t="str">
        <f aca="false">IF($A37="","",IF(COUNTIFS('Chapter Data'!$A$2:$A$2500,S$2,'Chapter Data'!$D$2:$D$2500,$A37,'Chapter Data'!$F$2:$F$2500,"&lt;&gt;")=0,"",SUMIFS('Chapter Data'!$F$2:$F$2500,'Chapter Data'!$A$2:$A$2500,S$2,'Chapter Data'!$D$2:$D$2500,$A37)))</f>
        <v/>
      </c>
      <c r="T37" s="19" t="str">
        <f aca="false">IF($A37="","",IF(COUNTIFS('Chapter Data'!$A$2:$A$2500,T$2,'Chapter Data'!$D$2:$D$2500,$A37,'Chapter Data'!$F$2:$F$2500,"&lt;&gt;")=0,"",SUMIFS('Chapter Data'!$F$2:$F$2500,'Chapter Data'!$A$2:$A$2500,T$2,'Chapter Data'!$D$2:$D$2500,$A37)))</f>
        <v/>
      </c>
      <c r="U37" s="19" t="str">
        <f aca="false">IF($A37="","",IF(COUNTIFS('Chapter Data'!$A$2:$A$2500,U$2,'Chapter Data'!$D$2:$D$2500,$A37,'Chapter Data'!$F$2:$F$2500,"&lt;&gt;")=0,"",SUMIFS('Chapter Data'!$F$2:$F$2500,'Chapter Data'!$A$2:$A$2500,U$2,'Chapter Data'!$D$2:$D$2500,$A37)))</f>
        <v/>
      </c>
    </row>
    <row r="39" customFormat="false" ht="15" hidden="false" customHeight="false" outlineLevel="0" collapsed="false">
      <c r="A39" s="2" t="s">
        <v>237</v>
      </c>
      <c r="B39" s="34" t="n">
        <f aca="false">COUNT(B$3:B$37)</f>
        <v>25</v>
      </c>
      <c r="C39" s="34" t="n">
        <f aca="false">COUNT(C$3:C$37)</f>
        <v>25</v>
      </c>
      <c r="D39" s="34" t="n">
        <f aca="false">COUNT(D$3:D$37)</f>
        <v>27</v>
      </c>
      <c r="E39" s="34" t="n">
        <f aca="false">COUNT(E$3:E$37)</f>
        <v>0</v>
      </c>
      <c r="F39" s="34" t="n">
        <f aca="false">COUNT(F$3:F$37)</f>
        <v>26</v>
      </c>
      <c r="G39" s="34" t="n">
        <f aca="false">COUNT(G$3:G$37)</f>
        <v>26</v>
      </c>
      <c r="H39" s="34" t="n">
        <f aca="false">COUNT(H$3:H$37)</f>
        <v>25</v>
      </c>
      <c r="I39" s="34" t="n">
        <f aca="false">COUNT(I$3:I$37)</f>
        <v>0</v>
      </c>
      <c r="J39" s="34" t="n">
        <f aca="false">COUNT(J$3:J$37)</f>
        <v>24</v>
      </c>
      <c r="K39" s="34" t="n">
        <f aca="false">COUNT(K$3:K$37)</f>
        <v>17</v>
      </c>
      <c r="L39" s="34" t="n">
        <f aca="false">COUNT(L$3:L$37)</f>
        <v>0</v>
      </c>
      <c r="M39" s="34" t="n">
        <f aca="false">COUNT(M$3:M$37)</f>
        <v>25</v>
      </c>
      <c r="N39" s="34" t="n">
        <f aca="false">COUNT(N$3:N$37)</f>
        <v>26</v>
      </c>
      <c r="O39" s="34" t="n">
        <f aca="false">COUNT(O$3:O$37)</f>
        <v>24</v>
      </c>
      <c r="P39" s="34" t="n">
        <f aca="false">COUNT(P$3:P$37)</f>
        <v>25</v>
      </c>
      <c r="Q39" s="34" t="n">
        <f aca="false">COUNT(Q$3:Q$37)</f>
        <v>23</v>
      </c>
      <c r="R39" s="34" t="n">
        <f aca="false">COUNT(R$3:R$37)</f>
        <v>0</v>
      </c>
      <c r="S39" s="34" t="n">
        <f aca="false">COUNT(S$3:S$37)</f>
        <v>0</v>
      </c>
      <c r="T39" s="34" t="n">
        <f aca="false">COUNT(T$3:T$37)</f>
        <v>0</v>
      </c>
      <c r="U39" s="34" t="n">
        <f aca="false">COUNT(U$3:U$37)</f>
        <v>0</v>
      </c>
    </row>
    <row r="40" customFormat="false" ht="15" hidden="false" customHeight="false" outlineLevel="0" collapsed="false">
      <c r="A40" s="2" t="s">
        <v>243</v>
      </c>
      <c r="B40" s="34" t="n">
        <f aca="false">IF(COUNT(B$3:B$37)&gt;=MinChapters,SUM(B$3:B$37),"")</f>
        <v>486</v>
      </c>
      <c r="C40" s="34" t="n">
        <f aca="false">IF(COUNT(C$3:C$37)&gt;=MinChapters,SUM(C$3:C$37),"")</f>
        <v>68</v>
      </c>
      <c r="D40" s="34" t="n">
        <f aca="false">IF(COUNT(D$3:D$37)&gt;=MinChapters,SUM(D$3:D$37),"")</f>
        <v>567</v>
      </c>
      <c r="E40" s="34" t="str">
        <f aca="false">IF(COUNT(E$3:E$37)&gt;=MinChapters,SUM(E$3:E$37),"")</f>
        <v/>
      </c>
      <c r="F40" s="34" t="n">
        <f aca="false">IF(COUNT(F$3:F$37)&gt;=MinChapters,SUM(F$3:F$37),"")</f>
        <v>546</v>
      </c>
      <c r="G40" s="34" t="n">
        <f aca="false">IF(COUNT(G$3:G$37)&gt;=MinChapters,SUM(G$3:G$37),"")</f>
        <v>87</v>
      </c>
      <c r="H40" s="34" t="n">
        <f aca="false">IF(COUNT(H$3:H$37)&gt;=MinChapters,SUM(H$3:H$37),"")</f>
        <v>525</v>
      </c>
      <c r="I40" s="34" t="str">
        <f aca="false">IF(COUNT(I$3:I$37)&gt;=MinChapters,SUM(I$3:I$37),"")</f>
        <v/>
      </c>
      <c r="J40" s="34" t="n">
        <f aca="false">IF(COUNT(J$3:J$37)&gt;=MinChapters,SUM(J$3:J$37),"")</f>
        <v>475</v>
      </c>
      <c r="K40" s="34" t="n">
        <f aca="false">IF(COUNT(K$3:K$37)&gt;=MinChapters,SUM(K$3:K$37),"")</f>
        <v>101</v>
      </c>
      <c r="L40" s="34" t="str">
        <f aca="false">IF(COUNT(L$3:L$37)&gt;=MinChapters,SUM(L$3:L$37),"")</f>
        <v/>
      </c>
      <c r="M40" s="34" t="n">
        <f aca="false">IF(COUNT(M$3:M$37)&gt;=MinChapters,SUM(M$3:M$37),"")</f>
        <v>95</v>
      </c>
      <c r="N40" s="34" t="n">
        <f aca="false">IF(COUNT(N$3:N$37)&gt;=MinChapters,SUM(N$3:N$37),"")</f>
        <v>553</v>
      </c>
      <c r="O40" s="34" t="n">
        <f aca="false">IF(COUNT(O$3:O$37)&gt;=MinChapters,SUM(O$3:O$37),"")</f>
        <v>115</v>
      </c>
      <c r="P40" s="34" t="n">
        <f aca="false">IF(COUNT(P$3:P$37)&gt;=MinChapters,SUM(P$3:P$37),"")</f>
        <v>551</v>
      </c>
      <c r="Q40" s="34" t="n">
        <f aca="false">IF(COUNT(Q$3:Q$37)&gt;=MinChapters,SUM(Q$3:Q$37),"")</f>
        <v>95</v>
      </c>
      <c r="R40" s="34" t="str">
        <f aca="false">IF(COUNT(R$3:R$37)&gt;=MinChapters,SUM(R$3:R$37),"")</f>
        <v/>
      </c>
      <c r="S40" s="34" t="str">
        <f aca="false">IF(COUNT(S$3:S$37)&gt;=MinChapters,SUM(S$3:S$37),"")</f>
        <v/>
      </c>
      <c r="T40" s="34" t="str">
        <f aca="false">IF(COUNT(T$3:T$37)&gt;=MinChapters,SUM(T$3:T$37),"")</f>
        <v/>
      </c>
      <c r="U40" s="34" t="str">
        <f aca="false">IF(COUNT(U$3:U$37)&gt;=MinChapters,SUM(U$3:U$37),"")</f>
        <v/>
      </c>
    </row>
    <row r="41" customFormat="false" ht="15" hidden="false" customHeight="false" outlineLevel="0" collapsed="false">
      <c r="A41" s="2" t="s">
        <v>239</v>
      </c>
      <c r="B41" s="38" t="n">
        <f aca="false">IF(COUNT(B$3:B$37)&gt;=MinChapters,AVERAGE(B$3:B$37),"")</f>
        <v>19.44</v>
      </c>
      <c r="C41" s="38" t="n">
        <f aca="false">IF(COUNT(C$3:C$37)&gt;=MinChapters,AVERAGE(C$3:C$37),"")</f>
        <v>2.72</v>
      </c>
      <c r="D41" s="38" t="n">
        <f aca="false">IF(COUNT(D$3:D$37)&gt;=MinChapters,AVERAGE(D$3:D$37),"")</f>
        <v>21</v>
      </c>
      <c r="E41" s="38" t="str">
        <f aca="false">IF(COUNT(E$3:E$37)&gt;=MinChapters,AVERAGE(E$3:E$37),"")</f>
        <v/>
      </c>
      <c r="F41" s="38" t="n">
        <f aca="false">IF(COUNT(F$3:F$37)&gt;=MinChapters,AVERAGE(F$3:F$37),"")</f>
        <v>21</v>
      </c>
      <c r="G41" s="38" t="n">
        <f aca="false">IF(COUNT(G$3:G$37)&gt;=MinChapters,AVERAGE(G$3:G$37),"")</f>
        <v>3.34615384615385</v>
      </c>
      <c r="H41" s="38" t="n">
        <f aca="false">IF(COUNT(H$3:H$37)&gt;=MinChapters,AVERAGE(H$3:H$37),"")</f>
        <v>21</v>
      </c>
      <c r="I41" s="38" t="str">
        <f aca="false">IF(COUNT(I$3:I$37)&gt;=MinChapters,AVERAGE(I$3:I$37),"")</f>
        <v/>
      </c>
      <c r="J41" s="38" t="n">
        <f aca="false">IF(COUNT(J$3:J$37)&gt;=MinChapters,AVERAGE(J$3:J$37),"")</f>
        <v>19.7916666666667</v>
      </c>
      <c r="K41" s="38" t="n">
        <f aca="false">IF(COUNT(K$3:K$37)&gt;=MinChapters,AVERAGE(K$3:K$37),"")</f>
        <v>5.94117647058824</v>
      </c>
      <c r="L41" s="38" t="str">
        <f aca="false">IF(COUNT(L$3:L$37)&gt;=MinChapters,AVERAGE(L$3:L$37),"")</f>
        <v/>
      </c>
      <c r="M41" s="38" t="n">
        <f aca="false">IF(COUNT(M$3:M$37)&gt;=MinChapters,AVERAGE(M$3:M$37),"")</f>
        <v>3.8</v>
      </c>
      <c r="N41" s="38" t="n">
        <f aca="false">IF(COUNT(N$3:N$37)&gt;=MinChapters,AVERAGE(N$3:N$37),"")</f>
        <v>21.2692307692308</v>
      </c>
      <c r="O41" s="38" t="n">
        <f aca="false">IF(COUNT(O$3:O$37)&gt;=MinChapters,AVERAGE(O$3:O$37),"")</f>
        <v>4.79166666666667</v>
      </c>
      <c r="P41" s="38" t="n">
        <f aca="false">IF(COUNT(P$3:P$37)&gt;=MinChapters,AVERAGE(P$3:P$37),"")</f>
        <v>22.04</v>
      </c>
      <c r="Q41" s="38" t="n">
        <f aca="false">IF(COUNT(Q$3:Q$37)&gt;=MinChapters,AVERAGE(Q$3:Q$37),"")</f>
        <v>4.1304347826087</v>
      </c>
      <c r="R41" s="38" t="str">
        <f aca="false">IF(COUNT(R$3:R$37)&gt;=MinChapters,AVERAGE(R$3:R$37),"")</f>
        <v/>
      </c>
      <c r="S41" s="38" t="str">
        <f aca="false">IF(COUNT(S$3:S$37)&gt;=MinChapters,AVERAGE(S$3:S$37),"")</f>
        <v/>
      </c>
      <c r="T41" s="38" t="str">
        <f aca="false">IF(COUNT(T$3:T$37)&gt;=MinChapters,AVERAGE(T$3:T$37),"")</f>
        <v/>
      </c>
      <c r="U41" s="38" t="str">
        <f aca="false">IF(COUNT(U$3:U$37)&gt;=MinChapters,AVERAGE(U$3:U$37),"")</f>
        <v/>
      </c>
    </row>
    <row r="42" customFormat="false" ht="15" hidden="false" customHeight="false" outlineLevel="0" collapsed="false">
      <c r="A42" s="2" t="s">
        <v>231</v>
      </c>
      <c r="B42" s="38" t="n">
        <f aca="false">IF(COUNT(B$3:B$37)&gt;=MinChapters,MEDIAN(B$3:B$37),"")</f>
        <v>22</v>
      </c>
      <c r="C42" s="38" t="n">
        <f aca="false">IF(COUNT(C$3:C$37)&gt;=MinChapters,MEDIAN(C$3:C$37),"")</f>
        <v>1</v>
      </c>
      <c r="D42" s="38" t="n">
        <f aca="false">IF(COUNT(D$3:D$37)&gt;=MinChapters,MEDIAN(D$3:D$37),"")</f>
        <v>25</v>
      </c>
      <c r="E42" s="38" t="str">
        <f aca="false">IF(COUNT(E$3:E$37)&gt;=MinChapters,MEDIAN(E$3:E$37),"")</f>
        <v/>
      </c>
      <c r="F42" s="38" t="n">
        <f aca="false">IF(COUNT(F$3:F$37)&gt;=MinChapters,MEDIAN(F$3:F$37),"")</f>
        <v>24</v>
      </c>
      <c r="G42" s="38" t="n">
        <f aca="false">IF(COUNT(G$3:G$37)&gt;=MinChapters,MEDIAN(G$3:G$37),"")</f>
        <v>2</v>
      </c>
      <c r="H42" s="38" t="n">
        <f aca="false">IF(COUNT(H$3:H$37)&gt;=MinChapters,MEDIAN(H$3:H$37),"")</f>
        <v>20</v>
      </c>
      <c r="I42" s="38" t="str">
        <f aca="false">IF(COUNT(I$3:I$37)&gt;=MinChapters,MEDIAN(I$3:I$37),"")</f>
        <v/>
      </c>
      <c r="J42" s="38" t="n">
        <f aca="false">IF(COUNT(J$3:J$37)&gt;=MinChapters,MEDIAN(J$3:J$37),"")</f>
        <v>21.5</v>
      </c>
      <c r="K42" s="38" t="n">
        <f aca="false">IF(COUNT(K$3:K$37)&gt;=MinChapters,MEDIAN(K$3:K$37),"")</f>
        <v>5</v>
      </c>
      <c r="L42" s="38" t="str">
        <f aca="false">IF(COUNT(L$3:L$37)&gt;=MinChapters,MEDIAN(L$3:L$37),"")</f>
        <v/>
      </c>
      <c r="M42" s="38" t="n">
        <f aca="false">IF(COUNT(M$3:M$37)&gt;=MinChapters,MEDIAN(M$3:M$37),"")</f>
        <v>3</v>
      </c>
      <c r="N42" s="38" t="n">
        <f aca="false">IF(COUNT(N$3:N$37)&gt;=MinChapters,MEDIAN(N$3:N$37),"")</f>
        <v>25.5</v>
      </c>
      <c r="O42" s="38" t="n">
        <f aca="false">IF(COUNT(O$3:O$37)&gt;=MinChapters,MEDIAN(O$3:O$37),"")</f>
        <v>4</v>
      </c>
      <c r="P42" s="38" t="n">
        <f aca="false">IF(COUNT(P$3:P$37)&gt;=MinChapters,MEDIAN(P$3:P$37),"")</f>
        <v>25</v>
      </c>
      <c r="Q42" s="38" t="n">
        <f aca="false">IF(COUNT(Q$3:Q$37)&gt;=MinChapters,MEDIAN(Q$3:Q$37),"")</f>
        <v>4</v>
      </c>
      <c r="R42" s="38" t="str">
        <f aca="false">IF(COUNT(R$3:R$37)&gt;=MinChapters,MEDIAN(R$3:R$37),"")</f>
        <v/>
      </c>
      <c r="S42" s="38" t="str">
        <f aca="false">IF(COUNT(S$3:S$37)&gt;=MinChapters,MEDIAN(S$3:S$37),"")</f>
        <v/>
      </c>
      <c r="T42" s="38" t="str">
        <f aca="false">IF(COUNT(T$3:T$37)&gt;=MinChapters,MEDIAN(T$3:T$37),"")</f>
        <v/>
      </c>
      <c r="U42" s="38" t="str">
        <f aca="false">IF(COUNT(U$3:U$37)&gt;=MinChapters,MEDIAN(U$3:U$37),"")</f>
        <v/>
      </c>
    </row>
    <row r="43" customFormat="false" ht="15" hidden="false" customHeight="false" outlineLevel="0" collapsed="false">
      <c r="A43" s="2" t="s">
        <v>4</v>
      </c>
      <c r="B43" s="34" t="n">
        <f aca="false">IFERROR(IF(INDEX(B$3:B$37,MATCH(OurChapter,$A$3:$A$37,0))="","",INDEX(B$3:B$37,MATCH(OurChapter,$A$3:$A$37,0))),"")</f>
        <v>22</v>
      </c>
      <c r="C43" s="34" t="n">
        <f aca="false">IFERROR(IF(INDEX(C$3:C$37,MATCH(OurChapter,$A$3:$A$37,0))="","",INDEX(C$3:C$37,MATCH(OurChapter,$A$3:$A$37,0))),"")</f>
        <v>9</v>
      </c>
      <c r="D43" s="34" t="n">
        <f aca="false">IFERROR(IF(INDEX(D$3:D$37,MATCH(OurChapter,$A$3:$A$37,0))="","",INDEX(D$3:D$37,MATCH(OurChapter,$A$3:$A$37,0))),"")</f>
        <v>25</v>
      </c>
      <c r="E43" s="34" t="str">
        <f aca="false">IFERROR(IF(INDEX(E$3:E$37,MATCH(OurChapter,$A$3:$A$37,0))="","",INDEX(E$3:E$37,MATCH(OurChapter,$A$3:$A$37,0))),"")</f>
        <v/>
      </c>
      <c r="F43" s="34" t="n">
        <f aca="false">IFERROR(IF(INDEX(F$3:F$37,MATCH(OurChapter,$A$3:$A$37,0))="","",INDEX(F$3:F$37,MATCH(OurChapter,$A$3:$A$37,0))),"")</f>
        <v>28</v>
      </c>
      <c r="G43" s="34" t="n">
        <f aca="false">IFERROR(IF(INDEX(G$3:G$37,MATCH(OurChapter,$A$3:$A$37,0))="","",INDEX(G$3:G$37,MATCH(OurChapter,$A$3:$A$37,0))),"")</f>
        <v>10</v>
      </c>
      <c r="H43" s="34" t="n">
        <f aca="false">IFERROR(IF(INDEX(H$3:H$37,MATCH(OurChapter,$A$3:$A$37,0))="","",INDEX(H$3:H$37,MATCH(OurChapter,$A$3:$A$37,0))),"")</f>
        <v>14</v>
      </c>
      <c r="I43" s="34" t="str">
        <f aca="false">IFERROR(IF(INDEX(I$3:I$37,MATCH(OurChapter,$A$3:$A$37,0))="","",INDEX(I$3:I$37,MATCH(OurChapter,$A$3:$A$37,0))),"")</f>
        <v/>
      </c>
      <c r="J43" s="34" t="n">
        <f aca="false">IFERROR(IF(INDEX(J$3:J$37,MATCH(OurChapter,$A$3:$A$37,0))="","",INDEX(J$3:J$37,MATCH(OurChapter,$A$3:$A$37,0))),"")</f>
        <v>17</v>
      </c>
      <c r="K43" s="34" t="n">
        <f aca="false">IFERROR(IF(INDEX(K$3:K$37,MATCH(OurChapter,$A$3:$A$37,0))="","",INDEX(K$3:K$37,MATCH(OurChapter,$A$3:$A$37,0))),"")</f>
        <v>6</v>
      </c>
      <c r="L43" s="34" t="str">
        <f aca="false">IFERROR(IF(INDEX(L$3:L$37,MATCH(OurChapter,$A$3:$A$37,0))="","",INDEX(L$3:L$37,MATCH(OurChapter,$A$3:$A$37,0))),"")</f>
        <v/>
      </c>
      <c r="M43" s="34" t="n">
        <f aca="false">IFERROR(IF(INDEX(M$3:M$37,MATCH(OurChapter,$A$3:$A$37,0))="","",INDEX(M$3:M$37,MATCH(OurChapter,$A$3:$A$37,0))),"")</f>
        <v>5</v>
      </c>
      <c r="N43" s="34" t="n">
        <f aca="false">IFERROR(IF(INDEX(N$3:N$37,MATCH(OurChapter,$A$3:$A$37,0))="","",INDEX(N$3:N$37,MATCH(OurChapter,$A$3:$A$37,0))),"")</f>
        <v>12</v>
      </c>
      <c r="O43" s="34" t="n">
        <f aca="false">IFERROR(IF(INDEX(O$3:O$37,MATCH(OurChapter,$A$3:$A$37,0))="","",INDEX(O$3:O$37,MATCH(OurChapter,$A$3:$A$37,0))),"")</f>
        <v>3</v>
      </c>
      <c r="P43" s="34" t="n">
        <f aca="false">IFERROR(IF(INDEX(P$3:P$37,MATCH(OurChapter,$A$3:$A$37,0))="","",INDEX(P$3:P$37,MATCH(OurChapter,$A$3:$A$37,0))),"")</f>
        <v>12</v>
      </c>
      <c r="Q43" s="34" t="n">
        <f aca="false">IFERROR(IF(INDEX(Q$3:Q$37,MATCH(OurChapter,$A$3:$A$37,0))="","",INDEX(Q$3:Q$37,MATCH(OurChapter,$A$3:$A$37,0))),"")</f>
        <v>6</v>
      </c>
      <c r="R43" s="34" t="str">
        <f aca="false">IFERROR(IF(INDEX(R$3:R$37,MATCH(OurChapter,$A$3:$A$37,0))="","",INDEX(R$3:R$37,MATCH(OurChapter,$A$3:$A$37,0))),"")</f>
        <v/>
      </c>
      <c r="S43" s="34" t="str">
        <f aca="false">IFERROR(IF(INDEX(S$3:S$37,MATCH(OurChapter,$A$3:$A$37,0))="","",INDEX(S$3:S$37,MATCH(OurChapter,$A$3:$A$37,0))),"")</f>
        <v/>
      </c>
      <c r="T43" s="34" t="str">
        <f aca="false">IFERROR(IF(INDEX(T$3:T$37,MATCH(OurChapter,$A$3:$A$37,0))="","",INDEX(T$3:T$37,MATCH(OurChapter,$A$3:$A$37,0))),"")</f>
        <v/>
      </c>
      <c r="U43" s="34" t="str">
        <f aca="false">IFERROR(IF(INDEX(U$3:U$37,MATCH(OurChapter,$A$3:$A$37,0))="","",INDEX(U$3:U$37,MATCH(OurChapter,$A$3:$A$37,0))),"")</f>
        <v/>
      </c>
    </row>
    <row r="44" customFormat="false" ht="15" hidden="false" customHeight="false" outlineLevel="0" collapsed="false">
      <c r="A44" s="2" t="s">
        <v>244</v>
      </c>
      <c r="B44" s="34" t="n">
        <f aca="false">IF(OR(B43="",NOT(COUNT(B$3:B$37)&gt;=MinChapters)),"",COUNTIF(B$3:B$37,"&gt;"&amp;B43)+1)</f>
        <v>13</v>
      </c>
      <c r="C44" s="34" t="n">
        <f aca="false">IF(OR(C43="",NOT(COUNT(C$3:C$37)&gt;=MinChapters)),"",COUNTIF(C$3:C$37,"&gt;"&amp;C43)+1)</f>
        <v>3</v>
      </c>
      <c r="D44" s="34" t="n">
        <f aca="false">IF(OR(D43="",NOT(COUNT(D$3:D$37)&gt;=MinChapters)),"",COUNTIF(D$3:D$37,"&gt;"&amp;D43)+1)</f>
        <v>14</v>
      </c>
      <c r="E44" s="34" t="str">
        <f aca="false">IF(OR(E43="",NOT(COUNT(E$3:E$37)&gt;=MinChapters)),"",COUNTIF(E$3:E$37,"&gt;"&amp;E43)+1)</f>
        <v/>
      </c>
      <c r="F44" s="34" t="n">
        <f aca="false">IF(OR(F43="",NOT(COUNT(F$3:F$37)&gt;=MinChapters)),"",COUNTIF(F$3:F$37,"&gt;"&amp;F43)+1)</f>
        <v>9</v>
      </c>
      <c r="G44" s="34" t="n">
        <f aca="false">IF(OR(G43="",NOT(COUNT(G$3:G$37)&gt;=MinChapters)),"",COUNTIF(G$3:G$37,"&gt;"&amp;G43)+1)</f>
        <v>2</v>
      </c>
      <c r="H44" s="34" t="n">
        <f aca="false">IF(OR(H43="",NOT(COUNT(H$3:H$37)&gt;=MinChapters)),"",COUNTIF(H$3:H$37,"&gt;"&amp;H43)+1)</f>
        <v>16</v>
      </c>
      <c r="I44" s="34" t="str">
        <f aca="false">IF(OR(I43="",NOT(COUNT(I$3:I$37)&gt;=MinChapters)),"",COUNTIF(I$3:I$37,"&gt;"&amp;I43)+1)</f>
        <v/>
      </c>
      <c r="J44" s="34" t="n">
        <f aca="false">IF(OR(J43="",NOT(COUNT(J$3:J$37)&gt;=MinChapters)),"",COUNTIF(J$3:J$37,"&gt;"&amp;J43)+1)</f>
        <v>14</v>
      </c>
      <c r="K44" s="34" t="n">
        <f aca="false">IF(OR(K43="",NOT(COUNT(K$3:K$37)&gt;=MinChapters)),"",COUNTIF(K$3:K$37,"&gt;"&amp;K43)+1)</f>
        <v>6</v>
      </c>
      <c r="L44" s="34" t="str">
        <f aca="false">IF(OR(L43="",NOT(COUNT(L$3:L$37)&gt;=MinChapters)),"",COUNTIF(L$3:L$37,"&gt;"&amp;L43)+1)</f>
        <v/>
      </c>
      <c r="M44" s="34" t="n">
        <f aca="false">IF(OR(M43="",NOT(COUNT(M$3:M$37)&gt;=MinChapters)),"",COUNTIF(M$3:M$37,"&gt;"&amp;M43)+1)</f>
        <v>5</v>
      </c>
      <c r="N44" s="34" t="n">
        <f aca="false">IF(OR(N43="",NOT(COUNT(N$3:N$37)&gt;=MinChapters)),"",COUNTIF(N$3:N$37,"&gt;"&amp;N43)+1)</f>
        <v>16</v>
      </c>
      <c r="O44" s="34" t="n">
        <f aca="false">IF(OR(O43="",NOT(COUNT(O$3:O$37)&gt;=MinChapters)),"",COUNTIF(O$3:O$37,"&gt;"&amp;O43)+1)</f>
        <v>16</v>
      </c>
      <c r="P44" s="34" t="n">
        <f aca="false">IF(OR(P43="",NOT(COUNT(P$3:P$37)&gt;=MinChapters)),"",COUNTIF(P$3:P$37,"&gt;"&amp;P43)+1)</f>
        <v>17</v>
      </c>
      <c r="Q44" s="34" t="n">
        <f aca="false">IF(OR(Q43="",NOT(COUNT(Q$3:Q$37)&gt;=MinChapters)),"",COUNTIF(Q$3:Q$37,"&gt;"&amp;Q43)+1)</f>
        <v>5</v>
      </c>
      <c r="R44" s="34" t="str">
        <f aca="false">IF(OR(R43="",NOT(COUNT(R$3:R$37)&gt;=MinChapters)),"",COUNTIF(R$3:R$37,"&gt;"&amp;R43)+1)</f>
        <v/>
      </c>
      <c r="S44" s="34" t="str">
        <f aca="false">IF(OR(S43="",NOT(COUNT(S$3:S$37)&gt;=MinChapters)),"",COUNTIF(S$3:S$37,"&gt;"&amp;S43)+1)</f>
        <v/>
      </c>
      <c r="T44" s="34" t="str">
        <f aca="false">IF(OR(T43="",NOT(COUNT(T$3:T$37)&gt;=MinChapters)),"",COUNTIF(T$3:T$37,"&gt;"&amp;T43)+1)</f>
        <v/>
      </c>
      <c r="U44" s="34" t="str">
        <f aca="false">IF(OR(U43="",NOT(COUNT(U$3:U$37)&gt;=MinChapters)),"",COUNTIF(U$3:U$37,"&gt;"&amp;U43)+1)</f>
        <v/>
      </c>
    </row>
    <row r="45" customFormat="false" ht="15" hidden="false" customHeight="false" outlineLevel="0" collapsed="false">
      <c r="A45" s="2" t="s">
        <v>245</v>
      </c>
      <c r="B45" s="39" t="n">
        <f aca="false">IF(OR(B43="",B40="",B40=0),"",B43/B40)</f>
        <v>0.0452674897119342</v>
      </c>
      <c r="C45" s="39" t="n">
        <f aca="false">IF(OR(C43="",C40="",C40=0),"",C43/C40)</f>
        <v>0.132352941176471</v>
      </c>
      <c r="D45" s="39" t="n">
        <f aca="false">IF(OR(D43="",D40="",D40=0),"",D43/D40)</f>
        <v>0.0440917107583774</v>
      </c>
      <c r="E45" s="39" t="str">
        <f aca="false">IF(OR(E43="",E40="",E40=0),"",E43/E40)</f>
        <v/>
      </c>
      <c r="F45" s="39" t="n">
        <f aca="false">IF(OR(F43="",F40="",F40=0),"",F43/F40)</f>
        <v>0.0512820512820513</v>
      </c>
      <c r="G45" s="39" t="n">
        <f aca="false">IF(OR(G43="",G40="",G40=0),"",G43/G40)</f>
        <v>0.114942528735632</v>
      </c>
      <c r="H45" s="39" t="n">
        <f aca="false">IF(OR(H43="",H40="",H40=0),"",H43/H40)</f>
        <v>0.0266666666666667</v>
      </c>
      <c r="I45" s="39" t="str">
        <f aca="false">IF(OR(I43="",I40="",I40=0),"",I43/I40)</f>
        <v/>
      </c>
      <c r="J45" s="39" t="n">
        <f aca="false">IF(OR(J43="",J40="",J40=0),"",J43/J40)</f>
        <v>0.0357894736842105</v>
      </c>
      <c r="K45" s="39" t="n">
        <f aca="false">IF(OR(K43="",K40="",K40=0),"",K43/K40)</f>
        <v>0.0594059405940594</v>
      </c>
      <c r="L45" s="39" t="str">
        <f aca="false">IF(OR(L43="",L40="",L40=0),"",L43/L40)</f>
        <v/>
      </c>
      <c r="M45" s="39" t="n">
        <f aca="false">IF(OR(M43="",M40="",M40=0),"",M43/M40)</f>
        <v>0.0526315789473684</v>
      </c>
      <c r="N45" s="39" t="n">
        <f aca="false">IF(OR(N43="",N40="",N40=0),"",N43/N40)</f>
        <v>0.0216998191681736</v>
      </c>
      <c r="O45" s="39" t="n">
        <f aca="false">IF(OR(O43="",O40="",O40=0),"",O43/O40)</f>
        <v>0.0260869565217391</v>
      </c>
      <c r="P45" s="39" t="n">
        <f aca="false">IF(OR(P43="",P40="",P40=0),"",P43/P40)</f>
        <v>0.0217785843920145</v>
      </c>
      <c r="Q45" s="39" t="n">
        <f aca="false">IF(OR(Q43="",Q40="",Q40=0),"",Q43/Q40)</f>
        <v>0.0631578947368421</v>
      </c>
      <c r="R45" s="39" t="str">
        <f aca="false">IF(OR(R43="",R40="",R40=0),"",R43/R40)</f>
        <v/>
      </c>
      <c r="S45" s="39" t="str">
        <f aca="false">IF(OR(S43="",S40="",S40=0),"",S43/S40)</f>
        <v/>
      </c>
      <c r="T45" s="39" t="str">
        <f aca="false">IF(OR(T43="",T40="",T40=0),"",T43/T40)</f>
        <v/>
      </c>
      <c r="U45" s="39" t="str">
        <f aca="false">IF(OR(U43="",U40="",U40=0),"",U43/U40)</f>
        <v/>
      </c>
    </row>
  </sheetData>
  <conditionalFormatting sqref="A3:U37">
    <cfRule type="expression" priority="2" aboveAverage="0" equalAverage="0" bottom="0" percent="0" rank="0" text="" dxfId="2">
      <formula>$A3=OurChapter</formula>
    </cfRule>
  </conditionalFormatting>
  <conditionalFormatting sqref="B3:U37">
    <cfRule type="colorScale" priority="3">
      <colorScale>
        <cfvo type="min" val="0"/>
        <cfvo type="max" val="0"/>
        <color rgb="FFFFFFFF"/>
        <color rgb="FF70AD47"/>
      </colorScale>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5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12"/>
    <col collapsed="false" customWidth="true" hidden="false" outlineLevel="0" max="9" min="2" style="0" width="9"/>
    <col collapsed="false" customWidth="true" hidden="false" outlineLevel="0" max="10" min="10" style="0" width="11"/>
  </cols>
  <sheetData>
    <row r="1" customFormat="false" ht="17.35" hidden="false" customHeight="false" outlineLevel="0" collapsed="false">
      <c r="A1" s="1" t="str">
        <f aca="false">OurChapter&amp;" history since 2010 against the all-campus benchmarks"</f>
        <v>Theta Xi history since 2010 against the all-campus benchmarks</v>
      </c>
    </row>
    <row r="2" customFormat="false" ht="15" hidden="false" customHeight="false" outlineLevel="0" collapsed="false">
      <c r="A2" s="12" t="s">
        <v>246</v>
      </c>
    </row>
    <row r="4" customFormat="false" ht="45" hidden="false" customHeight="true" outlineLevel="0" collapsed="false">
      <c r="A4" s="14" t="s">
        <v>123</v>
      </c>
      <c r="B4" s="14" t="s">
        <v>124</v>
      </c>
      <c r="C4" s="14" t="s">
        <v>128</v>
      </c>
      <c r="D4" s="14" t="s">
        <v>127</v>
      </c>
      <c r="E4" s="14" t="s">
        <v>247</v>
      </c>
      <c r="F4" s="14" t="s">
        <v>248</v>
      </c>
      <c r="G4" s="14" t="s">
        <v>132</v>
      </c>
      <c r="H4" s="14" t="s">
        <v>136</v>
      </c>
      <c r="I4" s="14" t="s">
        <v>249</v>
      </c>
      <c r="J4" s="14" t="s">
        <v>250</v>
      </c>
    </row>
    <row r="5" customFormat="false" ht="15" hidden="false" customHeight="false" outlineLevel="0" collapsed="false">
      <c r="A5" s="8" t="s">
        <v>251</v>
      </c>
      <c r="B5" s="25" t="n">
        <f aca="false">IF(COUNTIFS('Chapter Data'!$A$2:$A$2500,$A5,'Chapter Data'!$D$2:$D$2500,OurChapter,'Chapter Data'!$G$2:$G$2500,"&lt;&gt;")=0,"",SUMIFS('Chapter Data'!$G$2:$G$2500,'Chapter Data'!$A$2:$A$2500,$A5,'Chapter Data'!$D$2:$D$2500,OurChapter))</f>
        <v>2.89</v>
      </c>
      <c r="C5" s="25" t="n">
        <f aca="false">IFERROR(IF(INDEX('Campus Stats'!$F$2:$F$37,MATCH($A5,'Campus Stats'!$A$2:$A$37,0))="","",INDEX('Campus Stats'!$F$2:$F$37,MATCH($A5,'Campus Stats'!$A$2:$A$37,0))),"")</f>
        <v>3.117</v>
      </c>
      <c r="D5" s="25" t="n">
        <f aca="false">IFERROR(IF(INDEX('Campus Stats'!$C$2:$C$37,MATCH($A5,'Campus Stats'!$A$2:$A$37,0))="","",INDEX('Campus Stats'!$C$2:$C$37,MATCH($A5,'Campus Stats'!$A$2:$A$37,0))),"")</f>
        <v>2.949</v>
      </c>
      <c r="E5" s="22" t="n">
        <f aca="false">IF(OR(B5="",C5=""),"",B5-C5)</f>
        <v>-0.227</v>
      </c>
      <c r="F5" s="22" t="n">
        <f aca="false">IF(OR(B5="",D5=""),"",B5-D5)</f>
        <v>-0.0589999999999997</v>
      </c>
      <c r="G5" s="19" t="n">
        <f aca="false">IF(COUNTIFS('Chapter Data'!$A$2:$A$2500,$A5,'Chapter Data'!$D$2:$D$2500,OurChapter,'Chapter Data'!$E$2:$E$2500,"&lt;&gt;")=0,"",SUMIFS('Chapter Data'!$E$2:$E$2500,'Chapter Data'!$A$2:$A$2500,$A5,'Chapter Data'!$D$2:$D$2500,OurChapter))</f>
        <v>40</v>
      </c>
      <c r="H5" s="19" t="n">
        <f aca="false">IF(COUNTIFS('Chapter Data'!$A$2:$A$2500,$A5,'Chapter Data'!$D$2:$D$2500,OurChapter,'Chapter Data'!$F$2:$F$2500,"&lt;&gt;")=0,"",SUMIFS('Chapter Data'!$F$2:$F$2500,'Chapter Data'!$A$2:$A$2500,$A5,'Chapter Data'!$D$2:$D$2500,OurChapter))</f>
        <v>18</v>
      </c>
      <c r="I5" s="26" t="n">
        <f aca="false">IFERROR(IF(IFERROR(INDEX('Members Matrix'!$B$41:$U$41,MATCH($A5,'Members Matrix'!$B$2:$U$2,0)),"")&lt;&gt;"",IFERROR(INDEX('Members Matrix'!$B$41:$U$41,MATCH($A5,'Members Matrix'!$B$2:$U$2,0)),""),IF(INDEX('IFC Size (legacy)'!$B:$B,MATCH($A5,'IFC Size (legacy)'!$A:$A,0))="","",INDEX('IFC Size (legacy)'!$B:$B,MATCH($A5,'IFC Size (legacy)'!$A:$A,0)))),"")</f>
        <v>60</v>
      </c>
      <c r="J5" s="19" t="n">
        <f aca="false">IF(OR(G5="",I5=""),"",100*G5/I5)</f>
        <v>66.6666666666667</v>
      </c>
    </row>
    <row r="6" customFormat="false" ht="15" hidden="false" customHeight="false" outlineLevel="0" collapsed="false">
      <c r="A6" s="8" t="s">
        <v>252</v>
      </c>
      <c r="B6" s="25" t="n">
        <f aca="false">IF(COUNTIFS('Chapter Data'!$A$2:$A$2500,$A6,'Chapter Data'!$D$2:$D$2500,OurChapter,'Chapter Data'!$G$2:$G$2500,"&lt;&gt;")=0,"",SUMIFS('Chapter Data'!$G$2:$G$2500,'Chapter Data'!$A$2:$A$2500,$A6,'Chapter Data'!$D$2:$D$2500,OurChapter))</f>
        <v>2.803</v>
      </c>
      <c r="C6" s="25" t="n">
        <f aca="false">IFERROR(IF(INDEX('Campus Stats'!$F$2:$F$37,MATCH($A6,'Campus Stats'!$A$2:$A$37,0))="","",INDEX('Campus Stats'!$F$2:$F$37,MATCH($A6,'Campus Stats'!$A$2:$A$37,0))),"")</f>
        <v>3.059</v>
      </c>
      <c r="D6" s="25" t="n">
        <f aca="false">IFERROR(IF(INDEX('Campus Stats'!$C$2:$C$37,MATCH($A6,'Campus Stats'!$A$2:$A$37,0))="","",INDEX('Campus Stats'!$C$2:$C$37,MATCH($A6,'Campus Stats'!$A$2:$A$37,0))),"")</f>
        <v>2.55</v>
      </c>
      <c r="E6" s="22" t="n">
        <f aca="false">IF(OR(B6="",C6=""),"",B6-C6)</f>
        <v>-0.256</v>
      </c>
      <c r="F6" s="22" t="n">
        <f aca="false">IF(OR(B6="",D6=""),"",B6-D6)</f>
        <v>0.253</v>
      </c>
      <c r="G6" s="19" t="n">
        <f aca="false">IF(COUNTIFS('Chapter Data'!$A$2:$A$2500,$A6,'Chapter Data'!$D$2:$D$2500,OurChapter,'Chapter Data'!$E$2:$E$2500,"&lt;&gt;")=0,"",SUMIFS('Chapter Data'!$E$2:$E$2500,'Chapter Data'!$A$2:$A$2500,$A6,'Chapter Data'!$D$2:$D$2500,OurChapter))</f>
        <v>32</v>
      </c>
      <c r="H6" s="19" t="n">
        <f aca="false">IF(COUNTIFS('Chapter Data'!$A$2:$A$2500,$A6,'Chapter Data'!$D$2:$D$2500,OurChapter,'Chapter Data'!$F$2:$F$2500,"&lt;&gt;")=0,"",SUMIFS('Chapter Data'!$F$2:$F$2500,'Chapter Data'!$A$2:$A$2500,$A6,'Chapter Data'!$D$2:$D$2500,OurChapter))</f>
        <v>1</v>
      </c>
      <c r="I6" s="26" t="n">
        <f aca="false">IFERROR(IF(IFERROR(INDEX('Members Matrix'!$B$41:$U$41,MATCH($A6,'Members Matrix'!$B$2:$U$2,0)),"")&lt;&gt;"",IFERROR(INDEX('Members Matrix'!$B$41:$U$41,MATCH($A6,'Members Matrix'!$B$2:$U$2,0)),""),IF(INDEX('IFC Size (legacy)'!$B:$B,MATCH($A6,'IFC Size (legacy)'!$A:$A,0))="","",INDEX('IFC Size (legacy)'!$B:$B,MATCH($A6,'IFC Size (legacy)'!$A:$A,0)))),"")</f>
        <v>57</v>
      </c>
      <c r="J6" s="19" t="n">
        <f aca="false">IF(OR(G6="",I6=""),"",100*G6/I6)</f>
        <v>56.140350877193</v>
      </c>
    </row>
    <row r="7" customFormat="false" ht="15" hidden="false" customHeight="false" outlineLevel="0" collapsed="false">
      <c r="A7" s="8" t="s">
        <v>253</v>
      </c>
      <c r="B7" s="25" t="n">
        <f aca="false">IF(COUNTIFS('Chapter Data'!$A$2:$A$2500,$A7,'Chapter Data'!$D$2:$D$2500,OurChapter,'Chapter Data'!$G$2:$G$2500,"&lt;&gt;")=0,"",SUMIFS('Chapter Data'!$G$2:$G$2500,'Chapter Data'!$A$2:$A$2500,$A7,'Chapter Data'!$D$2:$D$2500,OurChapter))</f>
        <v>2.66</v>
      </c>
      <c r="C7" s="25" t="n">
        <f aca="false">IFERROR(IF(INDEX('Campus Stats'!$F$2:$F$37,MATCH($A7,'Campus Stats'!$A$2:$A$37,0))="","",INDEX('Campus Stats'!$F$2:$F$37,MATCH($A7,'Campus Stats'!$A$2:$A$37,0))),"")</f>
        <v>3.081</v>
      </c>
      <c r="D7" s="25" t="n">
        <f aca="false">IFERROR(IF(INDEX('Campus Stats'!$C$2:$C$37,MATCH($A7,'Campus Stats'!$A$2:$A$37,0))="","",INDEX('Campus Stats'!$C$2:$C$37,MATCH($A7,'Campus Stats'!$A$2:$A$37,0))),"")</f>
        <v>2.909</v>
      </c>
      <c r="E7" s="22" t="n">
        <f aca="false">IF(OR(B7="",C7=""),"",B7-C7)</f>
        <v>-0.421</v>
      </c>
      <c r="F7" s="22" t="n">
        <f aca="false">IF(OR(B7="",D7=""),"",B7-D7)</f>
        <v>-0.249</v>
      </c>
      <c r="G7" s="19" t="n">
        <f aca="false">IF(COUNTIFS('Chapter Data'!$A$2:$A$2500,$A7,'Chapter Data'!$D$2:$D$2500,OurChapter,'Chapter Data'!$E$2:$E$2500,"&lt;&gt;")=0,"",SUMIFS('Chapter Data'!$E$2:$E$2500,'Chapter Data'!$A$2:$A$2500,$A7,'Chapter Data'!$D$2:$D$2500,OurChapter))</f>
        <v>37</v>
      </c>
      <c r="H7" s="19" t="n">
        <f aca="false">IF(COUNTIFS('Chapter Data'!$A$2:$A$2500,$A7,'Chapter Data'!$D$2:$D$2500,OurChapter,'Chapter Data'!$F$2:$F$2500,"&lt;&gt;")=0,"",SUMIFS('Chapter Data'!$F$2:$F$2500,'Chapter Data'!$A$2:$A$2500,$A7,'Chapter Data'!$D$2:$D$2500,OurChapter))</f>
        <v>14</v>
      </c>
      <c r="I7" s="26" t="n">
        <f aca="false">IFERROR(IF(IFERROR(INDEX('Members Matrix'!$B$41:$U$41,MATCH($A7,'Members Matrix'!$B$2:$U$2,0)),"")&lt;&gt;"",IFERROR(INDEX('Members Matrix'!$B$41:$U$41,MATCH($A7,'Members Matrix'!$B$2:$U$2,0)),""),IF(INDEX('IFC Size (legacy)'!$B:$B,MATCH($A7,'IFC Size (legacy)'!$A:$A,0))="","",INDEX('IFC Size (legacy)'!$B:$B,MATCH($A7,'IFC Size (legacy)'!$A:$A,0)))),"")</f>
        <v>62</v>
      </c>
      <c r="J7" s="19" t="n">
        <f aca="false">IF(OR(G7="",I7=""),"",100*G7/I7)</f>
        <v>59.6774193548387</v>
      </c>
    </row>
    <row r="8" customFormat="false" ht="15" hidden="false" customHeight="false" outlineLevel="0" collapsed="false">
      <c r="A8" s="8" t="s">
        <v>254</v>
      </c>
      <c r="B8" s="25" t="n">
        <f aca="false">IF(COUNTIFS('Chapter Data'!$A$2:$A$2500,$A8,'Chapter Data'!$D$2:$D$2500,OurChapter,'Chapter Data'!$G$2:$G$2500,"&lt;&gt;")=0,"",SUMIFS('Chapter Data'!$G$2:$G$2500,'Chapter Data'!$A$2:$A$2500,$A8,'Chapter Data'!$D$2:$D$2500,OurChapter))</f>
        <v>2.942</v>
      </c>
      <c r="C8" s="25" t="n">
        <f aca="false">IFERROR(IF(INDEX('Campus Stats'!$F$2:$F$37,MATCH($A8,'Campus Stats'!$A$2:$A$37,0))="","",INDEX('Campus Stats'!$F$2:$F$37,MATCH($A8,'Campus Stats'!$A$2:$A$37,0))),"")</f>
        <v>3.119</v>
      </c>
      <c r="D8" s="25" t="n">
        <f aca="false">IFERROR(IF(INDEX('Campus Stats'!$C$2:$C$37,MATCH($A8,'Campus Stats'!$A$2:$A$37,0))="","",INDEX('Campus Stats'!$C$2:$C$37,MATCH($A8,'Campus Stats'!$A$2:$A$37,0))),"")</f>
        <v>2.931</v>
      </c>
      <c r="E8" s="22" t="n">
        <f aca="false">IF(OR(B8="",C8=""),"",B8-C8)</f>
        <v>-0.177</v>
      </c>
      <c r="F8" s="22" t="n">
        <f aca="false">IF(OR(B8="",D8=""),"",B8-D8)</f>
        <v>0.0110000000000001</v>
      </c>
      <c r="G8" s="19" t="n">
        <f aca="false">IF(COUNTIFS('Chapter Data'!$A$2:$A$2500,$A8,'Chapter Data'!$D$2:$D$2500,OurChapter,'Chapter Data'!$E$2:$E$2500,"&lt;&gt;")=0,"",SUMIFS('Chapter Data'!$E$2:$E$2500,'Chapter Data'!$A$2:$A$2500,$A8,'Chapter Data'!$D$2:$D$2500,OurChapter))</f>
        <v>32</v>
      </c>
      <c r="H8" s="19" t="n">
        <f aca="false">IF(COUNTIFS('Chapter Data'!$A$2:$A$2500,$A8,'Chapter Data'!$D$2:$D$2500,OurChapter,'Chapter Data'!$F$2:$F$2500,"&lt;&gt;")=0,"",SUMIFS('Chapter Data'!$F$2:$F$2500,'Chapter Data'!$A$2:$A$2500,$A8,'Chapter Data'!$D$2:$D$2500,OurChapter))</f>
        <v>0</v>
      </c>
      <c r="I8" s="26" t="n">
        <f aca="false">IFERROR(IF(IFERROR(INDEX('Members Matrix'!$B$41:$U$41,MATCH($A8,'Members Matrix'!$B$2:$U$2,0)),"")&lt;&gt;"",IFERROR(INDEX('Members Matrix'!$B$41:$U$41,MATCH($A8,'Members Matrix'!$B$2:$U$2,0)),""),IF(INDEX('IFC Size (legacy)'!$B:$B,MATCH($A8,'IFC Size (legacy)'!$A:$A,0))="","",INDEX('IFC Size (legacy)'!$B:$B,MATCH($A8,'IFC Size (legacy)'!$A:$A,0)))),"")</f>
        <v>57</v>
      </c>
      <c r="J8" s="19" t="n">
        <f aca="false">IF(OR(G8="",I8=""),"",100*G8/I8)</f>
        <v>56.140350877193</v>
      </c>
    </row>
    <row r="9" customFormat="false" ht="15" hidden="false" customHeight="false" outlineLevel="0" collapsed="false">
      <c r="A9" s="8" t="s">
        <v>255</v>
      </c>
      <c r="B9" s="25" t="n">
        <f aca="false">IF(COUNTIFS('Chapter Data'!$A$2:$A$2500,$A9,'Chapter Data'!$D$2:$D$2500,OurChapter,'Chapter Data'!$G$2:$G$2500,"&lt;&gt;")=0,"",SUMIFS('Chapter Data'!$G$2:$G$2500,'Chapter Data'!$A$2:$A$2500,$A9,'Chapter Data'!$D$2:$D$2500,OurChapter))</f>
        <v>2.777</v>
      </c>
      <c r="C9" s="25" t="n">
        <f aca="false">IFERROR(IF(INDEX('Campus Stats'!$F$2:$F$37,MATCH($A9,'Campus Stats'!$A$2:$A$37,0))="","",INDEX('Campus Stats'!$F$2:$F$37,MATCH($A9,'Campus Stats'!$A$2:$A$37,0))),"")</f>
        <v>3.074</v>
      </c>
      <c r="D9" s="25" t="n">
        <f aca="false">IFERROR(IF(INDEX('Campus Stats'!$C$2:$C$37,MATCH($A9,'Campus Stats'!$A$2:$A$37,0))="","",INDEX('Campus Stats'!$C$2:$C$37,MATCH($A9,'Campus Stats'!$A$2:$A$37,0))),"")</f>
        <v>2.91</v>
      </c>
      <c r="E9" s="22" t="n">
        <f aca="false">IF(OR(B9="",C9=""),"",B9-C9)</f>
        <v>-0.297</v>
      </c>
      <c r="F9" s="22" t="n">
        <f aca="false">IF(OR(B9="",D9=""),"",B9-D9)</f>
        <v>-0.133</v>
      </c>
      <c r="G9" s="19" t="n">
        <f aca="false">IF(COUNTIFS('Chapter Data'!$A$2:$A$2500,$A9,'Chapter Data'!$D$2:$D$2500,OurChapter,'Chapter Data'!$E$2:$E$2500,"&lt;&gt;")=0,"",SUMIFS('Chapter Data'!$E$2:$E$2500,'Chapter Data'!$A$2:$A$2500,$A9,'Chapter Data'!$D$2:$D$2500,OurChapter))</f>
        <v>36</v>
      </c>
      <c r="H9" s="19" t="n">
        <f aca="false">IF(COUNTIFS('Chapter Data'!$A$2:$A$2500,$A9,'Chapter Data'!$D$2:$D$2500,OurChapter,'Chapter Data'!$F$2:$F$2500,"&lt;&gt;")=0,"",SUMIFS('Chapter Data'!$F$2:$F$2500,'Chapter Data'!$A$2:$A$2500,$A9,'Chapter Data'!$D$2:$D$2500,OurChapter))</f>
        <v>7</v>
      </c>
      <c r="I9" s="26" t="n">
        <f aca="false">IFERROR(IF(IFERROR(INDEX('Members Matrix'!$B$41:$U$41,MATCH($A9,'Members Matrix'!$B$2:$U$2,0)),"")&lt;&gt;"",IFERROR(INDEX('Members Matrix'!$B$41:$U$41,MATCH($A9,'Members Matrix'!$B$2:$U$2,0)),""),IF(INDEX('IFC Size (legacy)'!$B:$B,MATCH($A9,'IFC Size (legacy)'!$A:$A,0))="","",INDEX('IFC Size (legacy)'!$B:$B,MATCH($A9,'IFC Size (legacy)'!$A:$A,0)))),"")</f>
        <v>64</v>
      </c>
      <c r="J9" s="19" t="n">
        <f aca="false">IF(OR(G9="",I9=""),"",100*G9/I9)</f>
        <v>56.25</v>
      </c>
    </row>
    <row r="10" customFormat="false" ht="15" hidden="false" customHeight="false" outlineLevel="0" collapsed="false">
      <c r="A10" s="8" t="s">
        <v>256</v>
      </c>
      <c r="B10" s="25" t="n">
        <f aca="false">IF(COUNTIFS('Chapter Data'!$A$2:$A$2500,$A10,'Chapter Data'!$D$2:$D$2500,OurChapter,'Chapter Data'!$G$2:$G$2500,"&lt;&gt;")=0,"",SUMIFS('Chapter Data'!$G$2:$G$2500,'Chapter Data'!$A$2:$A$2500,$A10,'Chapter Data'!$D$2:$D$2500,OurChapter))</f>
        <v>2.775</v>
      </c>
      <c r="C10" s="25" t="n">
        <f aca="false">IFERROR(IF(INDEX('Campus Stats'!$F$2:$F$37,MATCH($A10,'Campus Stats'!$A$2:$A$37,0))="","",INDEX('Campus Stats'!$F$2:$F$37,MATCH($A10,'Campus Stats'!$A$2:$A$37,0))),"")</f>
        <v>3.158</v>
      </c>
      <c r="D10" s="25" t="n">
        <f aca="false">IFERROR(IF(INDEX('Campus Stats'!$C$2:$C$37,MATCH($A10,'Campus Stats'!$A$2:$A$37,0))="","",INDEX('Campus Stats'!$C$2:$C$37,MATCH($A10,'Campus Stats'!$A$2:$A$37,0))),"")</f>
        <v>2.962</v>
      </c>
      <c r="E10" s="22" t="n">
        <f aca="false">IF(OR(B10="",C10=""),"",B10-C10)</f>
        <v>-0.383</v>
      </c>
      <c r="F10" s="22" t="n">
        <f aca="false">IF(OR(B10="",D10=""),"",B10-D10)</f>
        <v>-0.187</v>
      </c>
      <c r="G10" s="19" t="n">
        <f aca="false">IF(COUNTIFS('Chapter Data'!$A$2:$A$2500,$A10,'Chapter Data'!$D$2:$D$2500,OurChapter,'Chapter Data'!$E$2:$E$2500,"&lt;&gt;")=0,"",SUMIFS('Chapter Data'!$E$2:$E$2500,'Chapter Data'!$A$2:$A$2500,$A10,'Chapter Data'!$D$2:$D$2500,OurChapter))</f>
        <v>27</v>
      </c>
      <c r="H10" s="19" t="n">
        <f aca="false">IF(COUNTIFS('Chapter Data'!$A$2:$A$2500,$A10,'Chapter Data'!$D$2:$D$2500,OurChapter,'Chapter Data'!$F$2:$F$2500,"&lt;&gt;")=0,"",SUMIFS('Chapter Data'!$F$2:$F$2500,'Chapter Data'!$A$2:$A$2500,$A10,'Chapter Data'!$D$2:$D$2500,OurChapter))</f>
        <v>2</v>
      </c>
      <c r="I10" s="26" t="n">
        <f aca="false">IFERROR(IF(IFERROR(INDEX('Members Matrix'!$B$41:$U$41,MATCH($A10,'Members Matrix'!$B$2:$U$2,0)),"")&lt;&gt;"",IFERROR(INDEX('Members Matrix'!$B$41:$U$41,MATCH($A10,'Members Matrix'!$B$2:$U$2,0)),""),IF(INDEX('IFC Size (legacy)'!$B:$B,MATCH($A10,'IFC Size (legacy)'!$A:$A,0))="","",INDEX('IFC Size (legacy)'!$B:$B,MATCH($A10,'IFC Size (legacy)'!$A:$A,0)))),"")</f>
        <v>64</v>
      </c>
      <c r="J10" s="19" t="n">
        <f aca="false">IF(OR(G10="",I10=""),"",100*G10/I10)</f>
        <v>42.1875</v>
      </c>
    </row>
    <row r="11" customFormat="false" ht="15" hidden="false" customHeight="false" outlineLevel="0" collapsed="false">
      <c r="A11" s="8" t="s">
        <v>257</v>
      </c>
      <c r="B11" s="25" t="n">
        <f aca="false">IF(COUNTIFS('Chapter Data'!$A$2:$A$2500,$A11,'Chapter Data'!$D$2:$D$2500,OurChapter,'Chapter Data'!$G$2:$G$2500,"&lt;&gt;")=0,"",SUMIFS('Chapter Data'!$G$2:$G$2500,'Chapter Data'!$A$2:$A$2500,$A11,'Chapter Data'!$D$2:$D$2500,OurChapter))</f>
        <v>2.741</v>
      </c>
      <c r="C11" s="25" t="n">
        <f aca="false">IFERROR(IF(INDEX('Campus Stats'!$F$2:$F$37,MATCH($A11,'Campus Stats'!$A$2:$A$37,0))="","",INDEX('Campus Stats'!$F$2:$F$37,MATCH($A11,'Campus Stats'!$A$2:$A$37,0))),"")</f>
        <v>3.116</v>
      </c>
      <c r="D11" s="25" t="n">
        <f aca="false">IFERROR(IF(INDEX('Campus Stats'!$C$2:$C$37,MATCH($A11,'Campus Stats'!$A$2:$A$37,0))="","",INDEX('Campus Stats'!$C$2:$C$37,MATCH($A11,'Campus Stats'!$A$2:$A$37,0))),"")</f>
        <v>2.915</v>
      </c>
      <c r="E11" s="22" t="n">
        <f aca="false">IF(OR(B11="",C11=""),"",B11-C11)</f>
        <v>-0.375</v>
      </c>
      <c r="F11" s="22" t="n">
        <f aca="false">IF(OR(B11="",D11=""),"",B11-D11)</f>
        <v>-0.174</v>
      </c>
      <c r="G11" s="19" t="n">
        <f aca="false">IF(COUNTIFS('Chapter Data'!$A$2:$A$2500,$A11,'Chapter Data'!$D$2:$D$2500,OurChapter,'Chapter Data'!$E$2:$E$2500,"&lt;&gt;")=0,"",SUMIFS('Chapter Data'!$E$2:$E$2500,'Chapter Data'!$A$2:$A$2500,$A11,'Chapter Data'!$D$2:$D$2500,OurChapter))</f>
        <v>29</v>
      </c>
      <c r="H11" s="19" t="n">
        <f aca="false">IF(COUNTIFS('Chapter Data'!$A$2:$A$2500,$A11,'Chapter Data'!$D$2:$D$2500,OurChapter,'Chapter Data'!$F$2:$F$2500,"&lt;&gt;")=0,"",SUMIFS('Chapter Data'!$F$2:$F$2500,'Chapter Data'!$A$2:$A$2500,$A11,'Chapter Data'!$D$2:$D$2500,OurChapter))</f>
        <v>10</v>
      </c>
      <c r="I11" s="26" t="n">
        <f aca="false">IFERROR(IF(IFERROR(INDEX('Members Matrix'!$B$41:$U$41,MATCH($A11,'Members Matrix'!$B$2:$U$2,0)),"")&lt;&gt;"",IFERROR(INDEX('Members Matrix'!$B$41:$U$41,MATCH($A11,'Members Matrix'!$B$2:$U$2,0)),""),IF(INDEX('IFC Size (legacy)'!$B:$B,MATCH($A11,'IFC Size (legacy)'!$A:$A,0))="","",INDEX('IFC Size (legacy)'!$B:$B,MATCH($A11,'IFC Size (legacy)'!$A:$A,0)))),"")</f>
        <v>70</v>
      </c>
      <c r="J11" s="19" t="n">
        <f aca="false">IF(OR(G11="",I11=""),"",100*G11/I11)</f>
        <v>41.4285714285714</v>
      </c>
    </row>
    <row r="12" customFormat="false" ht="15" hidden="false" customHeight="false" outlineLevel="0" collapsed="false">
      <c r="A12" s="8" t="s">
        <v>258</v>
      </c>
      <c r="B12" s="25" t="n">
        <f aca="false">IF(COUNTIFS('Chapter Data'!$A$2:$A$2500,$A12,'Chapter Data'!$D$2:$D$2500,OurChapter,'Chapter Data'!$G$2:$G$2500,"&lt;&gt;")=0,"",SUMIFS('Chapter Data'!$G$2:$G$2500,'Chapter Data'!$A$2:$A$2500,$A12,'Chapter Data'!$D$2:$D$2500,OurChapter))</f>
        <v>3.142</v>
      </c>
      <c r="C12" s="25" t="n">
        <f aca="false">IFERROR(IF(INDEX('Campus Stats'!$F$2:$F$37,MATCH($A12,'Campus Stats'!$A$2:$A$37,0))="","",INDEX('Campus Stats'!$F$2:$F$37,MATCH($A12,'Campus Stats'!$A$2:$A$37,0))),"")</f>
        <v>3.122</v>
      </c>
      <c r="D12" s="25" t="n">
        <f aca="false">IFERROR(IF(INDEX('Campus Stats'!$C$2:$C$37,MATCH($A12,'Campus Stats'!$A$2:$A$37,0))="","",INDEX('Campus Stats'!$C$2:$C$37,MATCH($A12,'Campus Stats'!$A$2:$A$37,0))),"")</f>
        <v>2.925</v>
      </c>
      <c r="E12" s="22" t="n">
        <f aca="false">IF(OR(B12="",C12=""),"",B12-C12)</f>
        <v>0.02</v>
      </c>
      <c r="F12" s="22" t="n">
        <f aca="false">IF(OR(B12="",D12=""),"",B12-D12)</f>
        <v>0.217</v>
      </c>
      <c r="G12" s="19" t="n">
        <f aca="false">IF(COUNTIFS('Chapter Data'!$A$2:$A$2500,$A12,'Chapter Data'!$D$2:$D$2500,OurChapter,'Chapter Data'!$E$2:$E$2500,"&lt;&gt;")=0,"",SUMIFS('Chapter Data'!$E$2:$E$2500,'Chapter Data'!$A$2:$A$2500,$A12,'Chapter Data'!$D$2:$D$2500,OurChapter))</f>
        <v>23</v>
      </c>
      <c r="H12" s="19" t="n">
        <f aca="false">IF(COUNTIFS('Chapter Data'!$A$2:$A$2500,$A12,'Chapter Data'!$D$2:$D$2500,OurChapter,'Chapter Data'!$F$2:$F$2500,"&lt;&gt;")=0,"",SUMIFS('Chapter Data'!$F$2:$F$2500,'Chapter Data'!$A$2:$A$2500,$A12,'Chapter Data'!$D$2:$D$2500,OurChapter))</f>
        <v>0</v>
      </c>
      <c r="I12" s="26" t="n">
        <f aca="false">IFERROR(IF(IFERROR(INDEX('Members Matrix'!$B$41:$U$41,MATCH($A12,'Members Matrix'!$B$2:$U$2,0)),"")&lt;&gt;"",IFERROR(INDEX('Members Matrix'!$B$41:$U$41,MATCH($A12,'Members Matrix'!$B$2:$U$2,0)),""),IF(INDEX('IFC Size (legacy)'!$B:$B,MATCH($A12,'IFC Size (legacy)'!$A:$A,0))="","",INDEX('IFC Size (legacy)'!$B:$B,MATCH($A12,'IFC Size (legacy)'!$A:$A,0)))),"")</f>
        <v>65</v>
      </c>
      <c r="J12" s="19" t="n">
        <f aca="false">IF(OR(G12="",I12=""),"",100*G12/I12)</f>
        <v>35.3846153846154</v>
      </c>
    </row>
    <row r="13" customFormat="false" ht="15" hidden="false" customHeight="false" outlineLevel="0" collapsed="false">
      <c r="A13" s="8" t="s">
        <v>259</v>
      </c>
      <c r="B13" s="25" t="n">
        <f aca="false">IF(COUNTIFS('Chapter Data'!$A$2:$A$2500,$A13,'Chapter Data'!$D$2:$D$2500,OurChapter,'Chapter Data'!$G$2:$G$2500,"&lt;&gt;")=0,"",SUMIFS('Chapter Data'!$G$2:$G$2500,'Chapter Data'!$A$2:$A$2500,$A13,'Chapter Data'!$D$2:$D$2500,OurChapter))</f>
        <v>2.85</v>
      </c>
      <c r="C13" s="25" t="n">
        <f aca="false">IFERROR(IF(INDEX('Campus Stats'!$F$2:$F$37,MATCH($A13,'Campus Stats'!$A$2:$A$37,0))="","",INDEX('Campus Stats'!$F$2:$F$37,MATCH($A13,'Campus Stats'!$A$2:$A$37,0))),"")</f>
        <v>3.125</v>
      </c>
      <c r="D13" s="25" t="n">
        <f aca="false">IFERROR(IF(INDEX('Campus Stats'!$C$2:$C$37,MATCH($A13,'Campus Stats'!$A$2:$A$37,0))="","",INDEX('Campus Stats'!$C$2:$C$37,MATCH($A13,'Campus Stats'!$A$2:$A$37,0))),"")</f>
        <v>2.927</v>
      </c>
      <c r="E13" s="22" t="n">
        <f aca="false">IF(OR(B13="",C13=""),"",B13-C13)</f>
        <v>-0.275</v>
      </c>
      <c r="F13" s="22" t="n">
        <f aca="false">IF(OR(B13="",D13=""),"",B13-D13)</f>
        <v>-0.077</v>
      </c>
      <c r="G13" s="19" t="n">
        <f aca="false">IF(COUNTIFS('Chapter Data'!$A$2:$A$2500,$A13,'Chapter Data'!$D$2:$D$2500,OurChapter,'Chapter Data'!$E$2:$E$2500,"&lt;&gt;")=0,"",SUMIFS('Chapter Data'!$E$2:$E$2500,'Chapter Data'!$A$2:$A$2500,$A13,'Chapter Data'!$D$2:$D$2500,OurChapter))</f>
        <v>24</v>
      </c>
      <c r="H13" s="19" t="n">
        <f aca="false">IF(COUNTIFS('Chapter Data'!$A$2:$A$2500,$A13,'Chapter Data'!$D$2:$D$2500,OurChapter,'Chapter Data'!$F$2:$F$2500,"&lt;&gt;")=0,"",SUMIFS('Chapter Data'!$F$2:$F$2500,'Chapter Data'!$A$2:$A$2500,$A13,'Chapter Data'!$D$2:$D$2500,OurChapter))</f>
        <v>6</v>
      </c>
      <c r="I13" s="26" t="n">
        <f aca="false">IFERROR(IF(IFERROR(INDEX('Members Matrix'!$B$41:$U$41,MATCH($A13,'Members Matrix'!$B$2:$U$2,0)),"")&lt;&gt;"",IFERROR(INDEX('Members Matrix'!$B$41:$U$41,MATCH($A13,'Members Matrix'!$B$2:$U$2,0)),""),IF(INDEX('IFC Size (legacy)'!$B:$B,MATCH($A13,'IFC Size (legacy)'!$A:$A,0))="","",INDEX('IFC Size (legacy)'!$B:$B,MATCH($A13,'IFC Size (legacy)'!$A:$A,0)))),"")</f>
        <v>70</v>
      </c>
      <c r="J13" s="19" t="n">
        <f aca="false">IF(OR(G13="",I13=""),"",100*G13/I13)</f>
        <v>34.2857142857143</v>
      </c>
    </row>
    <row r="14" customFormat="false" ht="15" hidden="false" customHeight="false" outlineLevel="0" collapsed="false">
      <c r="A14" s="8" t="s">
        <v>260</v>
      </c>
      <c r="B14" s="25" t="n">
        <f aca="false">IF(COUNTIFS('Chapter Data'!$A$2:$A$2500,$A14,'Chapter Data'!$D$2:$D$2500,OurChapter,'Chapter Data'!$G$2:$G$2500,"&lt;&gt;")=0,"",SUMIFS('Chapter Data'!$G$2:$G$2500,'Chapter Data'!$A$2:$A$2500,$A14,'Chapter Data'!$D$2:$D$2500,OurChapter))</f>
        <v>3.006</v>
      </c>
      <c r="C14" s="25" t="n">
        <f aca="false">IFERROR(IF(INDEX('Campus Stats'!$F$2:$F$37,MATCH($A14,'Campus Stats'!$A$2:$A$37,0))="","",INDEX('Campus Stats'!$F$2:$F$37,MATCH($A14,'Campus Stats'!$A$2:$A$37,0))),"")</f>
        <v>3.114</v>
      </c>
      <c r="D14" s="25" t="n">
        <f aca="false">IFERROR(IF(INDEX('Campus Stats'!$C$2:$C$37,MATCH($A14,'Campus Stats'!$A$2:$A$37,0))="","",INDEX('Campus Stats'!$C$2:$C$37,MATCH($A14,'Campus Stats'!$A$2:$A$37,0))),"")</f>
        <v>2.933</v>
      </c>
      <c r="E14" s="22" t="n">
        <f aca="false">IF(OR(B14="",C14=""),"",B14-C14)</f>
        <v>-0.108</v>
      </c>
      <c r="F14" s="22" t="n">
        <f aca="false">IF(OR(B14="",D14=""),"",B14-D14)</f>
        <v>0.073</v>
      </c>
      <c r="G14" s="19" t="n">
        <f aca="false">IF(COUNTIFS('Chapter Data'!$A$2:$A$2500,$A14,'Chapter Data'!$D$2:$D$2500,OurChapter,'Chapter Data'!$E$2:$E$2500,"&lt;&gt;")=0,"",SUMIFS('Chapter Data'!$E$2:$E$2500,'Chapter Data'!$A$2:$A$2500,$A14,'Chapter Data'!$D$2:$D$2500,OurChapter))</f>
        <v>23</v>
      </c>
      <c r="H14" s="19" t="n">
        <f aca="false">IF(COUNTIFS('Chapter Data'!$A$2:$A$2500,$A14,'Chapter Data'!$D$2:$D$2500,OurChapter,'Chapter Data'!$F$2:$F$2500,"&lt;&gt;")=0,"",SUMIFS('Chapter Data'!$F$2:$F$2500,'Chapter Data'!$A$2:$A$2500,$A14,'Chapter Data'!$D$2:$D$2500,OurChapter))</f>
        <v>4</v>
      </c>
      <c r="I14" s="26" t="n">
        <f aca="false">IFERROR(IF(IFERROR(INDEX('Members Matrix'!$B$41:$U$41,MATCH($A14,'Members Matrix'!$B$2:$U$2,0)),"")&lt;&gt;"",IFERROR(INDEX('Members Matrix'!$B$41:$U$41,MATCH($A14,'Members Matrix'!$B$2:$U$2,0)),""),IF(INDEX('IFC Size (legacy)'!$B:$B,MATCH($A14,'IFC Size (legacy)'!$A:$A,0))="","",INDEX('IFC Size (legacy)'!$B:$B,MATCH($A14,'IFC Size (legacy)'!$A:$A,0)))),"")</f>
        <v>72</v>
      </c>
      <c r="J14" s="19" t="n">
        <f aca="false">IF(OR(G14="",I14=""),"",100*G14/I14)</f>
        <v>31.9444444444444</v>
      </c>
    </row>
    <row r="15" customFormat="false" ht="15" hidden="false" customHeight="false" outlineLevel="0" collapsed="false">
      <c r="A15" s="8" t="s">
        <v>261</v>
      </c>
      <c r="B15" s="25" t="n">
        <f aca="false">IF(COUNTIFS('Chapter Data'!$A$2:$A$2500,$A15,'Chapter Data'!$D$2:$D$2500,OurChapter,'Chapter Data'!$G$2:$G$2500,"&lt;&gt;")=0,"",SUMIFS('Chapter Data'!$G$2:$G$2500,'Chapter Data'!$A$2:$A$2500,$A15,'Chapter Data'!$D$2:$D$2500,OurChapter))</f>
        <v>2.506</v>
      </c>
      <c r="C15" s="25" t="n">
        <f aca="false">IFERROR(IF(INDEX('Campus Stats'!$F$2:$F$37,MATCH($A15,'Campus Stats'!$A$2:$A$37,0))="","",INDEX('Campus Stats'!$F$2:$F$37,MATCH($A15,'Campus Stats'!$A$2:$A$37,0))),"")</f>
        <v>3.133</v>
      </c>
      <c r="D15" s="25" t="n">
        <f aca="false">IFERROR(IF(INDEX('Campus Stats'!$C$2:$C$37,MATCH($A15,'Campus Stats'!$A$2:$A$37,0))="","",INDEX('Campus Stats'!$C$2:$C$37,MATCH($A15,'Campus Stats'!$A$2:$A$37,0))),"")</f>
        <v>2.936</v>
      </c>
      <c r="E15" s="22" t="n">
        <f aca="false">IF(OR(B15="",C15=""),"",B15-C15)</f>
        <v>-0.627</v>
      </c>
      <c r="F15" s="22" t="n">
        <f aca="false">IF(OR(B15="",D15=""),"",B15-D15)</f>
        <v>-0.43</v>
      </c>
      <c r="G15" s="19" t="n">
        <f aca="false">IF(COUNTIFS('Chapter Data'!$A$2:$A$2500,$A15,'Chapter Data'!$D$2:$D$2500,OurChapter,'Chapter Data'!$E$2:$E$2500,"&lt;&gt;")=0,"",SUMIFS('Chapter Data'!$E$2:$E$2500,'Chapter Data'!$A$2:$A$2500,$A15,'Chapter Data'!$D$2:$D$2500,OurChapter))</f>
        <v>34</v>
      </c>
      <c r="H15" s="19" t="n">
        <f aca="false">IF(COUNTIFS('Chapter Data'!$A$2:$A$2500,$A15,'Chapter Data'!$D$2:$D$2500,OurChapter,'Chapter Data'!$F$2:$F$2500,"&lt;&gt;")=0,"",SUMIFS('Chapter Data'!$F$2:$F$2500,'Chapter Data'!$A$2:$A$2500,$A15,'Chapter Data'!$D$2:$D$2500,OurChapter))</f>
        <v>14</v>
      </c>
      <c r="I15" s="26" t="n">
        <f aca="false">IFERROR(IF(IFERROR(INDEX('Members Matrix'!$B$41:$U$41,MATCH($A15,'Members Matrix'!$B$2:$U$2,0)),"")&lt;&gt;"",IFERROR(INDEX('Members Matrix'!$B$41:$U$41,MATCH($A15,'Members Matrix'!$B$2:$U$2,0)),""),IF(INDEX('IFC Size (legacy)'!$B:$B,MATCH($A15,'IFC Size (legacy)'!$A:$A,0))="","",INDEX('IFC Size (legacy)'!$B:$B,MATCH($A15,'IFC Size (legacy)'!$A:$A,0)))),"")</f>
        <v>81</v>
      </c>
      <c r="J15" s="19" t="n">
        <f aca="false">IF(OR(G15="",I15=""),"",100*G15/I15)</f>
        <v>41.9753086419753</v>
      </c>
    </row>
    <row r="16" customFormat="false" ht="15" hidden="false" customHeight="false" outlineLevel="0" collapsed="false">
      <c r="A16" s="8" t="s">
        <v>262</v>
      </c>
      <c r="B16" s="25" t="n">
        <f aca="false">IF(COUNTIFS('Chapter Data'!$A$2:$A$2500,$A16,'Chapter Data'!$D$2:$D$2500,OurChapter,'Chapter Data'!$G$2:$G$2500,"&lt;&gt;")=0,"",SUMIFS('Chapter Data'!$G$2:$G$2500,'Chapter Data'!$A$2:$A$2500,$A16,'Chapter Data'!$D$2:$D$2500,OurChapter))</f>
        <v>2.874</v>
      </c>
      <c r="C16" s="25" t="n">
        <f aca="false">IFERROR(IF(INDEX('Campus Stats'!$F$2:$F$37,MATCH($A16,'Campus Stats'!$A$2:$A$37,0))="","",INDEX('Campus Stats'!$F$2:$F$37,MATCH($A16,'Campus Stats'!$A$2:$A$37,0))),"")</f>
        <v>3.132</v>
      </c>
      <c r="D16" s="25" t="n">
        <f aca="false">IFERROR(IF(INDEX('Campus Stats'!$C$2:$C$37,MATCH($A16,'Campus Stats'!$A$2:$A$37,0))="","",INDEX('Campus Stats'!$C$2:$C$37,MATCH($A16,'Campus Stats'!$A$2:$A$37,0))),"")</f>
        <v>2.947</v>
      </c>
      <c r="E16" s="22" t="n">
        <f aca="false">IF(OR(B16="",C16=""),"",B16-C16)</f>
        <v>-0.258</v>
      </c>
      <c r="F16" s="22" t="n">
        <f aca="false">IF(OR(B16="",D16=""),"",B16-D16)</f>
        <v>-0.073</v>
      </c>
      <c r="G16" s="19" t="n">
        <f aca="false">IF(COUNTIFS('Chapter Data'!$A$2:$A$2500,$A16,'Chapter Data'!$D$2:$D$2500,OurChapter,'Chapter Data'!$E$2:$E$2500,"&lt;&gt;")=0,"",SUMIFS('Chapter Data'!$E$2:$E$2500,'Chapter Data'!$A$2:$A$2500,$A16,'Chapter Data'!$D$2:$D$2500,OurChapter))</f>
        <v>33</v>
      </c>
      <c r="H16" s="19" t="n">
        <f aca="false">IF(COUNTIFS('Chapter Data'!$A$2:$A$2500,$A16,'Chapter Data'!$D$2:$D$2500,OurChapter,'Chapter Data'!$F$2:$F$2500,"&lt;&gt;")=0,"",SUMIFS('Chapter Data'!$F$2:$F$2500,'Chapter Data'!$A$2:$A$2500,$A16,'Chapter Data'!$D$2:$D$2500,OurChapter))</f>
        <v>2</v>
      </c>
      <c r="I16" s="26" t="n">
        <f aca="false">IFERROR(IF(IFERROR(INDEX('Members Matrix'!$B$41:$U$41,MATCH($A16,'Members Matrix'!$B$2:$U$2,0)),"")&lt;&gt;"",IFERROR(INDEX('Members Matrix'!$B$41:$U$41,MATCH($A16,'Members Matrix'!$B$2:$U$2,0)),""),IF(INDEX('IFC Size (legacy)'!$B:$B,MATCH($A16,'IFC Size (legacy)'!$A:$A,0))="","",INDEX('IFC Size (legacy)'!$B:$B,MATCH($A16,'IFC Size (legacy)'!$A:$A,0)))),"")</f>
        <v>77</v>
      </c>
      <c r="J16" s="19" t="n">
        <f aca="false">IF(OR(G16="",I16=""),"",100*G16/I16)</f>
        <v>42.8571428571429</v>
      </c>
    </row>
    <row r="17" customFormat="false" ht="15" hidden="false" customHeight="false" outlineLevel="0" collapsed="false">
      <c r="A17" s="8" t="s">
        <v>263</v>
      </c>
      <c r="B17" s="25" t="n">
        <f aca="false">IF(COUNTIFS('Chapter Data'!$A$2:$A$2500,$A17,'Chapter Data'!$D$2:$D$2500,OurChapter,'Chapter Data'!$G$2:$G$2500,"&lt;&gt;")=0,"",SUMIFS('Chapter Data'!$G$2:$G$2500,'Chapter Data'!$A$2:$A$2500,$A17,'Chapter Data'!$D$2:$D$2500,OurChapter))</f>
        <v>2.668</v>
      </c>
      <c r="C17" s="25" t="n">
        <f aca="false">IFERROR(IF(INDEX('Campus Stats'!$F$2:$F$37,MATCH($A17,'Campus Stats'!$A$2:$A$37,0))="","",INDEX('Campus Stats'!$F$2:$F$37,MATCH($A17,'Campus Stats'!$A$2:$A$37,0))),"")</f>
        <v>3.098</v>
      </c>
      <c r="D17" s="25" t="n">
        <f aca="false">IFERROR(IF(INDEX('Campus Stats'!$C$2:$C$37,MATCH($A17,'Campus Stats'!$A$2:$A$37,0))="","",INDEX('Campus Stats'!$C$2:$C$37,MATCH($A17,'Campus Stats'!$A$2:$A$37,0))),"")</f>
        <v>2.938</v>
      </c>
      <c r="E17" s="22" t="n">
        <f aca="false">IF(OR(B17="",C17=""),"",B17-C17)</f>
        <v>-0.43</v>
      </c>
      <c r="F17" s="22" t="n">
        <f aca="false">IF(OR(B17="",D17=""),"",B17-D17)</f>
        <v>-0.27</v>
      </c>
      <c r="G17" s="19" t="n">
        <f aca="false">IF(COUNTIFS('Chapter Data'!$A$2:$A$2500,$A17,'Chapter Data'!$D$2:$D$2500,OurChapter,'Chapter Data'!$E$2:$E$2500,"&lt;&gt;")=0,"",SUMIFS('Chapter Data'!$E$2:$E$2500,'Chapter Data'!$A$2:$A$2500,$A17,'Chapter Data'!$D$2:$D$2500,OurChapter))</f>
        <v>38</v>
      </c>
      <c r="H17" s="19" t="n">
        <f aca="false">IF(COUNTIFS('Chapter Data'!$A$2:$A$2500,$A17,'Chapter Data'!$D$2:$D$2500,OurChapter,'Chapter Data'!$F$2:$F$2500,"&lt;&gt;")=0,"",SUMIFS('Chapter Data'!$F$2:$F$2500,'Chapter Data'!$A$2:$A$2500,$A17,'Chapter Data'!$D$2:$D$2500,OurChapter))</f>
        <v>12</v>
      </c>
      <c r="I17" s="26" t="n">
        <f aca="false">IFERROR(IF(IFERROR(INDEX('Members Matrix'!$B$41:$U$41,MATCH($A17,'Members Matrix'!$B$2:$U$2,0)),"")&lt;&gt;"",IFERROR(INDEX('Members Matrix'!$B$41:$U$41,MATCH($A17,'Members Matrix'!$B$2:$U$2,0)),""),IF(INDEX('IFC Size (legacy)'!$B:$B,MATCH($A17,'IFC Size (legacy)'!$A:$A,0))="","",INDEX('IFC Size (legacy)'!$B:$B,MATCH($A17,'IFC Size (legacy)'!$A:$A,0)))),"")</f>
        <v>80</v>
      </c>
      <c r="J17" s="19" t="n">
        <f aca="false">IF(OR(G17="",I17=""),"",100*G17/I17)</f>
        <v>47.5</v>
      </c>
    </row>
    <row r="18" customFormat="false" ht="15" hidden="false" customHeight="false" outlineLevel="0" collapsed="false">
      <c r="A18" s="8" t="s">
        <v>264</v>
      </c>
      <c r="B18" s="25" t="n">
        <f aca="false">IF(COUNTIFS('Chapter Data'!$A$2:$A$2500,$A18,'Chapter Data'!$D$2:$D$2500,OurChapter,'Chapter Data'!$G$2:$G$2500,"&lt;&gt;")=0,"",SUMIFS('Chapter Data'!$G$2:$G$2500,'Chapter Data'!$A$2:$A$2500,$A18,'Chapter Data'!$D$2:$D$2500,OurChapter))</f>
        <v>2.977</v>
      </c>
      <c r="C18" s="25" t="n">
        <f aca="false">IFERROR(IF(INDEX('Campus Stats'!$F$2:$F$37,MATCH($A18,'Campus Stats'!$A$2:$A$37,0))="","",INDEX('Campus Stats'!$F$2:$F$37,MATCH($A18,'Campus Stats'!$A$2:$A$37,0))),"")</f>
        <v>3.141</v>
      </c>
      <c r="D18" s="25" t="n">
        <f aca="false">IFERROR(IF(INDEX('Campus Stats'!$C$2:$C$37,MATCH($A18,'Campus Stats'!$A$2:$A$37,0))="","",INDEX('Campus Stats'!$C$2:$C$37,MATCH($A18,'Campus Stats'!$A$2:$A$37,0))),"")</f>
        <v>2.952</v>
      </c>
      <c r="E18" s="22" t="n">
        <f aca="false">IF(OR(B18="",C18=""),"",B18-C18)</f>
        <v>-0.164</v>
      </c>
      <c r="F18" s="22" t="n">
        <f aca="false">IF(OR(B18="",D18=""),"",B18-D18)</f>
        <v>0.0249999999999999</v>
      </c>
      <c r="G18" s="19" t="n">
        <f aca="false">IF(COUNTIFS('Chapter Data'!$A$2:$A$2500,$A18,'Chapter Data'!$D$2:$D$2500,OurChapter,'Chapter Data'!$E$2:$E$2500,"&lt;&gt;")=0,"",SUMIFS('Chapter Data'!$E$2:$E$2500,'Chapter Data'!$A$2:$A$2500,$A18,'Chapter Data'!$D$2:$D$2500,OurChapter))</f>
        <v>42</v>
      </c>
      <c r="H18" s="19" t="n">
        <f aca="false">IF(COUNTIFS('Chapter Data'!$A$2:$A$2500,$A18,'Chapter Data'!$D$2:$D$2500,OurChapter,'Chapter Data'!$F$2:$F$2500,"&lt;&gt;")=0,"",SUMIFS('Chapter Data'!$F$2:$F$2500,'Chapter Data'!$A$2:$A$2500,$A18,'Chapter Data'!$D$2:$D$2500,OurChapter))</f>
        <v>5</v>
      </c>
      <c r="I18" s="26" t="n">
        <f aca="false">IFERROR(IF(IFERROR(INDEX('Members Matrix'!$B$41:$U$41,MATCH($A18,'Members Matrix'!$B$2:$U$2,0)),"")&lt;&gt;"",IFERROR(INDEX('Members Matrix'!$B$41:$U$41,MATCH($A18,'Members Matrix'!$B$2:$U$2,0)),""),IF(INDEX('IFC Size (legacy)'!$B:$B,MATCH($A18,'IFC Size (legacy)'!$A:$A,0))="","",INDEX('IFC Size (legacy)'!$B:$B,MATCH($A18,'IFC Size (legacy)'!$A:$A,0)))),"")</f>
        <v>72</v>
      </c>
      <c r="J18" s="19" t="n">
        <f aca="false">IF(OR(G18="",I18=""),"",100*G18/I18)</f>
        <v>58.3333333333333</v>
      </c>
    </row>
    <row r="19" customFormat="false" ht="15" hidden="false" customHeight="false" outlineLevel="0" collapsed="false">
      <c r="A19" s="8" t="s">
        <v>265</v>
      </c>
      <c r="B19" s="25" t="n">
        <f aca="false">IF(COUNTIFS('Chapter Data'!$A$2:$A$2500,$A19,'Chapter Data'!$D$2:$D$2500,OurChapter,'Chapter Data'!$G$2:$G$2500,"&lt;&gt;")=0,"",SUMIFS('Chapter Data'!$G$2:$G$2500,'Chapter Data'!$A$2:$A$2500,$A19,'Chapter Data'!$D$2:$D$2500,OurChapter))</f>
        <v>3.081</v>
      </c>
      <c r="C19" s="25" t="n">
        <f aca="false">IFERROR(IF(INDEX('Campus Stats'!$F$2:$F$37,MATCH($A19,'Campus Stats'!$A$2:$A$37,0))="","",INDEX('Campus Stats'!$F$2:$F$37,MATCH($A19,'Campus Stats'!$A$2:$A$37,0))),"")</f>
        <v>3.159</v>
      </c>
      <c r="D19" s="25" t="n">
        <f aca="false">IFERROR(IF(INDEX('Campus Stats'!$C$2:$C$37,MATCH($A19,'Campus Stats'!$A$2:$A$37,0))="","",INDEX('Campus Stats'!$C$2:$C$37,MATCH($A19,'Campus Stats'!$A$2:$A$37,0))),"")</f>
        <v>2.981</v>
      </c>
      <c r="E19" s="22" t="n">
        <f aca="false">IF(OR(B19="",C19=""),"",B19-C19)</f>
        <v>-0.0779999999999999</v>
      </c>
      <c r="F19" s="22" t="n">
        <f aca="false">IF(OR(B19="",D19=""),"",B19-D19)</f>
        <v>0.1</v>
      </c>
      <c r="G19" s="19" t="n">
        <f aca="false">IF(COUNTIFS('Chapter Data'!$A$2:$A$2500,$A19,'Chapter Data'!$D$2:$D$2500,OurChapter,'Chapter Data'!$E$2:$E$2500,"&lt;&gt;")=0,"",SUMIFS('Chapter Data'!$E$2:$E$2500,'Chapter Data'!$A$2:$A$2500,$A19,'Chapter Data'!$D$2:$D$2500,OurChapter))</f>
        <v>43</v>
      </c>
      <c r="H19" s="19" t="n">
        <f aca="false">IF(COUNTIFS('Chapter Data'!$A$2:$A$2500,$A19,'Chapter Data'!$D$2:$D$2500,OurChapter,'Chapter Data'!$F$2:$F$2500,"&lt;&gt;")=0,"",SUMIFS('Chapter Data'!$F$2:$F$2500,'Chapter Data'!$A$2:$A$2500,$A19,'Chapter Data'!$D$2:$D$2500,OurChapter))</f>
        <v>10</v>
      </c>
      <c r="I19" s="26" t="n">
        <f aca="false">IFERROR(IF(IFERROR(INDEX('Members Matrix'!$B$41:$U$41,MATCH($A19,'Members Matrix'!$B$2:$U$2,0)),"")&lt;&gt;"",IFERROR(INDEX('Members Matrix'!$B$41:$U$41,MATCH($A19,'Members Matrix'!$B$2:$U$2,0)),""),IF(INDEX('IFC Size (legacy)'!$B:$B,MATCH($A19,'IFC Size (legacy)'!$A:$A,0))="","",INDEX('IFC Size (legacy)'!$B:$B,MATCH($A19,'IFC Size (legacy)'!$A:$A,0)))),"")</f>
        <v>73</v>
      </c>
      <c r="J19" s="19" t="n">
        <f aca="false">IF(OR(G19="",I19=""),"",100*G19/I19)</f>
        <v>58.9041095890411</v>
      </c>
    </row>
    <row r="20" customFormat="false" ht="15" hidden="false" customHeight="false" outlineLevel="0" collapsed="false">
      <c r="A20" s="8" t="s">
        <v>266</v>
      </c>
      <c r="B20" s="25" t="n">
        <f aca="false">IF(COUNTIFS('Chapter Data'!$A$2:$A$2500,$A20,'Chapter Data'!$D$2:$D$2500,OurChapter,'Chapter Data'!$G$2:$G$2500,"&lt;&gt;")=0,"",SUMIFS('Chapter Data'!$G$2:$G$2500,'Chapter Data'!$A$2:$A$2500,$A20,'Chapter Data'!$D$2:$D$2500,OurChapter))</f>
        <v>2.937</v>
      </c>
      <c r="C20" s="25" t="n">
        <f aca="false">IFERROR(IF(INDEX('Campus Stats'!$F$2:$F$37,MATCH($A20,'Campus Stats'!$A$2:$A$37,0))="","",INDEX('Campus Stats'!$F$2:$F$37,MATCH($A20,'Campus Stats'!$A$2:$A$37,0))),"")</f>
        <v>3.171</v>
      </c>
      <c r="D20" s="25" t="n">
        <f aca="false">IFERROR(IF(INDEX('Campus Stats'!$C$2:$C$37,MATCH($A20,'Campus Stats'!$A$2:$A$37,0))="","",INDEX('Campus Stats'!$C$2:$C$37,MATCH($A20,'Campus Stats'!$A$2:$A$37,0))),"")</f>
        <v>2.977</v>
      </c>
      <c r="E20" s="22" t="n">
        <f aca="false">IF(OR(B20="",C20=""),"",B20-C20)</f>
        <v>-0.234</v>
      </c>
      <c r="F20" s="22" t="n">
        <f aca="false">IF(OR(B20="",D20=""),"",B20-D20)</f>
        <v>-0.04</v>
      </c>
      <c r="G20" s="19" t="n">
        <f aca="false">IF(COUNTIFS('Chapter Data'!$A$2:$A$2500,$A20,'Chapter Data'!$D$2:$D$2500,OurChapter,'Chapter Data'!$E$2:$E$2500,"&lt;&gt;")=0,"",SUMIFS('Chapter Data'!$E$2:$E$2500,'Chapter Data'!$A$2:$A$2500,$A20,'Chapter Data'!$D$2:$D$2500,OurChapter))</f>
        <v>48</v>
      </c>
      <c r="H20" s="19" t="n">
        <f aca="false">IF(COUNTIFS('Chapter Data'!$A$2:$A$2500,$A20,'Chapter Data'!$D$2:$D$2500,OurChapter,'Chapter Data'!$F$2:$F$2500,"&lt;&gt;")=0,"",SUMIFS('Chapter Data'!$F$2:$F$2500,'Chapter Data'!$A$2:$A$2500,$A20,'Chapter Data'!$D$2:$D$2500,OurChapter))</f>
        <v>1</v>
      </c>
      <c r="I20" s="26" t="n">
        <f aca="false">IFERROR(IF(IFERROR(INDEX('Members Matrix'!$B$41:$U$41,MATCH($A20,'Members Matrix'!$B$2:$U$2,0)),"")&lt;&gt;"",IFERROR(INDEX('Members Matrix'!$B$41:$U$41,MATCH($A20,'Members Matrix'!$B$2:$U$2,0)),""),IF(INDEX('IFC Size (legacy)'!$B:$B,MATCH($A20,'IFC Size (legacy)'!$A:$A,0))="","",INDEX('IFC Size (legacy)'!$B:$B,MATCH($A20,'IFC Size (legacy)'!$A:$A,0)))),"")</f>
        <v>66</v>
      </c>
      <c r="J20" s="19" t="n">
        <f aca="false">IF(OR(G20="",I20=""),"",100*G20/I20)</f>
        <v>72.7272727272727</v>
      </c>
    </row>
    <row r="21" customFormat="false" ht="15" hidden="false" customHeight="false" outlineLevel="0" collapsed="false">
      <c r="A21" s="8" t="s">
        <v>144</v>
      </c>
      <c r="B21" s="25" t="n">
        <f aca="false">IF(COUNTIFS('Chapter Data'!$A$2:$A$2500,$A21,'Chapter Data'!$D$2:$D$2500,OurChapter,'Chapter Data'!$G$2:$G$2500,"&lt;&gt;")=0,"",SUMIFS('Chapter Data'!$G$2:$G$2500,'Chapter Data'!$A$2:$A$2500,$A21,'Chapter Data'!$D$2:$D$2500,OurChapter))</f>
        <v>2.733</v>
      </c>
      <c r="C21" s="25" t="n">
        <f aca="false">IFERROR(IF(INDEX('Campus Stats'!$F$2:$F$37,MATCH($A21,'Campus Stats'!$A$2:$A$37,0))="","",INDEX('Campus Stats'!$F$2:$F$37,MATCH($A21,'Campus Stats'!$A$2:$A$37,0))),"")</f>
        <v>3.149</v>
      </c>
      <c r="D21" s="25" t="n">
        <f aca="false">IFERROR(IF(INDEX('Campus Stats'!$C$2:$C$37,MATCH($A21,'Campus Stats'!$A$2:$A$37,0))="","",INDEX('Campus Stats'!$C$2:$C$37,MATCH($A21,'Campus Stats'!$A$2:$A$37,0))),"")</f>
        <v>2.976</v>
      </c>
      <c r="E21" s="22" t="n">
        <f aca="false">IF(OR(B21="",C21=""),"",B21-C21)</f>
        <v>-0.416</v>
      </c>
      <c r="F21" s="22" t="n">
        <f aca="false">IF(OR(B21="",D21=""),"",B21-D21)</f>
        <v>-0.243</v>
      </c>
      <c r="G21" s="19" t="n">
        <f aca="false">IF(COUNTIFS('Chapter Data'!$A$2:$A$2500,$A21,'Chapter Data'!$D$2:$D$2500,OurChapter,'Chapter Data'!$E$2:$E$2500,"&lt;&gt;")=0,"",SUMIFS('Chapter Data'!$E$2:$E$2500,'Chapter Data'!$A$2:$A$2500,$A21,'Chapter Data'!$D$2:$D$2500,OurChapter))</f>
        <v>62</v>
      </c>
      <c r="H21" s="19" t="n">
        <f aca="false">IF(COUNTIFS('Chapter Data'!$A$2:$A$2500,$A21,'Chapter Data'!$D$2:$D$2500,OurChapter,'Chapter Data'!$F$2:$F$2500,"&lt;&gt;")=0,"",SUMIFS('Chapter Data'!$F$2:$F$2500,'Chapter Data'!$A$2:$A$2500,$A21,'Chapter Data'!$D$2:$D$2500,OurChapter))</f>
        <v>22</v>
      </c>
      <c r="I21" s="26" t="n">
        <f aca="false">IFERROR(IF(IFERROR(INDEX('Members Matrix'!$B$41:$U$41,MATCH($A21,'Members Matrix'!$B$2:$U$2,0)),"")&lt;&gt;"",IFERROR(INDEX('Members Matrix'!$B$41:$U$41,MATCH($A21,'Members Matrix'!$B$2:$U$2,0)),""),IF(INDEX('IFC Size (legacy)'!$B:$B,MATCH($A21,'IFC Size (legacy)'!$A:$A,0))="","",INDEX('IFC Size (legacy)'!$B:$B,MATCH($A21,'IFC Size (legacy)'!$A:$A,0)))),"")</f>
        <v>65.64</v>
      </c>
      <c r="J21" s="19" t="n">
        <f aca="false">IF(OR(G21="",I21=""),"",100*G21/I21)</f>
        <v>94.4546008531383</v>
      </c>
    </row>
    <row r="22" customFormat="false" ht="15" hidden="false" customHeight="false" outlineLevel="0" collapsed="false">
      <c r="A22" s="8" t="s">
        <v>145</v>
      </c>
      <c r="B22" s="25" t="n">
        <f aca="false">IF(COUNTIFS('Chapter Data'!$A$2:$A$2500,$A22,'Chapter Data'!$D$2:$D$2500,OurChapter,'Chapter Data'!$G$2:$G$2500,"&lt;&gt;")=0,"",SUMIFS('Chapter Data'!$G$2:$G$2500,'Chapter Data'!$A$2:$A$2500,$A22,'Chapter Data'!$D$2:$D$2500,OurChapter))</f>
        <v>2.919</v>
      </c>
      <c r="C22" s="25" t="n">
        <f aca="false">IFERROR(IF(INDEX('Campus Stats'!$F$2:$F$37,MATCH($A22,'Campus Stats'!$A$2:$A$37,0))="","",INDEX('Campus Stats'!$F$2:$F$37,MATCH($A22,'Campus Stats'!$A$2:$A$37,0))),"")</f>
        <v>3.154</v>
      </c>
      <c r="D22" s="25" t="n">
        <f aca="false">IFERROR(IF(INDEX('Campus Stats'!$C$2:$C$37,MATCH($A22,'Campus Stats'!$A$2:$A$37,0))="","",INDEX('Campus Stats'!$C$2:$C$37,MATCH($A22,'Campus Stats'!$A$2:$A$37,0))),"")</f>
        <v>3.012</v>
      </c>
      <c r="E22" s="22" t="n">
        <f aca="false">IF(OR(B22="",C22=""),"",B22-C22)</f>
        <v>-0.235</v>
      </c>
      <c r="F22" s="22" t="n">
        <f aca="false">IF(OR(B22="",D22=""),"",B22-D22)</f>
        <v>-0.093</v>
      </c>
      <c r="G22" s="19" t="n">
        <f aca="false">IF(COUNTIFS('Chapter Data'!$A$2:$A$2500,$A22,'Chapter Data'!$D$2:$D$2500,OurChapter,'Chapter Data'!$E$2:$E$2500,"&lt;&gt;")=0,"",SUMIFS('Chapter Data'!$E$2:$E$2500,'Chapter Data'!$A$2:$A$2500,$A22,'Chapter Data'!$D$2:$D$2500,OurChapter))</f>
        <v>64</v>
      </c>
      <c r="H22" s="19" t="n">
        <f aca="false">IF(COUNTIFS('Chapter Data'!$A$2:$A$2500,$A22,'Chapter Data'!$D$2:$D$2500,OurChapter,'Chapter Data'!$F$2:$F$2500,"&lt;&gt;")=0,"",SUMIFS('Chapter Data'!$F$2:$F$2500,'Chapter Data'!$A$2:$A$2500,$A22,'Chapter Data'!$D$2:$D$2500,OurChapter))</f>
        <v>9</v>
      </c>
      <c r="I22" s="26" t="n">
        <f aca="false">IFERROR(IF(IFERROR(INDEX('Members Matrix'!$B$41:$U$41,MATCH($A22,'Members Matrix'!$B$2:$U$2,0)),"")&lt;&gt;"",IFERROR(INDEX('Members Matrix'!$B$41:$U$41,MATCH($A22,'Members Matrix'!$B$2:$U$2,0)),""),IF(INDEX('IFC Size (legacy)'!$B:$B,MATCH($A22,'IFC Size (legacy)'!$A:$A,0))="","",INDEX('IFC Size (legacy)'!$B:$B,MATCH($A22,'IFC Size (legacy)'!$A:$A,0)))),"")</f>
        <v>64.04</v>
      </c>
      <c r="J22" s="19" t="n">
        <f aca="false">IF(OR(G22="",I22=""),"",100*G22/I22)</f>
        <v>99.9375390381012</v>
      </c>
    </row>
    <row r="23" customFormat="false" ht="15" hidden="false" customHeight="false" outlineLevel="0" collapsed="false">
      <c r="A23" s="8" t="s">
        <v>146</v>
      </c>
      <c r="B23" s="25" t="n">
        <f aca="false">IF(COUNTIFS('Chapter Data'!$A$2:$A$2500,$A23,'Chapter Data'!$D$2:$D$2500,OurChapter,'Chapter Data'!$G$2:$G$2500,"&lt;&gt;")=0,"",SUMIFS('Chapter Data'!$G$2:$G$2500,'Chapter Data'!$A$2:$A$2500,$A23,'Chapter Data'!$D$2:$D$2500,OurChapter))</f>
        <v>2.819</v>
      </c>
      <c r="C23" s="25" t="n">
        <f aca="false">IFERROR(IF(INDEX('Campus Stats'!$F$2:$F$37,MATCH($A23,'Campus Stats'!$A$2:$A$37,0))="","",INDEX('Campus Stats'!$F$2:$F$37,MATCH($A23,'Campus Stats'!$A$2:$A$37,0))),"")</f>
        <v>3.133</v>
      </c>
      <c r="D23" s="25" t="n">
        <f aca="false">IFERROR(IF(INDEX('Campus Stats'!$C$2:$C$37,MATCH($A23,'Campus Stats'!$A$2:$A$37,0))="","",INDEX('Campus Stats'!$C$2:$C$37,MATCH($A23,'Campus Stats'!$A$2:$A$37,0))),"")</f>
        <v>3.032</v>
      </c>
      <c r="E23" s="22" t="n">
        <f aca="false">IF(OR(B23="",C23=""),"",B23-C23)</f>
        <v>-0.314</v>
      </c>
      <c r="F23" s="22" t="n">
        <f aca="false">IF(OR(B23="",D23=""),"",B23-D23)</f>
        <v>-0.213</v>
      </c>
      <c r="G23" s="19" t="n">
        <f aca="false">IF(COUNTIFS('Chapter Data'!$A$2:$A$2500,$A23,'Chapter Data'!$D$2:$D$2500,OurChapter,'Chapter Data'!$E$2:$E$2500,"&lt;&gt;")=0,"",SUMIFS('Chapter Data'!$E$2:$E$2500,'Chapter Data'!$A$2:$A$2500,$A23,'Chapter Data'!$D$2:$D$2500,OurChapter))</f>
        <v>86</v>
      </c>
      <c r="H23" s="19" t="n">
        <f aca="false">IF(COUNTIFS('Chapter Data'!$A$2:$A$2500,$A23,'Chapter Data'!$D$2:$D$2500,OurChapter,'Chapter Data'!$F$2:$F$2500,"&lt;&gt;")=0,"",SUMIFS('Chapter Data'!$F$2:$F$2500,'Chapter Data'!$A$2:$A$2500,$A23,'Chapter Data'!$D$2:$D$2500,OurChapter))</f>
        <v>25</v>
      </c>
      <c r="I23" s="26" t="n">
        <f aca="false">IFERROR(IF(IFERROR(INDEX('Members Matrix'!$B$41:$U$41,MATCH($A23,'Members Matrix'!$B$2:$U$2,0)),"")&lt;&gt;"",IFERROR(INDEX('Members Matrix'!$B$41:$U$41,MATCH($A23,'Members Matrix'!$B$2:$U$2,0)),""),IF(INDEX('IFC Size (legacy)'!$B:$B,MATCH($A23,'IFC Size (legacy)'!$A:$A,0))="","",INDEX('IFC Size (legacy)'!$B:$B,MATCH($A23,'IFC Size (legacy)'!$A:$A,0)))),"")</f>
        <v>71.8518518518519</v>
      </c>
      <c r="J23" s="19" t="n">
        <f aca="false">IF(OR(G23="",I23=""),"",100*G23/I23)</f>
        <v>119.690721649485</v>
      </c>
    </row>
    <row r="24" customFormat="false" ht="15" hidden="false" customHeight="false" outlineLevel="0" collapsed="false">
      <c r="A24" s="8" t="s">
        <v>147</v>
      </c>
      <c r="B24" s="25" t="str">
        <f aca="false">IF(COUNTIFS('Chapter Data'!$A$2:$A$2500,$A24,'Chapter Data'!$D$2:$D$2500,OurChapter,'Chapter Data'!$G$2:$G$2500,"&lt;&gt;")=0,"",SUMIFS('Chapter Data'!$G$2:$G$2500,'Chapter Data'!$A$2:$A$2500,$A24,'Chapter Data'!$D$2:$D$2500,OurChapter))</f>
        <v/>
      </c>
      <c r="C24" s="25" t="n">
        <f aca="false">IFERROR(IF(INDEX('Campus Stats'!$F$2:$F$37,MATCH($A24,'Campus Stats'!$A$2:$A$37,0))="","",INDEX('Campus Stats'!$F$2:$F$37,MATCH($A24,'Campus Stats'!$A$2:$A$37,0))),"")</f>
        <v>3.439</v>
      </c>
      <c r="D24" s="25" t="n">
        <f aca="false">IFERROR(IF(INDEX('Campus Stats'!$C$2:$C$37,MATCH($A24,'Campus Stats'!$A$2:$A$37,0))="","",INDEX('Campus Stats'!$C$2:$C$37,MATCH($A24,'Campus Stats'!$A$2:$A$37,0))),"")</f>
        <v>3.365</v>
      </c>
      <c r="E24" s="22" t="str">
        <f aca="false">IF(OR(B24="",C24=""),"",B24-C24)</f>
        <v/>
      </c>
      <c r="F24" s="22" t="str">
        <f aca="false">IF(OR(B24="",D24=""),"",B24-D24)</f>
        <v/>
      </c>
      <c r="G24" s="19" t="n">
        <f aca="false">IF(COUNTIFS('Chapter Data'!$A$2:$A$2500,$A24,'Chapter Data'!$D$2:$D$2500,OurChapter,'Chapter Data'!$E$2:$E$2500,"&lt;&gt;")=0,"",SUMIFS('Chapter Data'!$E$2:$E$2500,'Chapter Data'!$A$2:$A$2500,$A24,'Chapter Data'!$D$2:$D$2500,OurChapter))</f>
        <v>73</v>
      </c>
      <c r="H24" s="19" t="str">
        <f aca="false">IF(COUNTIFS('Chapter Data'!$A$2:$A$2500,$A24,'Chapter Data'!$D$2:$D$2500,OurChapter,'Chapter Data'!$F$2:$F$2500,"&lt;&gt;")=0,"",SUMIFS('Chapter Data'!$F$2:$F$2500,'Chapter Data'!$A$2:$A$2500,$A24,'Chapter Data'!$D$2:$D$2500,OurChapter))</f>
        <v/>
      </c>
      <c r="I24" s="26" t="n">
        <f aca="false">IFERROR(IF(IFERROR(INDEX('Members Matrix'!$B$41:$U$41,MATCH($A24,'Members Matrix'!$B$2:$U$2,0)),"")&lt;&gt;"",IFERROR(INDEX('Members Matrix'!$B$41:$U$41,MATCH($A24,'Members Matrix'!$B$2:$U$2,0)),""),IF(INDEX('IFC Size (legacy)'!$B:$B,MATCH($A24,'IFC Size (legacy)'!$A:$A,0))="","",INDEX('IFC Size (legacy)'!$B:$B,MATCH($A24,'IFC Size (legacy)'!$A:$A,0)))),"")</f>
        <v>64.75</v>
      </c>
      <c r="J24" s="19" t="n">
        <f aca="false">IF(OR(G24="",I24=""),"",100*G24/I24)</f>
        <v>112.741312741313</v>
      </c>
    </row>
    <row r="25" customFormat="false" ht="15" hidden="false" customHeight="false" outlineLevel="0" collapsed="false">
      <c r="A25" s="8" t="s">
        <v>148</v>
      </c>
      <c r="B25" s="25" t="n">
        <f aca="false">IF(COUNTIFS('Chapter Data'!$A$2:$A$2500,$A25,'Chapter Data'!$D$2:$D$2500,OurChapter,'Chapter Data'!$G$2:$G$2500,"&lt;&gt;")=0,"",SUMIFS('Chapter Data'!$G$2:$G$2500,'Chapter Data'!$A$2:$A$2500,$A25,'Chapter Data'!$D$2:$D$2500,OurChapter))</f>
        <v>2.957</v>
      </c>
      <c r="C25" s="25" t="n">
        <f aca="false">IFERROR(IF(INDEX('Campus Stats'!$F$2:$F$37,MATCH($A25,'Campus Stats'!$A$2:$A$37,0))="","",INDEX('Campus Stats'!$F$2:$F$37,MATCH($A25,'Campus Stats'!$A$2:$A$37,0))),"")</f>
        <v>3.213</v>
      </c>
      <c r="D25" s="25" t="n">
        <f aca="false">IFERROR(IF(INDEX('Campus Stats'!$C$2:$C$37,MATCH($A25,'Campus Stats'!$A$2:$A$37,0))="","",INDEX('Campus Stats'!$C$2:$C$37,MATCH($A25,'Campus Stats'!$A$2:$A$37,0))),"")</f>
        <v>3.032</v>
      </c>
      <c r="E25" s="22" t="n">
        <f aca="false">IF(OR(B25="",C25=""),"",B25-C25)</f>
        <v>-0.256</v>
      </c>
      <c r="F25" s="22" t="n">
        <f aca="false">IF(OR(B25="",D25=""),"",B25-D25)</f>
        <v>-0.0750000000000002</v>
      </c>
      <c r="G25" s="19" t="n">
        <f aca="false">IF(COUNTIFS('Chapter Data'!$A$2:$A$2500,$A25,'Chapter Data'!$D$2:$D$2500,OurChapter,'Chapter Data'!$E$2:$E$2500,"&lt;&gt;")=0,"",SUMIFS('Chapter Data'!$E$2:$E$2500,'Chapter Data'!$A$2:$A$2500,$A25,'Chapter Data'!$D$2:$D$2500,OurChapter))</f>
        <v>78</v>
      </c>
      <c r="H25" s="19" t="n">
        <f aca="false">IF(COUNTIFS('Chapter Data'!$A$2:$A$2500,$A25,'Chapter Data'!$D$2:$D$2500,OurChapter,'Chapter Data'!$F$2:$F$2500,"&lt;&gt;")=0,"",SUMIFS('Chapter Data'!$F$2:$F$2500,'Chapter Data'!$A$2:$A$2500,$A25,'Chapter Data'!$D$2:$D$2500,OurChapter))</f>
        <v>28</v>
      </c>
      <c r="I25" s="26" t="n">
        <f aca="false">IFERROR(IF(IFERROR(INDEX('Members Matrix'!$B$41:$U$41,MATCH($A25,'Members Matrix'!$B$2:$U$2,0)),"")&lt;&gt;"",IFERROR(INDEX('Members Matrix'!$B$41:$U$41,MATCH($A25,'Members Matrix'!$B$2:$U$2,0)),""),IF(INDEX('IFC Size (legacy)'!$B:$B,MATCH($A25,'IFC Size (legacy)'!$A:$A,0))="","",INDEX('IFC Size (legacy)'!$B:$B,MATCH($A25,'IFC Size (legacy)'!$A:$A,0)))),"")</f>
        <v>72.0384615384615</v>
      </c>
      <c r="J25" s="19" t="n">
        <f aca="false">IF(OR(G25="",I25=""),"",100*G25/I25)</f>
        <v>108.275493860117</v>
      </c>
    </row>
    <row r="26" customFormat="false" ht="15" hidden="false" customHeight="false" outlineLevel="0" collapsed="false">
      <c r="A26" s="8" t="s">
        <v>149</v>
      </c>
      <c r="B26" s="25" t="n">
        <f aca="false">IF(COUNTIFS('Chapter Data'!$A$2:$A$2500,$A26,'Chapter Data'!$D$2:$D$2500,OurChapter,'Chapter Data'!$G$2:$G$2500,"&lt;&gt;")=0,"",SUMIFS('Chapter Data'!$G$2:$G$2500,'Chapter Data'!$A$2:$A$2500,$A26,'Chapter Data'!$D$2:$D$2500,OurChapter))</f>
        <v>3.267</v>
      </c>
      <c r="C26" s="25" t="n">
        <f aca="false">IFERROR(IF(INDEX('Campus Stats'!$F$2:$F$37,MATCH($A26,'Campus Stats'!$A$2:$A$37,0))="","",INDEX('Campus Stats'!$F$2:$F$37,MATCH($A26,'Campus Stats'!$A$2:$A$37,0))),"")</f>
        <v>3.307</v>
      </c>
      <c r="D26" s="25" t="n">
        <f aca="false">IFERROR(IF(INDEX('Campus Stats'!$C$2:$C$37,MATCH($A26,'Campus Stats'!$A$2:$A$37,0))="","",INDEX('Campus Stats'!$C$2:$C$37,MATCH($A26,'Campus Stats'!$A$2:$A$37,0))),"")</f>
        <v>3.187</v>
      </c>
      <c r="E26" s="22" t="n">
        <f aca="false">IF(OR(B26="",C26=""),"",B26-C26)</f>
        <v>-0.04</v>
      </c>
      <c r="F26" s="22" t="n">
        <f aca="false">IF(OR(B26="",D26=""),"",B26-D26)</f>
        <v>0.0800000000000001</v>
      </c>
      <c r="G26" s="19" t="n">
        <f aca="false">IF(COUNTIFS('Chapter Data'!$A$2:$A$2500,$A26,'Chapter Data'!$D$2:$D$2500,OurChapter,'Chapter Data'!$E$2:$E$2500,"&lt;&gt;")=0,"",SUMIFS('Chapter Data'!$E$2:$E$2500,'Chapter Data'!$A$2:$A$2500,$A26,'Chapter Data'!$D$2:$D$2500,OurChapter))</f>
        <v>74</v>
      </c>
      <c r="H26" s="19" t="n">
        <f aca="false">IF(COUNTIFS('Chapter Data'!$A$2:$A$2500,$A26,'Chapter Data'!$D$2:$D$2500,OurChapter,'Chapter Data'!$F$2:$F$2500,"&lt;&gt;")=0,"",SUMIFS('Chapter Data'!$F$2:$F$2500,'Chapter Data'!$A$2:$A$2500,$A26,'Chapter Data'!$D$2:$D$2500,OurChapter))</f>
        <v>10</v>
      </c>
      <c r="I26" s="26" t="n">
        <f aca="false">IFERROR(IF(IFERROR(INDEX('Members Matrix'!$B$41:$U$41,MATCH($A26,'Members Matrix'!$B$2:$U$2,0)),"")&lt;&gt;"",IFERROR(INDEX('Members Matrix'!$B$41:$U$41,MATCH($A26,'Members Matrix'!$B$2:$U$2,0)),""),IF(INDEX('IFC Size (legacy)'!$B:$B,MATCH($A26,'IFC Size (legacy)'!$A:$A,0))="","",INDEX('IFC Size (legacy)'!$B:$B,MATCH($A26,'IFC Size (legacy)'!$A:$A,0)))),"")</f>
        <v>68.7692307692308</v>
      </c>
      <c r="J26" s="19" t="n">
        <f aca="false">IF(OR(G26="",I26=""),"",100*G26/I26)</f>
        <v>107.606263982103</v>
      </c>
    </row>
    <row r="27" customFormat="false" ht="15" hidden="false" customHeight="false" outlineLevel="0" collapsed="false">
      <c r="A27" s="8" t="s">
        <v>150</v>
      </c>
      <c r="B27" s="25" t="n">
        <f aca="false">IF(COUNTIFS('Chapter Data'!$A$2:$A$2500,$A27,'Chapter Data'!$D$2:$D$2500,OurChapter,'Chapter Data'!$G$2:$G$2500,"&lt;&gt;")=0,"",SUMIFS('Chapter Data'!$G$2:$G$2500,'Chapter Data'!$A$2:$A$2500,$A27,'Chapter Data'!$D$2:$D$2500,OurChapter))</f>
        <v>3.167</v>
      </c>
      <c r="C27" s="25" t="n">
        <f aca="false">IFERROR(IF(INDEX('Campus Stats'!$F$2:$F$37,MATCH($A27,'Campus Stats'!$A$2:$A$37,0))="","",INDEX('Campus Stats'!$F$2:$F$37,MATCH($A27,'Campus Stats'!$A$2:$A$37,0))),"")</f>
        <v>3.221</v>
      </c>
      <c r="D27" s="25" t="n">
        <f aca="false">IFERROR(IF(INDEX('Campus Stats'!$C$2:$C$37,MATCH($A27,'Campus Stats'!$A$2:$A$37,0))="","",INDEX('Campus Stats'!$C$2:$C$37,MATCH($A27,'Campus Stats'!$A$2:$A$37,0))),"")</f>
        <v>3.084</v>
      </c>
      <c r="E27" s="22" t="n">
        <f aca="false">IF(OR(B27="",C27=""),"",B27-C27)</f>
        <v>-0.0540000000000003</v>
      </c>
      <c r="F27" s="22" t="n">
        <f aca="false">IF(OR(B27="",D27=""),"",B27-D27)</f>
        <v>0.0829999999999997</v>
      </c>
      <c r="G27" s="19" t="n">
        <f aca="false">IF(COUNTIFS('Chapter Data'!$A$2:$A$2500,$A27,'Chapter Data'!$D$2:$D$2500,OurChapter,'Chapter Data'!$E$2:$E$2500,"&lt;&gt;")=0,"",SUMIFS('Chapter Data'!$E$2:$E$2500,'Chapter Data'!$A$2:$A$2500,$A27,'Chapter Data'!$D$2:$D$2500,OurChapter))</f>
        <v>74</v>
      </c>
      <c r="H27" s="19" t="n">
        <f aca="false">IF(COUNTIFS('Chapter Data'!$A$2:$A$2500,$A27,'Chapter Data'!$D$2:$D$2500,OurChapter,'Chapter Data'!$F$2:$F$2500,"&lt;&gt;")=0,"",SUMIFS('Chapter Data'!$F$2:$F$2500,'Chapter Data'!$A$2:$A$2500,$A27,'Chapter Data'!$D$2:$D$2500,OurChapter))</f>
        <v>14</v>
      </c>
      <c r="I27" s="26" t="n">
        <f aca="false">IFERROR(IF(IFERROR(INDEX('Members Matrix'!$B$41:$U$41,MATCH($A27,'Members Matrix'!$B$2:$U$2,0)),"")&lt;&gt;"",IFERROR(INDEX('Members Matrix'!$B$41:$U$41,MATCH($A27,'Members Matrix'!$B$2:$U$2,0)),""),IF(INDEX('IFC Size (legacy)'!$B:$B,MATCH($A27,'IFC Size (legacy)'!$A:$A,0))="","",INDEX('IFC Size (legacy)'!$B:$B,MATCH($A27,'IFC Size (legacy)'!$A:$A,0)))),"")</f>
        <v>70.36</v>
      </c>
      <c r="J27" s="19" t="n">
        <f aca="false">IF(OR(G27="",I27=""),"",100*G27/I27)</f>
        <v>105.173393973849</v>
      </c>
    </row>
    <row r="28" customFormat="false" ht="15" hidden="false" customHeight="false" outlineLevel="0" collapsed="false">
      <c r="A28" s="8" t="s">
        <v>151</v>
      </c>
      <c r="B28" s="25" t="n">
        <f aca="false">IF(COUNTIFS('Chapter Data'!$A$2:$A$2500,$A28,'Chapter Data'!$D$2:$D$2500,OurChapter,'Chapter Data'!$G$2:$G$2500,"&lt;&gt;")=0,"",SUMIFS('Chapter Data'!$G$2:$G$2500,'Chapter Data'!$A$2:$A$2500,$A28,'Chapter Data'!$D$2:$D$2500,OurChapter))</f>
        <v>3.316</v>
      </c>
      <c r="C28" s="25" t="n">
        <f aca="false">IFERROR(IF(INDEX('Campus Stats'!$F$2:$F$37,MATCH($A28,'Campus Stats'!$A$2:$A$37,0))="","",INDEX('Campus Stats'!$F$2:$F$37,MATCH($A28,'Campus Stats'!$A$2:$A$37,0))),"")</f>
        <v>3.29</v>
      </c>
      <c r="D28" s="25" t="n">
        <f aca="false">IFERROR(IF(INDEX('Campus Stats'!$C$2:$C$37,MATCH($A28,'Campus Stats'!$A$2:$A$37,0))="","",INDEX('Campus Stats'!$C$2:$C$37,MATCH($A28,'Campus Stats'!$A$2:$A$37,0))),"")</f>
        <v>3.161</v>
      </c>
      <c r="E28" s="22" t="n">
        <f aca="false">IF(OR(B28="",C28=""),"",B28-C28)</f>
        <v>0.0259999999999998</v>
      </c>
      <c r="F28" s="22" t="n">
        <f aca="false">IF(OR(B28="",D28=""),"",B28-D28)</f>
        <v>0.155</v>
      </c>
      <c r="G28" s="19" t="n">
        <f aca="false">IF(COUNTIFS('Chapter Data'!$A$2:$A$2500,$A28,'Chapter Data'!$D$2:$D$2500,OurChapter,'Chapter Data'!$E$2:$E$2500,"&lt;&gt;")=0,"",SUMIFS('Chapter Data'!$E$2:$E$2500,'Chapter Data'!$A$2:$A$2500,$A28,'Chapter Data'!$D$2:$D$2500,OurChapter))</f>
        <v>68</v>
      </c>
      <c r="H28" s="19" t="str">
        <f aca="false">IF(COUNTIFS('Chapter Data'!$A$2:$A$2500,$A28,'Chapter Data'!$D$2:$D$2500,OurChapter,'Chapter Data'!$F$2:$F$2500,"&lt;&gt;")=0,"",SUMIFS('Chapter Data'!$F$2:$F$2500,'Chapter Data'!$A$2:$A$2500,$A28,'Chapter Data'!$D$2:$D$2500,OurChapter))</f>
        <v/>
      </c>
      <c r="I28" s="26" t="n">
        <f aca="false">IFERROR(IF(IFERROR(INDEX('Members Matrix'!$B$41:$U$41,MATCH($A28,'Members Matrix'!$B$2:$U$2,0)),"")&lt;&gt;"",IFERROR(INDEX('Members Matrix'!$B$41:$U$41,MATCH($A28,'Members Matrix'!$B$2:$U$2,0)),""),IF(INDEX('IFC Size (legacy)'!$B:$B,MATCH($A28,'IFC Size (legacy)'!$A:$A,0))="","",INDEX('IFC Size (legacy)'!$B:$B,MATCH($A28,'IFC Size (legacy)'!$A:$A,0)))),"")</f>
        <v>68.56</v>
      </c>
      <c r="J28" s="19" t="n">
        <f aca="false">IF(OR(G28="",I28=""),"",100*G28/I28)</f>
        <v>99.1831971995333</v>
      </c>
    </row>
    <row r="29" customFormat="false" ht="15" hidden="false" customHeight="false" outlineLevel="0" collapsed="false">
      <c r="A29" s="8" t="s">
        <v>152</v>
      </c>
      <c r="B29" s="25" t="n">
        <f aca="false">IF(COUNTIFS('Chapter Data'!$A$2:$A$2500,$A29,'Chapter Data'!$D$2:$D$2500,OurChapter,'Chapter Data'!$G$2:$G$2500,"&lt;&gt;")=0,"",SUMIFS('Chapter Data'!$G$2:$G$2500,'Chapter Data'!$A$2:$A$2500,$A29,'Chapter Data'!$D$2:$D$2500,OurChapter))</f>
        <v>3.096</v>
      </c>
      <c r="C29" s="25" t="n">
        <f aca="false">IFERROR(IF(INDEX('Campus Stats'!$F$2:$F$37,MATCH($A29,'Campus Stats'!$A$2:$A$37,0))="","",INDEX('Campus Stats'!$F$2:$F$37,MATCH($A29,'Campus Stats'!$A$2:$A$37,0))),"")</f>
        <v>3.265</v>
      </c>
      <c r="D29" s="25" t="n">
        <f aca="false">IFERROR(IF(INDEX('Campus Stats'!$C$2:$C$37,MATCH($A29,'Campus Stats'!$A$2:$A$37,0))="","",INDEX('Campus Stats'!$C$2:$C$37,MATCH($A29,'Campus Stats'!$A$2:$A$37,0))),"")</f>
        <v>3.131</v>
      </c>
      <c r="E29" s="22" t="n">
        <f aca="false">IF(OR(B29="",C29=""),"",B29-C29)</f>
        <v>-0.169</v>
      </c>
      <c r="F29" s="22" t="n">
        <f aca="false">IF(OR(B29="",D29=""),"",B29-D29)</f>
        <v>-0.0349999999999997</v>
      </c>
      <c r="G29" s="19" t="n">
        <f aca="false">IF(COUNTIFS('Chapter Data'!$A$2:$A$2500,$A29,'Chapter Data'!$D$2:$D$2500,OurChapter,'Chapter Data'!$E$2:$E$2500,"&lt;&gt;")=0,"",SUMIFS('Chapter Data'!$E$2:$E$2500,'Chapter Data'!$A$2:$A$2500,$A29,'Chapter Data'!$D$2:$D$2500,OurChapter))</f>
        <v>71</v>
      </c>
      <c r="H29" s="19" t="n">
        <f aca="false">IF(COUNTIFS('Chapter Data'!$A$2:$A$2500,$A29,'Chapter Data'!$D$2:$D$2500,OurChapter,'Chapter Data'!$F$2:$F$2500,"&lt;&gt;")=0,"",SUMIFS('Chapter Data'!$F$2:$F$2500,'Chapter Data'!$A$2:$A$2500,$A29,'Chapter Data'!$D$2:$D$2500,OurChapter))</f>
        <v>17</v>
      </c>
      <c r="I29" s="26" t="n">
        <f aca="false">IFERROR(IF(IFERROR(INDEX('Members Matrix'!$B$41:$U$41,MATCH($A29,'Members Matrix'!$B$2:$U$2,0)),"")&lt;&gt;"",IFERROR(INDEX('Members Matrix'!$B$41:$U$41,MATCH($A29,'Members Matrix'!$B$2:$U$2,0)),""),IF(INDEX('IFC Size (legacy)'!$B:$B,MATCH($A29,'IFC Size (legacy)'!$A:$A,0))="","",INDEX('IFC Size (legacy)'!$B:$B,MATCH($A29,'IFC Size (legacy)'!$A:$A,0)))),"")</f>
        <v>74.25</v>
      </c>
      <c r="J29" s="19" t="n">
        <f aca="false">IF(OR(G29="",I29=""),"",100*G29/I29)</f>
        <v>95.6228956228956</v>
      </c>
    </row>
    <row r="30" customFormat="false" ht="15" hidden="false" customHeight="false" outlineLevel="0" collapsed="false">
      <c r="A30" s="8" t="s">
        <v>153</v>
      </c>
      <c r="B30" s="25" t="n">
        <f aca="false">IF(COUNTIFS('Chapter Data'!$A$2:$A$2500,$A30,'Chapter Data'!$D$2:$D$2500,OurChapter,'Chapter Data'!$G$2:$G$2500,"&lt;&gt;")=0,"",SUMIFS('Chapter Data'!$G$2:$G$2500,'Chapter Data'!$A$2:$A$2500,$A30,'Chapter Data'!$D$2:$D$2500,OurChapter))</f>
        <v>3.121</v>
      </c>
      <c r="C30" s="25" t="n">
        <f aca="false">IFERROR(IF(INDEX('Campus Stats'!$F$2:$F$37,MATCH($A30,'Campus Stats'!$A$2:$A$37,0))="","",INDEX('Campus Stats'!$F$2:$F$37,MATCH($A30,'Campus Stats'!$A$2:$A$37,0))),"")</f>
        <v>3.337</v>
      </c>
      <c r="D30" s="25" t="n">
        <f aca="false">IFERROR(IF(INDEX('Campus Stats'!$C$2:$C$37,MATCH($A30,'Campus Stats'!$A$2:$A$37,0))="","",INDEX('Campus Stats'!$C$2:$C$37,MATCH($A30,'Campus Stats'!$A$2:$A$37,0))),"")</f>
        <v>3.198</v>
      </c>
      <c r="E30" s="22" t="n">
        <f aca="false">IF(OR(B30="",C30=""),"",B30-C30)</f>
        <v>-0.216</v>
      </c>
      <c r="F30" s="22" t="n">
        <f aca="false">IF(OR(B30="",D30=""),"",B30-D30)</f>
        <v>-0.077</v>
      </c>
      <c r="G30" s="19" t="n">
        <f aca="false">IF(COUNTIFS('Chapter Data'!$A$2:$A$2500,$A30,'Chapter Data'!$D$2:$D$2500,OurChapter,'Chapter Data'!$E$2:$E$2500,"&lt;&gt;")=0,"",SUMIFS('Chapter Data'!$E$2:$E$2500,'Chapter Data'!$A$2:$A$2500,$A30,'Chapter Data'!$D$2:$D$2500,OurChapter))</f>
        <v>71</v>
      </c>
      <c r="H30" s="19" t="n">
        <f aca="false">IF(COUNTIFS('Chapter Data'!$A$2:$A$2500,$A30,'Chapter Data'!$D$2:$D$2500,OurChapter,'Chapter Data'!$F$2:$F$2500,"&lt;&gt;")=0,"",SUMIFS('Chapter Data'!$F$2:$F$2500,'Chapter Data'!$A$2:$A$2500,$A30,'Chapter Data'!$D$2:$D$2500,OurChapter))</f>
        <v>6</v>
      </c>
      <c r="I30" s="26" t="n">
        <f aca="false">IFERROR(IF(IFERROR(INDEX('Members Matrix'!$B$41:$U$41,MATCH($A30,'Members Matrix'!$B$2:$U$2,0)),"")&lt;&gt;"",IFERROR(INDEX('Members Matrix'!$B$41:$U$41,MATCH($A30,'Members Matrix'!$B$2:$U$2,0)),""),IF(INDEX('IFC Size (legacy)'!$B:$B,MATCH($A30,'IFC Size (legacy)'!$A:$A,0))="","",INDEX('IFC Size (legacy)'!$B:$B,MATCH($A30,'IFC Size (legacy)'!$A:$A,0)))),"")</f>
        <v>67.72</v>
      </c>
      <c r="J30" s="19" t="n">
        <f aca="false">IF(OR(G30="",I30=""),"",100*G30/I30)</f>
        <v>104.843473124631</v>
      </c>
    </row>
    <row r="31" customFormat="false" ht="15" hidden="false" customHeight="false" outlineLevel="0" collapsed="false">
      <c r="A31" s="8" t="s">
        <v>154</v>
      </c>
      <c r="B31" s="25" t="n">
        <f aca="false">IF(COUNTIFS('Chapter Data'!$A$2:$A$2500,$A31,'Chapter Data'!$D$2:$D$2500,OurChapter,'Chapter Data'!$G$2:$G$2500,"&lt;&gt;")=0,"",SUMIFS('Chapter Data'!$G$2:$G$2500,'Chapter Data'!$A$2:$A$2500,$A31,'Chapter Data'!$D$2:$D$2500,OurChapter))</f>
        <v>2.997</v>
      </c>
      <c r="C31" s="25" t="n">
        <f aca="false">IFERROR(IF(INDEX('Campus Stats'!$F$2:$F$37,MATCH($A31,'Campus Stats'!$A$2:$A$37,0))="","",INDEX('Campus Stats'!$F$2:$F$37,MATCH($A31,'Campus Stats'!$A$2:$A$37,0))),"")</f>
        <v>3.257</v>
      </c>
      <c r="D31" s="25" t="n">
        <f aca="false">IFERROR(IF(INDEX('Campus Stats'!$C$2:$C$37,MATCH($A31,'Campus Stats'!$A$2:$A$37,0))="","",INDEX('Campus Stats'!$C$2:$C$37,MATCH($A31,'Campus Stats'!$A$2:$A$37,0))),"")</f>
        <v>3.132</v>
      </c>
      <c r="E31" s="22" t="n">
        <f aca="false">IF(OR(B31="",C31=""),"",B31-C31)</f>
        <v>-0.26</v>
      </c>
      <c r="F31" s="22" t="n">
        <f aca="false">IF(OR(B31="",D31=""),"",B31-D31)</f>
        <v>-0.135</v>
      </c>
      <c r="G31" s="19" t="n">
        <f aca="false">IF(COUNTIFS('Chapter Data'!$A$2:$A$2500,$A31,'Chapter Data'!$D$2:$D$2500,OurChapter,'Chapter Data'!$E$2:$E$2500,"&lt;&gt;")=0,"",SUMIFS('Chapter Data'!$E$2:$E$2500,'Chapter Data'!$A$2:$A$2500,$A31,'Chapter Data'!$D$2:$D$2500,OurChapter))</f>
        <v>60</v>
      </c>
      <c r="H31" s="19" t="str">
        <f aca="false">IF(COUNTIFS('Chapter Data'!$A$2:$A$2500,$A31,'Chapter Data'!$D$2:$D$2500,OurChapter,'Chapter Data'!$F$2:$F$2500,"&lt;&gt;")=0,"",SUMIFS('Chapter Data'!$F$2:$F$2500,'Chapter Data'!$A$2:$A$2500,$A31,'Chapter Data'!$D$2:$D$2500,OurChapter))</f>
        <v/>
      </c>
      <c r="I31" s="26" t="n">
        <f aca="false">IFERROR(IF(IFERROR(INDEX('Members Matrix'!$B$41:$U$41,MATCH($A31,'Members Matrix'!$B$2:$U$2,0)),"")&lt;&gt;"",IFERROR(INDEX('Members Matrix'!$B$41:$U$41,MATCH($A31,'Members Matrix'!$B$2:$U$2,0)),""),IF(INDEX('IFC Size (legacy)'!$B:$B,MATCH($A31,'IFC Size (legacy)'!$A:$A,0))="","",INDEX('IFC Size (legacy)'!$B:$B,MATCH($A31,'IFC Size (legacy)'!$A:$A,0)))),"")</f>
        <v>72.32</v>
      </c>
      <c r="J31" s="19" t="n">
        <f aca="false">IF(OR(G31="",I31=""),"",100*G31/I31)</f>
        <v>82.9646017699115</v>
      </c>
    </row>
    <row r="32" customFormat="false" ht="15" hidden="false" customHeight="false" outlineLevel="0" collapsed="false">
      <c r="A32" s="8" t="s">
        <v>155</v>
      </c>
      <c r="B32" s="25" t="n">
        <f aca="false">IF(COUNTIFS('Chapter Data'!$A$2:$A$2500,$A32,'Chapter Data'!$D$2:$D$2500,OurChapter,'Chapter Data'!$G$2:$G$2500,"&lt;&gt;")=0,"",SUMIFS('Chapter Data'!$G$2:$G$2500,'Chapter Data'!$A$2:$A$2500,$A32,'Chapter Data'!$D$2:$D$2500,OurChapter))</f>
        <v>3.321</v>
      </c>
      <c r="C32" s="25" t="n">
        <f aca="false">IFERROR(IF(INDEX('Campus Stats'!$F$2:$F$37,MATCH($A32,'Campus Stats'!$A$2:$A$37,0))="","",INDEX('Campus Stats'!$F$2:$F$37,MATCH($A32,'Campus Stats'!$A$2:$A$37,0))),"")</f>
        <v>3.328</v>
      </c>
      <c r="D32" s="25" t="n">
        <f aca="false">IFERROR(IF(INDEX('Campus Stats'!$C$2:$C$37,MATCH($A32,'Campus Stats'!$A$2:$A$37,0))="","",INDEX('Campus Stats'!$C$2:$C$37,MATCH($A32,'Campus Stats'!$A$2:$A$37,0))),"")</f>
        <v>3.208</v>
      </c>
      <c r="E32" s="22" t="n">
        <f aca="false">IF(OR(B32="",C32=""),"",B32-C32)</f>
        <v>-0.00699999999999967</v>
      </c>
      <c r="F32" s="22" t="n">
        <f aca="false">IF(OR(B32="",D32=""),"",B32-D32)</f>
        <v>0.113</v>
      </c>
      <c r="G32" s="19" t="n">
        <f aca="false">IF(COUNTIFS('Chapter Data'!$A$2:$A$2500,$A32,'Chapter Data'!$D$2:$D$2500,OurChapter,'Chapter Data'!$E$2:$E$2500,"&lt;&gt;")=0,"",SUMIFS('Chapter Data'!$E$2:$E$2500,'Chapter Data'!$A$2:$A$2500,$A32,'Chapter Data'!$D$2:$D$2500,OurChapter))</f>
        <v>48</v>
      </c>
      <c r="H32" s="19" t="n">
        <f aca="false">IF(COUNTIFS('Chapter Data'!$A$2:$A$2500,$A32,'Chapter Data'!$D$2:$D$2500,OurChapter,'Chapter Data'!$F$2:$F$2500,"&lt;&gt;")=0,"",SUMIFS('Chapter Data'!$F$2:$F$2500,'Chapter Data'!$A$2:$A$2500,$A32,'Chapter Data'!$D$2:$D$2500,OurChapter))</f>
        <v>5</v>
      </c>
      <c r="I32" s="26" t="n">
        <f aca="false">IFERROR(IF(IFERROR(INDEX('Members Matrix'!$B$41:$U$41,MATCH($A32,'Members Matrix'!$B$2:$U$2,0)),"")&lt;&gt;"",IFERROR(INDEX('Members Matrix'!$B$41:$U$41,MATCH($A32,'Members Matrix'!$B$2:$U$2,0)),""),IF(INDEX('IFC Size (legacy)'!$B:$B,MATCH($A32,'IFC Size (legacy)'!$A:$A,0))="","",INDEX('IFC Size (legacy)'!$B:$B,MATCH($A32,'IFC Size (legacy)'!$A:$A,0)))),"")</f>
        <v>70.36</v>
      </c>
      <c r="J32" s="19" t="n">
        <f aca="false">IF(OR(G32="",I32=""),"",100*G32/I32)</f>
        <v>68.2205798749289</v>
      </c>
    </row>
    <row r="33" customFormat="false" ht="15" hidden="false" customHeight="false" outlineLevel="0" collapsed="false">
      <c r="A33" s="8" t="s">
        <v>156</v>
      </c>
      <c r="B33" s="25" t="n">
        <f aca="false">IF(COUNTIFS('Chapter Data'!$A$2:$A$2500,$A33,'Chapter Data'!$D$2:$D$2500,OurChapter,'Chapter Data'!$G$2:$G$2500,"&lt;&gt;")=0,"",SUMIFS('Chapter Data'!$G$2:$G$2500,'Chapter Data'!$A$2:$A$2500,$A33,'Chapter Data'!$D$2:$D$2500,OurChapter))</f>
        <v>3.216</v>
      </c>
      <c r="C33" s="25" t="n">
        <f aca="false">IFERROR(IF(INDEX('Campus Stats'!$F$2:$F$37,MATCH($A33,'Campus Stats'!$A$2:$A$37,0))="","",INDEX('Campus Stats'!$F$2:$F$37,MATCH($A33,'Campus Stats'!$A$2:$A$37,0))),"")</f>
        <v>3.35</v>
      </c>
      <c r="D33" s="25" t="n">
        <f aca="false">IFERROR(IF(INDEX('Campus Stats'!$C$2:$C$37,MATCH($A33,'Campus Stats'!$A$2:$A$37,0))="","",INDEX('Campus Stats'!$C$2:$C$37,MATCH($A33,'Campus Stats'!$A$2:$A$37,0))),"")</f>
        <v>3.187</v>
      </c>
      <c r="E33" s="22" t="n">
        <f aca="false">IF(OR(B33="",C33=""),"",B33-C33)</f>
        <v>-0.134</v>
      </c>
      <c r="F33" s="22" t="n">
        <f aca="false">IF(OR(B33="",D33=""),"",B33-D33)</f>
        <v>0.0290000000000004</v>
      </c>
      <c r="G33" s="19" t="n">
        <f aca="false">IF(COUNTIFS('Chapter Data'!$A$2:$A$2500,$A33,'Chapter Data'!$D$2:$D$2500,OurChapter,'Chapter Data'!$E$2:$E$2500,"&lt;&gt;")=0,"",SUMIFS('Chapter Data'!$E$2:$E$2500,'Chapter Data'!$A$2:$A$2500,$A33,'Chapter Data'!$D$2:$D$2500,OurChapter))</f>
        <v>48</v>
      </c>
      <c r="H33" s="19" t="n">
        <f aca="false">IF(COUNTIFS('Chapter Data'!$A$2:$A$2500,$A33,'Chapter Data'!$D$2:$D$2500,OurChapter,'Chapter Data'!$F$2:$F$2500,"&lt;&gt;")=0,"",SUMIFS('Chapter Data'!$F$2:$F$2500,'Chapter Data'!$A$2:$A$2500,$A33,'Chapter Data'!$D$2:$D$2500,OurChapter))</f>
        <v>12</v>
      </c>
      <c r="I33" s="26" t="n">
        <f aca="false">IFERROR(IF(IFERROR(INDEX('Members Matrix'!$B$41:$U$41,MATCH($A33,'Members Matrix'!$B$2:$U$2,0)),"")&lt;&gt;"",IFERROR(INDEX('Members Matrix'!$B$41:$U$41,MATCH($A33,'Members Matrix'!$B$2:$U$2,0)),""),IF(INDEX('IFC Size (legacy)'!$B:$B,MATCH($A33,'IFC Size (legacy)'!$A:$A,0))="","",INDEX('IFC Size (legacy)'!$B:$B,MATCH($A33,'IFC Size (legacy)'!$A:$A,0)))),"")</f>
        <v>73.2307692307692</v>
      </c>
      <c r="J33" s="19" t="n">
        <f aca="false">IF(OR(G33="",I33=""),"",100*G33/I33)</f>
        <v>65.546218487395</v>
      </c>
    </row>
    <row r="34" customFormat="false" ht="15" hidden="false" customHeight="false" outlineLevel="0" collapsed="false">
      <c r="A34" s="8" t="s">
        <v>157</v>
      </c>
      <c r="B34" s="25" t="n">
        <f aca="false">IF(COUNTIFS('Chapter Data'!$A$2:$A$2500,$A34,'Chapter Data'!$D$2:$D$2500,OurChapter,'Chapter Data'!$G$2:$G$2500,"&lt;&gt;")=0,"",SUMIFS('Chapter Data'!$G$2:$G$2500,'Chapter Data'!$A$2:$A$2500,$A34,'Chapter Data'!$D$2:$D$2500,OurChapter))</f>
        <v>3.053</v>
      </c>
      <c r="C34" s="25" t="n">
        <f aca="false">IFERROR(IF(INDEX('Campus Stats'!$F$2:$F$37,MATCH($A34,'Campus Stats'!$A$2:$A$37,0))="","",INDEX('Campus Stats'!$F$2:$F$37,MATCH($A34,'Campus Stats'!$A$2:$A$37,0))),"")</f>
        <v>3.367</v>
      </c>
      <c r="D34" s="25" t="n">
        <f aca="false">IFERROR(IF(INDEX('Campus Stats'!$C$2:$C$37,MATCH($A34,'Campus Stats'!$A$2:$A$37,0))="","",INDEX('Campus Stats'!$C$2:$C$37,MATCH($A34,'Campus Stats'!$A$2:$A$37,0))),"")</f>
        <v>3.22</v>
      </c>
      <c r="E34" s="22" t="n">
        <f aca="false">IF(OR(B34="",C34=""),"",B34-C34)</f>
        <v>-0.314</v>
      </c>
      <c r="F34" s="22" t="n">
        <f aca="false">IF(OR(B34="",D34=""),"",B34-D34)</f>
        <v>-0.167</v>
      </c>
      <c r="G34" s="19" t="n">
        <f aca="false">IF(COUNTIFS('Chapter Data'!$A$2:$A$2500,$A34,'Chapter Data'!$D$2:$D$2500,OurChapter,'Chapter Data'!$E$2:$E$2500,"&lt;&gt;")=0,"",SUMIFS('Chapter Data'!$E$2:$E$2500,'Chapter Data'!$A$2:$A$2500,$A34,'Chapter Data'!$D$2:$D$2500,OurChapter))</f>
        <v>48</v>
      </c>
      <c r="H34" s="19" t="n">
        <f aca="false">IF(COUNTIFS('Chapter Data'!$A$2:$A$2500,$A34,'Chapter Data'!$D$2:$D$2500,OurChapter,'Chapter Data'!$F$2:$F$2500,"&lt;&gt;")=0,"",SUMIFS('Chapter Data'!$F$2:$F$2500,'Chapter Data'!$A$2:$A$2500,$A34,'Chapter Data'!$D$2:$D$2500,OurChapter))</f>
        <v>3</v>
      </c>
      <c r="I34" s="26" t="n">
        <f aca="false">IFERROR(IF(IFERROR(INDEX('Members Matrix'!$B$41:$U$41,MATCH($A34,'Members Matrix'!$B$2:$U$2,0)),"")&lt;&gt;"",IFERROR(INDEX('Members Matrix'!$B$41:$U$41,MATCH($A34,'Members Matrix'!$B$2:$U$2,0)),""),IF(INDEX('IFC Size (legacy)'!$B:$B,MATCH($A34,'IFC Size (legacy)'!$A:$A,0))="","",INDEX('IFC Size (legacy)'!$B:$B,MATCH($A34,'IFC Size (legacy)'!$A:$A,0)))),"")</f>
        <v>78.4166666666667</v>
      </c>
      <c r="J34" s="19" t="n">
        <f aca="false">IF(OR(G34="",I34=""),"",100*G34/I34)</f>
        <v>61.211477151966</v>
      </c>
    </row>
    <row r="35" customFormat="false" ht="15" hidden="false" customHeight="false" outlineLevel="0" collapsed="false">
      <c r="A35" s="8" t="s">
        <v>158</v>
      </c>
      <c r="B35" s="25" t="n">
        <f aca="false">IF(COUNTIFS('Chapter Data'!$A$2:$A$2500,$A35,'Chapter Data'!$D$2:$D$2500,OurChapter,'Chapter Data'!$G$2:$G$2500,"&lt;&gt;")=0,"",SUMIFS('Chapter Data'!$G$2:$G$2500,'Chapter Data'!$A$2:$A$2500,$A35,'Chapter Data'!$D$2:$D$2500,OurChapter))</f>
        <v>3.033</v>
      </c>
      <c r="C35" s="25" t="n">
        <f aca="false">IFERROR(IF(INDEX('Campus Stats'!$F$2:$F$37,MATCH($A35,'Campus Stats'!$A$2:$A$37,0))="","",INDEX('Campus Stats'!$F$2:$F$37,MATCH($A35,'Campus Stats'!$A$2:$A$37,0))),"")</f>
        <v>3.316</v>
      </c>
      <c r="D35" s="25" t="n">
        <f aca="false">IFERROR(IF(INDEX('Campus Stats'!$C$2:$C$37,MATCH($A35,'Campus Stats'!$A$2:$A$37,0))="","",INDEX('Campus Stats'!$C$2:$C$37,MATCH($A35,'Campus Stats'!$A$2:$A$37,0))),"")</f>
        <v>3.196</v>
      </c>
      <c r="E35" s="22" t="n">
        <f aca="false">IF(OR(B35="",C35=""),"",B35-C35)</f>
        <v>-0.283</v>
      </c>
      <c r="F35" s="22" t="n">
        <f aca="false">IF(OR(B35="",D35=""),"",B35-D35)</f>
        <v>-0.163</v>
      </c>
      <c r="G35" s="19" t="n">
        <f aca="false">IF(COUNTIFS('Chapter Data'!$A$2:$A$2500,$A35,'Chapter Data'!$D$2:$D$2500,OurChapter,'Chapter Data'!$E$2:$E$2500,"&lt;&gt;")=0,"",SUMIFS('Chapter Data'!$E$2:$E$2500,'Chapter Data'!$A$2:$A$2500,$A35,'Chapter Data'!$D$2:$D$2500,OurChapter))</f>
        <v>44</v>
      </c>
      <c r="H35" s="19" t="n">
        <f aca="false">IF(COUNTIFS('Chapter Data'!$A$2:$A$2500,$A35,'Chapter Data'!$D$2:$D$2500,OurChapter,'Chapter Data'!$F$2:$F$2500,"&lt;&gt;")=0,"",SUMIFS('Chapter Data'!$F$2:$F$2500,'Chapter Data'!$A$2:$A$2500,$A35,'Chapter Data'!$D$2:$D$2500,OurChapter))</f>
        <v>12</v>
      </c>
      <c r="I35" s="26" t="n">
        <f aca="false">IFERROR(IF(IFERROR(INDEX('Members Matrix'!$B$41:$U$41,MATCH($A35,'Members Matrix'!$B$2:$U$2,0)),"")&lt;&gt;"",IFERROR(INDEX('Members Matrix'!$B$41:$U$41,MATCH($A35,'Members Matrix'!$B$2:$U$2,0)),""),IF(INDEX('IFC Size (legacy)'!$B:$B,MATCH($A35,'IFC Size (legacy)'!$A:$A,0))="","",INDEX('IFC Size (legacy)'!$B:$B,MATCH($A35,'IFC Size (legacy)'!$A:$A,0)))),"")</f>
        <v>79.2</v>
      </c>
      <c r="J35" s="19" t="n">
        <f aca="false">IF(OR(G35="",I35=""),"",100*G35/I35)</f>
        <v>55.5555555555556</v>
      </c>
    </row>
    <row r="36" customFormat="false" ht="15" hidden="false" customHeight="false" outlineLevel="0" collapsed="false">
      <c r="A36" s="8" t="s">
        <v>159</v>
      </c>
      <c r="B36" s="25" t="n">
        <f aca="false">IF(COUNTIFS('Chapter Data'!$A$2:$A$2500,$A36,'Chapter Data'!$D$2:$D$2500,OurChapter,'Chapter Data'!$G$2:$G$2500,"&lt;&gt;")=0,"",SUMIFS('Chapter Data'!$G$2:$G$2500,'Chapter Data'!$A$2:$A$2500,$A36,'Chapter Data'!$D$2:$D$2500,OurChapter))</f>
        <v>3.163</v>
      </c>
      <c r="C36" s="25" t="n">
        <f aca="false">IFERROR(IF(INDEX('Campus Stats'!$F$2:$F$37,MATCH($A36,'Campus Stats'!$A$2:$A$37,0))="","",INDEX('Campus Stats'!$F$2:$F$37,MATCH($A36,'Campus Stats'!$A$2:$A$37,0))),"")</f>
        <v>3.384</v>
      </c>
      <c r="D36" s="25" t="n">
        <f aca="false">IFERROR(IF(INDEX('Campus Stats'!$C$2:$C$37,MATCH($A36,'Campus Stats'!$A$2:$A$37,0))="","",INDEX('Campus Stats'!$C$2:$C$37,MATCH($A36,'Campus Stats'!$A$2:$A$37,0))),"")</f>
        <v>3.226</v>
      </c>
      <c r="E36" s="22" t="n">
        <f aca="false">IF(OR(B36="",C36=""),"",B36-C36)</f>
        <v>-0.221</v>
      </c>
      <c r="F36" s="22" t="n">
        <f aca="false">IF(OR(B36="",D36=""),"",B36-D36)</f>
        <v>-0.0630000000000002</v>
      </c>
      <c r="G36" s="19" t="n">
        <f aca="false">IF(COUNTIFS('Chapter Data'!$A$2:$A$2500,$A36,'Chapter Data'!$D$2:$D$2500,OurChapter,'Chapter Data'!$E$2:$E$2500,"&lt;&gt;")=0,"",SUMIFS('Chapter Data'!$E$2:$E$2500,'Chapter Data'!$A$2:$A$2500,$A36,'Chapter Data'!$D$2:$D$2500,OurChapter))</f>
        <v>43</v>
      </c>
      <c r="H36" s="19" t="n">
        <f aca="false">IF(COUNTIFS('Chapter Data'!$A$2:$A$2500,$A36,'Chapter Data'!$D$2:$D$2500,OurChapter,'Chapter Data'!$F$2:$F$2500,"&lt;&gt;")=0,"",SUMIFS('Chapter Data'!$F$2:$F$2500,'Chapter Data'!$A$2:$A$2500,$A36,'Chapter Data'!$D$2:$D$2500,OurChapter))</f>
        <v>6</v>
      </c>
      <c r="I36" s="26" t="n">
        <f aca="false">IFERROR(IF(IFERROR(INDEX('Members Matrix'!$B$41:$U$41,MATCH($A36,'Members Matrix'!$B$2:$U$2,0)),"")&lt;&gt;"",IFERROR(INDEX('Members Matrix'!$B$41:$U$41,MATCH($A36,'Members Matrix'!$B$2:$U$2,0)),""),IF(INDEX('IFC Size (legacy)'!$B:$B,MATCH($A36,'IFC Size (legacy)'!$A:$A,0))="","",INDEX('IFC Size (legacy)'!$B:$B,MATCH($A36,'IFC Size (legacy)'!$A:$A,0)))),"")</f>
        <v>76.3478260869565</v>
      </c>
      <c r="J36" s="19" t="n">
        <f aca="false">IF(OR(G36="",I36=""),"",100*G36/I36)</f>
        <v>56.3211845102506</v>
      </c>
    </row>
    <row r="37" customFormat="false" ht="15" hidden="false" customHeight="false" outlineLevel="0" collapsed="false">
      <c r="A37" s="8" t="s">
        <v>160</v>
      </c>
      <c r="B37" s="25" t="str">
        <f aca="false">IF(COUNTIFS('Chapter Data'!$A$2:$A$2500,$A37,'Chapter Data'!$D$2:$D$2500,OurChapter,'Chapter Data'!$G$2:$G$2500,"&lt;&gt;")=0,"",SUMIFS('Chapter Data'!$G$2:$G$2500,'Chapter Data'!$A$2:$A$2500,$A37,'Chapter Data'!$D$2:$D$2500,OurChapter))</f>
        <v/>
      </c>
      <c r="C37" s="25" t="str">
        <f aca="false">IFERROR(IF(INDEX('Campus Stats'!$F$2:$F$37,MATCH($A37,'Campus Stats'!$A$2:$A$37,0))="","",INDEX('Campus Stats'!$F$2:$F$37,MATCH($A37,'Campus Stats'!$A$2:$A$37,0))),"")</f>
        <v/>
      </c>
      <c r="D37" s="25" t="str">
        <f aca="false">IFERROR(IF(INDEX('Campus Stats'!$C$2:$C$37,MATCH($A37,'Campus Stats'!$A$2:$A$37,0))="","",INDEX('Campus Stats'!$C$2:$C$37,MATCH($A37,'Campus Stats'!$A$2:$A$37,0))),"")</f>
        <v/>
      </c>
      <c r="E37" s="22" t="str">
        <f aca="false">IF(OR(B37="",C37=""),"",B37-C37)</f>
        <v/>
      </c>
      <c r="F37" s="22" t="str">
        <f aca="false">IF(OR(B37="",D37=""),"",B37-D37)</f>
        <v/>
      </c>
      <c r="G37" s="19" t="str">
        <f aca="false">IF(COUNTIFS('Chapter Data'!$A$2:$A$2500,$A37,'Chapter Data'!$D$2:$D$2500,OurChapter,'Chapter Data'!$E$2:$E$2500,"&lt;&gt;")=0,"",SUMIFS('Chapter Data'!$E$2:$E$2500,'Chapter Data'!$A$2:$A$2500,$A37,'Chapter Data'!$D$2:$D$2500,OurChapter))</f>
        <v/>
      </c>
      <c r="H37" s="19" t="str">
        <f aca="false">IF(COUNTIFS('Chapter Data'!$A$2:$A$2500,$A37,'Chapter Data'!$D$2:$D$2500,OurChapter,'Chapter Data'!$F$2:$F$2500,"&lt;&gt;")=0,"",SUMIFS('Chapter Data'!$F$2:$F$2500,'Chapter Data'!$A$2:$A$2500,$A37,'Chapter Data'!$D$2:$D$2500,OurChapter))</f>
        <v/>
      </c>
      <c r="I37" s="26" t="str">
        <f aca="false">IFERROR(IF(IFERROR(INDEX('Members Matrix'!$B$41:$U$41,MATCH($A37,'Members Matrix'!$B$2:$U$2,0)),"")&lt;&gt;"",IFERROR(INDEX('Members Matrix'!$B$41:$U$41,MATCH($A37,'Members Matrix'!$B$2:$U$2,0)),""),IF(INDEX('IFC Size (legacy)'!$B:$B,MATCH($A37,'IFC Size (legacy)'!$A:$A,0))="","",INDEX('IFC Size (legacy)'!$B:$B,MATCH($A37,'IFC Size (legacy)'!$A:$A,0)))),"")</f>
        <v/>
      </c>
      <c r="J37" s="19" t="str">
        <f aca="false">IF(OR(G37="",I37=""),"",100*G37/I37)</f>
        <v/>
      </c>
    </row>
    <row r="38" customFormat="false" ht="15" hidden="false" customHeight="false" outlineLevel="0" collapsed="false">
      <c r="A38" s="8" t="s">
        <v>161</v>
      </c>
      <c r="B38" s="25" t="str">
        <f aca="false">IF(COUNTIFS('Chapter Data'!$A$2:$A$2500,$A38,'Chapter Data'!$D$2:$D$2500,OurChapter,'Chapter Data'!$G$2:$G$2500,"&lt;&gt;")=0,"",SUMIFS('Chapter Data'!$G$2:$G$2500,'Chapter Data'!$A$2:$A$2500,$A38,'Chapter Data'!$D$2:$D$2500,OurChapter))</f>
        <v/>
      </c>
      <c r="C38" s="25" t="str">
        <f aca="false">IFERROR(IF(INDEX('Campus Stats'!$F$2:$F$37,MATCH($A38,'Campus Stats'!$A$2:$A$37,0))="","",INDEX('Campus Stats'!$F$2:$F$37,MATCH($A38,'Campus Stats'!$A$2:$A$37,0))),"")</f>
        <v/>
      </c>
      <c r="D38" s="25" t="str">
        <f aca="false">IFERROR(IF(INDEX('Campus Stats'!$C$2:$C$37,MATCH($A38,'Campus Stats'!$A$2:$A$37,0))="","",INDEX('Campus Stats'!$C$2:$C$37,MATCH($A38,'Campus Stats'!$A$2:$A$37,0))),"")</f>
        <v/>
      </c>
      <c r="E38" s="22" t="str">
        <f aca="false">IF(OR(B38="",C38=""),"",B38-C38)</f>
        <v/>
      </c>
      <c r="F38" s="22" t="str">
        <f aca="false">IF(OR(B38="",D38=""),"",B38-D38)</f>
        <v/>
      </c>
      <c r="G38" s="19" t="str">
        <f aca="false">IF(COUNTIFS('Chapter Data'!$A$2:$A$2500,$A38,'Chapter Data'!$D$2:$D$2500,OurChapter,'Chapter Data'!$E$2:$E$2500,"&lt;&gt;")=0,"",SUMIFS('Chapter Data'!$E$2:$E$2500,'Chapter Data'!$A$2:$A$2500,$A38,'Chapter Data'!$D$2:$D$2500,OurChapter))</f>
        <v/>
      </c>
      <c r="H38" s="19" t="str">
        <f aca="false">IF(COUNTIFS('Chapter Data'!$A$2:$A$2500,$A38,'Chapter Data'!$D$2:$D$2500,OurChapter,'Chapter Data'!$F$2:$F$2500,"&lt;&gt;")=0,"",SUMIFS('Chapter Data'!$F$2:$F$2500,'Chapter Data'!$A$2:$A$2500,$A38,'Chapter Data'!$D$2:$D$2500,OurChapter))</f>
        <v/>
      </c>
      <c r="I38" s="26" t="str">
        <f aca="false">IFERROR(IF(IFERROR(INDEX('Members Matrix'!$B$41:$U$41,MATCH($A38,'Members Matrix'!$B$2:$U$2,0)),"")&lt;&gt;"",IFERROR(INDEX('Members Matrix'!$B$41:$U$41,MATCH($A38,'Members Matrix'!$B$2:$U$2,0)),""),IF(INDEX('IFC Size (legacy)'!$B:$B,MATCH($A38,'IFC Size (legacy)'!$A:$A,0))="","",INDEX('IFC Size (legacy)'!$B:$B,MATCH($A38,'IFC Size (legacy)'!$A:$A,0)))),"")</f>
        <v/>
      </c>
      <c r="J38" s="19" t="str">
        <f aca="false">IF(OR(G38="",I38=""),"",100*G38/I38)</f>
        <v/>
      </c>
    </row>
    <row r="39" customFormat="false" ht="15" hidden="false" customHeight="false" outlineLevel="0" collapsed="false">
      <c r="A39" s="8" t="s">
        <v>162</v>
      </c>
      <c r="B39" s="25" t="str">
        <f aca="false">IF(COUNTIFS('Chapter Data'!$A$2:$A$2500,$A39,'Chapter Data'!$D$2:$D$2500,OurChapter,'Chapter Data'!$G$2:$G$2500,"&lt;&gt;")=0,"",SUMIFS('Chapter Data'!$G$2:$G$2500,'Chapter Data'!$A$2:$A$2500,$A39,'Chapter Data'!$D$2:$D$2500,OurChapter))</f>
        <v/>
      </c>
      <c r="C39" s="25" t="str">
        <f aca="false">IFERROR(IF(INDEX('Campus Stats'!$F$2:$F$37,MATCH($A39,'Campus Stats'!$A$2:$A$37,0))="","",INDEX('Campus Stats'!$F$2:$F$37,MATCH($A39,'Campus Stats'!$A$2:$A$37,0))),"")</f>
        <v/>
      </c>
      <c r="D39" s="25" t="str">
        <f aca="false">IFERROR(IF(INDEX('Campus Stats'!$C$2:$C$37,MATCH($A39,'Campus Stats'!$A$2:$A$37,0))="","",INDEX('Campus Stats'!$C$2:$C$37,MATCH($A39,'Campus Stats'!$A$2:$A$37,0))),"")</f>
        <v/>
      </c>
      <c r="E39" s="22" t="str">
        <f aca="false">IF(OR(B39="",C39=""),"",B39-C39)</f>
        <v/>
      </c>
      <c r="F39" s="22" t="str">
        <f aca="false">IF(OR(B39="",D39=""),"",B39-D39)</f>
        <v/>
      </c>
      <c r="G39" s="19" t="str">
        <f aca="false">IF(COUNTIFS('Chapter Data'!$A$2:$A$2500,$A39,'Chapter Data'!$D$2:$D$2500,OurChapter,'Chapter Data'!$E$2:$E$2500,"&lt;&gt;")=0,"",SUMIFS('Chapter Data'!$E$2:$E$2500,'Chapter Data'!$A$2:$A$2500,$A39,'Chapter Data'!$D$2:$D$2500,OurChapter))</f>
        <v/>
      </c>
      <c r="H39" s="19" t="str">
        <f aca="false">IF(COUNTIFS('Chapter Data'!$A$2:$A$2500,$A39,'Chapter Data'!$D$2:$D$2500,OurChapter,'Chapter Data'!$F$2:$F$2500,"&lt;&gt;")=0,"",SUMIFS('Chapter Data'!$F$2:$F$2500,'Chapter Data'!$A$2:$A$2500,$A39,'Chapter Data'!$D$2:$D$2500,OurChapter))</f>
        <v/>
      </c>
      <c r="I39" s="26" t="str">
        <f aca="false">IFERROR(IF(IFERROR(INDEX('Members Matrix'!$B$41:$U$41,MATCH($A39,'Members Matrix'!$B$2:$U$2,0)),"")&lt;&gt;"",IFERROR(INDEX('Members Matrix'!$B$41:$U$41,MATCH($A39,'Members Matrix'!$B$2:$U$2,0)),""),IF(INDEX('IFC Size (legacy)'!$B:$B,MATCH($A39,'IFC Size (legacy)'!$A:$A,0))="","",INDEX('IFC Size (legacy)'!$B:$B,MATCH($A39,'IFC Size (legacy)'!$A:$A,0)))),"")</f>
        <v/>
      </c>
      <c r="J39" s="19" t="str">
        <f aca="false">IF(OR(G39="",I39=""),"",100*G39/I39)</f>
        <v/>
      </c>
    </row>
    <row r="40" customFormat="false" ht="15" hidden="false" customHeight="false" outlineLevel="0" collapsed="false">
      <c r="A40" s="8" t="s">
        <v>163</v>
      </c>
      <c r="B40" s="25" t="str">
        <f aca="false">IF(COUNTIFS('Chapter Data'!$A$2:$A$2500,$A40,'Chapter Data'!$D$2:$D$2500,OurChapter,'Chapter Data'!$G$2:$G$2500,"&lt;&gt;")=0,"",SUMIFS('Chapter Data'!$G$2:$G$2500,'Chapter Data'!$A$2:$A$2500,$A40,'Chapter Data'!$D$2:$D$2500,OurChapter))</f>
        <v/>
      </c>
      <c r="C40" s="25" t="str">
        <f aca="false">IFERROR(IF(INDEX('Campus Stats'!$F$2:$F$37,MATCH($A40,'Campus Stats'!$A$2:$A$37,0))="","",INDEX('Campus Stats'!$F$2:$F$37,MATCH($A40,'Campus Stats'!$A$2:$A$37,0))),"")</f>
        <v/>
      </c>
      <c r="D40" s="25" t="str">
        <f aca="false">IFERROR(IF(INDEX('Campus Stats'!$C$2:$C$37,MATCH($A40,'Campus Stats'!$A$2:$A$37,0))="","",INDEX('Campus Stats'!$C$2:$C$37,MATCH($A40,'Campus Stats'!$A$2:$A$37,0))),"")</f>
        <v/>
      </c>
      <c r="E40" s="22" t="str">
        <f aca="false">IF(OR(B40="",C40=""),"",B40-C40)</f>
        <v/>
      </c>
      <c r="F40" s="22" t="str">
        <f aca="false">IF(OR(B40="",D40=""),"",B40-D40)</f>
        <v/>
      </c>
      <c r="G40" s="19" t="str">
        <f aca="false">IF(COUNTIFS('Chapter Data'!$A$2:$A$2500,$A40,'Chapter Data'!$D$2:$D$2500,OurChapter,'Chapter Data'!$E$2:$E$2500,"&lt;&gt;")=0,"",SUMIFS('Chapter Data'!$E$2:$E$2500,'Chapter Data'!$A$2:$A$2500,$A40,'Chapter Data'!$D$2:$D$2500,OurChapter))</f>
        <v/>
      </c>
      <c r="H40" s="19" t="str">
        <f aca="false">IF(COUNTIFS('Chapter Data'!$A$2:$A$2500,$A40,'Chapter Data'!$D$2:$D$2500,OurChapter,'Chapter Data'!$F$2:$F$2500,"&lt;&gt;")=0,"",SUMIFS('Chapter Data'!$F$2:$F$2500,'Chapter Data'!$A$2:$A$2500,$A40,'Chapter Data'!$D$2:$D$2500,OurChapter))</f>
        <v/>
      </c>
      <c r="I40" s="26" t="str">
        <f aca="false">IFERROR(IF(IFERROR(INDEX('Members Matrix'!$B$41:$U$41,MATCH($A40,'Members Matrix'!$B$2:$U$2,0)),"")&lt;&gt;"",IFERROR(INDEX('Members Matrix'!$B$41:$U$41,MATCH($A40,'Members Matrix'!$B$2:$U$2,0)),""),IF(INDEX('IFC Size (legacy)'!$B:$B,MATCH($A40,'IFC Size (legacy)'!$A:$A,0))="","",INDEX('IFC Size (legacy)'!$B:$B,MATCH($A40,'IFC Size (legacy)'!$A:$A,0)))),"")</f>
        <v/>
      </c>
      <c r="J40" s="19" t="str">
        <f aca="false">IF(OR(G40="",I40=""),"",100*G40/I40)</f>
        <v/>
      </c>
    </row>
    <row r="43" customFormat="false" ht="15" hidden="false" customHeight="false" outlineLevel="0" collapsed="false">
      <c r="A43" s="13" t="s">
        <v>267</v>
      </c>
    </row>
    <row r="44" customFormat="false" ht="15" hidden="false" customHeight="false" outlineLevel="0" collapsed="false">
      <c r="A44" s="14" t="s">
        <v>268</v>
      </c>
      <c r="B44" s="14" t="s">
        <v>269</v>
      </c>
      <c r="C44" s="14" t="s">
        <v>270</v>
      </c>
      <c r="D44" s="14" t="s">
        <v>271</v>
      </c>
      <c r="E44" s="14" t="s">
        <v>272</v>
      </c>
    </row>
    <row r="45" customFormat="false" ht="15" hidden="false" customHeight="false" outlineLevel="0" collapsed="false">
      <c r="A45" s="6" t="s">
        <v>148</v>
      </c>
      <c r="B45" s="40" t="n">
        <v>20</v>
      </c>
      <c r="C45" s="40" t="n">
        <v>10</v>
      </c>
      <c r="D45" s="19" t="n">
        <f aca="false">B45-C45</f>
        <v>10</v>
      </c>
      <c r="E45" s="28" t="n">
        <f aca="false">IF(B45=0,"",D45/B45)</f>
        <v>0.5</v>
      </c>
    </row>
    <row r="46" customFormat="false" ht="15" hidden="false" customHeight="false" outlineLevel="0" collapsed="false">
      <c r="A46" s="6" t="s">
        <v>149</v>
      </c>
      <c r="B46" s="40" t="n">
        <v>10</v>
      </c>
      <c r="C46" s="40" t="n">
        <v>6</v>
      </c>
      <c r="D46" s="19" t="n">
        <f aca="false">B46-C46</f>
        <v>4</v>
      </c>
      <c r="E46" s="28" t="n">
        <f aca="false">IF(B46=0,"",D46/B46)</f>
        <v>0.4</v>
      </c>
    </row>
    <row r="47" customFormat="false" ht="15" hidden="false" customHeight="false" outlineLevel="0" collapsed="false">
      <c r="A47" s="6" t="s">
        <v>150</v>
      </c>
      <c r="B47" s="40" t="n">
        <v>13</v>
      </c>
      <c r="C47" s="40" t="n">
        <v>9</v>
      </c>
      <c r="D47" s="19" t="n">
        <f aca="false">B47-C47</f>
        <v>4</v>
      </c>
      <c r="E47" s="28" t="n">
        <f aca="false">IF(B47=0,"",D47/B47)</f>
        <v>0.307692307692308</v>
      </c>
    </row>
    <row r="48" customFormat="false" ht="15" hidden="false" customHeight="false" outlineLevel="0" collapsed="false">
      <c r="A48" s="6" t="s">
        <v>151</v>
      </c>
      <c r="B48" s="40" t="n">
        <v>5</v>
      </c>
      <c r="C48" s="40" t="n">
        <v>4</v>
      </c>
      <c r="D48" s="19" t="n">
        <f aca="false">B48-C48</f>
        <v>1</v>
      </c>
      <c r="E48" s="28" t="n">
        <f aca="false">IF(B48=0,"",D48/B48)</f>
        <v>0.2</v>
      </c>
    </row>
    <row r="49" customFormat="false" ht="15" hidden="false" customHeight="false" outlineLevel="0" collapsed="false">
      <c r="A49" s="6" t="s">
        <v>152</v>
      </c>
      <c r="B49" s="40" t="n">
        <v>13</v>
      </c>
      <c r="C49" s="40" t="n">
        <v>11</v>
      </c>
      <c r="D49" s="19" t="n">
        <f aca="false">B49-C49</f>
        <v>2</v>
      </c>
      <c r="E49" s="28" t="n">
        <f aca="false">IF(B49=0,"",D49/B49)</f>
        <v>0.153846153846154</v>
      </c>
    </row>
    <row r="50" customFormat="false" ht="15" hidden="false" customHeight="false" outlineLevel="0" collapsed="false">
      <c r="A50" s="6" t="s">
        <v>153</v>
      </c>
      <c r="B50" s="40" t="n">
        <v>5</v>
      </c>
      <c r="C50" s="40" t="n">
        <v>3</v>
      </c>
      <c r="D50" s="19" t="n">
        <f aca="false">B50-C50</f>
        <v>2</v>
      </c>
      <c r="E50" s="28" t="n">
        <f aca="false">IF(B50=0,"",D50/B50)</f>
        <v>0.4</v>
      </c>
    </row>
    <row r="51" customFormat="false" ht="15" hidden="false" customHeight="false" outlineLevel="0" collapsed="false">
      <c r="A51" s="6" t="s">
        <v>154</v>
      </c>
      <c r="B51" s="40" t="n">
        <v>20</v>
      </c>
      <c r="C51" s="40" t="n">
        <v>13</v>
      </c>
      <c r="D51" s="19" t="n">
        <f aca="false">B51-C51</f>
        <v>7</v>
      </c>
      <c r="E51" s="28" t="n">
        <f aca="false">IF(B51=0,"",D51/B51)</f>
        <v>0.35</v>
      </c>
    </row>
    <row r="52" customFormat="false" ht="15" hidden="false" customHeight="false" outlineLevel="0" collapsed="false">
      <c r="A52" s="13" t="s">
        <v>273</v>
      </c>
      <c r="B52" s="41" t="n">
        <f aca="false">SUM(B45:B51)</f>
        <v>86</v>
      </c>
      <c r="C52" s="41" t="n">
        <f aca="false">SUM(C45:C51)</f>
        <v>56</v>
      </c>
      <c r="D52" s="41" t="n">
        <f aca="false">SUM(D45:D51)</f>
        <v>30</v>
      </c>
      <c r="E52" s="42" t="n">
        <f aca="false">D52/B52</f>
        <v>0.348837209302326</v>
      </c>
    </row>
    <row r="53" customFormat="false" ht="15" hidden="false" customHeight="false" outlineLevel="0" collapsed="false">
      <c r="A53" s="12" t="s">
        <v>274</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25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3"/>
    <col collapsed="false" customWidth="true" hidden="false" outlineLevel="0" max="2" min="2" style="0" width="7"/>
    <col collapsed="false" customWidth="true" hidden="false" outlineLevel="0" max="3" min="3" style="0" width="8"/>
    <col collapsed="false" customWidth="true" hidden="false" outlineLevel="0" max="4" min="4" style="0" width="26"/>
    <col collapsed="false" customWidth="true" hidden="false" outlineLevel="0" max="7" min="5" style="0" width="9"/>
    <col collapsed="false" customWidth="true" hidden="false" outlineLevel="0" max="8" min="8" style="0" width="10"/>
    <col collapsed="false" customWidth="true" hidden="false" outlineLevel="0" max="9" min="9" style="0" width="9"/>
    <col collapsed="false" customWidth="true" hidden="false" outlineLevel="0" max="10" min="10" style="0" width="10"/>
    <col collapsed="false" customWidth="true" hidden="false" outlineLevel="0" max="11" min="11" style="0" width="11"/>
    <col collapsed="false" customWidth="true" hidden="false" outlineLevel="0" max="12" min="12" style="0" width="44"/>
    <col collapsed="false" customWidth="true" hidden="false" outlineLevel="0" max="13" min="13" style="0" width="50"/>
  </cols>
  <sheetData>
    <row r="1" customFormat="false" ht="30" hidden="false" customHeight="true" outlineLevel="0" collapsed="false">
      <c r="A1" s="14" t="s">
        <v>123</v>
      </c>
      <c r="B1" s="14" t="s">
        <v>275</v>
      </c>
      <c r="C1" s="14" t="s">
        <v>276</v>
      </c>
      <c r="D1" s="14" t="s">
        <v>174</v>
      </c>
      <c r="E1" s="14" t="s">
        <v>277</v>
      </c>
      <c r="F1" s="14" t="s">
        <v>278</v>
      </c>
      <c r="G1" s="14" t="s">
        <v>279</v>
      </c>
      <c r="H1" s="14" t="s">
        <v>280</v>
      </c>
      <c r="I1" s="14" t="s">
        <v>281</v>
      </c>
      <c r="J1" s="14" t="s">
        <v>282</v>
      </c>
      <c r="K1" s="14" t="s">
        <v>283</v>
      </c>
      <c r="L1" s="14" t="s">
        <v>284</v>
      </c>
      <c r="M1" s="14" t="s">
        <v>285</v>
      </c>
    </row>
    <row r="2" customFormat="false" ht="15" hidden="false" customHeight="false" outlineLevel="0" collapsed="false">
      <c r="A2" s="6" t="s">
        <v>251</v>
      </c>
      <c r="B2" s="7" t="n">
        <f aca="false">IF(A2="","",IFERROR(MATCH(A2,Lists!$A$2:$A$37,0),""))</f>
        <v>1</v>
      </c>
      <c r="C2" s="6" t="s">
        <v>286</v>
      </c>
      <c r="D2" s="6" t="s">
        <v>287</v>
      </c>
      <c r="E2" s="40" t="n">
        <v>40</v>
      </c>
      <c r="F2" s="40" t="n">
        <v>18</v>
      </c>
      <c r="G2" s="43" t="n">
        <v>2.89</v>
      </c>
      <c r="H2" s="40"/>
      <c r="I2" s="40"/>
      <c r="J2" s="44"/>
      <c r="K2" s="44"/>
      <c r="L2" s="6" t="s">
        <v>288</v>
      </c>
      <c r="M2" s="6" t="s">
        <v>289</v>
      </c>
    </row>
    <row r="3" customFormat="false" ht="15" hidden="false" customHeight="false" outlineLevel="0" collapsed="false">
      <c r="A3" s="6" t="s">
        <v>252</v>
      </c>
      <c r="B3" s="7" t="n">
        <f aca="false">IF(A3="","",IFERROR(MATCH(A3,Lists!$A$2:$A$37,0),""))</f>
        <v>2</v>
      </c>
      <c r="C3" s="6" t="s">
        <v>286</v>
      </c>
      <c r="D3" s="6" t="s">
        <v>287</v>
      </c>
      <c r="E3" s="40" t="n">
        <v>32</v>
      </c>
      <c r="F3" s="40" t="n">
        <v>1</v>
      </c>
      <c r="G3" s="43" t="n">
        <v>2.803</v>
      </c>
      <c r="H3" s="40"/>
      <c r="I3" s="40"/>
      <c r="J3" s="44"/>
      <c r="K3" s="44"/>
      <c r="L3" s="6" t="s">
        <v>288</v>
      </c>
      <c r="M3" s="6" t="s">
        <v>289</v>
      </c>
    </row>
    <row r="4" customFormat="false" ht="15" hidden="false" customHeight="false" outlineLevel="0" collapsed="false">
      <c r="A4" s="6" t="s">
        <v>253</v>
      </c>
      <c r="B4" s="7" t="n">
        <f aca="false">IF(A4="","",IFERROR(MATCH(A4,Lists!$A$2:$A$37,0),""))</f>
        <v>3</v>
      </c>
      <c r="C4" s="6" t="s">
        <v>286</v>
      </c>
      <c r="D4" s="6" t="s">
        <v>287</v>
      </c>
      <c r="E4" s="40" t="n">
        <v>37</v>
      </c>
      <c r="F4" s="40" t="n">
        <v>14</v>
      </c>
      <c r="G4" s="43" t="n">
        <v>2.66</v>
      </c>
      <c r="H4" s="40"/>
      <c r="I4" s="40"/>
      <c r="J4" s="44"/>
      <c r="K4" s="44"/>
      <c r="L4" s="6" t="s">
        <v>288</v>
      </c>
      <c r="M4" s="6" t="s">
        <v>289</v>
      </c>
    </row>
    <row r="5" customFormat="false" ht="15" hidden="false" customHeight="false" outlineLevel="0" collapsed="false">
      <c r="A5" s="6" t="s">
        <v>254</v>
      </c>
      <c r="B5" s="7" t="n">
        <f aca="false">IF(A5="","",IFERROR(MATCH(A5,Lists!$A$2:$A$37,0),""))</f>
        <v>4</v>
      </c>
      <c r="C5" s="6" t="s">
        <v>286</v>
      </c>
      <c r="D5" s="6" t="s">
        <v>287</v>
      </c>
      <c r="E5" s="40" t="n">
        <v>32</v>
      </c>
      <c r="F5" s="40" t="n">
        <v>0</v>
      </c>
      <c r="G5" s="43" t="n">
        <v>2.942</v>
      </c>
      <c r="H5" s="40"/>
      <c r="I5" s="40"/>
      <c r="J5" s="44"/>
      <c r="K5" s="44"/>
      <c r="L5" s="6" t="s">
        <v>288</v>
      </c>
      <c r="M5" s="6" t="s">
        <v>289</v>
      </c>
    </row>
    <row r="6" customFormat="false" ht="15" hidden="false" customHeight="false" outlineLevel="0" collapsed="false">
      <c r="A6" s="6" t="s">
        <v>255</v>
      </c>
      <c r="B6" s="7" t="n">
        <f aca="false">IF(A6="","",IFERROR(MATCH(A6,Lists!$A$2:$A$37,0),""))</f>
        <v>5</v>
      </c>
      <c r="C6" s="6" t="s">
        <v>286</v>
      </c>
      <c r="D6" s="6" t="s">
        <v>287</v>
      </c>
      <c r="E6" s="40" t="n">
        <v>36</v>
      </c>
      <c r="F6" s="40" t="n">
        <v>7</v>
      </c>
      <c r="G6" s="43" t="n">
        <v>2.777</v>
      </c>
      <c r="H6" s="40"/>
      <c r="I6" s="40"/>
      <c r="J6" s="44"/>
      <c r="K6" s="44"/>
      <c r="L6" s="6" t="s">
        <v>288</v>
      </c>
      <c r="M6" s="6" t="s">
        <v>289</v>
      </c>
    </row>
    <row r="7" customFormat="false" ht="15" hidden="false" customHeight="false" outlineLevel="0" collapsed="false">
      <c r="A7" s="6" t="s">
        <v>256</v>
      </c>
      <c r="B7" s="7" t="n">
        <f aca="false">IF(A7="","",IFERROR(MATCH(A7,Lists!$A$2:$A$37,0),""))</f>
        <v>6</v>
      </c>
      <c r="C7" s="6" t="s">
        <v>286</v>
      </c>
      <c r="D7" s="6" t="s">
        <v>287</v>
      </c>
      <c r="E7" s="40" t="n">
        <v>27</v>
      </c>
      <c r="F7" s="40" t="n">
        <v>2</v>
      </c>
      <c r="G7" s="43" t="n">
        <v>2.775</v>
      </c>
      <c r="H7" s="40"/>
      <c r="I7" s="40"/>
      <c r="J7" s="44"/>
      <c r="K7" s="44"/>
      <c r="L7" s="6" t="s">
        <v>288</v>
      </c>
      <c r="M7" s="6" t="s">
        <v>289</v>
      </c>
    </row>
    <row r="8" customFormat="false" ht="15" hidden="false" customHeight="false" outlineLevel="0" collapsed="false">
      <c r="A8" s="6" t="s">
        <v>257</v>
      </c>
      <c r="B8" s="7" t="n">
        <f aca="false">IF(A8="","",IFERROR(MATCH(A8,Lists!$A$2:$A$37,0),""))</f>
        <v>7</v>
      </c>
      <c r="C8" s="6" t="s">
        <v>286</v>
      </c>
      <c r="D8" s="6" t="s">
        <v>287</v>
      </c>
      <c r="E8" s="40" t="n">
        <v>29</v>
      </c>
      <c r="F8" s="40" t="n">
        <v>10</v>
      </c>
      <c r="G8" s="43" t="n">
        <v>2.741</v>
      </c>
      <c r="H8" s="40"/>
      <c r="I8" s="40"/>
      <c r="J8" s="44"/>
      <c r="K8" s="44"/>
      <c r="L8" s="6" t="s">
        <v>288</v>
      </c>
      <c r="M8" s="6" t="s">
        <v>289</v>
      </c>
    </row>
    <row r="9" customFormat="false" ht="15" hidden="false" customHeight="false" outlineLevel="0" collapsed="false">
      <c r="A9" s="6" t="s">
        <v>258</v>
      </c>
      <c r="B9" s="7" t="n">
        <f aca="false">IF(A9="","",IFERROR(MATCH(A9,Lists!$A$2:$A$37,0),""))</f>
        <v>8</v>
      </c>
      <c r="C9" s="6" t="s">
        <v>286</v>
      </c>
      <c r="D9" s="6" t="s">
        <v>287</v>
      </c>
      <c r="E9" s="40" t="n">
        <v>23</v>
      </c>
      <c r="F9" s="40" t="n">
        <v>0</v>
      </c>
      <c r="G9" s="43" t="n">
        <v>3.142</v>
      </c>
      <c r="H9" s="40"/>
      <c r="I9" s="40"/>
      <c r="J9" s="44"/>
      <c r="K9" s="44"/>
      <c r="L9" s="6" t="s">
        <v>288</v>
      </c>
      <c r="M9" s="6" t="s">
        <v>289</v>
      </c>
    </row>
    <row r="10" customFormat="false" ht="15" hidden="false" customHeight="false" outlineLevel="0" collapsed="false">
      <c r="A10" s="6" t="s">
        <v>259</v>
      </c>
      <c r="B10" s="7" t="n">
        <f aca="false">IF(A10="","",IFERROR(MATCH(A10,Lists!$A$2:$A$37,0),""))</f>
        <v>9</v>
      </c>
      <c r="C10" s="6" t="s">
        <v>286</v>
      </c>
      <c r="D10" s="6" t="s">
        <v>287</v>
      </c>
      <c r="E10" s="40" t="n">
        <v>24</v>
      </c>
      <c r="F10" s="40" t="n">
        <v>6</v>
      </c>
      <c r="G10" s="43" t="n">
        <v>2.85</v>
      </c>
      <c r="H10" s="40"/>
      <c r="I10" s="40"/>
      <c r="J10" s="44"/>
      <c r="K10" s="44"/>
      <c r="L10" s="6" t="s">
        <v>288</v>
      </c>
      <c r="M10" s="6" t="s">
        <v>289</v>
      </c>
    </row>
    <row r="11" customFormat="false" ht="15" hidden="false" customHeight="false" outlineLevel="0" collapsed="false">
      <c r="A11" s="6" t="s">
        <v>260</v>
      </c>
      <c r="B11" s="7" t="n">
        <f aca="false">IF(A11="","",IFERROR(MATCH(A11,Lists!$A$2:$A$37,0),""))</f>
        <v>10</v>
      </c>
      <c r="C11" s="6" t="s">
        <v>286</v>
      </c>
      <c r="D11" s="6" t="s">
        <v>287</v>
      </c>
      <c r="E11" s="40" t="n">
        <v>23</v>
      </c>
      <c r="F11" s="40" t="n">
        <v>4</v>
      </c>
      <c r="G11" s="43" t="n">
        <v>3.006</v>
      </c>
      <c r="H11" s="40"/>
      <c r="I11" s="40"/>
      <c r="J11" s="44"/>
      <c r="K11" s="44"/>
      <c r="L11" s="6" t="s">
        <v>288</v>
      </c>
      <c r="M11" s="6" t="s">
        <v>289</v>
      </c>
    </row>
    <row r="12" customFormat="false" ht="15" hidden="false" customHeight="false" outlineLevel="0" collapsed="false">
      <c r="A12" s="6" t="s">
        <v>261</v>
      </c>
      <c r="B12" s="7" t="n">
        <f aca="false">IF(A12="","",IFERROR(MATCH(A12,Lists!$A$2:$A$37,0),""))</f>
        <v>11</v>
      </c>
      <c r="C12" s="6" t="s">
        <v>286</v>
      </c>
      <c r="D12" s="6" t="s">
        <v>287</v>
      </c>
      <c r="E12" s="40" t="n">
        <v>34</v>
      </c>
      <c r="F12" s="40" t="n">
        <v>14</v>
      </c>
      <c r="G12" s="43" t="n">
        <v>2.506</v>
      </c>
      <c r="H12" s="40"/>
      <c r="I12" s="40"/>
      <c r="J12" s="44"/>
      <c r="K12" s="44"/>
      <c r="L12" s="6" t="s">
        <v>288</v>
      </c>
      <c r="M12" s="6" t="s">
        <v>289</v>
      </c>
    </row>
    <row r="13" customFormat="false" ht="15" hidden="false" customHeight="false" outlineLevel="0" collapsed="false">
      <c r="A13" s="6" t="s">
        <v>262</v>
      </c>
      <c r="B13" s="7" t="n">
        <f aca="false">IF(A13="","",IFERROR(MATCH(A13,Lists!$A$2:$A$37,0),""))</f>
        <v>12</v>
      </c>
      <c r="C13" s="6" t="s">
        <v>286</v>
      </c>
      <c r="D13" s="6" t="s">
        <v>287</v>
      </c>
      <c r="E13" s="40" t="n">
        <v>33</v>
      </c>
      <c r="F13" s="40" t="n">
        <v>2</v>
      </c>
      <c r="G13" s="43" t="n">
        <v>2.874</v>
      </c>
      <c r="H13" s="40"/>
      <c r="I13" s="40"/>
      <c r="J13" s="44"/>
      <c r="K13" s="44"/>
      <c r="L13" s="6" t="s">
        <v>288</v>
      </c>
      <c r="M13" s="6" t="s">
        <v>289</v>
      </c>
    </row>
    <row r="14" customFormat="false" ht="15" hidden="false" customHeight="false" outlineLevel="0" collapsed="false">
      <c r="A14" s="6" t="s">
        <v>263</v>
      </c>
      <c r="B14" s="7" t="n">
        <f aca="false">IF(A14="","",IFERROR(MATCH(A14,Lists!$A$2:$A$37,0),""))</f>
        <v>13</v>
      </c>
      <c r="C14" s="6" t="s">
        <v>286</v>
      </c>
      <c r="D14" s="6" t="s">
        <v>287</v>
      </c>
      <c r="E14" s="40" t="n">
        <v>38</v>
      </c>
      <c r="F14" s="40" t="n">
        <v>12</v>
      </c>
      <c r="G14" s="43" t="n">
        <v>2.668</v>
      </c>
      <c r="H14" s="40"/>
      <c r="I14" s="40"/>
      <c r="J14" s="44"/>
      <c r="K14" s="44"/>
      <c r="L14" s="6" t="s">
        <v>288</v>
      </c>
      <c r="M14" s="6" t="s">
        <v>289</v>
      </c>
    </row>
    <row r="15" customFormat="false" ht="15" hidden="false" customHeight="false" outlineLevel="0" collapsed="false">
      <c r="A15" s="6" t="s">
        <v>264</v>
      </c>
      <c r="B15" s="7" t="n">
        <f aca="false">IF(A15="","",IFERROR(MATCH(A15,Lists!$A$2:$A$37,0),""))</f>
        <v>14</v>
      </c>
      <c r="C15" s="6" t="s">
        <v>286</v>
      </c>
      <c r="D15" s="6" t="s">
        <v>287</v>
      </c>
      <c r="E15" s="40" t="n">
        <v>42</v>
      </c>
      <c r="F15" s="40" t="n">
        <v>5</v>
      </c>
      <c r="G15" s="43" t="n">
        <v>2.977</v>
      </c>
      <c r="H15" s="40"/>
      <c r="I15" s="40"/>
      <c r="J15" s="44"/>
      <c r="K15" s="44"/>
      <c r="L15" s="6" t="s">
        <v>288</v>
      </c>
      <c r="M15" s="6" t="s">
        <v>289</v>
      </c>
    </row>
    <row r="16" customFormat="false" ht="15" hidden="false" customHeight="false" outlineLevel="0" collapsed="false">
      <c r="A16" s="6" t="s">
        <v>265</v>
      </c>
      <c r="B16" s="7" t="n">
        <f aca="false">IF(A16="","",IFERROR(MATCH(A16,Lists!$A$2:$A$37,0),""))</f>
        <v>15</v>
      </c>
      <c r="C16" s="6" t="s">
        <v>286</v>
      </c>
      <c r="D16" s="6" t="s">
        <v>287</v>
      </c>
      <c r="E16" s="40" t="n">
        <v>43</v>
      </c>
      <c r="F16" s="40" t="n">
        <v>10</v>
      </c>
      <c r="G16" s="43" t="n">
        <v>3.081</v>
      </c>
      <c r="H16" s="40"/>
      <c r="I16" s="40"/>
      <c r="J16" s="44"/>
      <c r="K16" s="44"/>
      <c r="L16" s="6" t="s">
        <v>288</v>
      </c>
      <c r="M16" s="6" t="s">
        <v>289</v>
      </c>
    </row>
    <row r="17" customFormat="false" ht="15" hidden="false" customHeight="false" outlineLevel="0" collapsed="false">
      <c r="A17" s="6" t="s">
        <v>266</v>
      </c>
      <c r="B17" s="7" t="n">
        <f aca="false">IF(A17="","",IFERROR(MATCH(A17,Lists!$A$2:$A$37,0),""))</f>
        <v>16</v>
      </c>
      <c r="C17" s="6" t="s">
        <v>286</v>
      </c>
      <c r="D17" s="6" t="s">
        <v>287</v>
      </c>
      <c r="E17" s="40" t="n">
        <v>48</v>
      </c>
      <c r="F17" s="40" t="n">
        <v>1</v>
      </c>
      <c r="G17" s="43" t="n">
        <v>2.937</v>
      </c>
      <c r="H17" s="40"/>
      <c r="I17" s="40"/>
      <c r="J17" s="44"/>
      <c r="K17" s="44"/>
      <c r="L17" s="6" t="s">
        <v>288</v>
      </c>
      <c r="M17" s="6" t="s">
        <v>289</v>
      </c>
    </row>
    <row r="18" customFormat="false" ht="15" hidden="false" customHeight="false" outlineLevel="0" collapsed="false">
      <c r="A18" s="6" t="s">
        <v>144</v>
      </c>
      <c r="B18" s="7" t="n">
        <f aca="false">IF(A18="","",IFERROR(MATCH(A18,Lists!$A$2:$A$37,0),""))</f>
        <v>17</v>
      </c>
      <c r="C18" s="6" t="s">
        <v>286</v>
      </c>
      <c r="D18" s="6" t="s">
        <v>290</v>
      </c>
      <c r="E18" s="40" t="n">
        <v>28</v>
      </c>
      <c r="F18" s="40" t="n">
        <v>12</v>
      </c>
      <c r="G18" s="43" t="n">
        <v>2.946</v>
      </c>
      <c r="H18" s="40"/>
      <c r="I18" s="40"/>
      <c r="J18" s="44"/>
      <c r="K18" s="44"/>
      <c r="L18" s="6" t="s">
        <v>291</v>
      </c>
      <c r="M18" s="6"/>
    </row>
    <row r="19" customFormat="false" ht="15" hidden="false" customHeight="false" outlineLevel="0" collapsed="false">
      <c r="A19" s="6" t="s">
        <v>144</v>
      </c>
      <c r="B19" s="7" t="n">
        <f aca="false">IF(A19="","",IFERROR(MATCH(A19,Lists!$A$2:$A$37,0),""))</f>
        <v>17</v>
      </c>
      <c r="C19" s="6" t="s">
        <v>286</v>
      </c>
      <c r="D19" s="6" t="s">
        <v>292</v>
      </c>
      <c r="E19" s="40" t="n">
        <v>47</v>
      </c>
      <c r="F19" s="40" t="n">
        <v>12</v>
      </c>
      <c r="G19" s="43" t="n">
        <v>2.964</v>
      </c>
      <c r="H19" s="40"/>
      <c r="I19" s="40"/>
      <c r="J19" s="44"/>
      <c r="K19" s="44"/>
      <c r="L19" s="6" t="s">
        <v>291</v>
      </c>
      <c r="M19" s="6"/>
    </row>
    <row r="20" customFormat="false" ht="15" hidden="false" customHeight="false" outlineLevel="0" collapsed="false">
      <c r="A20" s="6" t="s">
        <v>144</v>
      </c>
      <c r="B20" s="7" t="n">
        <f aca="false">IF(A20="","",IFERROR(MATCH(A20,Lists!$A$2:$A$37,0),""))</f>
        <v>17</v>
      </c>
      <c r="C20" s="6" t="s">
        <v>286</v>
      </c>
      <c r="D20" s="6" t="s">
        <v>293</v>
      </c>
      <c r="E20" s="40" t="n">
        <v>96</v>
      </c>
      <c r="F20" s="40" t="n">
        <v>31</v>
      </c>
      <c r="G20" s="43" t="n">
        <v>3.121</v>
      </c>
      <c r="H20" s="40"/>
      <c r="I20" s="40"/>
      <c r="J20" s="44"/>
      <c r="K20" s="44"/>
      <c r="L20" s="6" t="s">
        <v>291</v>
      </c>
      <c r="M20" s="6"/>
    </row>
    <row r="21" customFormat="false" ht="15" hidden="false" customHeight="false" outlineLevel="0" collapsed="false">
      <c r="A21" s="6" t="s">
        <v>144</v>
      </c>
      <c r="B21" s="7" t="n">
        <f aca="false">IF(A21="","",IFERROR(MATCH(A21,Lists!$A$2:$A$37,0),""))</f>
        <v>17</v>
      </c>
      <c r="C21" s="6" t="s">
        <v>286</v>
      </c>
      <c r="D21" s="6" t="s">
        <v>294</v>
      </c>
      <c r="E21" s="40" t="n">
        <v>83</v>
      </c>
      <c r="F21" s="40" t="n">
        <v>23</v>
      </c>
      <c r="G21" s="43" t="n">
        <v>3.057</v>
      </c>
      <c r="H21" s="40"/>
      <c r="I21" s="40"/>
      <c r="J21" s="44"/>
      <c r="K21" s="44"/>
      <c r="L21" s="6" t="s">
        <v>291</v>
      </c>
      <c r="M21" s="6"/>
    </row>
    <row r="22" customFormat="false" ht="15" hidden="false" customHeight="false" outlineLevel="0" collapsed="false">
      <c r="A22" s="6" t="s">
        <v>144</v>
      </c>
      <c r="B22" s="7" t="n">
        <f aca="false">IF(A22="","",IFERROR(MATCH(A22,Lists!$A$2:$A$37,0),""))</f>
        <v>17</v>
      </c>
      <c r="C22" s="6" t="s">
        <v>286</v>
      </c>
      <c r="D22" s="6" t="s">
        <v>295</v>
      </c>
      <c r="E22" s="40" t="n">
        <v>71</v>
      </c>
      <c r="F22" s="40" t="n">
        <v>32</v>
      </c>
      <c r="G22" s="43" t="n">
        <v>3.074</v>
      </c>
      <c r="H22" s="40"/>
      <c r="I22" s="40"/>
      <c r="J22" s="44"/>
      <c r="K22" s="44"/>
      <c r="L22" s="6" t="s">
        <v>291</v>
      </c>
      <c r="M22" s="6"/>
    </row>
    <row r="23" customFormat="false" ht="15" hidden="false" customHeight="false" outlineLevel="0" collapsed="false">
      <c r="A23" s="6" t="s">
        <v>144</v>
      </c>
      <c r="B23" s="7" t="n">
        <f aca="false">IF(A23="","",IFERROR(MATCH(A23,Lists!$A$2:$A$37,0),""))</f>
        <v>17</v>
      </c>
      <c r="C23" s="6" t="s">
        <v>286</v>
      </c>
      <c r="D23" s="6" t="s">
        <v>296</v>
      </c>
      <c r="E23" s="40" t="n">
        <v>23</v>
      </c>
      <c r="F23" s="40" t="n">
        <v>6</v>
      </c>
      <c r="G23" s="43" t="n">
        <v>3.327</v>
      </c>
      <c r="H23" s="40"/>
      <c r="I23" s="40"/>
      <c r="J23" s="44"/>
      <c r="K23" s="44"/>
      <c r="L23" s="6" t="s">
        <v>291</v>
      </c>
      <c r="M23" s="6"/>
    </row>
    <row r="24" customFormat="false" ht="15" hidden="false" customHeight="false" outlineLevel="0" collapsed="false">
      <c r="A24" s="6" t="s">
        <v>144</v>
      </c>
      <c r="B24" s="7" t="n">
        <f aca="false">IF(A24="","",IFERROR(MATCH(A24,Lists!$A$2:$A$37,0),""))</f>
        <v>17</v>
      </c>
      <c r="C24" s="6" t="s">
        <v>286</v>
      </c>
      <c r="D24" s="6" t="s">
        <v>297</v>
      </c>
      <c r="E24" s="40" t="n">
        <v>112</v>
      </c>
      <c r="F24" s="40" t="n">
        <v>32</v>
      </c>
      <c r="G24" s="43" t="n">
        <v>3.426</v>
      </c>
      <c r="H24" s="40"/>
      <c r="I24" s="40"/>
      <c r="J24" s="44"/>
      <c r="K24" s="44"/>
      <c r="L24" s="6" t="s">
        <v>291</v>
      </c>
      <c r="M24" s="6"/>
    </row>
    <row r="25" customFormat="false" ht="15" hidden="false" customHeight="false" outlineLevel="0" collapsed="false">
      <c r="A25" s="6" t="s">
        <v>144</v>
      </c>
      <c r="B25" s="7" t="n">
        <f aca="false">IF(A25="","",IFERROR(MATCH(A25,Lists!$A$2:$A$37,0),""))</f>
        <v>17</v>
      </c>
      <c r="C25" s="6" t="s">
        <v>286</v>
      </c>
      <c r="D25" s="6" t="s">
        <v>298</v>
      </c>
      <c r="E25" s="40" t="n">
        <v>15</v>
      </c>
      <c r="F25" s="40" t="n">
        <v>3</v>
      </c>
      <c r="G25" s="43" t="n">
        <v>2.742</v>
      </c>
      <c r="H25" s="40"/>
      <c r="I25" s="40"/>
      <c r="J25" s="44"/>
      <c r="K25" s="44"/>
      <c r="L25" s="6" t="s">
        <v>291</v>
      </c>
      <c r="M25" s="6"/>
    </row>
    <row r="26" customFormat="false" ht="15" hidden="false" customHeight="false" outlineLevel="0" collapsed="false">
      <c r="A26" s="6" t="s">
        <v>144</v>
      </c>
      <c r="B26" s="7" t="n">
        <f aca="false">IF(A26="","",IFERROR(MATCH(A26,Lists!$A$2:$A$37,0),""))</f>
        <v>17</v>
      </c>
      <c r="C26" s="6" t="s">
        <v>286</v>
      </c>
      <c r="D26" s="6" t="s">
        <v>299</v>
      </c>
      <c r="E26" s="40"/>
      <c r="F26" s="40"/>
      <c r="G26" s="43"/>
      <c r="H26" s="40"/>
      <c r="I26" s="40"/>
      <c r="J26" s="44"/>
      <c r="K26" s="44"/>
      <c r="L26" s="6" t="s">
        <v>291</v>
      </c>
      <c r="M26" s="6" t="s">
        <v>300</v>
      </c>
    </row>
    <row r="27" customFormat="false" ht="15" hidden="false" customHeight="false" outlineLevel="0" collapsed="false">
      <c r="A27" s="6" t="s">
        <v>144</v>
      </c>
      <c r="B27" s="7" t="n">
        <f aca="false">IF(A27="","",IFERROR(MATCH(A27,Lists!$A$2:$A$37,0),""))</f>
        <v>17</v>
      </c>
      <c r="C27" s="6" t="s">
        <v>286</v>
      </c>
      <c r="D27" s="6" t="s">
        <v>301</v>
      </c>
      <c r="E27" s="40" t="n">
        <v>113</v>
      </c>
      <c r="F27" s="40" t="n">
        <v>41</v>
      </c>
      <c r="G27" s="43" t="n">
        <v>3.153</v>
      </c>
      <c r="H27" s="40"/>
      <c r="I27" s="40"/>
      <c r="J27" s="44"/>
      <c r="K27" s="44"/>
      <c r="L27" s="6" t="s">
        <v>291</v>
      </c>
      <c r="M27" s="6"/>
    </row>
    <row r="28" customFormat="false" ht="15" hidden="false" customHeight="false" outlineLevel="0" collapsed="false">
      <c r="A28" s="6" t="s">
        <v>144</v>
      </c>
      <c r="B28" s="7" t="n">
        <f aca="false">IF(A28="","",IFERROR(MATCH(A28,Lists!$A$2:$A$37,0),""))</f>
        <v>17</v>
      </c>
      <c r="C28" s="6" t="s">
        <v>286</v>
      </c>
      <c r="D28" s="6" t="s">
        <v>302</v>
      </c>
      <c r="E28" s="40" t="n">
        <v>95</v>
      </c>
      <c r="F28" s="40" t="n">
        <v>28</v>
      </c>
      <c r="G28" s="43" t="n">
        <v>3.508</v>
      </c>
      <c r="H28" s="40"/>
      <c r="I28" s="40"/>
      <c r="J28" s="44"/>
      <c r="K28" s="44"/>
      <c r="L28" s="6" t="s">
        <v>291</v>
      </c>
      <c r="M28" s="6"/>
    </row>
    <row r="29" customFormat="false" ht="15" hidden="false" customHeight="false" outlineLevel="0" collapsed="false">
      <c r="A29" s="6" t="s">
        <v>144</v>
      </c>
      <c r="B29" s="7" t="n">
        <f aca="false">IF(A29="","",IFERROR(MATCH(A29,Lists!$A$2:$A$37,0),""))</f>
        <v>17</v>
      </c>
      <c r="C29" s="6" t="s">
        <v>286</v>
      </c>
      <c r="D29" s="6" t="s">
        <v>303</v>
      </c>
      <c r="E29" s="40" t="n">
        <v>61</v>
      </c>
      <c r="F29" s="40" t="n">
        <v>9</v>
      </c>
      <c r="G29" s="43" t="n">
        <v>2.677</v>
      </c>
      <c r="H29" s="40"/>
      <c r="I29" s="40"/>
      <c r="J29" s="44"/>
      <c r="K29" s="44"/>
      <c r="L29" s="6" t="s">
        <v>291</v>
      </c>
      <c r="M29" s="6"/>
    </row>
    <row r="30" customFormat="false" ht="15" hidden="false" customHeight="false" outlineLevel="0" collapsed="false">
      <c r="A30" s="6" t="s">
        <v>144</v>
      </c>
      <c r="B30" s="7" t="n">
        <f aca="false">IF(A30="","",IFERROR(MATCH(A30,Lists!$A$2:$A$37,0),""))</f>
        <v>17</v>
      </c>
      <c r="C30" s="6" t="s">
        <v>286</v>
      </c>
      <c r="D30" s="6" t="s">
        <v>304</v>
      </c>
      <c r="E30" s="40" t="n">
        <v>114</v>
      </c>
      <c r="F30" s="40" t="n">
        <v>33</v>
      </c>
      <c r="G30" s="43" t="n">
        <v>3.292</v>
      </c>
      <c r="H30" s="40"/>
      <c r="I30" s="40"/>
      <c r="J30" s="44"/>
      <c r="K30" s="44"/>
      <c r="L30" s="6" t="s">
        <v>291</v>
      </c>
      <c r="M30" s="6"/>
    </row>
    <row r="31" customFormat="false" ht="15" hidden="false" customHeight="false" outlineLevel="0" collapsed="false">
      <c r="A31" s="6" t="s">
        <v>144</v>
      </c>
      <c r="B31" s="7" t="n">
        <f aca="false">IF(A31="","",IFERROR(MATCH(A31,Lists!$A$2:$A$37,0),""))</f>
        <v>17</v>
      </c>
      <c r="C31" s="6" t="s">
        <v>286</v>
      </c>
      <c r="D31" s="6" t="s">
        <v>305</v>
      </c>
      <c r="E31" s="40"/>
      <c r="F31" s="40"/>
      <c r="G31" s="43"/>
      <c r="H31" s="40"/>
      <c r="I31" s="40"/>
      <c r="J31" s="44"/>
      <c r="K31" s="44"/>
      <c r="L31" s="6" t="s">
        <v>291</v>
      </c>
      <c r="M31" s="6" t="s">
        <v>300</v>
      </c>
    </row>
    <row r="32" customFormat="false" ht="15" hidden="false" customHeight="false" outlineLevel="0" collapsed="false">
      <c r="A32" s="6" t="s">
        <v>144</v>
      </c>
      <c r="B32" s="7" t="n">
        <f aca="false">IF(A32="","",IFERROR(MATCH(A32,Lists!$A$2:$A$37,0),""))</f>
        <v>17</v>
      </c>
      <c r="C32" s="6" t="s">
        <v>286</v>
      </c>
      <c r="D32" s="6" t="s">
        <v>306</v>
      </c>
      <c r="E32" s="40" t="n">
        <v>31</v>
      </c>
      <c r="F32" s="40" t="n">
        <v>15</v>
      </c>
      <c r="G32" s="43" t="n">
        <v>3.043</v>
      </c>
      <c r="H32" s="40"/>
      <c r="I32" s="40"/>
      <c r="J32" s="44"/>
      <c r="K32" s="44"/>
      <c r="L32" s="6" t="s">
        <v>291</v>
      </c>
      <c r="M32" s="6"/>
    </row>
    <row r="33" customFormat="false" ht="15" hidden="false" customHeight="false" outlineLevel="0" collapsed="false">
      <c r="A33" s="6" t="s">
        <v>144</v>
      </c>
      <c r="B33" s="7" t="n">
        <f aca="false">IF(A33="","",IFERROR(MATCH(A33,Lists!$A$2:$A$37,0),""))</f>
        <v>17</v>
      </c>
      <c r="C33" s="6" t="s">
        <v>286</v>
      </c>
      <c r="D33" s="6" t="s">
        <v>307</v>
      </c>
      <c r="E33" s="40" t="n">
        <v>77</v>
      </c>
      <c r="F33" s="40" t="n">
        <v>27</v>
      </c>
      <c r="G33" s="43" t="n">
        <v>3.255</v>
      </c>
      <c r="H33" s="40"/>
      <c r="I33" s="40"/>
      <c r="J33" s="44"/>
      <c r="K33" s="44"/>
      <c r="L33" s="6" t="s">
        <v>291</v>
      </c>
      <c r="M33" s="6"/>
    </row>
    <row r="34" customFormat="false" ht="15" hidden="false" customHeight="false" outlineLevel="0" collapsed="false">
      <c r="A34" s="6" t="s">
        <v>144</v>
      </c>
      <c r="B34" s="7" t="n">
        <f aca="false">IF(A34="","",IFERROR(MATCH(A34,Lists!$A$2:$A$37,0),""))</f>
        <v>17</v>
      </c>
      <c r="C34" s="6" t="s">
        <v>286</v>
      </c>
      <c r="D34" s="6" t="s">
        <v>308</v>
      </c>
      <c r="E34" s="40" t="n">
        <v>111</v>
      </c>
      <c r="F34" s="40" t="n">
        <v>24</v>
      </c>
      <c r="G34" s="43" t="n">
        <v>3.387</v>
      </c>
      <c r="H34" s="40"/>
      <c r="I34" s="40"/>
      <c r="J34" s="44"/>
      <c r="K34" s="44"/>
      <c r="L34" s="6" t="s">
        <v>291</v>
      </c>
      <c r="M34" s="6"/>
    </row>
    <row r="35" customFormat="false" ht="15" hidden="false" customHeight="false" outlineLevel="0" collapsed="false">
      <c r="A35" s="6" t="s">
        <v>144</v>
      </c>
      <c r="B35" s="7" t="n">
        <f aca="false">IF(A35="","",IFERROR(MATCH(A35,Lists!$A$2:$A$37,0),""))</f>
        <v>17</v>
      </c>
      <c r="C35" s="6" t="s">
        <v>286</v>
      </c>
      <c r="D35" s="6" t="s">
        <v>309</v>
      </c>
      <c r="E35" s="40" t="n">
        <v>56</v>
      </c>
      <c r="F35" s="40" t="n">
        <v>11</v>
      </c>
      <c r="G35" s="43" t="n">
        <v>3.149</v>
      </c>
      <c r="H35" s="40"/>
      <c r="I35" s="40"/>
      <c r="J35" s="44"/>
      <c r="K35" s="44"/>
      <c r="L35" s="6" t="s">
        <v>291</v>
      </c>
      <c r="M35" s="6"/>
    </row>
    <row r="36" customFormat="false" ht="15" hidden="false" customHeight="false" outlineLevel="0" collapsed="false">
      <c r="A36" s="6" t="s">
        <v>144</v>
      </c>
      <c r="B36" s="7" t="n">
        <f aca="false">IF(A36="","",IFERROR(MATCH(A36,Lists!$A$2:$A$37,0),""))</f>
        <v>17</v>
      </c>
      <c r="C36" s="6" t="s">
        <v>286</v>
      </c>
      <c r="D36" s="6" t="s">
        <v>310</v>
      </c>
      <c r="E36" s="40" t="n">
        <v>128</v>
      </c>
      <c r="F36" s="40" t="n">
        <v>33</v>
      </c>
      <c r="G36" s="43" t="n">
        <v>2.983</v>
      </c>
      <c r="H36" s="40"/>
      <c r="I36" s="40"/>
      <c r="J36" s="44"/>
      <c r="K36" s="44"/>
      <c r="L36" s="6" t="s">
        <v>291</v>
      </c>
      <c r="M36" s="6"/>
    </row>
    <row r="37" customFormat="false" ht="15" hidden="false" customHeight="false" outlineLevel="0" collapsed="false">
      <c r="A37" s="6" t="s">
        <v>144</v>
      </c>
      <c r="B37" s="7" t="n">
        <f aca="false">IF(A37="","",IFERROR(MATCH(A37,Lists!$A$2:$A$37,0),""))</f>
        <v>17</v>
      </c>
      <c r="C37" s="6" t="s">
        <v>286</v>
      </c>
      <c r="D37" s="6" t="s">
        <v>311</v>
      </c>
      <c r="E37" s="40" t="n">
        <v>12</v>
      </c>
      <c r="F37" s="40" t="n">
        <v>4</v>
      </c>
      <c r="G37" s="43" t="n">
        <v>3.162</v>
      </c>
      <c r="H37" s="40"/>
      <c r="I37" s="40"/>
      <c r="J37" s="44"/>
      <c r="K37" s="44"/>
      <c r="L37" s="6" t="s">
        <v>291</v>
      </c>
      <c r="M37" s="6"/>
    </row>
    <row r="38" customFormat="false" ht="15" hidden="false" customHeight="false" outlineLevel="0" collapsed="false">
      <c r="A38" s="6" t="s">
        <v>144</v>
      </c>
      <c r="B38" s="7" t="n">
        <f aca="false">IF(A38="","",IFERROR(MATCH(A38,Lists!$A$2:$A$37,0),""))</f>
        <v>17</v>
      </c>
      <c r="C38" s="6" t="s">
        <v>286</v>
      </c>
      <c r="D38" s="6" t="s">
        <v>312</v>
      </c>
      <c r="E38" s="40" t="n">
        <v>76</v>
      </c>
      <c r="F38" s="40" t="n">
        <v>23</v>
      </c>
      <c r="G38" s="43" t="n">
        <v>3.15</v>
      </c>
      <c r="H38" s="40"/>
      <c r="I38" s="40"/>
      <c r="J38" s="44"/>
      <c r="K38" s="44"/>
      <c r="L38" s="6" t="s">
        <v>291</v>
      </c>
      <c r="M38" s="6"/>
    </row>
    <row r="39" customFormat="false" ht="15" hidden="false" customHeight="false" outlineLevel="0" collapsed="false">
      <c r="A39" s="6" t="s">
        <v>144</v>
      </c>
      <c r="B39" s="7" t="n">
        <f aca="false">IF(A39="","",IFERROR(MATCH(A39,Lists!$A$2:$A$37,0),""))</f>
        <v>17</v>
      </c>
      <c r="C39" s="6" t="s">
        <v>286</v>
      </c>
      <c r="D39" s="6" t="s">
        <v>313</v>
      </c>
      <c r="E39" s="40" t="n">
        <v>36</v>
      </c>
      <c r="F39" s="40" t="n">
        <v>10</v>
      </c>
      <c r="G39" s="43" t="n">
        <v>2.927</v>
      </c>
      <c r="H39" s="40"/>
      <c r="I39" s="40"/>
      <c r="J39" s="44"/>
      <c r="K39" s="44"/>
      <c r="L39" s="6" t="s">
        <v>291</v>
      </c>
      <c r="M39" s="6"/>
    </row>
    <row r="40" customFormat="false" ht="15" hidden="false" customHeight="false" outlineLevel="0" collapsed="false">
      <c r="A40" s="6" t="s">
        <v>144</v>
      </c>
      <c r="B40" s="7" t="n">
        <f aca="false">IF(A40="","",IFERROR(MATCH(A40,Lists!$A$2:$A$37,0),""))</f>
        <v>17</v>
      </c>
      <c r="C40" s="6" t="s">
        <v>286</v>
      </c>
      <c r="D40" s="6" t="s">
        <v>314</v>
      </c>
      <c r="E40" s="40" t="n">
        <v>130</v>
      </c>
      <c r="F40" s="40" t="n">
        <v>43</v>
      </c>
      <c r="G40" s="43" t="n">
        <v>3.437</v>
      </c>
      <c r="H40" s="40"/>
      <c r="I40" s="40"/>
      <c r="J40" s="44"/>
      <c r="K40" s="44"/>
      <c r="L40" s="6" t="s">
        <v>291</v>
      </c>
      <c r="M40" s="6"/>
    </row>
    <row r="41" customFormat="false" ht="15" hidden="false" customHeight="false" outlineLevel="0" collapsed="false">
      <c r="A41" s="6" t="s">
        <v>144</v>
      </c>
      <c r="B41" s="7" t="n">
        <f aca="false">IF(A41="","",IFERROR(MATCH(A41,Lists!$A$2:$A$37,0),""))</f>
        <v>17</v>
      </c>
      <c r="C41" s="6" t="s">
        <v>286</v>
      </c>
      <c r="D41" s="6" t="s">
        <v>315</v>
      </c>
      <c r="E41" s="40" t="n">
        <v>28</v>
      </c>
      <c r="F41" s="40" t="n">
        <v>1</v>
      </c>
      <c r="G41" s="43" t="n">
        <v>2.941</v>
      </c>
      <c r="H41" s="40"/>
      <c r="I41" s="40"/>
      <c r="J41" s="44"/>
      <c r="K41" s="44"/>
      <c r="L41" s="6" t="s">
        <v>291</v>
      </c>
      <c r="M41" s="6"/>
    </row>
    <row r="42" customFormat="false" ht="15" hidden="false" customHeight="false" outlineLevel="0" collapsed="false">
      <c r="A42" s="6" t="s">
        <v>144</v>
      </c>
      <c r="B42" s="7" t="n">
        <f aca="false">IF(A42="","",IFERROR(MATCH(A42,Lists!$A$2:$A$37,0),""))</f>
        <v>17</v>
      </c>
      <c r="C42" s="6" t="s">
        <v>286</v>
      </c>
      <c r="D42" s="6" t="s">
        <v>316</v>
      </c>
      <c r="E42" s="40" t="n">
        <v>18</v>
      </c>
      <c r="F42" s="40" t="n">
        <v>0</v>
      </c>
      <c r="G42" s="43" t="n">
        <v>2.489</v>
      </c>
      <c r="H42" s="40"/>
      <c r="I42" s="40"/>
      <c r="J42" s="44"/>
      <c r="K42" s="44"/>
      <c r="L42" s="6" t="s">
        <v>291</v>
      </c>
      <c r="M42" s="6"/>
    </row>
    <row r="43" customFormat="false" ht="15" hidden="false" customHeight="false" outlineLevel="0" collapsed="false">
      <c r="A43" s="6" t="s">
        <v>144</v>
      </c>
      <c r="B43" s="7" t="n">
        <f aca="false">IF(A43="","",IFERROR(MATCH(A43,Lists!$A$2:$A$37,0),""))</f>
        <v>17</v>
      </c>
      <c r="C43" s="6" t="s">
        <v>286</v>
      </c>
      <c r="D43" s="6" t="s">
        <v>287</v>
      </c>
      <c r="E43" s="40" t="n">
        <v>62</v>
      </c>
      <c r="F43" s="40" t="n">
        <v>22</v>
      </c>
      <c r="G43" s="43" t="n">
        <v>2.733</v>
      </c>
      <c r="H43" s="40"/>
      <c r="I43" s="40"/>
      <c r="J43" s="44"/>
      <c r="K43" s="44"/>
      <c r="L43" s="6" t="s">
        <v>291</v>
      </c>
      <c r="M43" s="6"/>
    </row>
    <row r="44" customFormat="false" ht="15" hidden="false" customHeight="false" outlineLevel="0" collapsed="false">
      <c r="A44" s="6" t="s">
        <v>144</v>
      </c>
      <c r="B44" s="7" t="n">
        <f aca="false">IF(A44="","",IFERROR(MATCH(A44,Lists!$A$2:$A$37,0),""))</f>
        <v>17</v>
      </c>
      <c r="C44" s="6" t="s">
        <v>286</v>
      </c>
      <c r="D44" s="6" t="s">
        <v>317</v>
      </c>
      <c r="E44" s="40" t="n">
        <v>18</v>
      </c>
      <c r="F44" s="40" t="n">
        <v>11</v>
      </c>
      <c r="G44" s="43" t="n">
        <v>2.898</v>
      </c>
      <c r="H44" s="40"/>
      <c r="I44" s="40"/>
      <c r="J44" s="44"/>
      <c r="K44" s="44"/>
      <c r="L44" s="6" t="s">
        <v>291</v>
      </c>
      <c r="M44" s="6"/>
    </row>
    <row r="45" customFormat="false" ht="15" hidden="false" customHeight="false" outlineLevel="0" collapsed="false">
      <c r="A45" s="6" t="s">
        <v>145</v>
      </c>
      <c r="B45" s="7" t="n">
        <f aca="false">IF(A45="","",IFERROR(MATCH(A45,Lists!$A$2:$A$37,0),""))</f>
        <v>18</v>
      </c>
      <c r="C45" s="6" t="s">
        <v>286</v>
      </c>
      <c r="D45" s="6" t="s">
        <v>290</v>
      </c>
      <c r="E45" s="40" t="n">
        <v>23</v>
      </c>
      <c r="F45" s="40" t="n">
        <v>3</v>
      </c>
      <c r="G45" s="43" t="n">
        <v>3.041</v>
      </c>
      <c r="H45" s="40"/>
      <c r="I45" s="40"/>
      <c r="J45" s="44"/>
      <c r="K45" s="44"/>
      <c r="L45" s="6" t="s">
        <v>318</v>
      </c>
      <c r="M45" s="6"/>
    </row>
    <row r="46" customFormat="false" ht="15" hidden="false" customHeight="false" outlineLevel="0" collapsed="false">
      <c r="A46" s="6" t="s">
        <v>145</v>
      </c>
      <c r="B46" s="7" t="n">
        <f aca="false">IF(A46="","",IFERROR(MATCH(A46,Lists!$A$2:$A$37,0),""))</f>
        <v>18</v>
      </c>
      <c r="C46" s="6" t="s">
        <v>286</v>
      </c>
      <c r="D46" s="6" t="s">
        <v>292</v>
      </c>
      <c r="E46" s="40" t="n">
        <v>37</v>
      </c>
      <c r="F46" s="40" t="n">
        <v>3</v>
      </c>
      <c r="G46" s="43" t="n">
        <v>3.013</v>
      </c>
      <c r="H46" s="40"/>
      <c r="I46" s="40"/>
      <c r="J46" s="44"/>
      <c r="K46" s="44"/>
      <c r="L46" s="6" t="s">
        <v>318</v>
      </c>
      <c r="M46" s="6"/>
    </row>
    <row r="47" customFormat="false" ht="15" hidden="false" customHeight="false" outlineLevel="0" collapsed="false">
      <c r="A47" s="6" t="s">
        <v>145</v>
      </c>
      <c r="B47" s="7" t="n">
        <f aca="false">IF(A47="","",IFERROR(MATCH(A47,Lists!$A$2:$A$37,0),""))</f>
        <v>18</v>
      </c>
      <c r="C47" s="6" t="s">
        <v>286</v>
      </c>
      <c r="D47" s="6" t="s">
        <v>293</v>
      </c>
      <c r="E47" s="40" t="n">
        <v>90</v>
      </c>
      <c r="F47" s="40" t="n">
        <v>0</v>
      </c>
      <c r="G47" s="43" t="n">
        <v>3.07</v>
      </c>
      <c r="H47" s="40"/>
      <c r="I47" s="40"/>
      <c r="J47" s="44"/>
      <c r="K47" s="44"/>
      <c r="L47" s="6" t="s">
        <v>318</v>
      </c>
      <c r="M47" s="6"/>
    </row>
    <row r="48" customFormat="false" ht="15" hidden="false" customHeight="false" outlineLevel="0" collapsed="false">
      <c r="A48" s="6" t="s">
        <v>145</v>
      </c>
      <c r="B48" s="7" t="n">
        <f aca="false">IF(A48="","",IFERROR(MATCH(A48,Lists!$A$2:$A$37,0),""))</f>
        <v>18</v>
      </c>
      <c r="C48" s="6" t="s">
        <v>286</v>
      </c>
      <c r="D48" s="6" t="s">
        <v>294</v>
      </c>
      <c r="E48" s="40" t="n">
        <v>76</v>
      </c>
      <c r="F48" s="40" t="n">
        <v>0</v>
      </c>
      <c r="G48" s="43" t="n">
        <v>3.229</v>
      </c>
      <c r="H48" s="40"/>
      <c r="I48" s="40"/>
      <c r="J48" s="44"/>
      <c r="K48" s="44"/>
      <c r="L48" s="6" t="s">
        <v>318</v>
      </c>
      <c r="M48" s="6"/>
    </row>
    <row r="49" customFormat="false" ht="15" hidden="false" customHeight="false" outlineLevel="0" collapsed="false">
      <c r="A49" s="6" t="s">
        <v>145</v>
      </c>
      <c r="B49" s="7" t="n">
        <f aca="false">IF(A49="","",IFERROR(MATCH(A49,Lists!$A$2:$A$37,0),""))</f>
        <v>18</v>
      </c>
      <c r="C49" s="6" t="s">
        <v>286</v>
      </c>
      <c r="D49" s="6" t="s">
        <v>295</v>
      </c>
      <c r="E49" s="40" t="n">
        <v>77</v>
      </c>
      <c r="F49" s="40" t="n">
        <v>10</v>
      </c>
      <c r="G49" s="43" t="n">
        <v>3.108</v>
      </c>
      <c r="H49" s="40"/>
      <c r="I49" s="40"/>
      <c r="J49" s="44"/>
      <c r="K49" s="44"/>
      <c r="L49" s="6" t="s">
        <v>318</v>
      </c>
      <c r="M49" s="6"/>
    </row>
    <row r="50" customFormat="false" ht="15" hidden="false" customHeight="false" outlineLevel="0" collapsed="false">
      <c r="A50" s="6" t="s">
        <v>145</v>
      </c>
      <c r="B50" s="7" t="n">
        <f aca="false">IF(A50="","",IFERROR(MATCH(A50,Lists!$A$2:$A$37,0),""))</f>
        <v>18</v>
      </c>
      <c r="C50" s="6" t="s">
        <v>286</v>
      </c>
      <c r="D50" s="6" t="s">
        <v>296</v>
      </c>
      <c r="E50" s="40" t="n">
        <v>18</v>
      </c>
      <c r="F50" s="40" t="n">
        <v>0</v>
      </c>
      <c r="G50" s="43" t="n">
        <v>3.291</v>
      </c>
      <c r="H50" s="40"/>
      <c r="I50" s="40"/>
      <c r="J50" s="44"/>
      <c r="K50" s="44"/>
      <c r="L50" s="6" t="s">
        <v>318</v>
      </c>
      <c r="M50" s="6"/>
    </row>
    <row r="51" customFormat="false" ht="15" hidden="false" customHeight="false" outlineLevel="0" collapsed="false">
      <c r="A51" s="6" t="s">
        <v>145</v>
      </c>
      <c r="B51" s="7" t="n">
        <f aca="false">IF(A51="","",IFERROR(MATCH(A51,Lists!$A$2:$A$37,0),""))</f>
        <v>18</v>
      </c>
      <c r="C51" s="6" t="s">
        <v>286</v>
      </c>
      <c r="D51" s="6" t="s">
        <v>297</v>
      </c>
      <c r="E51" s="40" t="n">
        <v>106</v>
      </c>
      <c r="F51" s="40" t="n">
        <v>0</v>
      </c>
      <c r="G51" s="43" t="n">
        <v>3.463</v>
      </c>
      <c r="H51" s="40"/>
      <c r="I51" s="40"/>
      <c r="J51" s="44"/>
      <c r="K51" s="44"/>
      <c r="L51" s="6" t="s">
        <v>318</v>
      </c>
      <c r="M51" s="6"/>
    </row>
    <row r="52" customFormat="false" ht="15" hidden="false" customHeight="false" outlineLevel="0" collapsed="false">
      <c r="A52" s="6" t="s">
        <v>145</v>
      </c>
      <c r="B52" s="7" t="n">
        <f aca="false">IF(A52="","",IFERROR(MATCH(A52,Lists!$A$2:$A$37,0),""))</f>
        <v>18</v>
      </c>
      <c r="C52" s="6" t="s">
        <v>286</v>
      </c>
      <c r="D52" s="6" t="s">
        <v>298</v>
      </c>
      <c r="E52" s="40" t="n">
        <v>15</v>
      </c>
      <c r="F52" s="40" t="n">
        <v>0</v>
      </c>
      <c r="G52" s="43" t="n">
        <v>2.772</v>
      </c>
      <c r="H52" s="40"/>
      <c r="I52" s="40"/>
      <c r="J52" s="44"/>
      <c r="K52" s="44"/>
      <c r="L52" s="6" t="s">
        <v>318</v>
      </c>
      <c r="M52" s="6"/>
    </row>
    <row r="53" customFormat="false" ht="15" hidden="false" customHeight="false" outlineLevel="0" collapsed="false">
      <c r="A53" s="6" t="s">
        <v>145</v>
      </c>
      <c r="B53" s="7" t="n">
        <f aca="false">IF(A53="","",IFERROR(MATCH(A53,Lists!$A$2:$A$37,0),""))</f>
        <v>18</v>
      </c>
      <c r="C53" s="6" t="s">
        <v>286</v>
      </c>
      <c r="D53" s="6" t="s">
        <v>299</v>
      </c>
      <c r="E53" s="40"/>
      <c r="F53" s="40"/>
      <c r="G53" s="43"/>
      <c r="H53" s="40"/>
      <c r="I53" s="40"/>
      <c r="J53" s="44"/>
      <c r="K53" s="44"/>
      <c r="L53" s="6" t="s">
        <v>318</v>
      </c>
      <c r="M53" s="6" t="s">
        <v>319</v>
      </c>
    </row>
    <row r="54" customFormat="false" ht="15" hidden="false" customHeight="false" outlineLevel="0" collapsed="false">
      <c r="A54" s="6" t="s">
        <v>145</v>
      </c>
      <c r="B54" s="7" t="n">
        <f aca="false">IF(A54="","",IFERROR(MATCH(A54,Lists!$A$2:$A$37,0),""))</f>
        <v>18</v>
      </c>
      <c r="C54" s="6" t="s">
        <v>286</v>
      </c>
      <c r="D54" s="6" t="s">
        <v>301</v>
      </c>
      <c r="E54" s="40" t="n">
        <v>105</v>
      </c>
      <c r="F54" s="40" t="n">
        <v>1</v>
      </c>
      <c r="G54" s="43" t="n">
        <v>3.147</v>
      </c>
      <c r="H54" s="40"/>
      <c r="I54" s="40"/>
      <c r="J54" s="44"/>
      <c r="K54" s="44"/>
      <c r="L54" s="6" t="s">
        <v>318</v>
      </c>
      <c r="M54" s="6"/>
    </row>
    <row r="55" customFormat="false" ht="15" hidden="false" customHeight="false" outlineLevel="0" collapsed="false">
      <c r="A55" s="6" t="s">
        <v>145</v>
      </c>
      <c r="B55" s="7" t="n">
        <f aca="false">IF(A55="","",IFERROR(MATCH(A55,Lists!$A$2:$A$37,0),""))</f>
        <v>18</v>
      </c>
      <c r="C55" s="6" t="s">
        <v>286</v>
      </c>
      <c r="D55" s="6" t="s">
        <v>302</v>
      </c>
      <c r="E55" s="40" t="n">
        <v>90</v>
      </c>
      <c r="F55" s="40" t="n">
        <v>0</v>
      </c>
      <c r="G55" s="43" t="n">
        <v>3.466</v>
      </c>
      <c r="H55" s="40"/>
      <c r="I55" s="40"/>
      <c r="J55" s="44"/>
      <c r="K55" s="44"/>
      <c r="L55" s="6" t="s">
        <v>318</v>
      </c>
      <c r="M55" s="6"/>
    </row>
    <row r="56" customFormat="false" ht="15" hidden="false" customHeight="false" outlineLevel="0" collapsed="false">
      <c r="A56" s="6" t="s">
        <v>145</v>
      </c>
      <c r="B56" s="7" t="n">
        <f aca="false">IF(A56="","",IFERROR(MATCH(A56,Lists!$A$2:$A$37,0),""))</f>
        <v>18</v>
      </c>
      <c r="C56" s="6" t="s">
        <v>286</v>
      </c>
      <c r="D56" s="6" t="s">
        <v>303</v>
      </c>
      <c r="E56" s="40" t="n">
        <v>57</v>
      </c>
      <c r="F56" s="40" t="n">
        <v>7</v>
      </c>
      <c r="G56" s="43" t="n">
        <v>2.806</v>
      </c>
      <c r="H56" s="40"/>
      <c r="I56" s="40"/>
      <c r="J56" s="44"/>
      <c r="K56" s="44"/>
      <c r="L56" s="6" t="s">
        <v>318</v>
      </c>
      <c r="M56" s="6"/>
    </row>
    <row r="57" customFormat="false" ht="15" hidden="false" customHeight="false" outlineLevel="0" collapsed="false">
      <c r="A57" s="6" t="s">
        <v>145</v>
      </c>
      <c r="B57" s="7" t="n">
        <f aca="false">IF(A57="","",IFERROR(MATCH(A57,Lists!$A$2:$A$37,0),""))</f>
        <v>18</v>
      </c>
      <c r="C57" s="6" t="s">
        <v>286</v>
      </c>
      <c r="D57" s="6" t="s">
        <v>304</v>
      </c>
      <c r="E57" s="40" t="n">
        <v>112</v>
      </c>
      <c r="F57" s="40" t="n">
        <v>1</v>
      </c>
      <c r="G57" s="43" t="n">
        <v>3.256</v>
      </c>
      <c r="H57" s="40"/>
      <c r="I57" s="40"/>
      <c r="J57" s="44"/>
      <c r="K57" s="44"/>
      <c r="L57" s="6" t="s">
        <v>318</v>
      </c>
      <c r="M57" s="6"/>
    </row>
    <row r="58" customFormat="false" ht="15" hidden="false" customHeight="false" outlineLevel="0" collapsed="false">
      <c r="A58" s="6" t="s">
        <v>145</v>
      </c>
      <c r="B58" s="7" t="n">
        <f aca="false">IF(A58="","",IFERROR(MATCH(A58,Lists!$A$2:$A$37,0),""))</f>
        <v>18</v>
      </c>
      <c r="C58" s="6" t="s">
        <v>286</v>
      </c>
      <c r="D58" s="6" t="s">
        <v>305</v>
      </c>
      <c r="E58" s="40"/>
      <c r="F58" s="40"/>
      <c r="G58" s="43"/>
      <c r="H58" s="40"/>
      <c r="I58" s="40"/>
      <c r="J58" s="44"/>
      <c r="K58" s="44"/>
      <c r="L58" s="6" t="s">
        <v>318</v>
      </c>
      <c r="M58" s="6" t="s">
        <v>300</v>
      </c>
    </row>
    <row r="59" customFormat="false" ht="15" hidden="false" customHeight="false" outlineLevel="0" collapsed="false">
      <c r="A59" s="6" t="s">
        <v>145</v>
      </c>
      <c r="B59" s="7" t="n">
        <f aca="false">IF(A59="","",IFERROR(MATCH(A59,Lists!$A$2:$A$37,0),""))</f>
        <v>18</v>
      </c>
      <c r="C59" s="6" t="s">
        <v>286</v>
      </c>
      <c r="D59" s="6" t="s">
        <v>306</v>
      </c>
      <c r="E59" s="40" t="n">
        <v>34</v>
      </c>
      <c r="F59" s="40" t="n">
        <v>3</v>
      </c>
      <c r="G59" s="43" t="n">
        <v>2.936</v>
      </c>
      <c r="H59" s="40"/>
      <c r="I59" s="40"/>
      <c r="J59" s="44"/>
      <c r="K59" s="44"/>
      <c r="L59" s="6" t="s">
        <v>318</v>
      </c>
      <c r="M59" s="6"/>
    </row>
    <row r="60" customFormat="false" ht="15" hidden="false" customHeight="false" outlineLevel="0" collapsed="false">
      <c r="A60" s="6" t="s">
        <v>145</v>
      </c>
      <c r="B60" s="7" t="n">
        <f aca="false">IF(A60="","",IFERROR(MATCH(A60,Lists!$A$2:$A$37,0),""))</f>
        <v>18</v>
      </c>
      <c r="C60" s="6" t="s">
        <v>286</v>
      </c>
      <c r="D60" s="6" t="s">
        <v>307</v>
      </c>
      <c r="E60" s="40" t="n">
        <v>76</v>
      </c>
      <c r="F60" s="40" t="n">
        <v>0</v>
      </c>
      <c r="G60" s="43" t="n">
        <v>3.42</v>
      </c>
      <c r="H60" s="40"/>
      <c r="I60" s="40"/>
      <c r="J60" s="44"/>
      <c r="K60" s="44"/>
      <c r="L60" s="6" t="s">
        <v>318</v>
      </c>
      <c r="M60" s="6"/>
    </row>
    <row r="61" customFormat="false" ht="15" hidden="false" customHeight="false" outlineLevel="0" collapsed="false">
      <c r="A61" s="6" t="s">
        <v>145</v>
      </c>
      <c r="B61" s="7" t="n">
        <f aca="false">IF(A61="","",IFERROR(MATCH(A61,Lists!$A$2:$A$37,0),""))</f>
        <v>18</v>
      </c>
      <c r="C61" s="6" t="s">
        <v>286</v>
      </c>
      <c r="D61" s="6" t="s">
        <v>308</v>
      </c>
      <c r="E61" s="40" t="n">
        <v>132</v>
      </c>
      <c r="F61" s="40" t="n">
        <v>21</v>
      </c>
      <c r="G61" s="43" t="n">
        <v>3.355</v>
      </c>
      <c r="H61" s="40"/>
      <c r="I61" s="40"/>
      <c r="J61" s="44"/>
      <c r="K61" s="44"/>
      <c r="L61" s="6" t="s">
        <v>318</v>
      </c>
      <c r="M61" s="6"/>
    </row>
    <row r="62" customFormat="false" ht="15" hidden="false" customHeight="false" outlineLevel="0" collapsed="false">
      <c r="A62" s="6" t="s">
        <v>145</v>
      </c>
      <c r="B62" s="7" t="n">
        <f aca="false">IF(A62="","",IFERROR(MATCH(A62,Lists!$A$2:$A$37,0),""))</f>
        <v>18</v>
      </c>
      <c r="C62" s="6" t="s">
        <v>286</v>
      </c>
      <c r="D62" s="6" t="s">
        <v>309</v>
      </c>
      <c r="E62" s="40" t="n">
        <v>55</v>
      </c>
      <c r="F62" s="40" t="n">
        <v>2</v>
      </c>
      <c r="G62" s="43" t="n">
        <v>3.05</v>
      </c>
      <c r="H62" s="40"/>
      <c r="I62" s="40"/>
      <c r="J62" s="44"/>
      <c r="K62" s="44"/>
      <c r="L62" s="6" t="s">
        <v>318</v>
      </c>
      <c r="M62" s="6"/>
    </row>
    <row r="63" customFormat="false" ht="15" hidden="false" customHeight="false" outlineLevel="0" collapsed="false">
      <c r="A63" s="6" t="s">
        <v>145</v>
      </c>
      <c r="B63" s="7" t="n">
        <f aca="false">IF(A63="","",IFERROR(MATCH(A63,Lists!$A$2:$A$37,0),""))</f>
        <v>18</v>
      </c>
      <c r="C63" s="6" t="s">
        <v>286</v>
      </c>
      <c r="D63" s="6" t="s">
        <v>310</v>
      </c>
      <c r="E63" s="40" t="n">
        <v>130</v>
      </c>
      <c r="F63" s="40" t="n">
        <v>0</v>
      </c>
      <c r="G63" s="43" t="n">
        <v>3.007</v>
      </c>
      <c r="H63" s="40"/>
      <c r="I63" s="40"/>
      <c r="J63" s="44"/>
      <c r="K63" s="44"/>
      <c r="L63" s="6" t="s">
        <v>318</v>
      </c>
      <c r="M63" s="6"/>
    </row>
    <row r="64" customFormat="false" ht="15" hidden="false" customHeight="false" outlineLevel="0" collapsed="false">
      <c r="A64" s="6" t="s">
        <v>145</v>
      </c>
      <c r="B64" s="7" t="n">
        <f aca="false">IF(A64="","",IFERROR(MATCH(A64,Lists!$A$2:$A$37,0),""))</f>
        <v>18</v>
      </c>
      <c r="C64" s="6" t="s">
        <v>286</v>
      </c>
      <c r="D64" s="6" t="s">
        <v>311</v>
      </c>
      <c r="E64" s="40" t="n">
        <v>12</v>
      </c>
      <c r="F64" s="40" t="n">
        <v>0</v>
      </c>
      <c r="G64" s="43" t="n">
        <v>3.114</v>
      </c>
      <c r="H64" s="40"/>
      <c r="I64" s="40"/>
      <c r="J64" s="44"/>
      <c r="K64" s="44"/>
      <c r="L64" s="6" t="s">
        <v>318</v>
      </c>
      <c r="M64" s="6"/>
    </row>
    <row r="65" customFormat="false" ht="15" hidden="false" customHeight="false" outlineLevel="0" collapsed="false">
      <c r="A65" s="6" t="s">
        <v>145</v>
      </c>
      <c r="B65" s="7" t="n">
        <f aca="false">IF(A65="","",IFERROR(MATCH(A65,Lists!$A$2:$A$37,0),""))</f>
        <v>18</v>
      </c>
      <c r="C65" s="6" t="s">
        <v>286</v>
      </c>
      <c r="D65" s="6" t="s">
        <v>312</v>
      </c>
      <c r="E65" s="40" t="n">
        <v>82</v>
      </c>
      <c r="F65" s="40" t="n">
        <v>4</v>
      </c>
      <c r="G65" s="43" t="n">
        <v>2.935</v>
      </c>
      <c r="H65" s="40"/>
      <c r="I65" s="40"/>
      <c r="J65" s="44"/>
      <c r="K65" s="44"/>
      <c r="L65" s="6" t="s">
        <v>318</v>
      </c>
      <c r="M65" s="6"/>
    </row>
    <row r="66" customFormat="false" ht="15" hidden="false" customHeight="false" outlineLevel="0" collapsed="false">
      <c r="A66" s="6" t="s">
        <v>145</v>
      </c>
      <c r="B66" s="7" t="n">
        <f aca="false">IF(A66="","",IFERROR(MATCH(A66,Lists!$A$2:$A$37,0),""))</f>
        <v>18</v>
      </c>
      <c r="C66" s="6" t="s">
        <v>286</v>
      </c>
      <c r="D66" s="6" t="s">
        <v>313</v>
      </c>
      <c r="E66" s="40" t="n">
        <v>37</v>
      </c>
      <c r="F66" s="40" t="n">
        <v>2</v>
      </c>
      <c r="G66" s="43" t="n">
        <v>3.012</v>
      </c>
      <c r="H66" s="40"/>
      <c r="I66" s="40"/>
      <c r="J66" s="44"/>
      <c r="K66" s="44"/>
      <c r="L66" s="6" t="s">
        <v>318</v>
      </c>
      <c r="M66" s="6"/>
    </row>
    <row r="67" customFormat="false" ht="15" hidden="false" customHeight="false" outlineLevel="0" collapsed="false">
      <c r="A67" s="6" t="s">
        <v>145</v>
      </c>
      <c r="B67" s="7" t="n">
        <f aca="false">IF(A67="","",IFERROR(MATCH(A67,Lists!$A$2:$A$37,0),""))</f>
        <v>18</v>
      </c>
      <c r="C67" s="6" t="s">
        <v>286</v>
      </c>
      <c r="D67" s="6" t="s">
        <v>314</v>
      </c>
      <c r="E67" s="40" t="n">
        <v>122</v>
      </c>
      <c r="F67" s="40" t="n">
        <v>0</v>
      </c>
      <c r="G67" s="43" t="n">
        <v>3.333</v>
      </c>
      <c r="H67" s="40"/>
      <c r="I67" s="40"/>
      <c r="J67" s="44"/>
      <c r="K67" s="44"/>
      <c r="L67" s="6" t="s">
        <v>318</v>
      </c>
      <c r="M67" s="6"/>
    </row>
    <row r="68" customFormat="false" ht="15" hidden="false" customHeight="false" outlineLevel="0" collapsed="false">
      <c r="A68" s="6" t="s">
        <v>145</v>
      </c>
      <c r="B68" s="7" t="n">
        <f aca="false">IF(A68="","",IFERROR(MATCH(A68,Lists!$A$2:$A$37,0),""))</f>
        <v>18</v>
      </c>
      <c r="C68" s="6" t="s">
        <v>286</v>
      </c>
      <c r="D68" s="6" t="s">
        <v>315</v>
      </c>
      <c r="E68" s="40" t="n">
        <v>27</v>
      </c>
      <c r="F68" s="40" t="n">
        <v>2</v>
      </c>
      <c r="G68" s="43" t="n">
        <v>3.012</v>
      </c>
      <c r="H68" s="40"/>
      <c r="I68" s="40"/>
      <c r="J68" s="44"/>
      <c r="K68" s="44"/>
      <c r="L68" s="6" t="s">
        <v>318</v>
      </c>
      <c r="M68" s="6"/>
    </row>
    <row r="69" customFormat="false" ht="15" hidden="false" customHeight="false" outlineLevel="0" collapsed="false">
      <c r="A69" s="6" t="s">
        <v>145</v>
      </c>
      <c r="B69" s="7" t="n">
        <f aca="false">IF(A69="","",IFERROR(MATCH(A69,Lists!$A$2:$A$37,0),""))</f>
        <v>18</v>
      </c>
      <c r="C69" s="6" t="s">
        <v>286</v>
      </c>
      <c r="D69" s="6" t="s">
        <v>316</v>
      </c>
      <c r="E69" s="40" t="n">
        <v>6</v>
      </c>
      <c r="F69" s="40" t="n">
        <v>0</v>
      </c>
      <c r="G69" s="43"/>
      <c r="H69" s="40"/>
      <c r="I69" s="40"/>
      <c r="J69" s="44"/>
      <c r="K69" s="44"/>
      <c r="L69" s="6" t="s">
        <v>318</v>
      </c>
      <c r="M69" s="6"/>
    </row>
    <row r="70" customFormat="false" ht="15" hidden="false" customHeight="false" outlineLevel="0" collapsed="false">
      <c r="A70" s="6" t="s">
        <v>145</v>
      </c>
      <c r="B70" s="7" t="n">
        <f aca="false">IF(A70="","",IFERROR(MATCH(A70,Lists!$A$2:$A$37,0),""))</f>
        <v>18</v>
      </c>
      <c r="C70" s="6" t="s">
        <v>286</v>
      </c>
      <c r="D70" s="6" t="s">
        <v>287</v>
      </c>
      <c r="E70" s="40" t="n">
        <v>64</v>
      </c>
      <c r="F70" s="40" t="n">
        <v>9</v>
      </c>
      <c r="G70" s="43" t="n">
        <v>2.919</v>
      </c>
      <c r="H70" s="40"/>
      <c r="I70" s="40"/>
      <c r="J70" s="44"/>
      <c r="K70" s="44"/>
      <c r="L70" s="6" t="s">
        <v>318</v>
      </c>
      <c r="M70" s="6"/>
    </row>
    <row r="71" customFormat="false" ht="15" hidden="false" customHeight="false" outlineLevel="0" collapsed="false">
      <c r="A71" s="6" t="s">
        <v>145</v>
      </c>
      <c r="B71" s="7" t="n">
        <f aca="false">IF(A71="","",IFERROR(MATCH(A71,Lists!$A$2:$A$37,0),""))</f>
        <v>18</v>
      </c>
      <c r="C71" s="6" t="s">
        <v>286</v>
      </c>
      <c r="D71" s="6" t="s">
        <v>317</v>
      </c>
      <c r="E71" s="40" t="n">
        <v>18</v>
      </c>
      <c r="F71" s="40" t="n">
        <v>0</v>
      </c>
      <c r="G71" s="43" t="n">
        <v>2.695</v>
      </c>
      <c r="H71" s="40"/>
      <c r="I71" s="40"/>
      <c r="J71" s="44"/>
      <c r="K71" s="44"/>
      <c r="L71" s="6" t="s">
        <v>318</v>
      </c>
      <c r="M71" s="6"/>
    </row>
    <row r="72" customFormat="false" ht="15" hidden="false" customHeight="false" outlineLevel="0" collapsed="false">
      <c r="A72" s="6" t="s">
        <v>146</v>
      </c>
      <c r="B72" s="7" t="n">
        <f aca="false">IF(A72="","",IFERROR(MATCH(A72,Lists!$A$2:$A$37,0),""))</f>
        <v>19</v>
      </c>
      <c r="C72" s="6" t="s">
        <v>286</v>
      </c>
      <c r="D72" s="6" t="s">
        <v>290</v>
      </c>
      <c r="E72" s="40" t="n">
        <v>33</v>
      </c>
      <c r="F72" s="40" t="n">
        <v>14</v>
      </c>
      <c r="G72" s="43" t="n">
        <v>2.62</v>
      </c>
      <c r="H72" s="40"/>
      <c r="I72" s="40"/>
      <c r="J72" s="44"/>
      <c r="K72" s="44"/>
      <c r="L72" s="6" t="s">
        <v>320</v>
      </c>
      <c r="M72" s="6"/>
    </row>
    <row r="73" customFormat="false" ht="15" hidden="false" customHeight="false" outlineLevel="0" collapsed="false">
      <c r="A73" s="6" t="s">
        <v>146</v>
      </c>
      <c r="B73" s="7" t="n">
        <f aca="false">IF(A73="","",IFERROR(MATCH(A73,Lists!$A$2:$A$37,0),""))</f>
        <v>19</v>
      </c>
      <c r="C73" s="6" t="s">
        <v>286</v>
      </c>
      <c r="D73" s="6" t="s">
        <v>292</v>
      </c>
      <c r="E73" s="40" t="n">
        <v>29</v>
      </c>
      <c r="F73" s="40" t="n">
        <v>4</v>
      </c>
      <c r="G73" s="43" t="n">
        <v>3.231</v>
      </c>
      <c r="H73" s="40"/>
      <c r="I73" s="40"/>
      <c r="J73" s="44"/>
      <c r="K73" s="44"/>
      <c r="L73" s="6" t="s">
        <v>320</v>
      </c>
      <c r="M73" s="6"/>
    </row>
    <row r="74" customFormat="false" ht="15" hidden="false" customHeight="false" outlineLevel="0" collapsed="false">
      <c r="A74" s="6" t="s">
        <v>146</v>
      </c>
      <c r="B74" s="7" t="n">
        <f aca="false">IF(A74="","",IFERROR(MATCH(A74,Lists!$A$2:$A$37,0),""))</f>
        <v>19</v>
      </c>
      <c r="C74" s="6" t="s">
        <v>286</v>
      </c>
      <c r="D74" s="6" t="s">
        <v>293</v>
      </c>
      <c r="E74" s="40" t="n">
        <v>98</v>
      </c>
      <c r="F74" s="40" t="n">
        <v>27</v>
      </c>
      <c r="G74" s="43" t="n">
        <v>2.922</v>
      </c>
      <c r="H74" s="40"/>
      <c r="I74" s="40"/>
      <c r="J74" s="44"/>
      <c r="K74" s="44"/>
      <c r="L74" s="6" t="s">
        <v>320</v>
      </c>
      <c r="M74" s="6"/>
    </row>
    <row r="75" customFormat="false" ht="15" hidden="false" customHeight="false" outlineLevel="0" collapsed="false">
      <c r="A75" s="6" t="s">
        <v>146</v>
      </c>
      <c r="B75" s="7" t="n">
        <f aca="false">IF(A75="","",IFERROR(MATCH(A75,Lists!$A$2:$A$37,0),""))</f>
        <v>19</v>
      </c>
      <c r="C75" s="6" t="s">
        <v>286</v>
      </c>
      <c r="D75" s="6" t="s">
        <v>294</v>
      </c>
      <c r="E75" s="40" t="n">
        <v>83</v>
      </c>
      <c r="F75" s="40" t="n">
        <v>26</v>
      </c>
      <c r="G75" s="43" t="n">
        <v>3.223</v>
      </c>
      <c r="H75" s="40"/>
      <c r="I75" s="40"/>
      <c r="J75" s="44"/>
      <c r="K75" s="44"/>
      <c r="L75" s="6" t="s">
        <v>320</v>
      </c>
      <c r="M75" s="6"/>
    </row>
    <row r="76" customFormat="false" ht="15" hidden="false" customHeight="false" outlineLevel="0" collapsed="false">
      <c r="A76" s="6" t="s">
        <v>146</v>
      </c>
      <c r="B76" s="7" t="n">
        <f aca="false">IF(A76="","",IFERROR(MATCH(A76,Lists!$A$2:$A$37,0),""))</f>
        <v>19</v>
      </c>
      <c r="C76" s="6" t="s">
        <v>286</v>
      </c>
      <c r="D76" s="6" t="s">
        <v>295</v>
      </c>
      <c r="E76" s="40" t="n">
        <v>108</v>
      </c>
      <c r="F76" s="40" t="n">
        <v>35</v>
      </c>
      <c r="G76" s="43" t="n">
        <v>3.057</v>
      </c>
      <c r="H76" s="40"/>
      <c r="I76" s="40"/>
      <c r="J76" s="44"/>
      <c r="K76" s="44"/>
      <c r="L76" s="6" t="s">
        <v>320</v>
      </c>
      <c r="M76" s="6"/>
    </row>
    <row r="77" customFormat="false" ht="15" hidden="false" customHeight="false" outlineLevel="0" collapsed="false">
      <c r="A77" s="6" t="s">
        <v>146</v>
      </c>
      <c r="B77" s="7" t="n">
        <f aca="false">IF(A77="","",IFERROR(MATCH(A77,Lists!$A$2:$A$37,0),""))</f>
        <v>19</v>
      </c>
      <c r="C77" s="6" t="s">
        <v>286</v>
      </c>
      <c r="D77" s="6" t="s">
        <v>296</v>
      </c>
      <c r="E77" s="40" t="n">
        <v>17</v>
      </c>
      <c r="F77" s="40" t="n">
        <v>5</v>
      </c>
      <c r="G77" s="43" t="n">
        <v>3.285</v>
      </c>
      <c r="H77" s="40"/>
      <c r="I77" s="40"/>
      <c r="J77" s="44"/>
      <c r="K77" s="44"/>
      <c r="L77" s="6" t="s">
        <v>320</v>
      </c>
      <c r="M77" s="6"/>
    </row>
    <row r="78" customFormat="false" ht="15" hidden="false" customHeight="false" outlineLevel="0" collapsed="false">
      <c r="A78" s="6" t="s">
        <v>146</v>
      </c>
      <c r="B78" s="7" t="n">
        <f aca="false">IF(A78="","",IFERROR(MATCH(A78,Lists!$A$2:$A$37,0),""))</f>
        <v>19</v>
      </c>
      <c r="C78" s="6" t="s">
        <v>286</v>
      </c>
      <c r="D78" s="6" t="s">
        <v>297</v>
      </c>
      <c r="E78" s="40" t="n">
        <v>108</v>
      </c>
      <c r="F78" s="40" t="n">
        <v>30</v>
      </c>
      <c r="G78" s="43" t="n">
        <v>3.442</v>
      </c>
      <c r="H78" s="40"/>
      <c r="I78" s="40"/>
      <c r="J78" s="44"/>
      <c r="K78" s="44"/>
      <c r="L78" s="6" t="s">
        <v>320</v>
      </c>
      <c r="M78" s="6"/>
    </row>
    <row r="79" customFormat="false" ht="15" hidden="false" customHeight="false" outlineLevel="0" collapsed="false">
      <c r="A79" s="6" t="s">
        <v>146</v>
      </c>
      <c r="B79" s="7" t="n">
        <f aca="false">IF(A79="","",IFERROR(MATCH(A79,Lists!$A$2:$A$37,0),""))</f>
        <v>19</v>
      </c>
      <c r="C79" s="6" t="s">
        <v>286</v>
      </c>
      <c r="D79" s="6" t="s">
        <v>298</v>
      </c>
      <c r="E79" s="40" t="n">
        <v>11</v>
      </c>
      <c r="F79" s="40" t="n">
        <v>0</v>
      </c>
      <c r="G79" s="43" t="n">
        <v>3.336</v>
      </c>
      <c r="H79" s="40"/>
      <c r="I79" s="40"/>
      <c r="J79" s="44"/>
      <c r="K79" s="44"/>
      <c r="L79" s="6" t="s">
        <v>320</v>
      </c>
      <c r="M79" s="6"/>
    </row>
    <row r="80" customFormat="false" ht="15" hidden="false" customHeight="false" outlineLevel="0" collapsed="false">
      <c r="A80" s="6" t="s">
        <v>146</v>
      </c>
      <c r="B80" s="7" t="n">
        <f aca="false">IF(A80="","",IFERROR(MATCH(A80,Lists!$A$2:$A$37,0),""))</f>
        <v>19</v>
      </c>
      <c r="C80" s="6" t="s">
        <v>286</v>
      </c>
      <c r="D80" s="6" t="s">
        <v>299</v>
      </c>
      <c r="E80" s="40" t="n">
        <v>83</v>
      </c>
      <c r="F80" s="40" t="n">
        <v>21</v>
      </c>
      <c r="G80" s="43" t="n">
        <v>3.075</v>
      </c>
      <c r="H80" s="40"/>
      <c r="I80" s="40"/>
      <c r="J80" s="44"/>
      <c r="K80" s="44"/>
      <c r="L80" s="6" t="s">
        <v>320</v>
      </c>
      <c r="M80" s="6"/>
    </row>
    <row r="81" customFormat="false" ht="15" hidden="false" customHeight="false" outlineLevel="0" collapsed="false">
      <c r="A81" s="6" t="s">
        <v>146</v>
      </c>
      <c r="B81" s="7" t="n">
        <f aca="false">IF(A81="","",IFERROR(MATCH(A81,Lists!$A$2:$A$37,0),""))</f>
        <v>19</v>
      </c>
      <c r="C81" s="6" t="s">
        <v>286</v>
      </c>
      <c r="D81" s="6" t="s">
        <v>301</v>
      </c>
      <c r="E81" s="40" t="n">
        <v>101</v>
      </c>
      <c r="F81" s="40" t="n">
        <v>30</v>
      </c>
      <c r="G81" s="43" t="n">
        <v>3.189</v>
      </c>
      <c r="H81" s="40"/>
      <c r="I81" s="40"/>
      <c r="J81" s="44"/>
      <c r="K81" s="44"/>
      <c r="L81" s="6" t="s">
        <v>320</v>
      </c>
      <c r="M81" s="6"/>
    </row>
    <row r="82" customFormat="false" ht="15" hidden="false" customHeight="false" outlineLevel="0" collapsed="false">
      <c r="A82" s="6" t="s">
        <v>146</v>
      </c>
      <c r="B82" s="7" t="n">
        <f aca="false">IF(A82="","",IFERROR(MATCH(A82,Lists!$A$2:$A$37,0),""))</f>
        <v>19</v>
      </c>
      <c r="C82" s="6" t="s">
        <v>286</v>
      </c>
      <c r="D82" s="6" t="s">
        <v>302</v>
      </c>
      <c r="E82" s="40" t="n">
        <v>101</v>
      </c>
      <c r="F82" s="40" t="n">
        <v>29</v>
      </c>
      <c r="G82" s="43" t="n">
        <v>3.546</v>
      </c>
      <c r="H82" s="40"/>
      <c r="I82" s="40"/>
      <c r="J82" s="44"/>
      <c r="K82" s="44"/>
      <c r="L82" s="6" t="s">
        <v>320</v>
      </c>
      <c r="M82" s="6"/>
    </row>
    <row r="83" customFormat="false" ht="15" hidden="false" customHeight="false" outlineLevel="0" collapsed="false">
      <c r="A83" s="6" t="s">
        <v>146</v>
      </c>
      <c r="B83" s="7" t="n">
        <f aca="false">IF(A83="","",IFERROR(MATCH(A83,Lists!$A$2:$A$37,0),""))</f>
        <v>19</v>
      </c>
      <c r="C83" s="6" t="s">
        <v>286</v>
      </c>
      <c r="D83" s="6" t="s">
        <v>303</v>
      </c>
      <c r="E83" s="40" t="n">
        <v>65</v>
      </c>
      <c r="F83" s="40" t="n">
        <v>24</v>
      </c>
      <c r="G83" s="43" t="n">
        <v>2.741</v>
      </c>
      <c r="H83" s="40"/>
      <c r="I83" s="40"/>
      <c r="J83" s="44"/>
      <c r="K83" s="44"/>
      <c r="L83" s="6" t="s">
        <v>320</v>
      </c>
      <c r="M83" s="6"/>
    </row>
    <row r="84" customFormat="false" ht="15" hidden="false" customHeight="false" outlineLevel="0" collapsed="false">
      <c r="A84" s="6" t="s">
        <v>146</v>
      </c>
      <c r="B84" s="7" t="n">
        <f aca="false">IF(A84="","",IFERROR(MATCH(A84,Lists!$A$2:$A$37,0),""))</f>
        <v>19</v>
      </c>
      <c r="C84" s="6" t="s">
        <v>286</v>
      </c>
      <c r="D84" s="6" t="s">
        <v>304</v>
      </c>
      <c r="E84" s="40" t="n">
        <v>125</v>
      </c>
      <c r="F84" s="40" t="n">
        <v>44</v>
      </c>
      <c r="G84" s="43" t="n">
        <v>3.245</v>
      </c>
      <c r="H84" s="40"/>
      <c r="I84" s="40"/>
      <c r="J84" s="44"/>
      <c r="K84" s="44"/>
      <c r="L84" s="6" t="s">
        <v>320</v>
      </c>
      <c r="M84" s="6"/>
    </row>
    <row r="85" customFormat="false" ht="15" hidden="false" customHeight="false" outlineLevel="0" collapsed="false">
      <c r="A85" s="6" t="s">
        <v>146</v>
      </c>
      <c r="B85" s="7" t="n">
        <f aca="false">IF(A85="","",IFERROR(MATCH(A85,Lists!$A$2:$A$37,0),""))</f>
        <v>19</v>
      </c>
      <c r="C85" s="6" t="s">
        <v>286</v>
      </c>
      <c r="D85" s="6" t="s">
        <v>305</v>
      </c>
      <c r="E85" s="40" t="n">
        <v>99</v>
      </c>
      <c r="F85" s="40" t="n">
        <v>33</v>
      </c>
      <c r="G85" s="43" t="n">
        <v>2.832</v>
      </c>
      <c r="H85" s="40"/>
      <c r="I85" s="40"/>
      <c r="J85" s="44"/>
      <c r="K85" s="44"/>
      <c r="L85" s="6" t="s">
        <v>320</v>
      </c>
      <c r="M85" s="6"/>
    </row>
    <row r="86" customFormat="false" ht="15" hidden="false" customHeight="false" outlineLevel="0" collapsed="false">
      <c r="A86" s="6" t="s">
        <v>146</v>
      </c>
      <c r="B86" s="7" t="n">
        <f aca="false">IF(A86="","",IFERROR(MATCH(A86,Lists!$A$2:$A$37,0),""))</f>
        <v>19</v>
      </c>
      <c r="C86" s="6" t="s">
        <v>286</v>
      </c>
      <c r="D86" s="6" t="s">
        <v>306</v>
      </c>
      <c r="E86" s="40" t="n">
        <v>51</v>
      </c>
      <c r="F86" s="40" t="n">
        <v>17</v>
      </c>
      <c r="G86" s="43" t="n">
        <v>2.868</v>
      </c>
      <c r="H86" s="40"/>
      <c r="I86" s="40"/>
      <c r="J86" s="44"/>
      <c r="K86" s="44"/>
      <c r="L86" s="6" t="s">
        <v>320</v>
      </c>
      <c r="M86" s="6"/>
    </row>
    <row r="87" customFormat="false" ht="15" hidden="false" customHeight="false" outlineLevel="0" collapsed="false">
      <c r="A87" s="6" t="s">
        <v>146</v>
      </c>
      <c r="B87" s="7" t="n">
        <f aca="false">IF(A87="","",IFERROR(MATCH(A87,Lists!$A$2:$A$37,0),""))</f>
        <v>19</v>
      </c>
      <c r="C87" s="6" t="s">
        <v>286</v>
      </c>
      <c r="D87" s="6" t="s">
        <v>307</v>
      </c>
      <c r="E87" s="40" t="n">
        <v>84</v>
      </c>
      <c r="F87" s="40" t="n">
        <v>26</v>
      </c>
      <c r="G87" s="43" t="n">
        <v>3.419</v>
      </c>
      <c r="H87" s="40"/>
      <c r="I87" s="40"/>
      <c r="J87" s="44"/>
      <c r="K87" s="44"/>
      <c r="L87" s="6" t="s">
        <v>320</v>
      </c>
      <c r="M87" s="6"/>
    </row>
    <row r="88" customFormat="false" ht="15" hidden="false" customHeight="false" outlineLevel="0" collapsed="false">
      <c r="A88" s="6" t="s">
        <v>146</v>
      </c>
      <c r="B88" s="7" t="n">
        <f aca="false">IF(A88="","",IFERROR(MATCH(A88,Lists!$A$2:$A$37,0),""))</f>
        <v>19</v>
      </c>
      <c r="C88" s="6" t="s">
        <v>286</v>
      </c>
      <c r="D88" s="6" t="s">
        <v>308</v>
      </c>
      <c r="E88" s="40" t="n">
        <v>137</v>
      </c>
      <c r="F88" s="40" t="n">
        <v>35</v>
      </c>
      <c r="G88" s="43" t="n">
        <v>3.457</v>
      </c>
      <c r="H88" s="40"/>
      <c r="I88" s="40"/>
      <c r="J88" s="44"/>
      <c r="K88" s="44"/>
      <c r="L88" s="6" t="s">
        <v>320</v>
      </c>
      <c r="M88" s="6"/>
    </row>
    <row r="89" customFormat="false" ht="15" hidden="false" customHeight="false" outlineLevel="0" collapsed="false">
      <c r="A89" s="6" t="s">
        <v>146</v>
      </c>
      <c r="B89" s="7" t="n">
        <f aca="false">IF(A89="","",IFERROR(MATCH(A89,Lists!$A$2:$A$37,0),""))</f>
        <v>19</v>
      </c>
      <c r="C89" s="6" t="s">
        <v>286</v>
      </c>
      <c r="D89" s="6" t="s">
        <v>309</v>
      </c>
      <c r="E89" s="40" t="n">
        <v>66</v>
      </c>
      <c r="F89" s="40" t="n">
        <v>18</v>
      </c>
      <c r="G89" s="43" t="n">
        <v>3.02</v>
      </c>
      <c r="H89" s="40"/>
      <c r="I89" s="40"/>
      <c r="J89" s="44"/>
      <c r="K89" s="44"/>
      <c r="L89" s="6" t="s">
        <v>320</v>
      </c>
      <c r="M89" s="6"/>
    </row>
    <row r="90" customFormat="false" ht="15" hidden="false" customHeight="false" outlineLevel="0" collapsed="false">
      <c r="A90" s="6" t="s">
        <v>146</v>
      </c>
      <c r="B90" s="7" t="n">
        <f aca="false">IF(A90="","",IFERROR(MATCH(A90,Lists!$A$2:$A$37,0),""))</f>
        <v>19</v>
      </c>
      <c r="C90" s="6" t="s">
        <v>286</v>
      </c>
      <c r="D90" s="6" t="s">
        <v>310</v>
      </c>
      <c r="E90" s="40" t="n">
        <v>129</v>
      </c>
      <c r="F90" s="40" t="n">
        <v>38</v>
      </c>
      <c r="G90" s="43" t="n">
        <v>3.084</v>
      </c>
      <c r="H90" s="40"/>
      <c r="I90" s="40"/>
      <c r="J90" s="44"/>
      <c r="K90" s="44"/>
      <c r="L90" s="6" t="s">
        <v>320</v>
      </c>
      <c r="M90" s="6"/>
    </row>
    <row r="91" customFormat="false" ht="15" hidden="false" customHeight="false" outlineLevel="0" collapsed="false">
      <c r="A91" s="6" t="s">
        <v>146</v>
      </c>
      <c r="B91" s="7" t="n">
        <f aca="false">IF(A91="","",IFERROR(MATCH(A91,Lists!$A$2:$A$37,0),""))</f>
        <v>19</v>
      </c>
      <c r="C91" s="6" t="s">
        <v>286</v>
      </c>
      <c r="D91" s="6" t="s">
        <v>311</v>
      </c>
      <c r="E91" s="40" t="n">
        <v>12</v>
      </c>
      <c r="F91" s="40" t="n">
        <v>3</v>
      </c>
      <c r="G91" s="43" t="n">
        <v>2.941</v>
      </c>
      <c r="H91" s="40"/>
      <c r="I91" s="40"/>
      <c r="J91" s="44"/>
      <c r="K91" s="44"/>
      <c r="L91" s="6" t="s">
        <v>320</v>
      </c>
      <c r="M91" s="6"/>
    </row>
    <row r="92" customFormat="false" ht="15" hidden="false" customHeight="false" outlineLevel="0" collapsed="false">
      <c r="A92" s="6" t="s">
        <v>146</v>
      </c>
      <c r="B92" s="7" t="n">
        <f aca="false">IF(A92="","",IFERROR(MATCH(A92,Lists!$A$2:$A$37,0),""))</f>
        <v>19</v>
      </c>
      <c r="C92" s="6" t="s">
        <v>286</v>
      </c>
      <c r="D92" s="6" t="s">
        <v>312</v>
      </c>
      <c r="E92" s="40" t="n">
        <v>87</v>
      </c>
      <c r="F92" s="40" t="n">
        <v>30</v>
      </c>
      <c r="G92" s="43" t="n">
        <v>3.041</v>
      </c>
      <c r="H92" s="40"/>
      <c r="I92" s="40"/>
      <c r="J92" s="44"/>
      <c r="K92" s="44"/>
      <c r="L92" s="6" t="s">
        <v>320</v>
      </c>
      <c r="M92" s="6"/>
    </row>
    <row r="93" customFormat="false" ht="15" hidden="false" customHeight="false" outlineLevel="0" collapsed="false">
      <c r="A93" s="6" t="s">
        <v>146</v>
      </c>
      <c r="B93" s="7" t="n">
        <f aca="false">IF(A93="","",IFERROR(MATCH(A93,Lists!$A$2:$A$37,0),""))</f>
        <v>19</v>
      </c>
      <c r="C93" s="6" t="s">
        <v>286</v>
      </c>
      <c r="D93" s="6" t="s">
        <v>313</v>
      </c>
      <c r="E93" s="40" t="n">
        <v>45</v>
      </c>
      <c r="F93" s="40" t="n">
        <v>13</v>
      </c>
      <c r="G93" s="43" t="n">
        <v>2.922</v>
      </c>
      <c r="H93" s="40"/>
      <c r="I93" s="40"/>
      <c r="J93" s="44"/>
      <c r="K93" s="44"/>
      <c r="L93" s="6" t="s">
        <v>320</v>
      </c>
      <c r="M93" s="6"/>
    </row>
    <row r="94" customFormat="false" ht="15" hidden="false" customHeight="false" outlineLevel="0" collapsed="false">
      <c r="A94" s="6" t="s">
        <v>146</v>
      </c>
      <c r="B94" s="7" t="n">
        <f aca="false">IF(A94="","",IFERROR(MATCH(A94,Lists!$A$2:$A$37,0),""))</f>
        <v>19</v>
      </c>
      <c r="C94" s="6" t="s">
        <v>286</v>
      </c>
      <c r="D94" s="6" t="s">
        <v>314</v>
      </c>
      <c r="E94" s="40" t="n">
        <v>134</v>
      </c>
      <c r="F94" s="40" t="n">
        <v>39</v>
      </c>
      <c r="G94" s="43" t="n">
        <v>3.345</v>
      </c>
      <c r="H94" s="40"/>
      <c r="I94" s="40"/>
      <c r="J94" s="44"/>
      <c r="K94" s="44"/>
      <c r="L94" s="6" t="s">
        <v>320</v>
      </c>
      <c r="M94" s="6"/>
    </row>
    <row r="95" customFormat="false" ht="15" hidden="false" customHeight="false" outlineLevel="0" collapsed="false">
      <c r="A95" s="6" t="s">
        <v>146</v>
      </c>
      <c r="B95" s="7" t="n">
        <f aca="false">IF(A95="","",IFERROR(MATCH(A95,Lists!$A$2:$A$37,0),""))</f>
        <v>19</v>
      </c>
      <c r="C95" s="6" t="s">
        <v>286</v>
      </c>
      <c r="D95" s="6" t="s">
        <v>315</v>
      </c>
      <c r="E95" s="40" t="n">
        <v>14</v>
      </c>
      <c r="F95" s="40" t="n">
        <v>0</v>
      </c>
      <c r="G95" s="43" t="n">
        <v>3.196</v>
      </c>
      <c r="H95" s="40"/>
      <c r="I95" s="40"/>
      <c r="J95" s="44"/>
      <c r="K95" s="44"/>
      <c r="L95" s="6" t="s">
        <v>320</v>
      </c>
      <c r="M95" s="6"/>
    </row>
    <row r="96" customFormat="false" ht="15" hidden="false" customHeight="false" outlineLevel="0" collapsed="false">
      <c r="A96" s="6" t="s">
        <v>146</v>
      </c>
      <c r="B96" s="7" t="n">
        <f aca="false">IF(A96="","",IFERROR(MATCH(A96,Lists!$A$2:$A$37,0),""))</f>
        <v>19</v>
      </c>
      <c r="C96" s="6" t="s">
        <v>286</v>
      </c>
      <c r="D96" s="6" t="s">
        <v>316</v>
      </c>
      <c r="E96" s="40" t="n">
        <v>10</v>
      </c>
      <c r="F96" s="40" t="n">
        <v>1</v>
      </c>
      <c r="G96" s="43" t="n">
        <v>2.281</v>
      </c>
      <c r="H96" s="40"/>
      <c r="I96" s="40"/>
      <c r="J96" s="44"/>
      <c r="K96" s="44"/>
      <c r="L96" s="6" t="s">
        <v>320</v>
      </c>
      <c r="M96" s="6"/>
    </row>
    <row r="97" customFormat="false" ht="15" hidden="false" customHeight="false" outlineLevel="0" collapsed="false">
      <c r="A97" s="6" t="s">
        <v>146</v>
      </c>
      <c r="B97" s="7" t="n">
        <f aca="false">IF(A97="","",IFERROR(MATCH(A97,Lists!$A$2:$A$37,0),""))</f>
        <v>19</v>
      </c>
      <c r="C97" s="6" t="s">
        <v>286</v>
      </c>
      <c r="D97" s="6" t="s">
        <v>287</v>
      </c>
      <c r="E97" s="40" t="n">
        <v>86</v>
      </c>
      <c r="F97" s="40" t="n">
        <v>25</v>
      </c>
      <c r="G97" s="43" t="n">
        <v>2.819</v>
      </c>
      <c r="H97" s="40"/>
      <c r="I97" s="40"/>
      <c r="J97" s="44"/>
      <c r="K97" s="44"/>
      <c r="L97" s="6" t="s">
        <v>320</v>
      </c>
      <c r="M97" s="6" t="s">
        <v>321</v>
      </c>
    </row>
    <row r="98" customFormat="false" ht="15" hidden="false" customHeight="false" outlineLevel="0" collapsed="false">
      <c r="A98" s="6" t="s">
        <v>146</v>
      </c>
      <c r="B98" s="7" t="n">
        <f aca="false">IF(A98="","",IFERROR(MATCH(A98,Lists!$A$2:$A$37,0),""))</f>
        <v>19</v>
      </c>
      <c r="C98" s="6" t="s">
        <v>286</v>
      </c>
      <c r="D98" s="6" t="s">
        <v>317</v>
      </c>
      <c r="E98" s="40" t="n">
        <v>24</v>
      </c>
      <c r="F98" s="40" t="n">
        <v>0</v>
      </c>
      <c r="G98" s="43" t="n">
        <v>3.152</v>
      </c>
      <c r="H98" s="40"/>
      <c r="I98" s="40"/>
      <c r="J98" s="44"/>
      <c r="K98" s="44"/>
      <c r="L98" s="6" t="s">
        <v>320</v>
      </c>
      <c r="M98" s="6"/>
    </row>
    <row r="99" customFormat="false" ht="15" hidden="false" customHeight="false" outlineLevel="0" collapsed="false">
      <c r="A99" s="6" t="s">
        <v>147</v>
      </c>
      <c r="B99" s="7" t="n">
        <f aca="false">IF(A99="","",IFERROR(MATCH(A99,Lists!$A$2:$A$37,0),""))</f>
        <v>20</v>
      </c>
      <c r="C99" s="6" t="s">
        <v>286</v>
      </c>
      <c r="D99" s="6" t="s">
        <v>290</v>
      </c>
      <c r="E99" s="40" t="n">
        <v>31</v>
      </c>
      <c r="F99" s="40"/>
      <c r="G99" s="43"/>
      <c r="H99" s="40"/>
      <c r="I99" s="40"/>
      <c r="J99" s="44"/>
      <c r="K99" s="44"/>
      <c r="L99" s="6" t="s">
        <v>322</v>
      </c>
      <c r="M99" s="6" t="s">
        <v>323</v>
      </c>
    </row>
    <row r="100" customFormat="false" ht="15" hidden="false" customHeight="false" outlineLevel="0" collapsed="false">
      <c r="A100" s="6" t="s">
        <v>147</v>
      </c>
      <c r="B100" s="7" t="n">
        <f aca="false">IF(A100="","",IFERROR(MATCH(A100,Lists!$A$2:$A$37,0),""))</f>
        <v>20</v>
      </c>
      <c r="C100" s="6" t="s">
        <v>286</v>
      </c>
      <c r="D100" s="6" t="s">
        <v>292</v>
      </c>
      <c r="E100" s="40" t="n">
        <v>23</v>
      </c>
      <c r="F100" s="40"/>
      <c r="G100" s="43"/>
      <c r="H100" s="40"/>
      <c r="I100" s="40"/>
      <c r="J100" s="44"/>
      <c r="K100" s="44"/>
      <c r="L100" s="6" t="s">
        <v>322</v>
      </c>
      <c r="M100" s="6" t="s">
        <v>323</v>
      </c>
    </row>
    <row r="101" customFormat="false" ht="15" hidden="false" customHeight="false" outlineLevel="0" collapsed="false">
      <c r="A101" s="6" t="s">
        <v>147</v>
      </c>
      <c r="B101" s="7" t="n">
        <f aca="false">IF(A101="","",IFERROR(MATCH(A101,Lists!$A$2:$A$37,0),""))</f>
        <v>20</v>
      </c>
      <c r="C101" s="6" t="s">
        <v>286</v>
      </c>
      <c r="D101" s="6" t="s">
        <v>293</v>
      </c>
      <c r="E101" s="40" t="n">
        <v>95</v>
      </c>
      <c r="F101" s="40"/>
      <c r="G101" s="43"/>
      <c r="H101" s="40"/>
      <c r="I101" s="40"/>
      <c r="J101" s="44"/>
      <c r="K101" s="44"/>
      <c r="L101" s="6" t="s">
        <v>322</v>
      </c>
      <c r="M101" s="6" t="s">
        <v>323</v>
      </c>
    </row>
    <row r="102" customFormat="false" ht="15" hidden="false" customHeight="false" outlineLevel="0" collapsed="false">
      <c r="A102" s="6" t="s">
        <v>147</v>
      </c>
      <c r="B102" s="7" t="n">
        <f aca="false">IF(A102="","",IFERROR(MATCH(A102,Lists!$A$2:$A$37,0),""))</f>
        <v>20</v>
      </c>
      <c r="C102" s="6" t="s">
        <v>286</v>
      </c>
      <c r="D102" s="6" t="s">
        <v>294</v>
      </c>
      <c r="E102" s="40" t="n">
        <v>80</v>
      </c>
      <c r="F102" s="40"/>
      <c r="G102" s="43"/>
      <c r="H102" s="40"/>
      <c r="I102" s="40"/>
      <c r="J102" s="44"/>
      <c r="K102" s="44"/>
      <c r="L102" s="6" t="s">
        <v>322</v>
      </c>
      <c r="M102" s="6" t="s">
        <v>323</v>
      </c>
    </row>
    <row r="103" customFormat="false" ht="15" hidden="false" customHeight="false" outlineLevel="0" collapsed="false">
      <c r="A103" s="6" t="s">
        <v>147</v>
      </c>
      <c r="B103" s="7" t="n">
        <f aca="false">IF(A103="","",IFERROR(MATCH(A103,Lists!$A$2:$A$37,0),""))</f>
        <v>20</v>
      </c>
      <c r="C103" s="6" t="s">
        <v>286</v>
      </c>
      <c r="D103" s="6" t="s">
        <v>295</v>
      </c>
      <c r="E103" s="40" t="n">
        <v>105</v>
      </c>
      <c r="F103" s="40"/>
      <c r="G103" s="43"/>
      <c r="H103" s="40"/>
      <c r="I103" s="40"/>
      <c r="J103" s="44"/>
      <c r="K103" s="44"/>
      <c r="L103" s="6" t="s">
        <v>322</v>
      </c>
      <c r="M103" s="6" t="s">
        <v>323</v>
      </c>
    </row>
    <row r="104" customFormat="false" ht="15" hidden="false" customHeight="false" outlineLevel="0" collapsed="false">
      <c r="A104" s="6" t="s">
        <v>147</v>
      </c>
      <c r="B104" s="7" t="n">
        <f aca="false">IF(A104="","",IFERROR(MATCH(A104,Lists!$A$2:$A$37,0),""))</f>
        <v>20</v>
      </c>
      <c r="C104" s="6" t="s">
        <v>286</v>
      </c>
      <c r="D104" s="6" t="s">
        <v>296</v>
      </c>
      <c r="E104" s="40" t="n">
        <v>17</v>
      </c>
      <c r="F104" s="40"/>
      <c r="G104" s="43"/>
      <c r="H104" s="40"/>
      <c r="I104" s="40"/>
      <c r="J104" s="44"/>
      <c r="K104" s="44"/>
      <c r="L104" s="6" t="s">
        <v>322</v>
      </c>
      <c r="M104" s="6" t="s">
        <v>323</v>
      </c>
    </row>
    <row r="105" customFormat="false" ht="15" hidden="false" customHeight="false" outlineLevel="0" collapsed="false">
      <c r="A105" s="6" t="s">
        <v>147</v>
      </c>
      <c r="B105" s="7" t="n">
        <f aca="false">IF(A105="","",IFERROR(MATCH(A105,Lists!$A$2:$A$37,0),""))</f>
        <v>20</v>
      </c>
      <c r="C105" s="6" t="s">
        <v>286</v>
      </c>
      <c r="D105" s="6" t="s">
        <v>297</v>
      </c>
      <c r="E105" s="40" t="n">
        <v>109</v>
      </c>
      <c r="F105" s="40"/>
      <c r="G105" s="43"/>
      <c r="H105" s="40"/>
      <c r="I105" s="40"/>
      <c r="J105" s="44"/>
      <c r="K105" s="44"/>
      <c r="L105" s="6" t="s">
        <v>322</v>
      </c>
      <c r="M105" s="6" t="s">
        <v>323</v>
      </c>
    </row>
    <row r="106" customFormat="false" ht="15" hidden="false" customHeight="false" outlineLevel="0" collapsed="false">
      <c r="A106" s="6" t="s">
        <v>147</v>
      </c>
      <c r="B106" s="7" t="n">
        <f aca="false">IF(A106="","",IFERROR(MATCH(A106,Lists!$A$2:$A$37,0),""))</f>
        <v>20</v>
      </c>
      <c r="C106" s="6" t="s">
        <v>286</v>
      </c>
      <c r="D106" s="6" t="s">
        <v>298</v>
      </c>
      <c r="E106" s="40" t="n">
        <v>8</v>
      </c>
      <c r="F106" s="40"/>
      <c r="G106" s="43"/>
      <c r="H106" s="40"/>
      <c r="I106" s="40"/>
      <c r="J106" s="44"/>
      <c r="K106" s="44"/>
      <c r="L106" s="6" t="s">
        <v>322</v>
      </c>
      <c r="M106" s="6" t="s">
        <v>323</v>
      </c>
    </row>
    <row r="107" customFormat="false" ht="15" hidden="false" customHeight="false" outlineLevel="0" collapsed="false">
      <c r="A107" s="6" t="s">
        <v>147</v>
      </c>
      <c r="B107" s="7" t="n">
        <f aca="false">IF(A107="","",IFERROR(MATCH(A107,Lists!$A$2:$A$37,0),""))</f>
        <v>20</v>
      </c>
      <c r="C107" s="6" t="s">
        <v>286</v>
      </c>
      <c r="D107" s="6" t="s">
        <v>299</v>
      </c>
      <c r="E107" s="40" t="n">
        <v>83</v>
      </c>
      <c r="F107" s="40"/>
      <c r="G107" s="43"/>
      <c r="H107" s="40"/>
      <c r="I107" s="40"/>
      <c r="J107" s="44"/>
      <c r="K107" s="44"/>
      <c r="L107" s="6" t="s">
        <v>322</v>
      </c>
      <c r="M107" s="6" t="s">
        <v>323</v>
      </c>
    </row>
    <row r="108" customFormat="false" ht="15" hidden="false" customHeight="false" outlineLevel="0" collapsed="false">
      <c r="A108" s="6" t="s">
        <v>147</v>
      </c>
      <c r="B108" s="7" t="n">
        <f aca="false">IF(A108="","",IFERROR(MATCH(A108,Lists!$A$2:$A$37,0),""))</f>
        <v>20</v>
      </c>
      <c r="C108" s="6" t="s">
        <v>286</v>
      </c>
      <c r="D108" s="6" t="s">
        <v>301</v>
      </c>
      <c r="E108" s="40" t="n">
        <v>100</v>
      </c>
      <c r="F108" s="40"/>
      <c r="G108" s="43"/>
      <c r="H108" s="40"/>
      <c r="I108" s="40"/>
      <c r="J108" s="44"/>
      <c r="K108" s="44"/>
      <c r="L108" s="6" t="s">
        <v>322</v>
      </c>
      <c r="M108" s="6" t="s">
        <v>323</v>
      </c>
    </row>
    <row r="109" customFormat="false" ht="15" hidden="false" customHeight="false" outlineLevel="0" collapsed="false">
      <c r="A109" s="6" t="s">
        <v>147</v>
      </c>
      <c r="B109" s="7" t="n">
        <f aca="false">IF(A109="","",IFERROR(MATCH(A109,Lists!$A$2:$A$37,0),""))</f>
        <v>20</v>
      </c>
      <c r="C109" s="6" t="s">
        <v>286</v>
      </c>
      <c r="D109" s="6" t="s">
        <v>302</v>
      </c>
      <c r="E109" s="40" t="n">
        <v>99</v>
      </c>
      <c r="F109" s="40"/>
      <c r="G109" s="43"/>
      <c r="H109" s="40"/>
      <c r="I109" s="40"/>
      <c r="J109" s="44"/>
      <c r="K109" s="44"/>
      <c r="L109" s="6" t="s">
        <v>322</v>
      </c>
      <c r="M109" s="6" t="s">
        <v>323</v>
      </c>
    </row>
    <row r="110" customFormat="false" ht="15" hidden="false" customHeight="false" outlineLevel="0" collapsed="false">
      <c r="A110" s="6" t="s">
        <v>147</v>
      </c>
      <c r="B110" s="7" t="n">
        <f aca="false">IF(A110="","",IFERROR(MATCH(A110,Lists!$A$2:$A$37,0),""))</f>
        <v>20</v>
      </c>
      <c r="C110" s="6" t="s">
        <v>286</v>
      </c>
      <c r="D110" s="6" t="s">
        <v>303</v>
      </c>
      <c r="E110" s="40" t="n">
        <v>58</v>
      </c>
      <c r="F110" s="40"/>
      <c r="G110" s="43"/>
      <c r="H110" s="40"/>
      <c r="I110" s="40"/>
      <c r="J110" s="44"/>
      <c r="K110" s="44"/>
      <c r="L110" s="6" t="s">
        <v>322</v>
      </c>
      <c r="M110" s="6" t="s">
        <v>323</v>
      </c>
    </row>
    <row r="111" customFormat="false" ht="15" hidden="false" customHeight="false" outlineLevel="0" collapsed="false">
      <c r="A111" s="6" t="s">
        <v>147</v>
      </c>
      <c r="B111" s="7" t="n">
        <f aca="false">IF(A111="","",IFERROR(MATCH(A111,Lists!$A$2:$A$37,0),""))</f>
        <v>20</v>
      </c>
      <c r="C111" s="6" t="s">
        <v>286</v>
      </c>
      <c r="D111" s="6" t="s">
        <v>304</v>
      </c>
      <c r="E111" s="40" t="n">
        <v>121</v>
      </c>
      <c r="F111" s="40"/>
      <c r="G111" s="43"/>
      <c r="H111" s="40"/>
      <c r="I111" s="40"/>
      <c r="J111" s="44"/>
      <c r="K111" s="44"/>
      <c r="L111" s="6" t="s">
        <v>322</v>
      </c>
      <c r="M111" s="6" t="s">
        <v>323</v>
      </c>
    </row>
    <row r="112" customFormat="false" ht="15" hidden="false" customHeight="false" outlineLevel="0" collapsed="false">
      <c r="A112" s="6" t="s">
        <v>147</v>
      </c>
      <c r="B112" s="7" t="n">
        <f aca="false">IF(A112="","",IFERROR(MATCH(A112,Lists!$A$2:$A$37,0),""))</f>
        <v>20</v>
      </c>
      <c r="C112" s="6" t="s">
        <v>286</v>
      </c>
      <c r="D112" s="6" t="s">
        <v>305</v>
      </c>
      <c r="E112" s="40" t="n">
        <v>97</v>
      </c>
      <c r="F112" s="40"/>
      <c r="G112" s="43"/>
      <c r="H112" s="40"/>
      <c r="I112" s="40"/>
      <c r="J112" s="44"/>
      <c r="K112" s="44"/>
      <c r="L112" s="6" t="s">
        <v>322</v>
      </c>
      <c r="M112" s="6" t="s">
        <v>323</v>
      </c>
    </row>
    <row r="113" customFormat="false" ht="15" hidden="false" customHeight="false" outlineLevel="0" collapsed="false">
      <c r="A113" s="6" t="s">
        <v>147</v>
      </c>
      <c r="B113" s="7" t="n">
        <f aca="false">IF(A113="","",IFERROR(MATCH(A113,Lists!$A$2:$A$37,0),""))</f>
        <v>20</v>
      </c>
      <c r="C113" s="6" t="s">
        <v>286</v>
      </c>
      <c r="D113" s="6" t="s">
        <v>306</v>
      </c>
      <c r="E113" s="40" t="n">
        <v>47</v>
      </c>
      <c r="F113" s="40"/>
      <c r="G113" s="43"/>
      <c r="H113" s="40"/>
      <c r="I113" s="40"/>
      <c r="J113" s="44"/>
      <c r="K113" s="44"/>
      <c r="L113" s="6" t="s">
        <v>322</v>
      </c>
      <c r="M113" s="6" t="s">
        <v>323</v>
      </c>
    </row>
    <row r="114" customFormat="false" ht="15" hidden="false" customHeight="false" outlineLevel="0" collapsed="false">
      <c r="A114" s="6" t="s">
        <v>147</v>
      </c>
      <c r="B114" s="7" t="n">
        <f aca="false">IF(A114="","",IFERROR(MATCH(A114,Lists!$A$2:$A$37,0),""))</f>
        <v>20</v>
      </c>
      <c r="C114" s="6" t="s">
        <v>286</v>
      </c>
      <c r="D114" s="6" t="s">
        <v>307</v>
      </c>
      <c r="E114" s="40" t="n">
        <v>79</v>
      </c>
      <c r="F114" s="40"/>
      <c r="G114" s="43"/>
      <c r="H114" s="40"/>
      <c r="I114" s="40"/>
      <c r="J114" s="44"/>
      <c r="K114" s="44"/>
      <c r="L114" s="6" t="s">
        <v>322</v>
      </c>
      <c r="M114" s="6" t="s">
        <v>323</v>
      </c>
    </row>
    <row r="115" customFormat="false" ht="15" hidden="false" customHeight="false" outlineLevel="0" collapsed="false">
      <c r="A115" s="6" t="s">
        <v>147</v>
      </c>
      <c r="B115" s="7" t="n">
        <f aca="false">IF(A115="","",IFERROR(MATCH(A115,Lists!$A$2:$A$37,0),""))</f>
        <v>20</v>
      </c>
      <c r="C115" s="6" t="s">
        <v>286</v>
      </c>
      <c r="D115" s="6" t="s">
        <v>308</v>
      </c>
      <c r="E115" s="40" t="n">
        <v>143</v>
      </c>
      <c r="F115" s="40"/>
      <c r="G115" s="43"/>
      <c r="H115" s="40"/>
      <c r="I115" s="40"/>
      <c r="J115" s="44"/>
      <c r="K115" s="44"/>
      <c r="L115" s="6" t="s">
        <v>322</v>
      </c>
      <c r="M115" s="6" t="s">
        <v>323</v>
      </c>
    </row>
    <row r="116" customFormat="false" ht="15" hidden="false" customHeight="false" outlineLevel="0" collapsed="false">
      <c r="A116" s="6" t="s">
        <v>147</v>
      </c>
      <c r="B116" s="7" t="n">
        <f aca="false">IF(A116="","",IFERROR(MATCH(A116,Lists!$A$2:$A$37,0),""))</f>
        <v>20</v>
      </c>
      <c r="C116" s="6" t="s">
        <v>286</v>
      </c>
      <c r="D116" s="6" t="s">
        <v>309</v>
      </c>
      <c r="E116" s="40" t="n">
        <v>48</v>
      </c>
      <c r="F116" s="40"/>
      <c r="G116" s="43"/>
      <c r="H116" s="40"/>
      <c r="I116" s="40"/>
      <c r="J116" s="44"/>
      <c r="K116" s="44"/>
      <c r="L116" s="6" t="s">
        <v>322</v>
      </c>
      <c r="M116" s="6" t="s">
        <v>323</v>
      </c>
    </row>
    <row r="117" customFormat="false" ht="15" hidden="false" customHeight="false" outlineLevel="0" collapsed="false">
      <c r="A117" s="6" t="s">
        <v>147</v>
      </c>
      <c r="B117" s="7" t="n">
        <f aca="false">IF(A117="","",IFERROR(MATCH(A117,Lists!$A$2:$A$37,0),""))</f>
        <v>20</v>
      </c>
      <c r="C117" s="6" t="s">
        <v>286</v>
      </c>
      <c r="D117" s="6" t="s">
        <v>310</v>
      </c>
      <c r="E117" s="40" t="n">
        <v>78</v>
      </c>
      <c r="F117" s="40"/>
      <c r="G117" s="43"/>
      <c r="H117" s="40"/>
      <c r="I117" s="40"/>
      <c r="J117" s="44"/>
      <c r="K117" s="44"/>
      <c r="L117" s="6" t="s">
        <v>322</v>
      </c>
      <c r="M117" s="6" t="s">
        <v>323</v>
      </c>
    </row>
    <row r="118" customFormat="false" ht="15" hidden="false" customHeight="false" outlineLevel="0" collapsed="false">
      <c r="A118" s="6" t="s">
        <v>147</v>
      </c>
      <c r="B118" s="7" t="n">
        <f aca="false">IF(A118="","",IFERROR(MATCH(A118,Lists!$A$2:$A$37,0),""))</f>
        <v>20</v>
      </c>
      <c r="C118" s="6" t="s">
        <v>286</v>
      </c>
      <c r="D118" s="6" t="s">
        <v>311</v>
      </c>
      <c r="E118" s="40" t="n">
        <v>10</v>
      </c>
      <c r="F118" s="40"/>
      <c r="G118" s="43"/>
      <c r="H118" s="40"/>
      <c r="I118" s="40"/>
      <c r="J118" s="44"/>
      <c r="K118" s="44"/>
      <c r="L118" s="6" t="s">
        <v>322</v>
      </c>
      <c r="M118" s="6" t="s">
        <v>323</v>
      </c>
    </row>
    <row r="119" customFormat="false" ht="15" hidden="false" customHeight="false" outlineLevel="0" collapsed="false">
      <c r="A119" s="6" t="s">
        <v>147</v>
      </c>
      <c r="B119" s="7" t="n">
        <f aca="false">IF(A119="","",IFERROR(MATCH(A119,Lists!$A$2:$A$37,0),""))</f>
        <v>20</v>
      </c>
      <c r="C119" s="6" t="s">
        <v>286</v>
      </c>
      <c r="D119" s="6" t="s">
        <v>312</v>
      </c>
      <c r="E119" s="40" t="n">
        <v>83</v>
      </c>
      <c r="F119" s="40"/>
      <c r="G119" s="43"/>
      <c r="H119" s="40"/>
      <c r="I119" s="40"/>
      <c r="J119" s="44"/>
      <c r="K119" s="44"/>
      <c r="L119" s="6" t="s">
        <v>322</v>
      </c>
      <c r="M119" s="6" t="s">
        <v>323</v>
      </c>
    </row>
    <row r="120" customFormat="false" ht="15" hidden="false" customHeight="false" outlineLevel="0" collapsed="false">
      <c r="A120" s="6" t="s">
        <v>147</v>
      </c>
      <c r="B120" s="7" t="n">
        <f aca="false">IF(A120="","",IFERROR(MATCH(A120,Lists!$A$2:$A$37,0),""))</f>
        <v>20</v>
      </c>
      <c r="C120" s="6" t="s">
        <v>286</v>
      </c>
      <c r="D120" s="6" t="s">
        <v>313</v>
      </c>
      <c r="E120" s="40" t="n">
        <v>42</v>
      </c>
      <c r="F120" s="40"/>
      <c r="G120" s="43"/>
      <c r="H120" s="40"/>
      <c r="I120" s="40"/>
      <c r="J120" s="44"/>
      <c r="K120" s="44"/>
      <c r="L120" s="6" t="s">
        <v>322</v>
      </c>
      <c r="M120" s="6" t="s">
        <v>323</v>
      </c>
    </row>
    <row r="121" customFormat="false" ht="15" hidden="false" customHeight="false" outlineLevel="0" collapsed="false">
      <c r="A121" s="6" t="s">
        <v>147</v>
      </c>
      <c r="B121" s="7" t="n">
        <f aca="false">IF(A121="","",IFERROR(MATCH(A121,Lists!$A$2:$A$37,0),""))</f>
        <v>20</v>
      </c>
      <c r="C121" s="6" t="s">
        <v>286</v>
      </c>
      <c r="D121" s="6" t="s">
        <v>314</v>
      </c>
      <c r="E121" s="40" t="n">
        <v>126</v>
      </c>
      <c r="F121" s="40"/>
      <c r="G121" s="43"/>
      <c r="H121" s="40"/>
      <c r="I121" s="40"/>
      <c r="J121" s="44"/>
      <c r="K121" s="44"/>
      <c r="L121" s="6" t="s">
        <v>322</v>
      </c>
      <c r="M121" s="6" t="s">
        <v>323</v>
      </c>
    </row>
    <row r="122" customFormat="false" ht="15" hidden="false" customHeight="false" outlineLevel="0" collapsed="false">
      <c r="A122" s="6" t="s">
        <v>147</v>
      </c>
      <c r="B122" s="7" t="n">
        <f aca="false">IF(A122="","",IFERROR(MATCH(A122,Lists!$A$2:$A$37,0),""))</f>
        <v>20</v>
      </c>
      <c r="C122" s="6" t="s">
        <v>286</v>
      </c>
      <c r="D122" s="6" t="s">
        <v>324</v>
      </c>
      <c r="E122" s="40" t="n">
        <v>14</v>
      </c>
      <c r="F122" s="40"/>
      <c r="G122" s="43"/>
      <c r="H122" s="40"/>
      <c r="I122" s="40"/>
      <c r="J122" s="44"/>
      <c r="K122" s="44"/>
      <c r="L122" s="6" t="s">
        <v>322</v>
      </c>
      <c r="M122" s="6" t="s">
        <v>323</v>
      </c>
    </row>
    <row r="123" customFormat="false" ht="15" hidden="false" customHeight="false" outlineLevel="0" collapsed="false">
      <c r="A123" s="6" t="s">
        <v>147</v>
      </c>
      <c r="B123" s="7" t="n">
        <f aca="false">IF(A123="","",IFERROR(MATCH(A123,Lists!$A$2:$A$37,0),""))</f>
        <v>20</v>
      </c>
      <c r="C123" s="6" t="s">
        <v>286</v>
      </c>
      <c r="D123" s="6" t="s">
        <v>315</v>
      </c>
      <c r="E123" s="40" t="n">
        <v>13</v>
      </c>
      <c r="F123" s="40"/>
      <c r="G123" s="43"/>
      <c r="H123" s="40"/>
      <c r="I123" s="40"/>
      <c r="J123" s="44"/>
      <c r="K123" s="44"/>
      <c r="L123" s="6" t="s">
        <v>322</v>
      </c>
      <c r="M123" s="6" t="s">
        <v>323</v>
      </c>
    </row>
    <row r="124" customFormat="false" ht="15" hidden="false" customHeight="false" outlineLevel="0" collapsed="false">
      <c r="A124" s="6" t="s">
        <v>147</v>
      </c>
      <c r="B124" s="7" t="n">
        <f aca="false">IF(A124="","",IFERROR(MATCH(A124,Lists!$A$2:$A$37,0),""))</f>
        <v>20</v>
      </c>
      <c r="C124" s="6" t="s">
        <v>286</v>
      </c>
      <c r="D124" s="6" t="s">
        <v>316</v>
      </c>
      <c r="E124" s="40" t="n">
        <v>6</v>
      </c>
      <c r="F124" s="40"/>
      <c r="G124" s="43"/>
      <c r="H124" s="40"/>
      <c r="I124" s="40"/>
      <c r="J124" s="44"/>
      <c r="K124" s="44"/>
      <c r="L124" s="6" t="s">
        <v>322</v>
      </c>
      <c r="M124" s="6" t="s">
        <v>323</v>
      </c>
    </row>
    <row r="125" customFormat="false" ht="15" hidden="false" customHeight="false" outlineLevel="0" collapsed="false">
      <c r="A125" s="6" t="s">
        <v>147</v>
      </c>
      <c r="B125" s="7" t="n">
        <f aca="false">IF(A125="","",IFERROR(MATCH(A125,Lists!$A$2:$A$37,0),""))</f>
        <v>20</v>
      </c>
      <c r="C125" s="6" t="s">
        <v>286</v>
      </c>
      <c r="D125" s="6" t="s">
        <v>287</v>
      </c>
      <c r="E125" s="40" t="n">
        <v>73</v>
      </c>
      <c r="F125" s="40"/>
      <c r="G125" s="43"/>
      <c r="H125" s="40"/>
      <c r="I125" s="40"/>
      <c r="J125" s="44"/>
      <c r="K125" s="44"/>
      <c r="L125" s="6" t="s">
        <v>322</v>
      </c>
      <c r="M125" s="6" t="s">
        <v>325</v>
      </c>
    </row>
    <row r="126" customFormat="false" ht="15" hidden="false" customHeight="false" outlineLevel="0" collapsed="false">
      <c r="A126" s="6" t="s">
        <v>147</v>
      </c>
      <c r="B126" s="7" t="n">
        <f aca="false">IF(A126="","",IFERROR(MATCH(A126,Lists!$A$2:$A$37,0),""))</f>
        <v>20</v>
      </c>
      <c r="C126" s="6" t="s">
        <v>286</v>
      </c>
      <c r="D126" s="6" t="s">
        <v>317</v>
      </c>
      <c r="E126" s="40" t="n">
        <v>25</v>
      </c>
      <c r="F126" s="40"/>
      <c r="G126" s="43"/>
      <c r="H126" s="40"/>
      <c r="I126" s="40"/>
      <c r="J126" s="44"/>
      <c r="K126" s="44"/>
      <c r="L126" s="6" t="s">
        <v>322</v>
      </c>
      <c r="M126" s="6" t="s">
        <v>323</v>
      </c>
    </row>
    <row r="127" customFormat="false" ht="15" hidden="false" customHeight="false" outlineLevel="0" collapsed="false">
      <c r="A127" s="6" t="s">
        <v>148</v>
      </c>
      <c r="B127" s="7" t="n">
        <f aca="false">IF(A127="","",IFERROR(MATCH(A127,Lists!$A$2:$A$37,0),""))</f>
        <v>21</v>
      </c>
      <c r="C127" s="6" t="s">
        <v>286</v>
      </c>
      <c r="D127" s="6" t="s">
        <v>290</v>
      </c>
      <c r="E127" s="40" t="n">
        <v>44</v>
      </c>
      <c r="F127" s="40" t="n">
        <v>16</v>
      </c>
      <c r="G127" s="43" t="n">
        <v>2.74</v>
      </c>
      <c r="H127" s="40"/>
      <c r="I127" s="40"/>
      <c r="J127" s="44"/>
      <c r="K127" s="44"/>
      <c r="L127" s="6" t="s">
        <v>326</v>
      </c>
      <c r="M127" s="6"/>
    </row>
    <row r="128" customFormat="false" ht="15" hidden="false" customHeight="false" outlineLevel="0" collapsed="false">
      <c r="A128" s="6" t="s">
        <v>148</v>
      </c>
      <c r="B128" s="7" t="n">
        <f aca="false">IF(A128="","",IFERROR(MATCH(A128,Lists!$A$2:$A$37,0),""))</f>
        <v>21</v>
      </c>
      <c r="C128" s="6" t="s">
        <v>286</v>
      </c>
      <c r="D128" s="6" t="s">
        <v>292</v>
      </c>
      <c r="E128" s="40" t="n">
        <v>8</v>
      </c>
      <c r="F128" s="40" t="n">
        <v>0</v>
      </c>
      <c r="G128" s="43" t="n">
        <v>3.331</v>
      </c>
      <c r="H128" s="40"/>
      <c r="I128" s="40"/>
      <c r="J128" s="44"/>
      <c r="K128" s="44"/>
      <c r="L128" s="6" t="s">
        <v>326</v>
      </c>
      <c r="M128" s="6"/>
    </row>
    <row r="129" customFormat="false" ht="15" hidden="false" customHeight="false" outlineLevel="0" collapsed="false">
      <c r="A129" s="6" t="s">
        <v>148</v>
      </c>
      <c r="B129" s="7" t="n">
        <f aca="false">IF(A129="","",IFERROR(MATCH(A129,Lists!$A$2:$A$37,0),""))</f>
        <v>21</v>
      </c>
      <c r="C129" s="6" t="s">
        <v>286</v>
      </c>
      <c r="D129" s="6" t="s">
        <v>293</v>
      </c>
      <c r="E129" s="40" t="n">
        <v>98</v>
      </c>
      <c r="F129" s="40" t="n">
        <v>28</v>
      </c>
      <c r="G129" s="43" t="n">
        <v>3.228</v>
      </c>
      <c r="H129" s="40"/>
      <c r="I129" s="40"/>
      <c r="J129" s="44"/>
      <c r="K129" s="44"/>
      <c r="L129" s="6" t="s">
        <v>326</v>
      </c>
      <c r="M129" s="6"/>
    </row>
    <row r="130" customFormat="false" ht="15" hidden="false" customHeight="false" outlineLevel="0" collapsed="false">
      <c r="A130" s="6" t="s">
        <v>148</v>
      </c>
      <c r="B130" s="7" t="n">
        <f aca="false">IF(A130="","",IFERROR(MATCH(A130,Lists!$A$2:$A$37,0),""))</f>
        <v>21</v>
      </c>
      <c r="C130" s="6" t="s">
        <v>286</v>
      </c>
      <c r="D130" s="6" t="s">
        <v>294</v>
      </c>
      <c r="E130" s="40" t="n">
        <v>76</v>
      </c>
      <c r="F130" s="40" t="n">
        <v>25</v>
      </c>
      <c r="G130" s="43" t="n">
        <v>3.056</v>
      </c>
      <c r="H130" s="40"/>
      <c r="I130" s="40"/>
      <c r="J130" s="44"/>
      <c r="K130" s="44"/>
      <c r="L130" s="6" t="s">
        <v>326</v>
      </c>
      <c r="M130" s="6"/>
    </row>
    <row r="131" customFormat="false" ht="15" hidden="false" customHeight="false" outlineLevel="0" collapsed="false">
      <c r="A131" s="6" t="s">
        <v>148</v>
      </c>
      <c r="B131" s="7" t="n">
        <f aca="false">IF(A131="","",IFERROR(MATCH(A131,Lists!$A$2:$A$37,0),""))</f>
        <v>21</v>
      </c>
      <c r="C131" s="6" t="s">
        <v>286</v>
      </c>
      <c r="D131" s="6" t="s">
        <v>295</v>
      </c>
      <c r="E131" s="40" t="n">
        <v>128</v>
      </c>
      <c r="F131" s="40" t="n">
        <v>38</v>
      </c>
      <c r="G131" s="43" t="n">
        <v>3.276</v>
      </c>
      <c r="H131" s="40"/>
      <c r="I131" s="40"/>
      <c r="J131" s="44"/>
      <c r="K131" s="44"/>
      <c r="L131" s="6" t="s">
        <v>326</v>
      </c>
      <c r="M131" s="6"/>
    </row>
    <row r="132" customFormat="false" ht="15" hidden="false" customHeight="false" outlineLevel="0" collapsed="false">
      <c r="A132" s="6" t="s">
        <v>148</v>
      </c>
      <c r="B132" s="7" t="n">
        <f aca="false">IF(A132="","",IFERROR(MATCH(A132,Lists!$A$2:$A$37,0),""))</f>
        <v>21</v>
      </c>
      <c r="C132" s="6" t="s">
        <v>286</v>
      </c>
      <c r="D132" s="6" t="s">
        <v>296</v>
      </c>
      <c r="E132" s="40" t="n">
        <v>13</v>
      </c>
      <c r="F132" s="40" t="n">
        <v>5</v>
      </c>
      <c r="G132" s="43" t="n">
        <v>3.29</v>
      </c>
      <c r="H132" s="40"/>
      <c r="I132" s="40"/>
      <c r="J132" s="44"/>
      <c r="K132" s="44"/>
      <c r="L132" s="6" t="s">
        <v>326</v>
      </c>
      <c r="M132" s="6"/>
    </row>
    <row r="133" customFormat="false" ht="15" hidden="false" customHeight="false" outlineLevel="0" collapsed="false">
      <c r="A133" s="6" t="s">
        <v>148</v>
      </c>
      <c r="B133" s="7" t="n">
        <f aca="false">IF(A133="","",IFERROR(MATCH(A133,Lists!$A$2:$A$37,0),""))</f>
        <v>21</v>
      </c>
      <c r="C133" s="6" t="s">
        <v>286</v>
      </c>
      <c r="D133" s="6" t="s">
        <v>297</v>
      </c>
      <c r="E133" s="40" t="n">
        <v>117</v>
      </c>
      <c r="F133" s="40" t="n">
        <v>31</v>
      </c>
      <c r="G133" s="43" t="n">
        <v>3.457</v>
      </c>
      <c r="H133" s="40"/>
      <c r="I133" s="40"/>
      <c r="J133" s="44"/>
      <c r="K133" s="44"/>
      <c r="L133" s="6" t="s">
        <v>326</v>
      </c>
      <c r="M133" s="6"/>
    </row>
    <row r="134" customFormat="false" ht="15" hidden="false" customHeight="false" outlineLevel="0" collapsed="false">
      <c r="A134" s="6" t="s">
        <v>148</v>
      </c>
      <c r="B134" s="7" t="n">
        <f aca="false">IF(A134="","",IFERROR(MATCH(A134,Lists!$A$2:$A$37,0),""))</f>
        <v>21</v>
      </c>
      <c r="C134" s="6" t="s">
        <v>286</v>
      </c>
      <c r="D134" s="6" t="s">
        <v>298</v>
      </c>
      <c r="E134" s="40" t="n">
        <v>10</v>
      </c>
      <c r="F134" s="40" t="n">
        <v>5</v>
      </c>
      <c r="G134" s="43" t="n">
        <v>3.269</v>
      </c>
      <c r="H134" s="40"/>
      <c r="I134" s="40"/>
      <c r="J134" s="44"/>
      <c r="K134" s="44"/>
      <c r="L134" s="6" t="s">
        <v>326</v>
      </c>
      <c r="M134" s="6"/>
    </row>
    <row r="135" customFormat="false" ht="15" hidden="false" customHeight="false" outlineLevel="0" collapsed="false">
      <c r="A135" s="6" t="s">
        <v>148</v>
      </c>
      <c r="B135" s="7" t="n">
        <f aca="false">IF(A135="","",IFERROR(MATCH(A135,Lists!$A$2:$A$37,0),""))</f>
        <v>21</v>
      </c>
      <c r="C135" s="6" t="s">
        <v>286</v>
      </c>
      <c r="D135" s="6" t="s">
        <v>299</v>
      </c>
      <c r="E135" s="40" t="n">
        <v>79</v>
      </c>
      <c r="F135" s="40" t="n">
        <v>19</v>
      </c>
      <c r="G135" s="43" t="n">
        <v>2.992</v>
      </c>
      <c r="H135" s="40"/>
      <c r="I135" s="40"/>
      <c r="J135" s="44"/>
      <c r="K135" s="44"/>
      <c r="L135" s="6" t="s">
        <v>326</v>
      </c>
      <c r="M135" s="6"/>
    </row>
    <row r="136" customFormat="false" ht="15" hidden="false" customHeight="false" outlineLevel="0" collapsed="false">
      <c r="A136" s="6" t="s">
        <v>148</v>
      </c>
      <c r="B136" s="7" t="n">
        <f aca="false">IF(A136="","",IFERROR(MATCH(A136,Lists!$A$2:$A$37,0),""))</f>
        <v>21</v>
      </c>
      <c r="C136" s="6" t="s">
        <v>286</v>
      </c>
      <c r="D136" s="6" t="s">
        <v>301</v>
      </c>
      <c r="E136" s="40" t="n">
        <v>109</v>
      </c>
      <c r="F136" s="40" t="n">
        <v>30</v>
      </c>
      <c r="G136" s="43" t="n">
        <v>3.315</v>
      </c>
      <c r="H136" s="40"/>
      <c r="I136" s="40"/>
      <c r="J136" s="44"/>
      <c r="K136" s="44"/>
      <c r="L136" s="6" t="s">
        <v>326</v>
      </c>
      <c r="M136" s="6"/>
    </row>
    <row r="137" customFormat="false" ht="15" hidden="false" customHeight="false" outlineLevel="0" collapsed="false">
      <c r="A137" s="6" t="s">
        <v>148</v>
      </c>
      <c r="B137" s="7" t="n">
        <f aca="false">IF(A137="","",IFERROR(MATCH(A137,Lists!$A$2:$A$37,0),""))</f>
        <v>21</v>
      </c>
      <c r="C137" s="6" t="s">
        <v>286</v>
      </c>
      <c r="D137" s="6" t="s">
        <v>302</v>
      </c>
      <c r="E137" s="40" t="n">
        <v>107</v>
      </c>
      <c r="F137" s="40" t="n">
        <v>27</v>
      </c>
      <c r="G137" s="43" t="n">
        <v>3.502</v>
      </c>
      <c r="H137" s="40"/>
      <c r="I137" s="40"/>
      <c r="J137" s="44"/>
      <c r="K137" s="44"/>
      <c r="L137" s="6" t="s">
        <v>326</v>
      </c>
      <c r="M137" s="6"/>
    </row>
    <row r="138" customFormat="false" ht="15" hidden="false" customHeight="false" outlineLevel="0" collapsed="false">
      <c r="A138" s="6" t="s">
        <v>148</v>
      </c>
      <c r="B138" s="7" t="n">
        <f aca="false">IF(A138="","",IFERROR(MATCH(A138,Lists!$A$2:$A$37,0),""))</f>
        <v>21</v>
      </c>
      <c r="C138" s="6" t="s">
        <v>286</v>
      </c>
      <c r="D138" s="6" t="s">
        <v>303</v>
      </c>
      <c r="E138" s="40" t="n">
        <v>55</v>
      </c>
      <c r="F138" s="40" t="n">
        <v>38</v>
      </c>
      <c r="G138" s="43" t="n">
        <v>2.838</v>
      </c>
      <c r="H138" s="40"/>
      <c r="I138" s="40"/>
      <c r="J138" s="44"/>
      <c r="K138" s="44"/>
      <c r="L138" s="6" t="s">
        <v>326</v>
      </c>
      <c r="M138" s="6"/>
    </row>
    <row r="139" customFormat="false" ht="15" hidden="false" customHeight="false" outlineLevel="0" collapsed="false">
      <c r="A139" s="6" t="s">
        <v>148</v>
      </c>
      <c r="B139" s="7" t="n">
        <f aca="false">IF(A139="","",IFERROR(MATCH(A139,Lists!$A$2:$A$37,0),""))</f>
        <v>21</v>
      </c>
      <c r="C139" s="6" t="s">
        <v>286</v>
      </c>
      <c r="D139" s="6" t="s">
        <v>304</v>
      </c>
      <c r="E139" s="40" t="n">
        <v>124</v>
      </c>
      <c r="F139" s="40" t="n">
        <v>33</v>
      </c>
      <c r="G139" s="43" t="n">
        <v>3.271</v>
      </c>
      <c r="H139" s="40"/>
      <c r="I139" s="40"/>
      <c r="J139" s="44"/>
      <c r="K139" s="44"/>
      <c r="L139" s="6" t="s">
        <v>326</v>
      </c>
      <c r="M139" s="6"/>
    </row>
    <row r="140" customFormat="false" ht="15" hidden="false" customHeight="false" outlineLevel="0" collapsed="false">
      <c r="A140" s="6" t="s">
        <v>148</v>
      </c>
      <c r="B140" s="7" t="n">
        <f aca="false">IF(A140="","",IFERROR(MATCH(A140,Lists!$A$2:$A$37,0),""))</f>
        <v>21</v>
      </c>
      <c r="C140" s="6" t="s">
        <v>286</v>
      </c>
      <c r="D140" s="6" t="s">
        <v>305</v>
      </c>
      <c r="E140" s="40" t="n">
        <v>106</v>
      </c>
      <c r="F140" s="40" t="n">
        <v>35</v>
      </c>
      <c r="G140" s="43" t="n">
        <v>3.069</v>
      </c>
      <c r="H140" s="40"/>
      <c r="I140" s="40"/>
      <c r="J140" s="44"/>
      <c r="K140" s="44"/>
      <c r="L140" s="6" t="s">
        <v>326</v>
      </c>
      <c r="M140" s="6"/>
    </row>
    <row r="141" customFormat="false" ht="15" hidden="false" customHeight="false" outlineLevel="0" collapsed="false">
      <c r="A141" s="6" t="s">
        <v>148</v>
      </c>
      <c r="B141" s="7" t="n">
        <f aca="false">IF(A141="","",IFERROR(MATCH(A141,Lists!$A$2:$A$37,0),""))</f>
        <v>21</v>
      </c>
      <c r="C141" s="6" t="s">
        <v>286</v>
      </c>
      <c r="D141" s="6" t="s">
        <v>306</v>
      </c>
      <c r="E141" s="40" t="n">
        <v>45</v>
      </c>
      <c r="F141" s="40" t="n">
        <v>10</v>
      </c>
      <c r="G141" s="43" t="n">
        <v>2.66</v>
      </c>
      <c r="H141" s="40"/>
      <c r="I141" s="40"/>
      <c r="J141" s="44"/>
      <c r="K141" s="44"/>
      <c r="L141" s="6" t="s">
        <v>326</v>
      </c>
      <c r="M141" s="6"/>
    </row>
    <row r="142" customFormat="false" ht="15" hidden="false" customHeight="false" outlineLevel="0" collapsed="false">
      <c r="A142" s="6" t="s">
        <v>148</v>
      </c>
      <c r="B142" s="7" t="n">
        <f aca="false">IF(A142="","",IFERROR(MATCH(A142,Lists!$A$2:$A$37,0),""))</f>
        <v>21</v>
      </c>
      <c r="C142" s="6" t="s">
        <v>286</v>
      </c>
      <c r="D142" s="6" t="s">
        <v>307</v>
      </c>
      <c r="E142" s="40" t="n">
        <v>77</v>
      </c>
      <c r="F142" s="40" t="n">
        <v>21</v>
      </c>
      <c r="G142" s="43" t="n">
        <v>3.399</v>
      </c>
      <c r="H142" s="40"/>
      <c r="I142" s="40"/>
      <c r="J142" s="44"/>
      <c r="K142" s="44"/>
      <c r="L142" s="6" t="s">
        <v>326</v>
      </c>
      <c r="M142" s="6"/>
    </row>
    <row r="143" customFormat="false" ht="15" hidden="false" customHeight="false" outlineLevel="0" collapsed="false">
      <c r="A143" s="6" t="s">
        <v>148</v>
      </c>
      <c r="B143" s="7" t="n">
        <f aca="false">IF(A143="","",IFERROR(MATCH(A143,Lists!$A$2:$A$37,0),""))</f>
        <v>21</v>
      </c>
      <c r="C143" s="6" t="s">
        <v>286</v>
      </c>
      <c r="D143" s="6" t="s">
        <v>308</v>
      </c>
      <c r="E143" s="40" t="n">
        <v>139</v>
      </c>
      <c r="F143" s="40" t="n">
        <v>33</v>
      </c>
      <c r="G143" s="43" t="n">
        <v>3.382</v>
      </c>
      <c r="H143" s="40"/>
      <c r="I143" s="40"/>
      <c r="J143" s="44"/>
      <c r="K143" s="44"/>
      <c r="L143" s="6" t="s">
        <v>326</v>
      </c>
      <c r="M143" s="6"/>
    </row>
    <row r="144" customFormat="false" ht="15" hidden="false" customHeight="false" outlineLevel="0" collapsed="false">
      <c r="A144" s="6" t="s">
        <v>148</v>
      </c>
      <c r="B144" s="7" t="n">
        <f aca="false">IF(A144="","",IFERROR(MATCH(A144,Lists!$A$2:$A$37,0),""))</f>
        <v>21</v>
      </c>
      <c r="C144" s="6" t="s">
        <v>286</v>
      </c>
      <c r="D144" s="6" t="s">
        <v>309</v>
      </c>
      <c r="E144" s="40" t="n">
        <v>34</v>
      </c>
      <c r="F144" s="40" t="n">
        <v>0</v>
      </c>
      <c r="G144" s="43" t="n">
        <v>3.071</v>
      </c>
      <c r="H144" s="40"/>
      <c r="I144" s="40"/>
      <c r="J144" s="44"/>
      <c r="K144" s="44"/>
      <c r="L144" s="6" t="s">
        <v>326</v>
      </c>
      <c r="M144" s="6"/>
    </row>
    <row r="145" customFormat="false" ht="15" hidden="false" customHeight="false" outlineLevel="0" collapsed="false">
      <c r="A145" s="6" t="s">
        <v>148</v>
      </c>
      <c r="B145" s="7" t="n">
        <f aca="false">IF(A145="","",IFERROR(MATCH(A145,Lists!$A$2:$A$37,0),""))</f>
        <v>21</v>
      </c>
      <c r="C145" s="6" t="s">
        <v>286</v>
      </c>
      <c r="D145" s="6" t="s">
        <v>310</v>
      </c>
      <c r="E145" s="40" t="n">
        <v>106</v>
      </c>
      <c r="F145" s="40" t="n">
        <v>28</v>
      </c>
      <c r="G145" s="43" t="n">
        <v>3.218</v>
      </c>
      <c r="H145" s="40"/>
      <c r="I145" s="40"/>
      <c r="J145" s="44"/>
      <c r="K145" s="44"/>
      <c r="L145" s="6" t="s">
        <v>326</v>
      </c>
      <c r="M145" s="6"/>
    </row>
    <row r="146" customFormat="false" ht="15" hidden="false" customHeight="false" outlineLevel="0" collapsed="false">
      <c r="A146" s="6" t="s">
        <v>148</v>
      </c>
      <c r="B146" s="7" t="n">
        <f aca="false">IF(A146="","",IFERROR(MATCH(A146,Lists!$A$2:$A$37,0),""))</f>
        <v>21</v>
      </c>
      <c r="C146" s="6" t="s">
        <v>286</v>
      </c>
      <c r="D146" s="6" t="s">
        <v>311</v>
      </c>
      <c r="E146" s="40" t="n">
        <v>9</v>
      </c>
      <c r="F146" s="40" t="n">
        <v>3</v>
      </c>
      <c r="G146" s="43"/>
      <c r="H146" s="40"/>
      <c r="I146" s="40"/>
      <c r="J146" s="44"/>
      <c r="K146" s="44"/>
      <c r="L146" s="6" t="s">
        <v>326</v>
      </c>
      <c r="M146" s="6" t="s">
        <v>327</v>
      </c>
    </row>
    <row r="147" customFormat="false" ht="15" hidden="false" customHeight="false" outlineLevel="0" collapsed="false">
      <c r="A147" s="6" t="s">
        <v>148</v>
      </c>
      <c r="B147" s="7" t="n">
        <f aca="false">IF(A147="","",IFERROR(MATCH(A147,Lists!$A$2:$A$37,0),""))</f>
        <v>21</v>
      </c>
      <c r="C147" s="6" t="s">
        <v>286</v>
      </c>
      <c r="D147" s="6" t="s">
        <v>312</v>
      </c>
      <c r="E147" s="40" t="n">
        <v>99</v>
      </c>
      <c r="F147" s="40" t="n">
        <v>23</v>
      </c>
      <c r="G147" s="43" t="n">
        <v>2.966</v>
      </c>
      <c r="H147" s="40"/>
      <c r="I147" s="40"/>
      <c r="J147" s="44"/>
      <c r="K147" s="44"/>
      <c r="L147" s="6" t="s">
        <v>326</v>
      </c>
      <c r="M147" s="6"/>
    </row>
    <row r="148" customFormat="false" ht="15" hidden="false" customHeight="false" outlineLevel="0" collapsed="false">
      <c r="A148" s="6" t="s">
        <v>148</v>
      </c>
      <c r="B148" s="7" t="n">
        <f aca="false">IF(A148="","",IFERROR(MATCH(A148,Lists!$A$2:$A$37,0),""))</f>
        <v>21</v>
      </c>
      <c r="C148" s="6" t="s">
        <v>286</v>
      </c>
      <c r="D148" s="6" t="s">
        <v>313</v>
      </c>
      <c r="E148" s="40" t="n">
        <v>40</v>
      </c>
      <c r="F148" s="40" t="n">
        <v>19</v>
      </c>
      <c r="G148" s="43" t="n">
        <v>2.792</v>
      </c>
      <c r="H148" s="40"/>
      <c r="I148" s="40"/>
      <c r="J148" s="44"/>
      <c r="K148" s="44"/>
      <c r="L148" s="6" t="s">
        <v>326</v>
      </c>
      <c r="M148" s="6"/>
    </row>
    <row r="149" customFormat="false" ht="15" hidden="false" customHeight="false" outlineLevel="0" collapsed="false">
      <c r="A149" s="6" t="s">
        <v>148</v>
      </c>
      <c r="B149" s="7" t="n">
        <f aca="false">IF(A149="","",IFERROR(MATCH(A149,Lists!$A$2:$A$37,0),""))</f>
        <v>21</v>
      </c>
      <c r="C149" s="6" t="s">
        <v>286</v>
      </c>
      <c r="D149" s="6" t="s">
        <v>314</v>
      </c>
      <c r="E149" s="40" t="n">
        <v>135</v>
      </c>
      <c r="F149" s="40" t="n">
        <v>44</v>
      </c>
      <c r="G149" s="43" t="n">
        <v>3.444</v>
      </c>
      <c r="H149" s="40"/>
      <c r="I149" s="40"/>
      <c r="J149" s="44"/>
      <c r="K149" s="44"/>
      <c r="L149" s="6" t="s">
        <v>326</v>
      </c>
      <c r="M149" s="6"/>
    </row>
    <row r="150" customFormat="false" ht="15" hidden="false" customHeight="false" outlineLevel="0" collapsed="false">
      <c r="A150" s="6" t="s">
        <v>148</v>
      </c>
      <c r="B150" s="7" t="n">
        <f aca="false">IF(A150="","",IFERROR(MATCH(A150,Lists!$A$2:$A$37,0),""))</f>
        <v>21</v>
      </c>
      <c r="C150" s="6" t="s">
        <v>286</v>
      </c>
      <c r="D150" s="6" t="s">
        <v>324</v>
      </c>
      <c r="E150" s="40" t="n">
        <v>10</v>
      </c>
      <c r="F150" s="40" t="n">
        <v>4</v>
      </c>
      <c r="G150" s="43"/>
      <c r="H150" s="40"/>
      <c r="I150" s="40"/>
      <c r="J150" s="44"/>
      <c r="K150" s="44"/>
      <c r="L150" s="6" t="s">
        <v>326</v>
      </c>
      <c r="M150" s="6" t="s">
        <v>327</v>
      </c>
    </row>
    <row r="151" customFormat="false" ht="15" hidden="false" customHeight="false" outlineLevel="0" collapsed="false">
      <c r="A151" s="6" t="s">
        <v>148</v>
      </c>
      <c r="B151" s="7" t="n">
        <f aca="false">IF(A151="","",IFERROR(MATCH(A151,Lists!$A$2:$A$37,0),""))</f>
        <v>21</v>
      </c>
      <c r="C151" s="6" t="s">
        <v>286</v>
      </c>
      <c r="D151" s="6" t="s">
        <v>287</v>
      </c>
      <c r="E151" s="40" t="n">
        <v>78</v>
      </c>
      <c r="F151" s="40" t="n">
        <v>28</v>
      </c>
      <c r="G151" s="43" t="n">
        <v>2.957</v>
      </c>
      <c r="H151" s="40"/>
      <c r="I151" s="40"/>
      <c r="J151" s="44"/>
      <c r="K151" s="44"/>
      <c r="L151" s="6" t="s">
        <v>326</v>
      </c>
      <c r="M151" s="6" t="s">
        <v>328</v>
      </c>
    </row>
    <row r="152" customFormat="false" ht="15" hidden="false" customHeight="false" outlineLevel="0" collapsed="false">
      <c r="A152" s="6" t="s">
        <v>148</v>
      </c>
      <c r="B152" s="7" t="n">
        <f aca="false">IF(A152="","",IFERROR(MATCH(A152,Lists!$A$2:$A$37,0),""))</f>
        <v>21</v>
      </c>
      <c r="C152" s="6" t="s">
        <v>286</v>
      </c>
      <c r="D152" s="6" t="s">
        <v>317</v>
      </c>
      <c r="E152" s="40" t="n">
        <v>27</v>
      </c>
      <c r="F152" s="40" t="n">
        <v>3</v>
      </c>
      <c r="G152" s="43" t="n">
        <v>2.97</v>
      </c>
      <c r="H152" s="40"/>
      <c r="I152" s="40"/>
      <c r="J152" s="44"/>
      <c r="K152" s="44"/>
      <c r="L152" s="6" t="s">
        <v>326</v>
      </c>
      <c r="M152" s="6"/>
    </row>
    <row r="153" customFormat="false" ht="15" hidden="false" customHeight="false" outlineLevel="0" collapsed="false">
      <c r="A153" s="6" t="s">
        <v>149</v>
      </c>
      <c r="B153" s="7" t="n">
        <f aca="false">IF(A153="","",IFERROR(MATCH(A153,Lists!$A$2:$A$37,0),""))</f>
        <v>22</v>
      </c>
      <c r="C153" s="6" t="s">
        <v>286</v>
      </c>
      <c r="D153" s="6" t="s">
        <v>290</v>
      </c>
      <c r="E153" s="40" t="n">
        <v>40</v>
      </c>
      <c r="F153" s="40" t="n">
        <v>10</v>
      </c>
      <c r="G153" s="43" t="n">
        <v>3.247</v>
      </c>
      <c r="H153" s="40"/>
      <c r="I153" s="40"/>
      <c r="J153" s="44"/>
      <c r="K153" s="44"/>
      <c r="L153" s="6" t="s">
        <v>329</v>
      </c>
      <c r="M153" s="6"/>
    </row>
    <row r="154" customFormat="false" ht="15" hidden="false" customHeight="false" outlineLevel="0" collapsed="false">
      <c r="A154" s="6" t="s">
        <v>149</v>
      </c>
      <c r="B154" s="7" t="n">
        <f aca="false">IF(A154="","",IFERROR(MATCH(A154,Lists!$A$2:$A$37,0),""))</f>
        <v>22</v>
      </c>
      <c r="C154" s="6" t="s">
        <v>286</v>
      </c>
      <c r="D154" s="6" t="s">
        <v>292</v>
      </c>
      <c r="E154" s="40" t="n">
        <v>7</v>
      </c>
      <c r="F154" s="40" t="n">
        <v>0</v>
      </c>
      <c r="G154" s="43" t="n">
        <v>3.698</v>
      </c>
      <c r="H154" s="40"/>
      <c r="I154" s="40"/>
      <c r="J154" s="44"/>
      <c r="K154" s="44"/>
      <c r="L154" s="6" t="s">
        <v>329</v>
      </c>
      <c r="M154" s="6"/>
    </row>
    <row r="155" customFormat="false" ht="15" hidden="false" customHeight="false" outlineLevel="0" collapsed="false">
      <c r="A155" s="6" t="s">
        <v>149</v>
      </c>
      <c r="B155" s="7" t="n">
        <f aca="false">IF(A155="","",IFERROR(MATCH(A155,Lists!$A$2:$A$37,0),""))</f>
        <v>22</v>
      </c>
      <c r="C155" s="6" t="s">
        <v>286</v>
      </c>
      <c r="D155" s="6" t="s">
        <v>293</v>
      </c>
      <c r="E155" s="40" t="n">
        <v>94</v>
      </c>
      <c r="F155" s="40" t="n">
        <v>4</v>
      </c>
      <c r="G155" s="43" t="n">
        <v>3.137</v>
      </c>
      <c r="H155" s="40"/>
      <c r="I155" s="40"/>
      <c r="J155" s="44"/>
      <c r="K155" s="44"/>
      <c r="L155" s="6" t="s">
        <v>329</v>
      </c>
      <c r="M155" s="6"/>
    </row>
    <row r="156" customFormat="false" ht="15" hidden="false" customHeight="false" outlineLevel="0" collapsed="false">
      <c r="A156" s="6" t="s">
        <v>149</v>
      </c>
      <c r="B156" s="7" t="n">
        <f aca="false">IF(A156="","",IFERROR(MATCH(A156,Lists!$A$2:$A$37,0),""))</f>
        <v>22</v>
      </c>
      <c r="C156" s="6" t="s">
        <v>286</v>
      </c>
      <c r="D156" s="6" t="s">
        <v>294</v>
      </c>
      <c r="E156" s="40" t="n">
        <v>69</v>
      </c>
      <c r="F156" s="40" t="n">
        <v>3</v>
      </c>
      <c r="G156" s="43" t="n">
        <v>3.41</v>
      </c>
      <c r="H156" s="40"/>
      <c r="I156" s="40"/>
      <c r="J156" s="44"/>
      <c r="K156" s="44"/>
      <c r="L156" s="6" t="s">
        <v>329</v>
      </c>
      <c r="M156" s="6"/>
    </row>
    <row r="157" customFormat="false" ht="15" hidden="false" customHeight="false" outlineLevel="0" collapsed="false">
      <c r="A157" s="6" t="s">
        <v>149</v>
      </c>
      <c r="B157" s="7" t="n">
        <f aca="false">IF(A157="","",IFERROR(MATCH(A157,Lists!$A$2:$A$37,0),""))</f>
        <v>22</v>
      </c>
      <c r="C157" s="6" t="s">
        <v>286</v>
      </c>
      <c r="D157" s="6" t="s">
        <v>295</v>
      </c>
      <c r="E157" s="40" t="n">
        <v>119</v>
      </c>
      <c r="F157" s="40" t="n">
        <v>3</v>
      </c>
      <c r="G157" s="43" t="n">
        <v>3.293</v>
      </c>
      <c r="H157" s="40"/>
      <c r="I157" s="40"/>
      <c r="J157" s="44"/>
      <c r="K157" s="44"/>
      <c r="L157" s="6" t="s">
        <v>329</v>
      </c>
      <c r="M157" s="6"/>
    </row>
    <row r="158" customFormat="false" ht="15" hidden="false" customHeight="false" outlineLevel="0" collapsed="false">
      <c r="A158" s="6" t="s">
        <v>149</v>
      </c>
      <c r="B158" s="7" t="n">
        <f aca="false">IF(A158="","",IFERROR(MATCH(A158,Lists!$A$2:$A$37,0),""))</f>
        <v>22</v>
      </c>
      <c r="C158" s="6" t="s">
        <v>286</v>
      </c>
      <c r="D158" s="6" t="s">
        <v>296</v>
      </c>
      <c r="E158" s="40" t="n">
        <v>13</v>
      </c>
      <c r="F158" s="40" t="n">
        <v>1</v>
      </c>
      <c r="G158" s="43" t="n">
        <v>3.372</v>
      </c>
      <c r="H158" s="40"/>
      <c r="I158" s="40"/>
      <c r="J158" s="44"/>
      <c r="K158" s="44"/>
      <c r="L158" s="6" t="s">
        <v>329</v>
      </c>
      <c r="M158" s="6"/>
    </row>
    <row r="159" customFormat="false" ht="15" hidden="false" customHeight="false" outlineLevel="0" collapsed="false">
      <c r="A159" s="6" t="s">
        <v>149</v>
      </c>
      <c r="B159" s="7" t="n">
        <f aca="false">IF(A159="","",IFERROR(MATCH(A159,Lists!$A$2:$A$37,0),""))</f>
        <v>22</v>
      </c>
      <c r="C159" s="6" t="s">
        <v>286</v>
      </c>
      <c r="D159" s="6" t="s">
        <v>297</v>
      </c>
      <c r="E159" s="40" t="n">
        <v>106</v>
      </c>
      <c r="F159" s="40" t="n">
        <v>1</v>
      </c>
      <c r="G159" s="43" t="n">
        <v>3.51</v>
      </c>
      <c r="H159" s="40"/>
      <c r="I159" s="40"/>
      <c r="J159" s="44"/>
      <c r="K159" s="44"/>
      <c r="L159" s="6" t="s">
        <v>329</v>
      </c>
      <c r="M159" s="6"/>
    </row>
    <row r="160" customFormat="false" ht="15" hidden="false" customHeight="false" outlineLevel="0" collapsed="false">
      <c r="A160" s="6" t="s">
        <v>149</v>
      </c>
      <c r="B160" s="7" t="n">
        <f aca="false">IF(A160="","",IFERROR(MATCH(A160,Lists!$A$2:$A$37,0),""))</f>
        <v>22</v>
      </c>
      <c r="C160" s="6" t="s">
        <v>286</v>
      </c>
      <c r="D160" s="6" t="s">
        <v>298</v>
      </c>
      <c r="E160" s="40" t="n">
        <v>11</v>
      </c>
      <c r="F160" s="40" t="n">
        <v>3</v>
      </c>
      <c r="G160" s="43" t="n">
        <v>3.135</v>
      </c>
      <c r="H160" s="40"/>
      <c r="I160" s="40"/>
      <c r="J160" s="44"/>
      <c r="K160" s="44"/>
      <c r="L160" s="6" t="s">
        <v>329</v>
      </c>
      <c r="M160" s="6"/>
    </row>
    <row r="161" customFormat="false" ht="15" hidden="false" customHeight="false" outlineLevel="0" collapsed="false">
      <c r="A161" s="6" t="s">
        <v>149</v>
      </c>
      <c r="B161" s="7" t="n">
        <f aca="false">IF(A161="","",IFERROR(MATCH(A161,Lists!$A$2:$A$37,0),""))</f>
        <v>22</v>
      </c>
      <c r="C161" s="6" t="s">
        <v>286</v>
      </c>
      <c r="D161" s="6" t="s">
        <v>299</v>
      </c>
      <c r="E161" s="40" t="n">
        <v>75</v>
      </c>
      <c r="F161" s="40" t="n">
        <v>10</v>
      </c>
      <c r="G161" s="43" t="n">
        <v>3.059</v>
      </c>
      <c r="H161" s="40"/>
      <c r="I161" s="40"/>
      <c r="J161" s="44"/>
      <c r="K161" s="44"/>
      <c r="L161" s="6" t="s">
        <v>329</v>
      </c>
      <c r="M161" s="6"/>
    </row>
    <row r="162" customFormat="false" ht="15" hidden="false" customHeight="false" outlineLevel="0" collapsed="false">
      <c r="A162" s="6" t="s">
        <v>149</v>
      </c>
      <c r="B162" s="7" t="n">
        <f aca="false">IF(A162="","",IFERROR(MATCH(A162,Lists!$A$2:$A$37,0),""))</f>
        <v>22</v>
      </c>
      <c r="C162" s="6" t="s">
        <v>286</v>
      </c>
      <c r="D162" s="6" t="s">
        <v>301</v>
      </c>
      <c r="E162" s="40" t="n">
        <v>93</v>
      </c>
      <c r="F162" s="40" t="n">
        <v>1</v>
      </c>
      <c r="G162" s="43" t="n">
        <v>3.338</v>
      </c>
      <c r="H162" s="40"/>
      <c r="I162" s="40"/>
      <c r="J162" s="44"/>
      <c r="K162" s="44"/>
      <c r="L162" s="6" t="s">
        <v>329</v>
      </c>
      <c r="M162" s="6"/>
    </row>
    <row r="163" customFormat="false" ht="15" hidden="false" customHeight="false" outlineLevel="0" collapsed="false">
      <c r="A163" s="6" t="s">
        <v>149</v>
      </c>
      <c r="B163" s="7" t="n">
        <f aca="false">IF(A163="","",IFERROR(MATCH(A163,Lists!$A$2:$A$37,0),""))</f>
        <v>22</v>
      </c>
      <c r="C163" s="6" t="s">
        <v>286</v>
      </c>
      <c r="D163" s="6" t="s">
        <v>302</v>
      </c>
      <c r="E163" s="40" t="n">
        <v>104</v>
      </c>
      <c r="F163" s="40" t="n">
        <v>2</v>
      </c>
      <c r="G163" s="43" t="n">
        <v>3.525</v>
      </c>
      <c r="H163" s="40"/>
      <c r="I163" s="40"/>
      <c r="J163" s="44"/>
      <c r="K163" s="44"/>
      <c r="L163" s="6" t="s">
        <v>329</v>
      </c>
      <c r="M163" s="6"/>
    </row>
    <row r="164" customFormat="false" ht="15" hidden="false" customHeight="false" outlineLevel="0" collapsed="false">
      <c r="A164" s="6" t="s">
        <v>149</v>
      </c>
      <c r="B164" s="7" t="n">
        <f aca="false">IF(A164="","",IFERROR(MATCH(A164,Lists!$A$2:$A$37,0),""))</f>
        <v>22</v>
      </c>
      <c r="C164" s="6" t="s">
        <v>286</v>
      </c>
      <c r="D164" s="6" t="s">
        <v>303</v>
      </c>
      <c r="E164" s="40" t="n">
        <v>66</v>
      </c>
      <c r="F164" s="40" t="n">
        <v>11</v>
      </c>
      <c r="G164" s="43" t="n">
        <v>3.019</v>
      </c>
      <c r="H164" s="40"/>
      <c r="I164" s="40"/>
      <c r="J164" s="44"/>
      <c r="K164" s="44"/>
      <c r="L164" s="6" t="s">
        <v>329</v>
      </c>
      <c r="M164" s="6"/>
    </row>
    <row r="165" customFormat="false" ht="15" hidden="false" customHeight="false" outlineLevel="0" collapsed="false">
      <c r="A165" s="6" t="s">
        <v>149</v>
      </c>
      <c r="B165" s="7" t="n">
        <f aca="false">IF(A165="","",IFERROR(MATCH(A165,Lists!$A$2:$A$37,0),""))</f>
        <v>22</v>
      </c>
      <c r="C165" s="6" t="s">
        <v>286</v>
      </c>
      <c r="D165" s="6" t="s">
        <v>304</v>
      </c>
      <c r="E165" s="40" t="n">
        <v>110</v>
      </c>
      <c r="F165" s="40" t="n">
        <v>2</v>
      </c>
      <c r="G165" s="43" t="n">
        <v>3.458</v>
      </c>
      <c r="H165" s="40"/>
      <c r="I165" s="40"/>
      <c r="J165" s="44"/>
      <c r="K165" s="44"/>
      <c r="L165" s="6" t="s">
        <v>329</v>
      </c>
      <c r="M165" s="6"/>
    </row>
    <row r="166" customFormat="false" ht="15" hidden="false" customHeight="false" outlineLevel="0" collapsed="false">
      <c r="A166" s="6" t="s">
        <v>149</v>
      </c>
      <c r="B166" s="7" t="n">
        <f aca="false">IF(A166="","",IFERROR(MATCH(A166,Lists!$A$2:$A$37,0),""))</f>
        <v>22</v>
      </c>
      <c r="C166" s="6" t="s">
        <v>286</v>
      </c>
      <c r="D166" s="6" t="s">
        <v>305</v>
      </c>
      <c r="E166" s="40" t="n">
        <v>101</v>
      </c>
      <c r="F166" s="40" t="n">
        <v>2</v>
      </c>
      <c r="G166" s="43" t="n">
        <v>3.082</v>
      </c>
      <c r="H166" s="40"/>
      <c r="I166" s="40"/>
      <c r="J166" s="44"/>
      <c r="K166" s="44"/>
      <c r="L166" s="6" t="s">
        <v>329</v>
      </c>
      <c r="M166" s="6"/>
    </row>
    <row r="167" customFormat="false" ht="15" hidden="false" customHeight="false" outlineLevel="0" collapsed="false">
      <c r="A167" s="6" t="s">
        <v>149</v>
      </c>
      <c r="B167" s="7" t="n">
        <f aca="false">IF(A167="","",IFERROR(MATCH(A167,Lists!$A$2:$A$37,0),""))</f>
        <v>22</v>
      </c>
      <c r="C167" s="6" t="s">
        <v>286</v>
      </c>
      <c r="D167" s="6" t="s">
        <v>306</v>
      </c>
      <c r="E167" s="40" t="n">
        <v>41</v>
      </c>
      <c r="F167" s="40" t="n">
        <v>1</v>
      </c>
      <c r="G167" s="43" t="n">
        <v>2.935</v>
      </c>
      <c r="H167" s="40"/>
      <c r="I167" s="40"/>
      <c r="J167" s="44"/>
      <c r="K167" s="44"/>
      <c r="L167" s="6" t="s">
        <v>329</v>
      </c>
      <c r="M167" s="6"/>
    </row>
    <row r="168" customFormat="false" ht="15" hidden="false" customHeight="false" outlineLevel="0" collapsed="false">
      <c r="A168" s="6" t="s">
        <v>149</v>
      </c>
      <c r="B168" s="7" t="n">
        <f aca="false">IF(A168="","",IFERROR(MATCH(A168,Lists!$A$2:$A$37,0),""))</f>
        <v>22</v>
      </c>
      <c r="C168" s="6" t="s">
        <v>286</v>
      </c>
      <c r="D168" s="6" t="s">
        <v>307</v>
      </c>
      <c r="E168" s="40" t="n">
        <v>74</v>
      </c>
      <c r="F168" s="40" t="n">
        <v>1</v>
      </c>
      <c r="G168" s="43" t="n">
        <v>3.382</v>
      </c>
      <c r="H168" s="40"/>
      <c r="I168" s="40"/>
      <c r="J168" s="44"/>
      <c r="K168" s="44"/>
      <c r="L168" s="6" t="s">
        <v>329</v>
      </c>
      <c r="M168" s="6"/>
    </row>
    <row r="169" customFormat="false" ht="15" hidden="false" customHeight="false" outlineLevel="0" collapsed="false">
      <c r="A169" s="6" t="s">
        <v>149</v>
      </c>
      <c r="B169" s="7" t="n">
        <f aca="false">IF(A169="","",IFERROR(MATCH(A169,Lists!$A$2:$A$37,0),""))</f>
        <v>22</v>
      </c>
      <c r="C169" s="6" t="s">
        <v>286</v>
      </c>
      <c r="D169" s="6" t="s">
        <v>308</v>
      </c>
      <c r="E169" s="40" t="n">
        <v>142</v>
      </c>
      <c r="F169" s="40" t="n">
        <v>9</v>
      </c>
      <c r="G169" s="43" t="n">
        <v>3.546</v>
      </c>
      <c r="H169" s="40"/>
      <c r="I169" s="40"/>
      <c r="J169" s="44"/>
      <c r="K169" s="44"/>
      <c r="L169" s="6" t="s">
        <v>329</v>
      </c>
      <c r="M169" s="6"/>
    </row>
    <row r="170" customFormat="false" ht="15" hidden="false" customHeight="false" outlineLevel="0" collapsed="false">
      <c r="A170" s="6" t="s">
        <v>149</v>
      </c>
      <c r="B170" s="7" t="n">
        <f aca="false">IF(A170="","",IFERROR(MATCH(A170,Lists!$A$2:$A$37,0),""))</f>
        <v>22</v>
      </c>
      <c r="C170" s="6" t="s">
        <v>286</v>
      </c>
      <c r="D170" s="6" t="s">
        <v>309</v>
      </c>
      <c r="E170" s="40" t="n">
        <v>53</v>
      </c>
      <c r="F170" s="40" t="n">
        <v>0</v>
      </c>
      <c r="G170" s="43" t="n">
        <v>2.906</v>
      </c>
      <c r="H170" s="40"/>
      <c r="I170" s="40"/>
      <c r="J170" s="44"/>
      <c r="K170" s="44"/>
      <c r="L170" s="6" t="s">
        <v>329</v>
      </c>
      <c r="M170" s="6"/>
    </row>
    <row r="171" customFormat="false" ht="15" hidden="false" customHeight="false" outlineLevel="0" collapsed="false">
      <c r="A171" s="6" t="s">
        <v>149</v>
      </c>
      <c r="B171" s="7" t="n">
        <f aca="false">IF(A171="","",IFERROR(MATCH(A171,Lists!$A$2:$A$37,0),""))</f>
        <v>22</v>
      </c>
      <c r="C171" s="6" t="s">
        <v>286</v>
      </c>
      <c r="D171" s="6" t="s">
        <v>310</v>
      </c>
      <c r="E171" s="40" t="n">
        <v>104</v>
      </c>
      <c r="F171" s="40" t="n">
        <v>4</v>
      </c>
      <c r="G171" s="43" t="n">
        <v>3.329</v>
      </c>
      <c r="H171" s="40"/>
      <c r="I171" s="40"/>
      <c r="J171" s="44"/>
      <c r="K171" s="44"/>
      <c r="L171" s="6" t="s">
        <v>329</v>
      </c>
      <c r="M171" s="6"/>
    </row>
    <row r="172" customFormat="false" ht="15" hidden="false" customHeight="false" outlineLevel="0" collapsed="false">
      <c r="A172" s="6" t="s">
        <v>149</v>
      </c>
      <c r="B172" s="7" t="n">
        <f aca="false">IF(A172="","",IFERROR(MATCH(A172,Lists!$A$2:$A$37,0),""))</f>
        <v>22</v>
      </c>
      <c r="C172" s="6" t="s">
        <v>286</v>
      </c>
      <c r="D172" s="6" t="s">
        <v>311</v>
      </c>
      <c r="E172" s="40" t="n">
        <v>12</v>
      </c>
      <c r="F172" s="40" t="n">
        <v>0</v>
      </c>
      <c r="G172" s="43" t="n">
        <v>3.349</v>
      </c>
      <c r="H172" s="40"/>
      <c r="I172" s="40"/>
      <c r="J172" s="44"/>
      <c r="K172" s="44"/>
      <c r="L172" s="6" t="s">
        <v>329</v>
      </c>
      <c r="M172" s="6"/>
    </row>
    <row r="173" customFormat="false" ht="15" hidden="false" customHeight="false" outlineLevel="0" collapsed="false">
      <c r="A173" s="6" t="s">
        <v>149</v>
      </c>
      <c r="B173" s="7" t="n">
        <f aca="false">IF(A173="","",IFERROR(MATCH(A173,Lists!$A$2:$A$37,0),""))</f>
        <v>22</v>
      </c>
      <c r="C173" s="6" t="s">
        <v>286</v>
      </c>
      <c r="D173" s="6" t="s">
        <v>312</v>
      </c>
      <c r="E173" s="40" t="n">
        <v>74</v>
      </c>
      <c r="F173" s="40" t="n">
        <v>4</v>
      </c>
      <c r="G173" s="43" t="n">
        <v>3.405</v>
      </c>
      <c r="H173" s="40"/>
      <c r="I173" s="40"/>
      <c r="J173" s="44"/>
      <c r="K173" s="44"/>
      <c r="L173" s="6" t="s">
        <v>329</v>
      </c>
      <c r="M173" s="6"/>
    </row>
    <row r="174" customFormat="false" ht="15" hidden="false" customHeight="false" outlineLevel="0" collapsed="false">
      <c r="A174" s="6" t="s">
        <v>149</v>
      </c>
      <c r="B174" s="7" t="n">
        <f aca="false">IF(A174="","",IFERROR(MATCH(A174,Lists!$A$2:$A$37,0),""))</f>
        <v>22</v>
      </c>
      <c r="C174" s="6" t="s">
        <v>286</v>
      </c>
      <c r="D174" s="6" t="s">
        <v>313</v>
      </c>
      <c r="E174" s="40" t="n">
        <v>46</v>
      </c>
      <c r="F174" s="40" t="n">
        <v>5</v>
      </c>
      <c r="G174" s="43" t="n">
        <v>3.098</v>
      </c>
      <c r="H174" s="40"/>
      <c r="I174" s="40"/>
      <c r="J174" s="44"/>
      <c r="K174" s="44"/>
      <c r="L174" s="6" t="s">
        <v>329</v>
      </c>
      <c r="M174" s="6"/>
    </row>
    <row r="175" customFormat="false" ht="15" hidden="false" customHeight="false" outlineLevel="0" collapsed="false">
      <c r="A175" s="6" t="s">
        <v>149</v>
      </c>
      <c r="B175" s="7" t="n">
        <f aca="false">IF(A175="","",IFERROR(MATCH(A175,Lists!$A$2:$A$37,0),""))</f>
        <v>22</v>
      </c>
      <c r="C175" s="6" t="s">
        <v>286</v>
      </c>
      <c r="D175" s="6" t="s">
        <v>314</v>
      </c>
      <c r="E175" s="40" t="n">
        <v>128</v>
      </c>
      <c r="F175" s="40" t="n">
        <v>0</v>
      </c>
      <c r="G175" s="43" t="n">
        <v>3.551</v>
      </c>
      <c r="H175" s="40"/>
      <c r="I175" s="40"/>
      <c r="J175" s="44"/>
      <c r="K175" s="44"/>
      <c r="L175" s="6" t="s">
        <v>329</v>
      </c>
      <c r="M175" s="6"/>
    </row>
    <row r="176" customFormat="false" ht="15" hidden="false" customHeight="false" outlineLevel="0" collapsed="false">
      <c r="A176" s="6" t="s">
        <v>149</v>
      </c>
      <c r="B176" s="7" t="n">
        <f aca="false">IF(A176="","",IFERROR(MATCH(A176,Lists!$A$2:$A$37,0),""))</f>
        <v>22</v>
      </c>
      <c r="C176" s="6" t="s">
        <v>286</v>
      </c>
      <c r="D176" s="6" t="s">
        <v>324</v>
      </c>
      <c r="E176" s="40" t="n">
        <v>8</v>
      </c>
      <c r="F176" s="40" t="n">
        <v>0</v>
      </c>
      <c r="G176" s="43" t="n">
        <v>2.8</v>
      </c>
      <c r="H176" s="40"/>
      <c r="I176" s="40"/>
      <c r="J176" s="44"/>
      <c r="K176" s="44"/>
      <c r="L176" s="6" t="s">
        <v>329</v>
      </c>
      <c r="M176" s="6"/>
    </row>
    <row r="177" customFormat="false" ht="15" hidden="false" customHeight="false" outlineLevel="0" collapsed="false">
      <c r="A177" s="6" t="s">
        <v>149</v>
      </c>
      <c r="B177" s="7" t="n">
        <f aca="false">IF(A177="","",IFERROR(MATCH(A177,Lists!$A$2:$A$37,0),""))</f>
        <v>22</v>
      </c>
      <c r="C177" s="6" t="s">
        <v>286</v>
      </c>
      <c r="D177" s="6" t="s">
        <v>287</v>
      </c>
      <c r="E177" s="40" t="n">
        <v>74</v>
      </c>
      <c r="F177" s="40" t="n">
        <v>10</v>
      </c>
      <c r="G177" s="43" t="n">
        <v>3.267</v>
      </c>
      <c r="H177" s="40"/>
      <c r="I177" s="40"/>
      <c r="J177" s="44"/>
      <c r="K177" s="44"/>
      <c r="L177" s="6" t="s">
        <v>329</v>
      </c>
      <c r="M177" s="6" t="s">
        <v>330</v>
      </c>
    </row>
    <row r="178" customFormat="false" ht="15" hidden="false" customHeight="false" outlineLevel="0" collapsed="false">
      <c r="A178" s="6" t="s">
        <v>149</v>
      </c>
      <c r="B178" s="7" t="n">
        <f aca="false">IF(A178="","",IFERROR(MATCH(A178,Lists!$A$2:$A$37,0),""))</f>
        <v>22</v>
      </c>
      <c r="C178" s="6" t="s">
        <v>286</v>
      </c>
      <c r="D178" s="6" t="s">
        <v>317</v>
      </c>
      <c r="E178" s="40" t="n">
        <v>24</v>
      </c>
      <c r="F178" s="40" t="n">
        <v>0</v>
      </c>
      <c r="G178" s="43" t="n">
        <v>3.15</v>
      </c>
      <c r="H178" s="40"/>
      <c r="I178" s="40"/>
      <c r="J178" s="44"/>
      <c r="K178" s="44"/>
      <c r="L178" s="6" t="s">
        <v>329</v>
      </c>
      <c r="M178" s="6"/>
    </row>
    <row r="179" customFormat="false" ht="15" hidden="false" customHeight="false" outlineLevel="0" collapsed="false">
      <c r="A179" s="6" t="s">
        <v>150</v>
      </c>
      <c r="B179" s="7" t="n">
        <f aca="false">IF(A179="","",IFERROR(MATCH(A179,Lists!$A$2:$A$37,0),""))</f>
        <v>23</v>
      </c>
      <c r="C179" s="6" t="s">
        <v>286</v>
      </c>
      <c r="D179" s="6" t="s">
        <v>290</v>
      </c>
      <c r="E179" s="40" t="n">
        <v>48</v>
      </c>
      <c r="F179" s="40" t="n">
        <v>13</v>
      </c>
      <c r="G179" s="43" t="n">
        <v>3.087</v>
      </c>
      <c r="H179" s="40" t="n">
        <v>38</v>
      </c>
      <c r="I179" s="40" t="n">
        <v>16</v>
      </c>
      <c r="J179" s="44"/>
      <c r="K179" s="44"/>
      <c r="L179" s="6" t="s">
        <v>331</v>
      </c>
      <c r="M179" s="6"/>
    </row>
    <row r="180" customFormat="false" ht="15" hidden="false" customHeight="false" outlineLevel="0" collapsed="false">
      <c r="A180" s="6" t="s">
        <v>150</v>
      </c>
      <c r="B180" s="7" t="n">
        <f aca="false">IF(A180="","",IFERROR(MATCH(A180,Lists!$A$2:$A$37,0),""))</f>
        <v>23</v>
      </c>
      <c r="C180" s="6" t="s">
        <v>286</v>
      </c>
      <c r="D180" s="6" t="s">
        <v>293</v>
      </c>
      <c r="E180" s="40" t="n">
        <v>96</v>
      </c>
      <c r="F180" s="40" t="n">
        <v>30</v>
      </c>
      <c r="G180" s="43" t="n">
        <v>3.196</v>
      </c>
      <c r="H180" s="40" t="n">
        <v>33</v>
      </c>
      <c r="I180" s="40" t="n">
        <v>12</v>
      </c>
      <c r="J180" s="44"/>
      <c r="K180" s="44"/>
      <c r="L180" s="6" t="s">
        <v>331</v>
      </c>
      <c r="M180" s="6"/>
    </row>
    <row r="181" customFormat="false" ht="15" hidden="false" customHeight="false" outlineLevel="0" collapsed="false">
      <c r="A181" s="6" t="s">
        <v>150</v>
      </c>
      <c r="B181" s="7" t="n">
        <f aca="false">IF(A181="","",IFERROR(MATCH(A181,Lists!$A$2:$A$37,0),""))</f>
        <v>23</v>
      </c>
      <c r="C181" s="6" t="s">
        <v>286</v>
      </c>
      <c r="D181" s="6" t="s">
        <v>294</v>
      </c>
      <c r="E181" s="40" t="n">
        <v>78</v>
      </c>
      <c r="F181" s="40" t="n">
        <v>25</v>
      </c>
      <c r="G181" s="43" t="n">
        <v>3.183</v>
      </c>
      <c r="H181" s="40" t="n">
        <v>34</v>
      </c>
      <c r="I181" s="40" t="n">
        <v>13</v>
      </c>
      <c r="J181" s="44"/>
      <c r="K181" s="44"/>
      <c r="L181" s="6" t="s">
        <v>331</v>
      </c>
      <c r="M181" s="6"/>
    </row>
    <row r="182" customFormat="false" ht="15" hidden="false" customHeight="false" outlineLevel="0" collapsed="false">
      <c r="A182" s="6" t="s">
        <v>150</v>
      </c>
      <c r="B182" s="7" t="n">
        <f aca="false">IF(A182="","",IFERROR(MATCH(A182,Lists!$A$2:$A$37,0),""))</f>
        <v>23</v>
      </c>
      <c r="C182" s="6" t="s">
        <v>286</v>
      </c>
      <c r="D182" s="6" t="s">
        <v>295</v>
      </c>
      <c r="E182" s="40" t="n">
        <v>108</v>
      </c>
      <c r="F182" s="40" t="n">
        <v>19</v>
      </c>
      <c r="G182" s="43" t="n">
        <v>3.129</v>
      </c>
      <c r="H182" s="40" t="n">
        <v>36</v>
      </c>
      <c r="I182" s="40" t="n">
        <v>15</v>
      </c>
      <c r="J182" s="44"/>
      <c r="K182" s="44"/>
      <c r="L182" s="6" t="s">
        <v>331</v>
      </c>
      <c r="M182" s="6"/>
    </row>
    <row r="183" customFormat="false" ht="15" hidden="false" customHeight="false" outlineLevel="0" collapsed="false">
      <c r="A183" s="6" t="s">
        <v>150</v>
      </c>
      <c r="B183" s="7" t="n">
        <f aca="false">IF(A183="","",IFERROR(MATCH(A183,Lists!$A$2:$A$37,0),""))</f>
        <v>23</v>
      </c>
      <c r="C183" s="6" t="s">
        <v>286</v>
      </c>
      <c r="D183" s="6" t="s">
        <v>296</v>
      </c>
      <c r="E183" s="40" t="n">
        <v>12</v>
      </c>
      <c r="F183" s="40" t="n">
        <v>5</v>
      </c>
      <c r="G183" s="43" t="n">
        <v>3.539</v>
      </c>
      <c r="H183" s="40" t="n">
        <v>6</v>
      </c>
      <c r="I183" s="40" t="n">
        <v>3</v>
      </c>
      <c r="J183" s="44"/>
      <c r="K183" s="44"/>
      <c r="L183" s="6" t="s">
        <v>331</v>
      </c>
      <c r="M183" s="6"/>
    </row>
    <row r="184" customFormat="false" ht="15" hidden="false" customHeight="false" outlineLevel="0" collapsed="false">
      <c r="A184" s="6" t="s">
        <v>150</v>
      </c>
      <c r="B184" s="7" t="n">
        <f aca="false">IF(A184="","",IFERROR(MATCH(A184,Lists!$A$2:$A$37,0),""))</f>
        <v>23</v>
      </c>
      <c r="C184" s="6" t="s">
        <v>286</v>
      </c>
      <c r="D184" s="6" t="s">
        <v>297</v>
      </c>
      <c r="E184" s="40" t="n">
        <v>115</v>
      </c>
      <c r="F184" s="40" t="n">
        <v>30</v>
      </c>
      <c r="G184" s="43" t="n">
        <v>3.281</v>
      </c>
      <c r="H184" s="40" t="n">
        <v>25</v>
      </c>
      <c r="I184" s="40" t="n">
        <v>8</v>
      </c>
      <c r="J184" s="44"/>
      <c r="K184" s="44"/>
      <c r="L184" s="6" t="s">
        <v>331</v>
      </c>
      <c r="M184" s="6" t="s">
        <v>332</v>
      </c>
    </row>
    <row r="185" customFormat="false" ht="15" hidden="false" customHeight="false" outlineLevel="0" collapsed="false">
      <c r="A185" s="6" t="s">
        <v>150</v>
      </c>
      <c r="B185" s="7" t="n">
        <f aca="false">IF(A185="","",IFERROR(MATCH(A185,Lists!$A$2:$A$37,0),""))</f>
        <v>23</v>
      </c>
      <c r="C185" s="6" t="s">
        <v>286</v>
      </c>
      <c r="D185" s="6" t="s">
        <v>298</v>
      </c>
      <c r="E185" s="40" t="n">
        <v>10</v>
      </c>
      <c r="F185" s="40" t="n">
        <v>5</v>
      </c>
      <c r="G185" s="43" t="n">
        <v>3.724</v>
      </c>
      <c r="H185" s="40" t="n">
        <v>1</v>
      </c>
      <c r="I185" s="40" t="n">
        <v>1</v>
      </c>
      <c r="J185" s="44"/>
      <c r="K185" s="44"/>
      <c r="L185" s="6" t="s">
        <v>331</v>
      </c>
      <c r="M185" s="6"/>
    </row>
    <row r="186" customFormat="false" ht="15" hidden="false" customHeight="false" outlineLevel="0" collapsed="false">
      <c r="A186" s="6" t="s">
        <v>150</v>
      </c>
      <c r="B186" s="7" t="n">
        <f aca="false">IF(A186="","",IFERROR(MATCH(A186,Lists!$A$2:$A$37,0),""))</f>
        <v>23</v>
      </c>
      <c r="C186" s="6" t="s">
        <v>286</v>
      </c>
      <c r="D186" s="6" t="s">
        <v>333</v>
      </c>
      <c r="E186" s="40" t="n">
        <v>18</v>
      </c>
      <c r="F186" s="40" t="n">
        <v>18</v>
      </c>
      <c r="G186" s="43" t="n">
        <v>3.057</v>
      </c>
      <c r="H186" s="40" t="n">
        <v>39</v>
      </c>
      <c r="I186" s="40" t="n">
        <v>17</v>
      </c>
      <c r="J186" s="44"/>
      <c r="K186" s="44"/>
      <c r="L186" s="6" t="s">
        <v>331</v>
      </c>
      <c r="M186" s="6"/>
    </row>
    <row r="187" customFormat="false" ht="15" hidden="false" customHeight="false" outlineLevel="0" collapsed="false">
      <c r="A187" s="6" t="s">
        <v>150</v>
      </c>
      <c r="B187" s="7" t="n">
        <f aca="false">IF(A187="","",IFERROR(MATCH(A187,Lists!$A$2:$A$37,0),""))</f>
        <v>23</v>
      </c>
      <c r="C187" s="6" t="s">
        <v>286</v>
      </c>
      <c r="D187" s="6" t="s">
        <v>299</v>
      </c>
      <c r="E187" s="40" t="n">
        <v>64</v>
      </c>
      <c r="F187" s="40" t="n">
        <v>20</v>
      </c>
      <c r="G187" s="43" t="n">
        <v>3.006</v>
      </c>
      <c r="H187" s="40" t="n">
        <v>43</v>
      </c>
      <c r="I187" s="40" t="n">
        <v>19</v>
      </c>
      <c r="J187" s="44"/>
      <c r="K187" s="44"/>
      <c r="L187" s="6" t="s">
        <v>331</v>
      </c>
      <c r="M187" s="6"/>
    </row>
    <row r="188" customFormat="false" ht="15" hidden="false" customHeight="false" outlineLevel="0" collapsed="false">
      <c r="A188" s="6" t="s">
        <v>150</v>
      </c>
      <c r="B188" s="7" t="n">
        <f aca="false">IF(A188="","",IFERROR(MATCH(A188,Lists!$A$2:$A$37,0),""))</f>
        <v>23</v>
      </c>
      <c r="C188" s="6" t="s">
        <v>286</v>
      </c>
      <c r="D188" s="6" t="s">
        <v>301</v>
      </c>
      <c r="E188" s="40" t="n">
        <v>91</v>
      </c>
      <c r="F188" s="40" t="n">
        <v>31</v>
      </c>
      <c r="G188" s="43" t="n">
        <v>3.227</v>
      </c>
      <c r="H188" s="40" t="n">
        <v>31</v>
      </c>
      <c r="I188" s="40" t="n">
        <v>11</v>
      </c>
      <c r="J188" s="44"/>
      <c r="K188" s="44"/>
      <c r="L188" s="6" t="s">
        <v>331</v>
      </c>
      <c r="M188" s="6"/>
    </row>
    <row r="189" customFormat="false" ht="15" hidden="false" customHeight="false" outlineLevel="0" collapsed="false">
      <c r="A189" s="6" t="s">
        <v>150</v>
      </c>
      <c r="B189" s="7" t="n">
        <f aca="false">IF(A189="","",IFERROR(MATCH(A189,Lists!$A$2:$A$37,0),""))</f>
        <v>23</v>
      </c>
      <c r="C189" s="6" t="s">
        <v>286</v>
      </c>
      <c r="D189" s="6" t="s">
        <v>302</v>
      </c>
      <c r="E189" s="40" t="n">
        <v>106</v>
      </c>
      <c r="F189" s="40" t="n">
        <v>31</v>
      </c>
      <c r="G189" s="43" t="n">
        <v>3.598</v>
      </c>
      <c r="H189" s="40" t="n">
        <v>5</v>
      </c>
      <c r="I189" s="40" t="n">
        <v>2</v>
      </c>
      <c r="J189" s="44"/>
      <c r="K189" s="44"/>
      <c r="L189" s="6" t="s">
        <v>331</v>
      </c>
      <c r="M189" s="6"/>
    </row>
    <row r="190" customFormat="false" ht="15" hidden="false" customHeight="false" outlineLevel="0" collapsed="false">
      <c r="A190" s="6" t="s">
        <v>150</v>
      </c>
      <c r="B190" s="7" t="n">
        <f aca="false">IF(A190="","",IFERROR(MATCH(A190,Lists!$A$2:$A$37,0),""))</f>
        <v>23</v>
      </c>
      <c r="C190" s="6" t="s">
        <v>286</v>
      </c>
      <c r="D190" s="6" t="s">
        <v>303</v>
      </c>
      <c r="E190" s="40" t="n">
        <v>59</v>
      </c>
      <c r="F190" s="40" t="n">
        <v>13</v>
      </c>
      <c r="G190" s="43" t="n">
        <v>2.801</v>
      </c>
      <c r="H190" s="40" t="n">
        <v>47</v>
      </c>
      <c r="I190" s="40" t="n">
        <v>23</v>
      </c>
      <c r="J190" s="44"/>
      <c r="K190" s="44"/>
      <c r="L190" s="6" t="s">
        <v>331</v>
      </c>
      <c r="M190" s="6"/>
    </row>
    <row r="191" customFormat="false" ht="15" hidden="false" customHeight="false" outlineLevel="0" collapsed="false">
      <c r="A191" s="6" t="s">
        <v>150</v>
      </c>
      <c r="B191" s="7" t="n">
        <f aca="false">IF(A191="","",IFERROR(MATCH(A191,Lists!$A$2:$A$37,0),""))</f>
        <v>23</v>
      </c>
      <c r="C191" s="6" t="s">
        <v>286</v>
      </c>
      <c r="D191" s="6" t="s">
        <v>304</v>
      </c>
      <c r="E191" s="40" t="n">
        <v>128</v>
      </c>
      <c r="F191" s="40" t="n">
        <v>40</v>
      </c>
      <c r="G191" s="43" t="n">
        <v>3.346</v>
      </c>
      <c r="H191" s="40" t="n">
        <v>20</v>
      </c>
      <c r="I191" s="40" t="n">
        <v>6</v>
      </c>
      <c r="J191" s="44"/>
      <c r="K191" s="44"/>
      <c r="L191" s="6" t="s">
        <v>331</v>
      </c>
      <c r="M191" s="6" t="s">
        <v>334</v>
      </c>
    </row>
    <row r="192" customFormat="false" ht="15" hidden="false" customHeight="false" outlineLevel="0" collapsed="false">
      <c r="A192" s="6" t="s">
        <v>150</v>
      </c>
      <c r="B192" s="7" t="n">
        <f aca="false">IF(A192="","",IFERROR(MATCH(A192,Lists!$A$2:$A$37,0),""))</f>
        <v>23</v>
      </c>
      <c r="C192" s="6" t="s">
        <v>286</v>
      </c>
      <c r="D192" s="6" t="s">
        <v>305</v>
      </c>
      <c r="E192" s="40"/>
      <c r="F192" s="40"/>
      <c r="G192" s="43"/>
      <c r="H192" s="40"/>
      <c r="I192" s="40"/>
      <c r="J192" s="44"/>
      <c r="K192" s="44"/>
      <c r="L192" s="6" t="s">
        <v>331</v>
      </c>
      <c r="M192" s="6" t="s">
        <v>335</v>
      </c>
    </row>
    <row r="193" customFormat="false" ht="15" hidden="false" customHeight="false" outlineLevel="0" collapsed="false">
      <c r="A193" s="6" t="s">
        <v>150</v>
      </c>
      <c r="B193" s="7" t="n">
        <f aca="false">IF(A193="","",IFERROR(MATCH(A193,Lists!$A$2:$A$37,0),""))</f>
        <v>23</v>
      </c>
      <c r="C193" s="6" t="s">
        <v>286</v>
      </c>
      <c r="D193" s="6" t="s">
        <v>306</v>
      </c>
      <c r="E193" s="40" t="n">
        <v>49</v>
      </c>
      <c r="F193" s="40" t="n">
        <v>14</v>
      </c>
      <c r="G193" s="43" t="n">
        <v>2.798</v>
      </c>
      <c r="H193" s="40" t="n">
        <v>48</v>
      </c>
      <c r="I193" s="40" t="n">
        <v>24</v>
      </c>
      <c r="J193" s="44"/>
      <c r="K193" s="44"/>
      <c r="L193" s="6" t="s">
        <v>331</v>
      </c>
      <c r="M193" s="6"/>
    </row>
    <row r="194" customFormat="false" ht="15" hidden="false" customHeight="false" outlineLevel="0" collapsed="false">
      <c r="A194" s="6" t="s">
        <v>150</v>
      </c>
      <c r="B194" s="7" t="n">
        <f aca="false">IF(A194="","",IFERROR(MATCH(A194,Lists!$A$2:$A$37,0),""))</f>
        <v>23</v>
      </c>
      <c r="C194" s="6" t="s">
        <v>286</v>
      </c>
      <c r="D194" s="6" t="s">
        <v>307</v>
      </c>
      <c r="E194" s="40" t="n">
        <v>79</v>
      </c>
      <c r="F194" s="40" t="n">
        <v>26</v>
      </c>
      <c r="G194" s="43" t="n">
        <v>3.267</v>
      </c>
      <c r="H194" s="40" t="n">
        <v>28</v>
      </c>
      <c r="I194" s="40" t="n">
        <v>9</v>
      </c>
      <c r="J194" s="44"/>
      <c r="K194" s="44"/>
      <c r="L194" s="6" t="s">
        <v>331</v>
      </c>
      <c r="M194" s="6" t="s">
        <v>336</v>
      </c>
    </row>
    <row r="195" customFormat="false" ht="15" hidden="false" customHeight="false" outlineLevel="0" collapsed="false">
      <c r="A195" s="6" t="s">
        <v>150</v>
      </c>
      <c r="B195" s="7" t="n">
        <f aca="false">IF(A195="","",IFERROR(MATCH(A195,Lists!$A$2:$A$37,0),""))</f>
        <v>23</v>
      </c>
      <c r="C195" s="6" t="s">
        <v>286</v>
      </c>
      <c r="D195" s="6" t="s">
        <v>308</v>
      </c>
      <c r="E195" s="40" t="n">
        <v>134</v>
      </c>
      <c r="F195" s="40" t="n">
        <v>32</v>
      </c>
      <c r="G195" s="43" t="n">
        <v>3.43</v>
      </c>
      <c r="H195" s="40" t="n">
        <v>15</v>
      </c>
      <c r="I195" s="40" t="n">
        <v>5</v>
      </c>
      <c r="J195" s="44"/>
      <c r="K195" s="44"/>
      <c r="L195" s="6" t="s">
        <v>331</v>
      </c>
      <c r="M195" s="6"/>
    </row>
    <row r="196" customFormat="false" ht="15" hidden="false" customHeight="false" outlineLevel="0" collapsed="false">
      <c r="A196" s="6" t="s">
        <v>150</v>
      </c>
      <c r="B196" s="7" t="n">
        <f aca="false">IF(A196="","",IFERROR(MATCH(A196,Lists!$A$2:$A$37,0),""))</f>
        <v>23</v>
      </c>
      <c r="C196" s="6" t="s">
        <v>286</v>
      </c>
      <c r="D196" s="6" t="s">
        <v>309</v>
      </c>
      <c r="E196" s="40" t="n">
        <v>51</v>
      </c>
      <c r="F196" s="40" t="n">
        <v>23</v>
      </c>
      <c r="G196" s="43" t="n">
        <v>2.644</v>
      </c>
      <c r="H196" s="40" t="n">
        <v>50</v>
      </c>
      <c r="I196" s="40" t="n">
        <v>25</v>
      </c>
      <c r="J196" s="44"/>
      <c r="K196" s="44"/>
      <c r="L196" s="6" t="s">
        <v>331</v>
      </c>
      <c r="M196" s="6"/>
    </row>
    <row r="197" customFormat="false" ht="15" hidden="false" customHeight="false" outlineLevel="0" collapsed="false">
      <c r="A197" s="6" t="s">
        <v>150</v>
      </c>
      <c r="B197" s="7" t="n">
        <f aca="false">IF(A197="","",IFERROR(MATCH(A197,Lists!$A$2:$A$37,0),""))</f>
        <v>23</v>
      </c>
      <c r="C197" s="6" t="s">
        <v>286</v>
      </c>
      <c r="D197" s="6" t="s">
        <v>310</v>
      </c>
      <c r="E197" s="40" t="n">
        <v>121</v>
      </c>
      <c r="F197" s="40" t="n">
        <v>32</v>
      </c>
      <c r="G197" s="43" t="n">
        <v>3.296</v>
      </c>
      <c r="H197" s="40" t="n">
        <v>24</v>
      </c>
      <c r="I197" s="40" t="n">
        <v>7</v>
      </c>
      <c r="J197" s="44"/>
      <c r="K197" s="44"/>
      <c r="L197" s="6" t="s">
        <v>331</v>
      </c>
      <c r="M197" s="6"/>
    </row>
    <row r="198" customFormat="false" ht="15" hidden="false" customHeight="false" outlineLevel="0" collapsed="false">
      <c r="A198" s="6" t="s">
        <v>150</v>
      </c>
      <c r="B198" s="7" t="n">
        <f aca="false">IF(A198="","",IFERROR(MATCH(A198,Lists!$A$2:$A$37,0),""))</f>
        <v>23</v>
      </c>
      <c r="C198" s="6" t="s">
        <v>286</v>
      </c>
      <c r="D198" s="6" t="s">
        <v>311</v>
      </c>
      <c r="E198" s="40" t="n">
        <v>11</v>
      </c>
      <c r="F198" s="40" t="n">
        <v>3</v>
      </c>
      <c r="G198" s="43" t="n">
        <v>3.009</v>
      </c>
      <c r="H198" s="40" t="n">
        <v>42</v>
      </c>
      <c r="I198" s="40" t="n">
        <v>18</v>
      </c>
      <c r="J198" s="44"/>
      <c r="K198" s="44"/>
      <c r="L198" s="6" t="s">
        <v>331</v>
      </c>
      <c r="M198" s="6"/>
    </row>
    <row r="199" customFormat="false" ht="15" hidden="false" customHeight="false" outlineLevel="0" collapsed="false">
      <c r="A199" s="6" t="s">
        <v>150</v>
      </c>
      <c r="B199" s="7" t="n">
        <f aca="false">IF(A199="","",IFERROR(MATCH(A199,Lists!$A$2:$A$37,0),""))</f>
        <v>23</v>
      </c>
      <c r="C199" s="6" t="s">
        <v>286</v>
      </c>
      <c r="D199" s="6" t="s">
        <v>312</v>
      </c>
      <c r="E199" s="40" t="n">
        <v>84</v>
      </c>
      <c r="F199" s="40" t="n">
        <v>42</v>
      </c>
      <c r="G199" s="43" t="n">
        <v>3.247</v>
      </c>
      <c r="H199" s="40" t="n">
        <v>30</v>
      </c>
      <c r="I199" s="40" t="n">
        <v>10</v>
      </c>
      <c r="J199" s="44"/>
      <c r="K199" s="44"/>
      <c r="L199" s="6" t="s">
        <v>331</v>
      </c>
      <c r="M199" s="6"/>
    </row>
    <row r="200" customFormat="false" ht="15" hidden="false" customHeight="false" outlineLevel="0" collapsed="false">
      <c r="A200" s="6" t="s">
        <v>150</v>
      </c>
      <c r="B200" s="7" t="n">
        <f aca="false">IF(A200="","",IFERROR(MATCH(A200,Lists!$A$2:$A$37,0),""))</f>
        <v>23</v>
      </c>
      <c r="C200" s="6" t="s">
        <v>286</v>
      </c>
      <c r="D200" s="6" t="s">
        <v>313</v>
      </c>
      <c r="E200" s="40" t="n">
        <v>43</v>
      </c>
      <c r="F200" s="40" t="n">
        <v>13</v>
      </c>
      <c r="G200" s="43" t="n">
        <v>2.864</v>
      </c>
      <c r="H200" s="40" t="n">
        <v>46</v>
      </c>
      <c r="I200" s="40" t="n">
        <v>22</v>
      </c>
      <c r="J200" s="44"/>
      <c r="K200" s="44"/>
      <c r="L200" s="6" t="s">
        <v>331</v>
      </c>
      <c r="M200" s="6"/>
    </row>
    <row r="201" customFormat="false" ht="15" hidden="false" customHeight="false" outlineLevel="0" collapsed="false">
      <c r="A201" s="6" t="s">
        <v>150</v>
      </c>
      <c r="B201" s="7" t="n">
        <f aca="false">IF(A201="","",IFERROR(MATCH(A201,Lists!$A$2:$A$37,0),""))</f>
        <v>23</v>
      </c>
      <c r="C201" s="6" t="s">
        <v>286</v>
      </c>
      <c r="D201" s="6" t="s">
        <v>314</v>
      </c>
      <c r="E201" s="40" t="n">
        <v>143</v>
      </c>
      <c r="F201" s="40" t="n">
        <v>40</v>
      </c>
      <c r="G201" s="43" t="n">
        <v>3.459</v>
      </c>
      <c r="H201" s="40" t="n">
        <v>14</v>
      </c>
      <c r="I201" s="40" t="n">
        <v>4</v>
      </c>
      <c r="J201" s="44"/>
      <c r="K201" s="44"/>
      <c r="L201" s="6" t="s">
        <v>331</v>
      </c>
      <c r="M201" s="6"/>
    </row>
    <row r="202" customFormat="false" ht="15" hidden="false" customHeight="false" outlineLevel="0" collapsed="false">
      <c r="A202" s="6" t="s">
        <v>150</v>
      </c>
      <c r="B202" s="7" t="n">
        <f aca="false">IF(A202="","",IFERROR(MATCH(A202,Lists!$A$2:$A$37,0),""))</f>
        <v>23</v>
      </c>
      <c r="C202" s="6" t="s">
        <v>286</v>
      </c>
      <c r="D202" s="6" t="s">
        <v>324</v>
      </c>
      <c r="E202" s="40" t="n">
        <v>16</v>
      </c>
      <c r="F202" s="40" t="n">
        <v>1</v>
      </c>
      <c r="G202" s="43" t="n">
        <v>2.888</v>
      </c>
      <c r="H202" s="40" t="n">
        <v>45</v>
      </c>
      <c r="I202" s="40" t="n">
        <v>21</v>
      </c>
      <c r="J202" s="44"/>
      <c r="K202" s="44"/>
      <c r="L202" s="6" t="s">
        <v>331</v>
      </c>
      <c r="M202" s="6"/>
    </row>
    <row r="203" customFormat="false" ht="15" hidden="false" customHeight="false" outlineLevel="0" collapsed="false">
      <c r="A203" s="6" t="s">
        <v>150</v>
      </c>
      <c r="B203" s="7" t="n">
        <f aca="false">IF(A203="","",IFERROR(MATCH(A203,Lists!$A$2:$A$37,0),""))</f>
        <v>23</v>
      </c>
      <c r="C203" s="6" t="s">
        <v>286</v>
      </c>
      <c r="D203" s="6" t="s">
        <v>287</v>
      </c>
      <c r="E203" s="40" t="n">
        <v>74</v>
      </c>
      <c r="F203" s="40" t="n">
        <v>14</v>
      </c>
      <c r="G203" s="43" t="n">
        <v>3.167</v>
      </c>
      <c r="H203" s="40" t="n">
        <v>35</v>
      </c>
      <c r="I203" s="40" t="n">
        <v>14</v>
      </c>
      <c r="J203" s="44"/>
      <c r="K203" s="44"/>
      <c r="L203" s="6" t="s">
        <v>331</v>
      </c>
      <c r="M203" s="6" t="s">
        <v>337</v>
      </c>
    </row>
    <row r="204" customFormat="false" ht="15" hidden="false" customHeight="false" outlineLevel="0" collapsed="false">
      <c r="A204" s="6" t="s">
        <v>150</v>
      </c>
      <c r="B204" s="7" t="n">
        <f aca="false">IF(A204="","",IFERROR(MATCH(A204,Lists!$A$2:$A$37,0),""))</f>
        <v>23</v>
      </c>
      <c r="C204" s="6" t="s">
        <v>286</v>
      </c>
      <c r="D204" s="6" t="s">
        <v>317</v>
      </c>
      <c r="E204" s="40" t="n">
        <v>21</v>
      </c>
      <c r="F204" s="40" t="n">
        <v>5</v>
      </c>
      <c r="G204" s="43" t="n">
        <v>3.055</v>
      </c>
      <c r="H204" s="40" t="n">
        <v>44</v>
      </c>
      <c r="I204" s="40" t="n">
        <v>20</v>
      </c>
      <c r="J204" s="44"/>
      <c r="K204" s="44"/>
      <c r="L204" s="6" t="s">
        <v>331</v>
      </c>
      <c r="M204" s="6"/>
    </row>
    <row r="205" customFormat="false" ht="15" hidden="false" customHeight="false" outlineLevel="0" collapsed="false">
      <c r="A205" s="6" t="s">
        <v>151</v>
      </c>
      <c r="B205" s="7" t="n">
        <f aca="false">IF(A205="","",IFERROR(MATCH(A205,Lists!$A$2:$A$37,0),""))</f>
        <v>24</v>
      </c>
      <c r="C205" s="6" t="s">
        <v>286</v>
      </c>
      <c r="D205" s="6" t="s">
        <v>290</v>
      </c>
      <c r="E205" s="40" t="n">
        <v>45</v>
      </c>
      <c r="F205" s="40"/>
      <c r="G205" s="43" t="n">
        <v>3.126</v>
      </c>
      <c r="H205" s="40" t="n">
        <v>41</v>
      </c>
      <c r="I205" s="40" t="n">
        <v>19</v>
      </c>
      <c r="J205" s="44"/>
      <c r="K205" s="44"/>
      <c r="L205" s="6" t="s">
        <v>338</v>
      </c>
      <c r="M205" s="6"/>
    </row>
    <row r="206" customFormat="false" ht="15" hidden="false" customHeight="false" outlineLevel="0" collapsed="false">
      <c r="A206" s="6" t="s">
        <v>151</v>
      </c>
      <c r="B206" s="7" t="n">
        <f aca="false">IF(A206="","",IFERROR(MATCH(A206,Lists!$A$2:$A$37,0),""))</f>
        <v>24</v>
      </c>
      <c r="C206" s="6" t="s">
        <v>286</v>
      </c>
      <c r="D206" s="6" t="s">
        <v>293</v>
      </c>
      <c r="E206" s="40" t="n">
        <v>90</v>
      </c>
      <c r="F206" s="40"/>
      <c r="G206" s="43" t="n">
        <v>3.367</v>
      </c>
      <c r="H206" s="40" t="n">
        <v>26</v>
      </c>
      <c r="I206" s="40" t="n">
        <v>8</v>
      </c>
      <c r="J206" s="44"/>
      <c r="K206" s="44"/>
      <c r="L206" s="6" t="s">
        <v>338</v>
      </c>
      <c r="M206" s="6"/>
    </row>
    <row r="207" customFormat="false" ht="15" hidden="false" customHeight="false" outlineLevel="0" collapsed="false">
      <c r="A207" s="6" t="s">
        <v>151</v>
      </c>
      <c r="B207" s="7" t="n">
        <f aca="false">IF(A207="","",IFERROR(MATCH(A207,Lists!$A$2:$A$37,0),""))</f>
        <v>24</v>
      </c>
      <c r="C207" s="6" t="s">
        <v>286</v>
      </c>
      <c r="D207" s="6" t="s">
        <v>294</v>
      </c>
      <c r="E207" s="40" t="n">
        <v>79</v>
      </c>
      <c r="F207" s="40"/>
      <c r="G207" s="43" t="n">
        <v>3.214</v>
      </c>
      <c r="H207" s="40" t="n">
        <v>36</v>
      </c>
      <c r="I207" s="40" t="n">
        <v>17</v>
      </c>
      <c r="J207" s="44"/>
      <c r="K207" s="44"/>
      <c r="L207" s="6" t="s">
        <v>338</v>
      </c>
      <c r="M207" s="6"/>
    </row>
    <row r="208" customFormat="false" ht="15" hidden="false" customHeight="false" outlineLevel="0" collapsed="false">
      <c r="A208" s="6" t="s">
        <v>151</v>
      </c>
      <c r="B208" s="7" t="n">
        <f aca="false">IF(A208="","",IFERROR(MATCH(A208,Lists!$A$2:$A$37,0),""))</f>
        <v>24</v>
      </c>
      <c r="C208" s="6" t="s">
        <v>286</v>
      </c>
      <c r="D208" s="6" t="s">
        <v>295</v>
      </c>
      <c r="E208" s="40" t="n">
        <v>116</v>
      </c>
      <c r="F208" s="40"/>
      <c r="G208" s="43" t="n">
        <v>3.142</v>
      </c>
      <c r="H208" s="40" t="n">
        <v>40</v>
      </c>
      <c r="I208" s="40" t="n">
        <v>18</v>
      </c>
      <c r="J208" s="44"/>
      <c r="K208" s="44"/>
      <c r="L208" s="6" t="s">
        <v>338</v>
      </c>
      <c r="M208" s="6"/>
    </row>
    <row r="209" customFormat="false" ht="15" hidden="false" customHeight="false" outlineLevel="0" collapsed="false">
      <c r="A209" s="6" t="s">
        <v>151</v>
      </c>
      <c r="B209" s="7" t="n">
        <f aca="false">IF(A209="","",IFERROR(MATCH(A209,Lists!$A$2:$A$37,0),""))</f>
        <v>24</v>
      </c>
      <c r="C209" s="6" t="s">
        <v>286</v>
      </c>
      <c r="D209" s="6" t="s">
        <v>296</v>
      </c>
      <c r="E209" s="40" t="n">
        <v>11</v>
      </c>
      <c r="F209" s="40"/>
      <c r="G209" s="43" t="n">
        <v>3.298</v>
      </c>
      <c r="H209" s="40" t="n">
        <v>29</v>
      </c>
      <c r="I209" s="40" t="n">
        <v>11</v>
      </c>
      <c r="J209" s="44"/>
      <c r="K209" s="44"/>
      <c r="L209" s="6" t="s">
        <v>338</v>
      </c>
      <c r="M209" s="6"/>
    </row>
    <row r="210" customFormat="false" ht="15" hidden="false" customHeight="false" outlineLevel="0" collapsed="false">
      <c r="A210" s="6" t="s">
        <v>151</v>
      </c>
      <c r="B210" s="7" t="n">
        <f aca="false">IF(A210="","",IFERROR(MATCH(A210,Lists!$A$2:$A$37,0),""))</f>
        <v>24</v>
      </c>
      <c r="C210" s="6" t="s">
        <v>286</v>
      </c>
      <c r="D210" s="6" t="s">
        <v>297</v>
      </c>
      <c r="E210" s="40" t="n">
        <v>108</v>
      </c>
      <c r="F210" s="40"/>
      <c r="G210" s="43" t="n">
        <v>3.446</v>
      </c>
      <c r="H210" s="40" t="n">
        <v>20</v>
      </c>
      <c r="I210" s="40" t="n">
        <v>6</v>
      </c>
      <c r="J210" s="44"/>
      <c r="K210" s="44"/>
      <c r="L210" s="6" t="s">
        <v>338</v>
      </c>
      <c r="M210" s="6" t="s">
        <v>332</v>
      </c>
    </row>
    <row r="211" customFormat="false" ht="15" hidden="false" customHeight="false" outlineLevel="0" collapsed="false">
      <c r="A211" s="6" t="s">
        <v>151</v>
      </c>
      <c r="B211" s="7" t="n">
        <f aca="false">IF(A211="","",IFERROR(MATCH(A211,Lists!$A$2:$A$37,0),""))</f>
        <v>24</v>
      </c>
      <c r="C211" s="6" t="s">
        <v>286</v>
      </c>
      <c r="D211" s="6" t="s">
        <v>298</v>
      </c>
      <c r="E211" s="40" t="n">
        <v>12</v>
      </c>
      <c r="F211" s="40"/>
      <c r="G211" s="43" t="n">
        <v>3.632</v>
      </c>
      <c r="H211" s="40" t="n">
        <v>3</v>
      </c>
      <c r="I211" s="40" t="n">
        <v>1</v>
      </c>
      <c r="J211" s="44"/>
      <c r="K211" s="44"/>
      <c r="L211" s="6" t="s">
        <v>338</v>
      </c>
      <c r="M211" s="6"/>
    </row>
    <row r="212" customFormat="false" ht="15" hidden="false" customHeight="false" outlineLevel="0" collapsed="false">
      <c r="A212" s="6" t="s">
        <v>151</v>
      </c>
      <c r="B212" s="7" t="n">
        <f aca="false">IF(A212="","",IFERROR(MATCH(A212,Lists!$A$2:$A$37,0),""))</f>
        <v>24</v>
      </c>
      <c r="C212" s="6" t="s">
        <v>286</v>
      </c>
      <c r="D212" s="6" t="s">
        <v>333</v>
      </c>
      <c r="E212" s="40" t="n">
        <v>17</v>
      </c>
      <c r="F212" s="40"/>
      <c r="G212" s="43" t="n">
        <v>3.263</v>
      </c>
      <c r="H212" s="40" t="n">
        <v>33</v>
      </c>
      <c r="I212" s="40" t="n">
        <v>14</v>
      </c>
      <c r="J212" s="44"/>
      <c r="K212" s="44"/>
      <c r="L212" s="6" t="s">
        <v>338</v>
      </c>
      <c r="M212" s="6"/>
    </row>
    <row r="213" customFormat="false" ht="15" hidden="false" customHeight="false" outlineLevel="0" collapsed="false">
      <c r="A213" s="6" t="s">
        <v>151</v>
      </c>
      <c r="B213" s="7" t="n">
        <f aca="false">IF(A213="","",IFERROR(MATCH(A213,Lists!$A$2:$A$37,0),""))</f>
        <v>24</v>
      </c>
      <c r="C213" s="6" t="s">
        <v>286</v>
      </c>
      <c r="D213" s="6" t="s">
        <v>299</v>
      </c>
      <c r="E213" s="40" t="n">
        <v>63</v>
      </c>
      <c r="F213" s="40"/>
      <c r="G213" s="43" t="n">
        <v>3.29</v>
      </c>
      <c r="H213" s="40" t="n">
        <v>30</v>
      </c>
      <c r="I213" s="40" t="n">
        <v>12</v>
      </c>
      <c r="J213" s="44"/>
      <c r="K213" s="44"/>
      <c r="L213" s="6" t="s">
        <v>338</v>
      </c>
      <c r="M213" s="6"/>
    </row>
    <row r="214" customFormat="false" ht="15" hidden="false" customHeight="false" outlineLevel="0" collapsed="false">
      <c r="A214" s="6" t="s">
        <v>151</v>
      </c>
      <c r="B214" s="7" t="n">
        <f aca="false">IF(A214="","",IFERROR(MATCH(A214,Lists!$A$2:$A$37,0),""))</f>
        <v>24</v>
      </c>
      <c r="C214" s="6" t="s">
        <v>286</v>
      </c>
      <c r="D214" s="6" t="s">
        <v>301</v>
      </c>
      <c r="E214" s="40" t="n">
        <v>90</v>
      </c>
      <c r="F214" s="40"/>
      <c r="G214" s="43" t="n">
        <v>3.263</v>
      </c>
      <c r="H214" s="40" t="n">
        <v>33</v>
      </c>
      <c r="I214" s="40" t="n">
        <v>14</v>
      </c>
      <c r="J214" s="44"/>
      <c r="K214" s="44"/>
      <c r="L214" s="6" t="s">
        <v>338</v>
      </c>
      <c r="M214" s="6"/>
    </row>
    <row r="215" customFormat="false" ht="15" hidden="false" customHeight="false" outlineLevel="0" collapsed="false">
      <c r="A215" s="6" t="s">
        <v>151</v>
      </c>
      <c r="B215" s="7" t="n">
        <f aca="false">IF(A215="","",IFERROR(MATCH(A215,Lists!$A$2:$A$37,0),""))</f>
        <v>24</v>
      </c>
      <c r="C215" s="6" t="s">
        <v>286</v>
      </c>
      <c r="D215" s="6" t="s">
        <v>302</v>
      </c>
      <c r="E215" s="40" t="n">
        <v>103</v>
      </c>
      <c r="F215" s="40"/>
      <c r="G215" s="43" t="n">
        <v>3.6</v>
      </c>
      <c r="H215" s="40" t="n">
        <v>6</v>
      </c>
      <c r="I215" s="40" t="n">
        <v>2</v>
      </c>
      <c r="J215" s="44"/>
      <c r="K215" s="44"/>
      <c r="L215" s="6" t="s">
        <v>338</v>
      </c>
      <c r="M215" s="6"/>
    </row>
    <row r="216" customFormat="false" ht="15" hidden="false" customHeight="false" outlineLevel="0" collapsed="false">
      <c r="A216" s="6" t="s">
        <v>151</v>
      </c>
      <c r="B216" s="7" t="n">
        <f aca="false">IF(A216="","",IFERROR(MATCH(A216,Lists!$A$2:$A$37,0),""))</f>
        <v>24</v>
      </c>
      <c r="C216" s="6" t="s">
        <v>286</v>
      </c>
      <c r="D216" s="6" t="s">
        <v>303</v>
      </c>
      <c r="E216" s="40" t="n">
        <v>42</v>
      </c>
      <c r="F216" s="40"/>
      <c r="G216" s="43" t="n">
        <v>2.901</v>
      </c>
      <c r="H216" s="40" t="n">
        <v>43</v>
      </c>
      <c r="I216" s="40" t="n">
        <v>21</v>
      </c>
      <c r="J216" s="44"/>
      <c r="K216" s="44"/>
      <c r="L216" s="6" t="s">
        <v>338</v>
      </c>
      <c r="M216" s="6"/>
    </row>
    <row r="217" customFormat="false" ht="15" hidden="false" customHeight="false" outlineLevel="0" collapsed="false">
      <c r="A217" s="6" t="s">
        <v>151</v>
      </c>
      <c r="B217" s="7" t="n">
        <f aca="false">IF(A217="","",IFERROR(MATCH(A217,Lists!$A$2:$A$37,0),""))</f>
        <v>24</v>
      </c>
      <c r="C217" s="6" t="s">
        <v>286</v>
      </c>
      <c r="D217" s="6" t="s">
        <v>304</v>
      </c>
      <c r="E217" s="40" t="n">
        <v>128</v>
      </c>
      <c r="F217" s="40"/>
      <c r="G217" s="43" t="n">
        <v>3.352</v>
      </c>
      <c r="H217" s="40" t="n">
        <v>27</v>
      </c>
      <c r="I217" s="40" t="n">
        <v>9</v>
      </c>
      <c r="J217" s="44"/>
      <c r="K217" s="44"/>
      <c r="L217" s="6" t="s">
        <v>338</v>
      </c>
      <c r="M217" s="6"/>
    </row>
    <row r="218" customFormat="false" ht="15" hidden="false" customHeight="false" outlineLevel="0" collapsed="false">
      <c r="A218" s="6" t="s">
        <v>151</v>
      </c>
      <c r="B218" s="7" t="n">
        <f aca="false">IF(A218="","",IFERROR(MATCH(A218,Lists!$A$2:$A$37,0),""))</f>
        <v>24</v>
      </c>
      <c r="C218" s="6" t="s">
        <v>286</v>
      </c>
      <c r="D218" s="6" t="s">
        <v>305</v>
      </c>
      <c r="E218" s="40"/>
      <c r="F218" s="40"/>
      <c r="G218" s="43"/>
      <c r="H218" s="40"/>
      <c r="I218" s="40"/>
      <c r="J218" s="44"/>
      <c r="K218" s="44"/>
      <c r="L218" s="6" t="s">
        <v>338</v>
      </c>
      <c r="M218" s="6" t="s">
        <v>335</v>
      </c>
    </row>
    <row r="219" customFormat="false" ht="15" hidden="false" customHeight="false" outlineLevel="0" collapsed="false">
      <c r="A219" s="6" t="s">
        <v>151</v>
      </c>
      <c r="B219" s="7" t="n">
        <f aca="false">IF(A219="","",IFERROR(MATCH(A219,Lists!$A$2:$A$37,0),""))</f>
        <v>24</v>
      </c>
      <c r="C219" s="6" t="s">
        <v>286</v>
      </c>
      <c r="D219" s="6" t="s">
        <v>306</v>
      </c>
      <c r="E219" s="40" t="n">
        <v>52</v>
      </c>
      <c r="F219" s="40"/>
      <c r="G219" s="43" t="n">
        <v>2.841</v>
      </c>
      <c r="H219" s="40" t="n">
        <v>45</v>
      </c>
      <c r="I219" s="40" t="n">
        <v>23</v>
      </c>
      <c r="J219" s="44"/>
      <c r="K219" s="44"/>
      <c r="L219" s="6" t="s">
        <v>338</v>
      </c>
      <c r="M219" s="6"/>
    </row>
    <row r="220" customFormat="false" ht="15" hidden="false" customHeight="false" outlineLevel="0" collapsed="false">
      <c r="A220" s="6" t="s">
        <v>151</v>
      </c>
      <c r="B220" s="7" t="n">
        <f aca="false">IF(A220="","",IFERROR(MATCH(A220,Lists!$A$2:$A$37,0),""))</f>
        <v>24</v>
      </c>
      <c r="C220" s="6" t="s">
        <v>286</v>
      </c>
      <c r="D220" s="6" t="s">
        <v>307</v>
      </c>
      <c r="E220" s="40" t="n">
        <v>81</v>
      </c>
      <c r="F220" s="40"/>
      <c r="G220" s="43" t="n">
        <v>3.505</v>
      </c>
      <c r="H220" s="40" t="n">
        <v>15</v>
      </c>
      <c r="I220" s="40" t="n">
        <v>4</v>
      </c>
      <c r="J220" s="44"/>
      <c r="K220" s="44"/>
      <c r="L220" s="6" t="s">
        <v>338</v>
      </c>
      <c r="M220" s="6" t="s">
        <v>336</v>
      </c>
    </row>
    <row r="221" customFormat="false" ht="15" hidden="false" customHeight="false" outlineLevel="0" collapsed="false">
      <c r="A221" s="6" t="s">
        <v>151</v>
      </c>
      <c r="B221" s="7" t="n">
        <f aca="false">IF(A221="","",IFERROR(MATCH(A221,Lists!$A$2:$A$37,0),""))</f>
        <v>24</v>
      </c>
      <c r="C221" s="6" t="s">
        <v>286</v>
      </c>
      <c r="D221" s="6" t="s">
        <v>308</v>
      </c>
      <c r="E221" s="40" t="n">
        <v>143</v>
      </c>
      <c r="F221" s="40"/>
      <c r="G221" s="43" t="n">
        <v>3.478</v>
      </c>
      <c r="H221" s="40" t="n">
        <v>16</v>
      </c>
      <c r="I221" s="40" t="n">
        <v>5</v>
      </c>
      <c r="J221" s="44"/>
      <c r="K221" s="44"/>
      <c r="L221" s="6" t="s">
        <v>338</v>
      </c>
      <c r="M221" s="6"/>
    </row>
    <row r="222" customFormat="false" ht="15" hidden="false" customHeight="false" outlineLevel="0" collapsed="false">
      <c r="A222" s="6" t="s">
        <v>151</v>
      </c>
      <c r="B222" s="7" t="n">
        <f aca="false">IF(A222="","",IFERROR(MATCH(A222,Lists!$A$2:$A$37,0),""))</f>
        <v>24</v>
      </c>
      <c r="C222" s="6" t="s">
        <v>286</v>
      </c>
      <c r="D222" s="6" t="s">
        <v>309</v>
      </c>
      <c r="E222" s="40" t="n">
        <v>46</v>
      </c>
      <c r="F222" s="40"/>
      <c r="G222" s="43" t="n">
        <v>2.793</v>
      </c>
      <c r="H222" s="40" t="n">
        <v>46</v>
      </c>
      <c r="I222" s="40" t="n">
        <v>24</v>
      </c>
      <c r="J222" s="44"/>
      <c r="K222" s="44"/>
      <c r="L222" s="6" t="s">
        <v>338</v>
      </c>
      <c r="M222" s="6"/>
    </row>
    <row r="223" customFormat="false" ht="15" hidden="false" customHeight="false" outlineLevel="0" collapsed="false">
      <c r="A223" s="6" t="s">
        <v>151</v>
      </c>
      <c r="B223" s="7" t="n">
        <f aca="false">IF(A223="","",IFERROR(MATCH(A223,Lists!$A$2:$A$37,0),""))</f>
        <v>24</v>
      </c>
      <c r="C223" s="6" t="s">
        <v>286</v>
      </c>
      <c r="D223" s="6" t="s">
        <v>310</v>
      </c>
      <c r="E223" s="40" t="n">
        <v>123</v>
      </c>
      <c r="F223" s="40"/>
      <c r="G223" s="43" t="n">
        <v>3.266</v>
      </c>
      <c r="H223" s="40" t="n">
        <v>32</v>
      </c>
      <c r="I223" s="40" t="n">
        <v>13</v>
      </c>
      <c r="J223" s="44"/>
      <c r="K223" s="44"/>
      <c r="L223" s="6" t="s">
        <v>338</v>
      </c>
      <c r="M223" s="6"/>
    </row>
    <row r="224" customFormat="false" ht="15" hidden="false" customHeight="false" outlineLevel="0" collapsed="false">
      <c r="A224" s="6" t="s">
        <v>151</v>
      </c>
      <c r="B224" s="7" t="n">
        <f aca="false">IF(A224="","",IFERROR(MATCH(A224,Lists!$A$2:$A$37,0),""))</f>
        <v>24</v>
      </c>
      <c r="C224" s="6" t="s">
        <v>286</v>
      </c>
      <c r="D224" s="6" t="s">
        <v>311</v>
      </c>
      <c r="E224" s="40" t="n">
        <v>11</v>
      </c>
      <c r="F224" s="40"/>
      <c r="G224" s="43" t="n">
        <v>2.979</v>
      </c>
      <c r="H224" s="40" t="n">
        <v>42</v>
      </c>
      <c r="I224" s="40" t="n">
        <v>20</v>
      </c>
      <c r="J224" s="44"/>
      <c r="K224" s="44"/>
      <c r="L224" s="6" t="s">
        <v>338</v>
      </c>
      <c r="M224" s="6"/>
    </row>
    <row r="225" customFormat="false" ht="15" hidden="false" customHeight="false" outlineLevel="0" collapsed="false">
      <c r="A225" s="6" t="s">
        <v>151</v>
      </c>
      <c r="B225" s="7" t="n">
        <f aca="false">IF(A225="","",IFERROR(MATCH(A225,Lists!$A$2:$A$37,0),""))</f>
        <v>24</v>
      </c>
      <c r="C225" s="6" t="s">
        <v>286</v>
      </c>
      <c r="D225" s="6" t="s">
        <v>312</v>
      </c>
      <c r="E225" s="40" t="n">
        <v>74</v>
      </c>
      <c r="F225" s="40"/>
      <c r="G225" s="43" t="n">
        <v>3.428</v>
      </c>
      <c r="H225" s="40" t="n">
        <v>22</v>
      </c>
      <c r="I225" s="40" t="n">
        <v>7</v>
      </c>
      <c r="J225" s="44"/>
      <c r="K225" s="44"/>
      <c r="L225" s="6" t="s">
        <v>338</v>
      </c>
      <c r="M225" s="6"/>
    </row>
    <row r="226" customFormat="false" ht="15" hidden="false" customHeight="false" outlineLevel="0" collapsed="false">
      <c r="A226" s="6" t="s">
        <v>151</v>
      </c>
      <c r="B226" s="7" t="n">
        <f aca="false">IF(A226="","",IFERROR(MATCH(A226,Lists!$A$2:$A$37,0),""))</f>
        <v>24</v>
      </c>
      <c r="C226" s="6" t="s">
        <v>286</v>
      </c>
      <c r="D226" s="6" t="s">
        <v>313</v>
      </c>
      <c r="E226" s="40" t="n">
        <v>48</v>
      </c>
      <c r="F226" s="40"/>
      <c r="G226" s="43" t="n">
        <v>2.884</v>
      </c>
      <c r="H226" s="40" t="n">
        <v>44</v>
      </c>
      <c r="I226" s="40" t="n">
        <v>22</v>
      </c>
      <c r="J226" s="44"/>
      <c r="K226" s="44"/>
      <c r="L226" s="6" t="s">
        <v>338</v>
      </c>
      <c r="M226" s="6"/>
    </row>
    <row r="227" customFormat="false" ht="15" hidden="false" customHeight="false" outlineLevel="0" collapsed="false">
      <c r="A227" s="6" t="s">
        <v>151</v>
      </c>
      <c r="B227" s="7" t="n">
        <f aca="false">IF(A227="","",IFERROR(MATCH(A227,Lists!$A$2:$A$37,0),""))</f>
        <v>24</v>
      </c>
      <c r="C227" s="6" t="s">
        <v>286</v>
      </c>
      <c r="D227" s="6" t="s">
        <v>314</v>
      </c>
      <c r="E227" s="40" t="n">
        <v>133</v>
      </c>
      <c r="F227" s="40"/>
      <c r="G227" s="43" t="n">
        <v>3.527</v>
      </c>
      <c r="H227" s="40" t="n">
        <v>10</v>
      </c>
      <c r="I227" s="40" t="n">
        <v>3</v>
      </c>
      <c r="J227" s="44"/>
      <c r="K227" s="44"/>
      <c r="L227" s="6" t="s">
        <v>338</v>
      </c>
      <c r="M227" s="6"/>
    </row>
    <row r="228" customFormat="false" ht="15" hidden="false" customHeight="false" outlineLevel="0" collapsed="false">
      <c r="A228" s="6" t="s">
        <v>151</v>
      </c>
      <c r="B228" s="7" t="n">
        <f aca="false">IF(A228="","",IFERROR(MATCH(A228,Lists!$A$2:$A$37,0),""))</f>
        <v>24</v>
      </c>
      <c r="C228" s="6" t="s">
        <v>286</v>
      </c>
      <c r="D228" s="6" t="s">
        <v>324</v>
      </c>
      <c r="E228" s="40" t="n">
        <v>8</v>
      </c>
      <c r="F228" s="40"/>
      <c r="G228" s="43" t="n">
        <v>2.755</v>
      </c>
      <c r="H228" s="40" t="n">
        <v>47</v>
      </c>
      <c r="I228" s="40" t="n">
        <v>25</v>
      </c>
      <c r="J228" s="44"/>
      <c r="K228" s="44"/>
      <c r="L228" s="6" t="s">
        <v>338</v>
      </c>
      <c r="M228" s="6"/>
    </row>
    <row r="229" customFormat="false" ht="15" hidden="false" customHeight="false" outlineLevel="0" collapsed="false">
      <c r="A229" s="6" t="s">
        <v>151</v>
      </c>
      <c r="B229" s="7" t="n">
        <f aca="false">IF(A229="","",IFERROR(MATCH(A229,Lists!$A$2:$A$37,0),""))</f>
        <v>24</v>
      </c>
      <c r="C229" s="6" t="s">
        <v>286</v>
      </c>
      <c r="D229" s="6" t="s">
        <v>287</v>
      </c>
      <c r="E229" s="40" t="n">
        <v>68</v>
      </c>
      <c r="F229" s="40"/>
      <c r="G229" s="43" t="n">
        <v>3.316</v>
      </c>
      <c r="H229" s="40" t="n">
        <v>28</v>
      </c>
      <c r="I229" s="40" t="n">
        <v>10</v>
      </c>
      <c r="J229" s="44"/>
      <c r="K229" s="44"/>
      <c r="L229" s="6" t="s">
        <v>338</v>
      </c>
      <c r="M229" s="6" t="s">
        <v>339</v>
      </c>
    </row>
    <row r="230" customFormat="false" ht="15" hidden="false" customHeight="false" outlineLevel="0" collapsed="false">
      <c r="A230" s="6" t="s">
        <v>151</v>
      </c>
      <c r="B230" s="7" t="n">
        <f aca="false">IF(A230="","",IFERROR(MATCH(A230,Lists!$A$2:$A$37,0),""))</f>
        <v>24</v>
      </c>
      <c r="C230" s="6" t="s">
        <v>286</v>
      </c>
      <c r="D230" s="6" t="s">
        <v>317</v>
      </c>
      <c r="E230" s="40" t="n">
        <v>23</v>
      </c>
      <c r="F230" s="40"/>
      <c r="G230" s="43" t="n">
        <v>3.223</v>
      </c>
      <c r="H230" s="40" t="n">
        <v>35</v>
      </c>
      <c r="I230" s="40" t="n">
        <v>16</v>
      </c>
      <c r="J230" s="44"/>
      <c r="K230" s="44"/>
      <c r="L230" s="6" t="s">
        <v>338</v>
      </c>
      <c r="M230" s="6"/>
    </row>
    <row r="231" customFormat="false" ht="15" hidden="false" customHeight="false" outlineLevel="0" collapsed="false">
      <c r="A231" s="6" t="s">
        <v>152</v>
      </c>
      <c r="B231" s="7" t="n">
        <f aca="false">IF(A231="","",IFERROR(MATCH(A231,Lists!$A$2:$A$37,0),""))</f>
        <v>25</v>
      </c>
      <c r="C231" s="6" t="s">
        <v>286</v>
      </c>
      <c r="D231" s="6" t="s">
        <v>290</v>
      </c>
      <c r="E231" s="40" t="n">
        <v>39</v>
      </c>
      <c r="F231" s="40" t="n">
        <v>7</v>
      </c>
      <c r="G231" s="43" t="n">
        <v>3.17</v>
      </c>
      <c r="H231" s="40" t="n">
        <v>35</v>
      </c>
      <c r="I231" s="40" t="n">
        <v>15</v>
      </c>
      <c r="J231" s="44"/>
      <c r="K231" s="44"/>
      <c r="L231" s="6" t="s">
        <v>340</v>
      </c>
      <c r="M231" s="6"/>
    </row>
    <row r="232" customFormat="false" ht="15" hidden="false" customHeight="false" outlineLevel="0" collapsed="false">
      <c r="A232" s="6" t="s">
        <v>152</v>
      </c>
      <c r="B232" s="7" t="n">
        <f aca="false">IF(A232="","",IFERROR(MATCH(A232,Lists!$A$2:$A$37,0),""))</f>
        <v>25</v>
      </c>
      <c r="C232" s="6" t="s">
        <v>286</v>
      </c>
      <c r="D232" s="6" t="s">
        <v>293</v>
      </c>
      <c r="E232" s="40" t="n">
        <v>97</v>
      </c>
      <c r="F232" s="40" t="n">
        <v>23</v>
      </c>
      <c r="G232" s="43" t="n">
        <v>3.295</v>
      </c>
      <c r="H232" s="40" t="n">
        <v>26</v>
      </c>
      <c r="I232" s="40" t="n">
        <v>11</v>
      </c>
      <c r="J232" s="44"/>
      <c r="K232" s="44"/>
      <c r="L232" s="6" t="s">
        <v>340</v>
      </c>
      <c r="M232" s="6"/>
    </row>
    <row r="233" customFormat="false" ht="15" hidden="false" customHeight="false" outlineLevel="0" collapsed="false">
      <c r="A233" s="6" t="s">
        <v>152</v>
      </c>
      <c r="B233" s="7" t="n">
        <f aca="false">IF(A233="","",IFERROR(MATCH(A233,Lists!$A$2:$A$37,0),""))</f>
        <v>25</v>
      </c>
      <c r="C233" s="6" t="s">
        <v>286</v>
      </c>
      <c r="D233" s="6" t="s">
        <v>294</v>
      </c>
      <c r="E233" s="40" t="n">
        <v>91</v>
      </c>
      <c r="F233" s="40" t="n">
        <v>32</v>
      </c>
      <c r="G233" s="43" t="n">
        <v>3.389</v>
      </c>
      <c r="H233" s="40" t="n">
        <v>20</v>
      </c>
      <c r="I233" s="40" t="n">
        <v>7</v>
      </c>
      <c r="J233" s="44"/>
      <c r="K233" s="44"/>
      <c r="L233" s="6" t="s">
        <v>340</v>
      </c>
      <c r="M233" s="6"/>
    </row>
    <row r="234" customFormat="false" ht="15" hidden="false" customHeight="false" outlineLevel="0" collapsed="false">
      <c r="A234" s="6" t="s">
        <v>152</v>
      </c>
      <c r="B234" s="7" t="n">
        <f aca="false">IF(A234="","",IFERROR(MATCH(A234,Lists!$A$2:$A$37,0),""))</f>
        <v>25</v>
      </c>
      <c r="C234" s="6" t="s">
        <v>286</v>
      </c>
      <c r="D234" s="6" t="s">
        <v>295</v>
      </c>
      <c r="E234" s="40" t="n">
        <v>118</v>
      </c>
      <c r="F234" s="40" t="n">
        <v>35</v>
      </c>
      <c r="G234" s="43" t="n">
        <v>3.061</v>
      </c>
      <c r="H234" s="40" t="n">
        <v>40</v>
      </c>
      <c r="I234" s="40" t="n">
        <v>19</v>
      </c>
      <c r="J234" s="44"/>
      <c r="K234" s="44"/>
      <c r="L234" s="6" t="s">
        <v>340</v>
      </c>
      <c r="M234" s="6"/>
    </row>
    <row r="235" customFormat="false" ht="15" hidden="false" customHeight="false" outlineLevel="0" collapsed="false">
      <c r="A235" s="6" t="s">
        <v>152</v>
      </c>
      <c r="B235" s="7" t="n">
        <f aca="false">IF(A235="","",IFERROR(MATCH(A235,Lists!$A$2:$A$37,0),""))</f>
        <v>25</v>
      </c>
      <c r="C235" s="6" t="s">
        <v>286</v>
      </c>
      <c r="D235" s="6" t="s">
        <v>296</v>
      </c>
      <c r="E235" s="40" t="n">
        <v>16</v>
      </c>
      <c r="F235" s="40" t="n">
        <v>8</v>
      </c>
      <c r="G235" s="43" t="n">
        <v>3.55</v>
      </c>
      <c r="H235" s="40" t="n">
        <v>9</v>
      </c>
      <c r="I235" s="40" t="n">
        <v>3</v>
      </c>
      <c r="J235" s="44"/>
      <c r="K235" s="44"/>
      <c r="L235" s="6" t="s">
        <v>340</v>
      </c>
      <c r="M235" s="6"/>
    </row>
    <row r="236" customFormat="false" ht="15" hidden="false" customHeight="false" outlineLevel="0" collapsed="false">
      <c r="A236" s="6" t="s">
        <v>152</v>
      </c>
      <c r="B236" s="7" t="n">
        <f aca="false">IF(A236="","",IFERROR(MATCH(A236,Lists!$A$2:$A$37,0),""))</f>
        <v>25</v>
      </c>
      <c r="C236" s="6" t="s">
        <v>286</v>
      </c>
      <c r="D236" s="6" t="s">
        <v>297</v>
      </c>
      <c r="E236" s="40" t="n">
        <v>105</v>
      </c>
      <c r="F236" s="40" t="n">
        <v>34</v>
      </c>
      <c r="G236" s="43" t="n">
        <v>3.572</v>
      </c>
      <c r="H236" s="40" t="n">
        <v>7</v>
      </c>
      <c r="I236" s="40" t="n">
        <v>2</v>
      </c>
      <c r="J236" s="44"/>
      <c r="K236" s="44"/>
      <c r="L236" s="6" t="s">
        <v>340</v>
      </c>
      <c r="M236" s="6"/>
    </row>
    <row r="237" customFormat="false" ht="15" hidden="false" customHeight="false" outlineLevel="0" collapsed="false">
      <c r="A237" s="6" t="s">
        <v>152</v>
      </c>
      <c r="B237" s="7" t="n">
        <f aca="false">IF(A237="","",IFERROR(MATCH(A237,Lists!$A$2:$A$37,0),""))</f>
        <v>25</v>
      </c>
      <c r="C237" s="6" t="s">
        <v>286</v>
      </c>
      <c r="D237" s="6" t="s">
        <v>298</v>
      </c>
      <c r="E237" s="40" t="n">
        <v>17</v>
      </c>
      <c r="F237" s="40" t="n">
        <v>3</v>
      </c>
      <c r="G237" s="43" t="n">
        <v>3.379</v>
      </c>
      <c r="H237" s="40" t="n">
        <v>21</v>
      </c>
      <c r="I237" s="40" t="n">
        <v>8</v>
      </c>
      <c r="J237" s="44"/>
      <c r="K237" s="44"/>
      <c r="L237" s="6" t="s">
        <v>340</v>
      </c>
      <c r="M237" s="6"/>
    </row>
    <row r="238" customFormat="false" ht="15" hidden="false" customHeight="false" outlineLevel="0" collapsed="false">
      <c r="A238" s="6" t="s">
        <v>152</v>
      </c>
      <c r="B238" s="7" t="n">
        <f aca="false">IF(A238="","",IFERROR(MATCH(A238,Lists!$A$2:$A$37,0),""))</f>
        <v>25</v>
      </c>
      <c r="C238" s="6" t="s">
        <v>286</v>
      </c>
      <c r="D238" s="6" t="s">
        <v>333</v>
      </c>
      <c r="E238" s="40" t="n">
        <v>25</v>
      </c>
      <c r="F238" s="40" t="n">
        <v>6</v>
      </c>
      <c r="G238" s="43" t="n">
        <v>3.146</v>
      </c>
      <c r="H238" s="40" t="n">
        <v>37</v>
      </c>
      <c r="I238" s="40" t="n">
        <v>17</v>
      </c>
      <c r="J238" s="44"/>
      <c r="K238" s="44"/>
      <c r="L238" s="6" t="s">
        <v>340</v>
      </c>
      <c r="M238" s="6"/>
    </row>
    <row r="239" customFormat="false" ht="15" hidden="false" customHeight="false" outlineLevel="0" collapsed="false">
      <c r="A239" s="6" t="s">
        <v>152</v>
      </c>
      <c r="B239" s="7" t="n">
        <f aca="false">IF(A239="","",IFERROR(MATCH(A239,Lists!$A$2:$A$37,0),""))</f>
        <v>25</v>
      </c>
      <c r="C239" s="6" t="s">
        <v>286</v>
      </c>
      <c r="D239" s="6" t="s">
        <v>299</v>
      </c>
      <c r="E239" s="40" t="n">
        <v>83</v>
      </c>
      <c r="F239" s="40" t="n">
        <v>22</v>
      </c>
      <c r="G239" s="43" t="n">
        <v>3.156</v>
      </c>
      <c r="H239" s="40" t="n">
        <v>36</v>
      </c>
      <c r="I239" s="40" t="n">
        <v>16</v>
      </c>
      <c r="J239" s="44"/>
      <c r="K239" s="44"/>
      <c r="L239" s="6" t="s">
        <v>340</v>
      </c>
      <c r="M239" s="6"/>
    </row>
    <row r="240" customFormat="false" ht="15" hidden="false" customHeight="false" outlineLevel="0" collapsed="false">
      <c r="A240" s="6" t="s">
        <v>152</v>
      </c>
      <c r="B240" s="7" t="n">
        <f aca="false">IF(A240="","",IFERROR(MATCH(A240,Lists!$A$2:$A$37,0),""))</f>
        <v>25</v>
      </c>
      <c r="C240" s="6" t="s">
        <v>286</v>
      </c>
      <c r="D240" s="6" t="s">
        <v>301</v>
      </c>
      <c r="E240" s="40" t="n">
        <v>50</v>
      </c>
      <c r="F240" s="40" t="n">
        <v>8</v>
      </c>
      <c r="G240" s="43" t="n">
        <v>3.255</v>
      </c>
      <c r="H240" s="40" t="n">
        <v>27</v>
      </c>
      <c r="I240" s="40" t="n">
        <v>12</v>
      </c>
      <c r="J240" s="44"/>
      <c r="K240" s="44"/>
      <c r="L240" s="6" t="s">
        <v>340</v>
      </c>
      <c r="M240" s="6"/>
    </row>
    <row r="241" customFormat="false" ht="15" hidden="false" customHeight="false" outlineLevel="0" collapsed="false">
      <c r="A241" s="6" t="s">
        <v>152</v>
      </c>
      <c r="B241" s="7" t="n">
        <f aca="false">IF(A241="","",IFERROR(MATCH(A241,Lists!$A$2:$A$37,0),""))</f>
        <v>25</v>
      </c>
      <c r="C241" s="6" t="s">
        <v>286</v>
      </c>
      <c r="D241" s="6" t="s">
        <v>302</v>
      </c>
      <c r="E241" s="40" t="n">
        <v>104</v>
      </c>
      <c r="F241" s="40" t="n">
        <v>22</v>
      </c>
      <c r="G241" s="43" t="n">
        <v>3.758</v>
      </c>
      <c r="H241" s="40" t="n">
        <v>1</v>
      </c>
      <c r="I241" s="40" t="n">
        <v>1</v>
      </c>
      <c r="J241" s="44"/>
      <c r="K241" s="44"/>
      <c r="L241" s="6" t="s">
        <v>340</v>
      </c>
      <c r="M241" s="6"/>
    </row>
    <row r="242" customFormat="false" ht="15" hidden="false" customHeight="false" outlineLevel="0" collapsed="false">
      <c r="A242" s="6" t="s">
        <v>152</v>
      </c>
      <c r="B242" s="7" t="n">
        <f aca="false">IF(A242="","",IFERROR(MATCH(A242,Lists!$A$2:$A$37,0),""))</f>
        <v>25</v>
      </c>
      <c r="C242" s="6" t="s">
        <v>286</v>
      </c>
      <c r="D242" s="6" t="s">
        <v>303</v>
      </c>
      <c r="E242" s="40" t="n">
        <v>49</v>
      </c>
      <c r="F242" s="40" t="n">
        <v>1</v>
      </c>
      <c r="G242" s="43" t="n">
        <v>2.724</v>
      </c>
      <c r="H242" s="40" t="n">
        <v>43</v>
      </c>
      <c r="I242" s="40" t="n">
        <v>22</v>
      </c>
      <c r="J242" s="44"/>
      <c r="K242" s="44"/>
      <c r="L242" s="6" t="s">
        <v>340</v>
      </c>
      <c r="M242" s="6" t="s">
        <v>341</v>
      </c>
    </row>
    <row r="243" customFormat="false" ht="15" hidden="false" customHeight="false" outlineLevel="0" collapsed="false">
      <c r="A243" s="6" t="s">
        <v>152</v>
      </c>
      <c r="B243" s="7" t="n">
        <f aca="false">IF(A243="","",IFERROR(MATCH(A243,Lists!$A$2:$A$37,0),""))</f>
        <v>25</v>
      </c>
      <c r="C243" s="6" t="s">
        <v>286</v>
      </c>
      <c r="D243" s="6" t="s">
        <v>304</v>
      </c>
      <c r="E243" s="40" t="n">
        <v>153</v>
      </c>
      <c r="F243" s="40" t="n">
        <v>45</v>
      </c>
      <c r="G243" s="43" t="n">
        <v>3.224</v>
      </c>
      <c r="H243" s="40" t="n">
        <v>32</v>
      </c>
      <c r="I243" s="40" t="n">
        <v>14</v>
      </c>
      <c r="J243" s="44"/>
      <c r="K243" s="44"/>
      <c r="L243" s="6" t="s">
        <v>340</v>
      </c>
      <c r="M243" s="6"/>
    </row>
    <row r="244" customFormat="false" ht="15" hidden="false" customHeight="false" outlineLevel="0" collapsed="false">
      <c r="A244" s="6" t="s">
        <v>152</v>
      </c>
      <c r="B244" s="7" t="n">
        <f aca="false">IF(A244="","",IFERROR(MATCH(A244,Lists!$A$2:$A$37,0),""))</f>
        <v>25</v>
      </c>
      <c r="C244" s="6" t="s">
        <v>286</v>
      </c>
      <c r="D244" s="6" t="s">
        <v>305</v>
      </c>
      <c r="E244" s="40"/>
      <c r="F244" s="40"/>
      <c r="G244" s="43"/>
      <c r="H244" s="40"/>
      <c r="I244" s="40"/>
      <c r="J244" s="44"/>
      <c r="K244" s="44"/>
      <c r="L244" s="6" t="s">
        <v>340</v>
      </c>
      <c r="M244" s="6" t="s">
        <v>342</v>
      </c>
    </row>
    <row r="245" customFormat="false" ht="15" hidden="false" customHeight="false" outlineLevel="0" collapsed="false">
      <c r="A245" s="6" t="s">
        <v>152</v>
      </c>
      <c r="B245" s="7" t="n">
        <f aca="false">IF(A245="","",IFERROR(MATCH(A245,Lists!$A$2:$A$37,0),""))</f>
        <v>25</v>
      </c>
      <c r="C245" s="6" t="s">
        <v>286</v>
      </c>
      <c r="D245" s="6" t="s">
        <v>306</v>
      </c>
      <c r="E245" s="40" t="n">
        <v>50</v>
      </c>
      <c r="F245" s="40" t="n">
        <v>11</v>
      </c>
      <c r="G245" s="43" t="n">
        <v>2.681</v>
      </c>
      <c r="H245" s="40" t="n">
        <v>44</v>
      </c>
      <c r="I245" s="40" t="n">
        <v>23</v>
      </c>
      <c r="J245" s="44"/>
      <c r="K245" s="44"/>
      <c r="L245" s="6" t="s">
        <v>340</v>
      </c>
      <c r="M245" s="6"/>
    </row>
    <row r="246" customFormat="false" ht="15" hidden="false" customHeight="false" outlineLevel="0" collapsed="false">
      <c r="A246" s="6" t="s">
        <v>152</v>
      </c>
      <c r="B246" s="7" t="n">
        <f aca="false">IF(A246="","",IFERROR(MATCH(A246,Lists!$A$2:$A$37,0),""))</f>
        <v>25</v>
      </c>
      <c r="C246" s="6" t="s">
        <v>286</v>
      </c>
      <c r="D246" s="6" t="s">
        <v>307</v>
      </c>
      <c r="E246" s="40" t="n">
        <v>83</v>
      </c>
      <c r="F246" s="40" t="n">
        <v>21</v>
      </c>
      <c r="G246" s="43" t="n">
        <v>3.508</v>
      </c>
      <c r="H246" s="40" t="n">
        <v>16</v>
      </c>
      <c r="I246" s="40" t="n">
        <v>5</v>
      </c>
      <c r="J246" s="44"/>
      <c r="K246" s="44"/>
      <c r="L246" s="6" t="s">
        <v>340</v>
      </c>
      <c r="M246" s="6"/>
    </row>
    <row r="247" customFormat="false" ht="15" hidden="false" customHeight="false" outlineLevel="0" collapsed="false">
      <c r="A247" s="6" t="s">
        <v>152</v>
      </c>
      <c r="B247" s="7" t="n">
        <f aca="false">IF(A247="","",IFERROR(MATCH(A247,Lists!$A$2:$A$37,0),""))</f>
        <v>25</v>
      </c>
      <c r="C247" s="6" t="s">
        <v>286</v>
      </c>
      <c r="D247" s="6" t="s">
        <v>308</v>
      </c>
      <c r="E247" s="40" t="n">
        <v>139</v>
      </c>
      <c r="F247" s="40" t="n">
        <v>25</v>
      </c>
      <c r="G247" s="43" t="n">
        <v>3.48</v>
      </c>
      <c r="H247" s="40" t="n">
        <v>17</v>
      </c>
      <c r="I247" s="40" t="n">
        <v>6</v>
      </c>
      <c r="J247" s="44"/>
      <c r="K247" s="44"/>
      <c r="L247" s="6" t="s">
        <v>340</v>
      </c>
      <c r="M247" s="6"/>
    </row>
    <row r="248" customFormat="false" ht="15" hidden="false" customHeight="false" outlineLevel="0" collapsed="false">
      <c r="A248" s="6" t="s">
        <v>152</v>
      </c>
      <c r="B248" s="7" t="n">
        <f aca="false">IF(A248="","",IFERROR(MATCH(A248,Lists!$A$2:$A$37,0),""))</f>
        <v>25</v>
      </c>
      <c r="C248" s="6" t="s">
        <v>286</v>
      </c>
      <c r="D248" s="6" t="s">
        <v>309</v>
      </c>
      <c r="E248" s="40" t="n">
        <v>53</v>
      </c>
      <c r="F248" s="40" t="n">
        <v>27</v>
      </c>
      <c r="G248" s="43" t="n">
        <v>2.64</v>
      </c>
      <c r="H248" s="40" t="n">
        <v>45</v>
      </c>
      <c r="I248" s="40" t="n">
        <v>24</v>
      </c>
      <c r="J248" s="44"/>
      <c r="K248" s="44"/>
      <c r="L248" s="6" t="s">
        <v>340</v>
      </c>
      <c r="M248" s="6"/>
    </row>
    <row r="249" customFormat="false" ht="15" hidden="false" customHeight="false" outlineLevel="0" collapsed="false">
      <c r="A249" s="6" t="s">
        <v>152</v>
      </c>
      <c r="B249" s="7" t="n">
        <f aca="false">IF(A249="","",IFERROR(MATCH(A249,Lists!$A$2:$A$37,0),""))</f>
        <v>25</v>
      </c>
      <c r="C249" s="6" t="s">
        <v>286</v>
      </c>
      <c r="D249" s="6" t="s">
        <v>310</v>
      </c>
      <c r="E249" s="40" t="n">
        <v>127</v>
      </c>
      <c r="F249" s="40" t="n">
        <v>35</v>
      </c>
      <c r="G249" s="43" t="n">
        <v>3.228</v>
      </c>
      <c r="H249" s="40" t="n">
        <v>30</v>
      </c>
      <c r="I249" s="40" t="n">
        <v>13</v>
      </c>
      <c r="J249" s="44"/>
      <c r="K249" s="44"/>
      <c r="L249" s="6" t="s">
        <v>340</v>
      </c>
      <c r="M249" s="6"/>
    </row>
    <row r="250" customFormat="false" ht="15" hidden="false" customHeight="false" outlineLevel="0" collapsed="false">
      <c r="A250" s="6" t="s">
        <v>152</v>
      </c>
      <c r="B250" s="7" t="n">
        <f aca="false">IF(A250="","",IFERROR(MATCH(A250,Lists!$A$2:$A$37,0),""))</f>
        <v>25</v>
      </c>
      <c r="C250" s="6" t="s">
        <v>286</v>
      </c>
      <c r="D250" s="6" t="s">
        <v>311</v>
      </c>
      <c r="E250" s="40" t="n">
        <v>12</v>
      </c>
      <c r="F250" s="40" t="n">
        <v>3</v>
      </c>
      <c r="G250" s="43" t="n">
        <v>3.319</v>
      </c>
      <c r="H250" s="40" t="n">
        <v>25</v>
      </c>
      <c r="I250" s="40" t="n">
        <v>10</v>
      </c>
      <c r="J250" s="44"/>
      <c r="K250" s="44"/>
      <c r="L250" s="6" t="s">
        <v>340</v>
      </c>
      <c r="M250" s="6"/>
    </row>
    <row r="251" customFormat="false" ht="15" hidden="false" customHeight="false" outlineLevel="0" collapsed="false">
      <c r="A251" s="6" t="s">
        <v>152</v>
      </c>
      <c r="B251" s="7" t="n">
        <f aca="false">IF(A251="","",IFERROR(MATCH(A251,Lists!$A$2:$A$37,0),""))</f>
        <v>25</v>
      </c>
      <c r="C251" s="6" t="s">
        <v>286</v>
      </c>
      <c r="D251" s="6" t="s">
        <v>312</v>
      </c>
      <c r="E251" s="40" t="n">
        <v>96</v>
      </c>
      <c r="F251" s="40" t="n">
        <v>40</v>
      </c>
      <c r="G251" s="43" t="n">
        <v>3.325</v>
      </c>
      <c r="H251" s="40" t="n">
        <v>24</v>
      </c>
      <c r="I251" s="40" t="n">
        <v>9</v>
      </c>
      <c r="J251" s="44"/>
      <c r="K251" s="44"/>
      <c r="L251" s="6" t="s">
        <v>340</v>
      </c>
      <c r="M251" s="6"/>
    </row>
    <row r="252" customFormat="false" ht="15" hidden="false" customHeight="false" outlineLevel="0" collapsed="false">
      <c r="A252" s="6" t="s">
        <v>152</v>
      </c>
      <c r="B252" s="7" t="n">
        <f aca="false">IF(A252="","",IFERROR(MATCH(A252,Lists!$A$2:$A$37,0),""))</f>
        <v>25</v>
      </c>
      <c r="C252" s="6" t="s">
        <v>286</v>
      </c>
      <c r="D252" s="6" t="s">
        <v>313</v>
      </c>
      <c r="E252" s="40" t="n">
        <v>37</v>
      </c>
      <c r="F252" s="40" t="n">
        <v>1</v>
      </c>
      <c r="G252" s="43" t="n">
        <v>2.827</v>
      </c>
      <c r="H252" s="40" t="n">
        <v>42</v>
      </c>
      <c r="I252" s="40" t="n">
        <v>21</v>
      </c>
      <c r="J252" s="44"/>
      <c r="K252" s="44"/>
      <c r="L252" s="6" t="s">
        <v>340</v>
      </c>
      <c r="M252" s="6"/>
    </row>
    <row r="253" customFormat="false" ht="15" hidden="false" customHeight="false" outlineLevel="0" collapsed="false">
      <c r="A253" s="6" t="s">
        <v>152</v>
      </c>
      <c r="B253" s="7" t="n">
        <f aca="false">IF(A253="","",IFERROR(MATCH(A253,Lists!$A$2:$A$37,0),""))</f>
        <v>25</v>
      </c>
      <c r="C253" s="6" t="s">
        <v>286</v>
      </c>
      <c r="D253" s="6" t="s">
        <v>314</v>
      </c>
      <c r="E253" s="40" t="n">
        <v>146</v>
      </c>
      <c r="F253" s="40" t="n">
        <v>43</v>
      </c>
      <c r="G253" s="43" t="n">
        <v>3.533</v>
      </c>
      <c r="H253" s="40" t="n">
        <v>12</v>
      </c>
      <c r="I253" s="40" t="n">
        <v>4</v>
      </c>
      <c r="J253" s="44"/>
      <c r="K253" s="44"/>
      <c r="L253" s="6" t="s">
        <v>340</v>
      </c>
      <c r="M253" s="6"/>
    </row>
    <row r="254" customFormat="false" ht="15" hidden="false" customHeight="false" outlineLevel="0" collapsed="false">
      <c r="A254" s="6" t="s">
        <v>152</v>
      </c>
      <c r="B254" s="7" t="n">
        <f aca="false">IF(A254="","",IFERROR(MATCH(A254,Lists!$A$2:$A$37,0),""))</f>
        <v>25</v>
      </c>
      <c r="C254" s="6" t="s">
        <v>286</v>
      </c>
      <c r="D254" s="6" t="s">
        <v>324</v>
      </c>
      <c r="E254" s="40"/>
      <c r="F254" s="40"/>
      <c r="G254" s="43"/>
      <c r="H254" s="40"/>
      <c r="I254" s="40"/>
      <c r="J254" s="44"/>
      <c r="K254" s="44"/>
      <c r="L254" s="6" t="s">
        <v>340</v>
      </c>
      <c r="M254" s="6" t="s">
        <v>343</v>
      </c>
    </row>
    <row r="255" customFormat="false" ht="15" hidden="false" customHeight="false" outlineLevel="0" collapsed="false">
      <c r="A255" s="6" t="s">
        <v>152</v>
      </c>
      <c r="B255" s="7" t="n">
        <f aca="false">IF(A255="","",IFERROR(MATCH(A255,Lists!$A$2:$A$37,0),""))</f>
        <v>25</v>
      </c>
      <c r="C255" s="6" t="s">
        <v>286</v>
      </c>
      <c r="D255" s="6" t="s">
        <v>287</v>
      </c>
      <c r="E255" s="40" t="n">
        <v>71</v>
      </c>
      <c r="F255" s="40" t="n">
        <v>17</v>
      </c>
      <c r="G255" s="43" t="n">
        <v>3.096</v>
      </c>
      <c r="H255" s="40" t="n">
        <v>39</v>
      </c>
      <c r="I255" s="40" t="n">
        <v>18</v>
      </c>
      <c r="J255" s="44"/>
      <c r="K255" s="44"/>
      <c r="L255" s="6" t="s">
        <v>340</v>
      </c>
      <c r="M255" s="6" t="s">
        <v>344</v>
      </c>
    </row>
    <row r="256" customFormat="false" ht="15" hidden="false" customHeight="false" outlineLevel="0" collapsed="false">
      <c r="A256" s="6" t="s">
        <v>152</v>
      </c>
      <c r="B256" s="7" t="n">
        <f aca="false">IF(A256="","",IFERROR(MATCH(A256,Lists!$A$2:$A$37,0),""))</f>
        <v>25</v>
      </c>
      <c r="C256" s="6" t="s">
        <v>286</v>
      </c>
      <c r="D256" s="6" t="s">
        <v>317</v>
      </c>
      <c r="E256" s="40" t="n">
        <v>21</v>
      </c>
      <c r="F256" s="40" t="n">
        <v>6</v>
      </c>
      <c r="G256" s="43" t="n">
        <v>3.058</v>
      </c>
      <c r="H256" s="40" t="n">
        <v>41</v>
      </c>
      <c r="I256" s="40" t="n">
        <v>20</v>
      </c>
      <c r="J256" s="44"/>
      <c r="K256" s="44"/>
      <c r="L256" s="6" t="s">
        <v>340</v>
      </c>
      <c r="M256" s="6"/>
    </row>
    <row r="257" customFormat="false" ht="15" hidden="false" customHeight="false" outlineLevel="0" collapsed="false">
      <c r="A257" s="6" t="s">
        <v>153</v>
      </c>
      <c r="B257" s="7" t="n">
        <f aca="false">IF(A257="","",IFERROR(MATCH(A257,Lists!$A$2:$A$37,0),""))</f>
        <v>26</v>
      </c>
      <c r="C257" s="6" t="s">
        <v>286</v>
      </c>
      <c r="D257" s="6" t="s">
        <v>290</v>
      </c>
      <c r="E257" s="40" t="n">
        <v>39</v>
      </c>
      <c r="F257" s="40" t="n">
        <v>1</v>
      </c>
      <c r="G257" s="43" t="n">
        <v>3.441</v>
      </c>
      <c r="H257" s="40" t="n">
        <v>22</v>
      </c>
      <c r="I257" s="40" t="n">
        <v>7</v>
      </c>
      <c r="J257" s="44"/>
      <c r="K257" s="44"/>
      <c r="L257" s="6" t="s">
        <v>345</v>
      </c>
      <c r="M257" s="6"/>
    </row>
    <row r="258" customFormat="false" ht="15" hidden="false" customHeight="false" outlineLevel="0" collapsed="false">
      <c r="A258" s="6" t="s">
        <v>153</v>
      </c>
      <c r="B258" s="7" t="n">
        <f aca="false">IF(A258="","",IFERROR(MATCH(A258,Lists!$A$2:$A$37,0),""))</f>
        <v>26</v>
      </c>
      <c r="C258" s="6" t="s">
        <v>286</v>
      </c>
      <c r="D258" s="6" t="s">
        <v>293</v>
      </c>
      <c r="E258" s="40" t="n">
        <v>96</v>
      </c>
      <c r="F258" s="40" t="n">
        <v>2</v>
      </c>
      <c r="G258" s="43" t="n">
        <v>3.326</v>
      </c>
      <c r="H258" s="40" t="n">
        <v>27</v>
      </c>
      <c r="I258" s="40" t="n">
        <v>10</v>
      </c>
      <c r="J258" s="44"/>
      <c r="K258" s="44"/>
      <c r="L258" s="6" t="s">
        <v>345</v>
      </c>
      <c r="M258" s="6"/>
    </row>
    <row r="259" customFormat="false" ht="15" hidden="false" customHeight="false" outlineLevel="0" collapsed="false">
      <c r="A259" s="6" t="s">
        <v>153</v>
      </c>
      <c r="B259" s="7" t="n">
        <f aca="false">IF(A259="","",IFERROR(MATCH(A259,Lists!$A$2:$A$37,0),""))</f>
        <v>26</v>
      </c>
      <c r="C259" s="6" t="s">
        <v>286</v>
      </c>
      <c r="D259" s="6" t="s">
        <v>294</v>
      </c>
      <c r="E259" s="40" t="n">
        <v>88</v>
      </c>
      <c r="F259" s="40"/>
      <c r="G259" s="43" t="n">
        <v>3.416</v>
      </c>
      <c r="H259" s="40" t="n">
        <v>24</v>
      </c>
      <c r="I259" s="40" t="n">
        <v>9</v>
      </c>
      <c r="J259" s="44"/>
      <c r="K259" s="44"/>
      <c r="L259" s="6" t="s">
        <v>345</v>
      </c>
      <c r="M259" s="6" t="s">
        <v>346</v>
      </c>
    </row>
    <row r="260" customFormat="false" ht="15" hidden="false" customHeight="false" outlineLevel="0" collapsed="false">
      <c r="A260" s="6" t="s">
        <v>153</v>
      </c>
      <c r="B260" s="7" t="n">
        <f aca="false">IF(A260="","",IFERROR(MATCH(A260,Lists!$A$2:$A$37,0),""))</f>
        <v>26</v>
      </c>
      <c r="C260" s="6" t="s">
        <v>286</v>
      </c>
      <c r="D260" s="6" t="s">
        <v>295</v>
      </c>
      <c r="E260" s="40" t="n">
        <v>106</v>
      </c>
      <c r="F260" s="40" t="n">
        <v>6</v>
      </c>
      <c r="G260" s="43" t="n">
        <v>3.176</v>
      </c>
      <c r="H260" s="40" t="n">
        <v>37</v>
      </c>
      <c r="I260" s="40" t="n">
        <v>17</v>
      </c>
      <c r="J260" s="44"/>
      <c r="K260" s="44"/>
      <c r="L260" s="6" t="s">
        <v>345</v>
      </c>
      <c r="M260" s="6"/>
    </row>
    <row r="261" customFormat="false" ht="15" hidden="false" customHeight="false" outlineLevel="0" collapsed="false">
      <c r="A261" s="6" t="s">
        <v>153</v>
      </c>
      <c r="B261" s="7" t="n">
        <f aca="false">IF(A261="","",IFERROR(MATCH(A261,Lists!$A$2:$A$37,0),""))</f>
        <v>26</v>
      </c>
      <c r="C261" s="6" t="s">
        <v>286</v>
      </c>
      <c r="D261" s="6" t="s">
        <v>296</v>
      </c>
      <c r="E261" s="40" t="n">
        <v>12</v>
      </c>
      <c r="F261" s="40"/>
      <c r="G261" s="43" t="n">
        <v>3.287</v>
      </c>
      <c r="H261" s="40" t="n">
        <v>30</v>
      </c>
      <c r="I261" s="40" t="n">
        <v>13</v>
      </c>
      <c r="J261" s="44"/>
      <c r="K261" s="44"/>
      <c r="L261" s="6" t="s">
        <v>345</v>
      </c>
      <c r="M261" s="6" t="s">
        <v>347</v>
      </c>
    </row>
    <row r="262" customFormat="false" ht="15" hidden="false" customHeight="false" outlineLevel="0" collapsed="false">
      <c r="A262" s="6" t="s">
        <v>153</v>
      </c>
      <c r="B262" s="7" t="n">
        <f aca="false">IF(A262="","",IFERROR(MATCH(A262,Lists!$A$2:$A$37,0),""))</f>
        <v>26</v>
      </c>
      <c r="C262" s="6" t="s">
        <v>286</v>
      </c>
      <c r="D262" s="6" t="s">
        <v>297</v>
      </c>
      <c r="E262" s="40" t="n">
        <v>101</v>
      </c>
      <c r="F262" s="40"/>
      <c r="G262" s="43" t="n">
        <v>3.539</v>
      </c>
      <c r="H262" s="40" t="n">
        <v>13</v>
      </c>
      <c r="I262" s="40" t="n">
        <v>4</v>
      </c>
      <c r="J262" s="44"/>
      <c r="K262" s="44"/>
      <c r="L262" s="6" t="s">
        <v>345</v>
      </c>
      <c r="M262" s="6" t="s">
        <v>346</v>
      </c>
    </row>
    <row r="263" customFormat="false" ht="15" hidden="false" customHeight="false" outlineLevel="0" collapsed="false">
      <c r="A263" s="6" t="s">
        <v>153</v>
      </c>
      <c r="B263" s="7" t="n">
        <f aca="false">IF(A263="","",IFERROR(MATCH(A263,Lists!$A$2:$A$37,0),""))</f>
        <v>26</v>
      </c>
      <c r="C263" s="6" t="s">
        <v>286</v>
      </c>
      <c r="D263" s="6" t="s">
        <v>298</v>
      </c>
      <c r="E263" s="40" t="n">
        <v>17</v>
      </c>
      <c r="F263" s="40"/>
      <c r="G263" s="43" t="n">
        <v>3.288</v>
      </c>
      <c r="H263" s="40" t="n">
        <v>29</v>
      </c>
      <c r="I263" s="40" t="n">
        <v>12</v>
      </c>
      <c r="J263" s="44"/>
      <c r="K263" s="44"/>
      <c r="L263" s="6" t="s">
        <v>345</v>
      </c>
      <c r="M263" s="6" t="s">
        <v>348</v>
      </c>
    </row>
    <row r="264" customFormat="false" ht="15" hidden="false" customHeight="false" outlineLevel="0" collapsed="false">
      <c r="A264" s="6" t="s">
        <v>153</v>
      </c>
      <c r="B264" s="7" t="n">
        <f aca="false">IF(A264="","",IFERROR(MATCH(A264,Lists!$A$2:$A$37,0),""))</f>
        <v>26</v>
      </c>
      <c r="C264" s="6" t="s">
        <v>286</v>
      </c>
      <c r="D264" s="6" t="s">
        <v>333</v>
      </c>
      <c r="E264" s="40" t="n">
        <v>23</v>
      </c>
      <c r="F264" s="40"/>
      <c r="G264" s="43" t="n">
        <v>3.225</v>
      </c>
      <c r="H264" s="40" t="n">
        <v>34</v>
      </c>
      <c r="I264" s="40" t="n">
        <v>16</v>
      </c>
      <c r="J264" s="44"/>
      <c r="K264" s="44"/>
      <c r="L264" s="6" t="s">
        <v>345</v>
      </c>
      <c r="M264" s="6" t="s">
        <v>347</v>
      </c>
    </row>
    <row r="265" customFormat="false" ht="15" hidden="false" customHeight="false" outlineLevel="0" collapsed="false">
      <c r="A265" s="6" t="s">
        <v>153</v>
      </c>
      <c r="B265" s="7" t="n">
        <f aca="false">IF(A265="","",IFERROR(MATCH(A265,Lists!$A$2:$A$37,0),""))</f>
        <v>26</v>
      </c>
      <c r="C265" s="6" t="s">
        <v>286</v>
      </c>
      <c r="D265" s="6" t="s">
        <v>299</v>
      </c>
      <c r="E265" s="40" t="n">
        <v>83</v>
      </c>
      <c r="F265" s="40" t="n">
        <v>10</v>
      </c>
      <c r="G265" s="43" t="n">
        <v>3.23</v>
      </c>
      <c r="H265" s="40" t="n">
        <v>33</v>
      </c>
      <c r="I265" s="40" t="n">
        <v>15</v>
      </c>
      <c r="J265" s="44"/>
      <c r="K265" s="44"/>
      <c r="L265" s="6" t="s">
        <v>345</v>
      </c>
      <c r="M265" s="6"/>
    </row>
    <row r="266" customFormat="false" ht="15" hidden="false" customHeight="false" outlineLevel="0" collapsed="false">
      <c r="A266" s="6" t="s">
        <v>153</v>
      </c>
      <c r="B266" s="7" t="n">
        <f aca="false">IF(A266="","",IFERROR(MATCH(A266,Lists!$A$2:$A$37,0),""))</f>
        <v>26</v>
      </c>
      <c r="C266" s="6" t="s">
        <v>286</v>
      </c>
      <c r="D266" s="6" t="s">
        <v>301</v>
      </c>
      <c r="E266" s="40" t="n">
        <v>47</v>
      </c>
      <c r="F266" s="40" t="n">
        <v>2</v>
      </c>
      <c r="G266" s="43" t="n">
        <v>3.427</v>
      </c>
      <c r="H266" s="40" t="n">
        <v>23</v>
      </c>
      <c r="I266" s="40" t="n">
        <v>8</v>
      </c>
      <c r="J266" s="44"/>
      <c r="K266" s="44"/>
      <c r="L266" s="6" t="s">
        <v>345</v>
      </c>
      <c r="M266" s="6"/>
    </row>
    <row r="267" customFormat="false" ht="15" hidden="false" customHeight="false" outlineLevel="0" collapsed="false">
      <c r="A267" s="6" t="s">
        <v>153</v>
      </c>
      <c r="B267" s="7" t="n">
        <f aca="false">IF(A267="","",IFERROR(MATCH(A267,Lists!$A$2:$A$37,0),""))</f>
        <v>26</v>
      </c>
      <c r="C267" s="6" t="s">
        <v>286</v>
      </c>
      <c r="D267" s="6" t="s">
        <v>302</v>
      </c>
      <c r="E267" s="40" t="n">
        <v>103</v>
      </c>
      <c r="F267" s="40" t="n">
        <v>4</v>
      </c>
      <c r="G267" s="43" t="n">
        <v>3.695</v>
      </c>
      <c r="H267" s="40" t="n">
        <v>3</v>
      </c>
      <c r="I267" s="40" t="n">
        <v>1</v>
      </c>
      <c r="J267" s="44"/>
      <c r="K267" s="44"/>
      <c r="L267" s="6" t="s">
        <v>345</v>
      </c>
      <c r="M267" s="6" t="s">
        <v>349</v>
      </c>
    </row>
    <row r="268" customFormat="false" ht="15" hidden="false" customHeight="false" outlineLevel="0" collapsed="false">
      <c r="A268" s="6" t="s">
        <v>153</v>
      </c>
      <c r="B268" s="7" t="n">
        <f aca="false">IF(A268="","",IFERROR(MATCH(A268,Lists!$A$2:$A$37,0),""))</f>
        <v>26</v>
      </c>
      <c r="C268" s="6" t="s">
        <v>286</v>
      </c>
      <c r="D268" s="6" t="s">
        <v>303</v>
      </c>
      <c r="E268" s="40" t="n">
        <v>44</v>
      </c>
      <c r="F268" s="40" t="n">
        <v>9</v>
      </c>
      <c r="G268" s="43" t="n">
        <v>2.878</v>
      </c>
      <c r="H268" s="40" t="n">
        <v>46</v>
      </c>
      <c r="I268" s="40" t="n">
        <v>24</v>
      </c>
      <c r="J268" s="44"/>
      <c r="K268" s="44"/>
      <c r="L268" s="6" t="s">
        <v>345</v>
      </c>
      <c r="M268" s="6"/>
    </row>
    <row r="269" customFormat="false" ht="15" hidden="false" customHeight="false" outlineLevel="0" collapsed="false">
      <c r="A269" s="6" t="s">
        <v>153</v>
      </c>
      <c r="B269" s="7" t="n">
        <f aca="false">IF(A269="","",IFERROR(MATCH(A269,Lists!$A$2:$A$37,0),""))</f>
        <v>26</v>
      </c>
      <c r="C269" s="6" t="s">
        <v>286</v>
      </c>
      <c r="D269" s="6" t="s">
        <v>304</v>
      </c>
      <c r="E269" s="40" t="n">
        <v>135</v>
      </c>
      <c r="F269" s="40" t="n">
        <v>5</v>
      </c>
      <c r="G269" s="43" t="n">
        <v>3.315</v>
      </c>
      <c r="H269" s="40" t="n">
        <v>28</v>
      </c>
      <c r="I269" s="40" t="n">
        <v>11</v>
      </c>
      <c r="J269" s="44"/>
      <c r="K269" s="44"/>
      <c r="L269" s="6" t="s">
        <v>345</v>
      </c>
      <c r="M269" s="6"/>
    </row>
    <row r="270" customFormat="false" ht="15" hidden="false" customHeight="false" outlineLevel="0" collapsed="false">
      <c r="A270" s="6" t="s">
        <v>153</v>
      </c>
      <c r="B270" s="7" t="n">
        <f aca="false">IF(A270="","",IFERROR(MATCH(A270,Lists!$A$2:$A$37,0),""))</f>
        <v>26</v>
      </c>
      <c r="C270" s="6" t="s">
        <v>286</v>
      </c>
      <c r="D270" s="6" t="s">
        <v>306</v>
      </c>
      <c r="E270" s="40" t="n">
        <v>35</v>
      </c>
      <c r="F270" s="40" t="n">
        <v>2</v>
      </c>
      <c r="G270" s="43" t="n">
        <v>2.974</v>
      </c>
      <c r="H270" s="40" t="n">
        <v>44</v>
      </c>
      <c r="I270" s="40" t="n">
        <v>22</v>
      </c>
      <c r="J270" s="44"/>
      <c r="K270" s="44"/>
      <c r="L270" s="6" t="s">
        <v>345</v>
      </c>
      <c r="M270" s="6"/>
    </row>
    <row r="271" customFormat="false" ht="15" hidden="false" customHeight="false" outlineLevel="0" collapsed="false">
      <c r="A271" s="6" t="s">
        <v>153</v>
      </c>
      <c r="B271" s="7" t="n">
        <f aca="false">IF(A271="","",IFERROR(MATCH(A271,Lists!$A$2:$A$37,0),""))</f>
        <v>26</v>
      </c>
      <c r="C271" s="6" t="s">
        <v>286</v>
      </c>
      <c r="D271" s="6" t="s">
        <v>307</v>
      </c>
      <c r="E271" s="40" t="n">
        <v>81</v>
      </c>
      <c r="F271" s="40"/>
      <c r="G271" s="43" t="n">
        <v>3.529</v>
      </c>
      <c r="H271" s="40" t="n">
        <v>14</v>
      </c>
      <c r="I271" s="40" t="n">
        <v>5</v>
      </c>
      <c r="J271" s="44"/>
      <c r="K271" s="44"/>
      <c r="L271" s="6" t="s">
        <v>345</v>
      </c>
      <c r="M271" s="6" t="s">
        <v>346</v>
      </c>
    </row>
    <row r="272" customFormat="false" ht="15" hidden="false" customHeight="false" outlineLevel="0" collapsed="false">
      <c r="A272" s="6" t="s">
        <v>153</v>
      </c>
      <c r="B272" s="7" t="n">
        <f aca="false">IF(A272="","",IFERROR(MATCH(A272,Lists!$A$2:$A$37,0),""))</f>
        <v>26</v>
      </c>
      <c r="C272" s="6" t="s">
        <v>286</v>
      </c>
      <c r="D272" s="6" t="s">
        <v>308</v>
      </c>
      <c r="E272" s="40" t="n">
        <v>134</v>
      </c>
      <c r="F272" s="40" t="n">
        <v>21</v>
      </c>
      <c r="G272" s="43" t="n">
        <v>3.58</v>
      </c>
      <c r="H272" s="40" t="n">
        <v>8</v>
      </c>
      <c r="I272" s="40" t="n">
        <v>2</v>
      </c>
      <c r="J272" s="44"/>
      <c r="K272" s="44"/>
      <c r="L272" s="6" t="s">
        <v>345</v>
      </c>
      <c r="M272" s="6"/>
    </row>
    <row r="273" customFormat="false" ht="15" hidden="false" customHeight="false" outlineLevel="0" collapsed="false">
      <c r="A273" s="6" t="s">
        <v>153</v>
      </c>
      <c r="B273" s="7" t="n">
        <f aca="false">IF(A273="","",IFERROR(MATCH(A273,Lists!$A$2:$A$37,0),""))</f>
        <v>26</v>
      </c>
      <c r="C273" s="6" t="s">
        <v>286</v>
      </c>
      <c r="D273" s="6" t="s">
        <v>309</v>
      </c>
      <c r="E273" s="40" t="n">
        <v>51</v>
      </c>
      <c r="F273" s="40" t="n">
        <v>10</v>
      </c>
      <c r="G273" s="43" t="n">
        <v>2.964</v>
      </c>
      <c r="H273" s="40" t="n">
        <v>45</v>
      </c>
      <c r="I273" s="40" t="n">
        <v>23</v>
      </c>
      <c r="J273" s="44"/>
      <c r="K273" s="44"/>
      <c r="L273" s="6" t="s">
        <v>345</v>
      </c>
      <c r="M273" s="6"/>
    </row>
    <row r="274" customFormat="false" ht="15" hidden="false" customHeight="false" outlineLevel="0" collapsed="false">
      <c r="A274" s="6" t="s">
        <v>153</v>
      </c>
      <c r="B274" s="7" t="n">
        <f aca="false">IF(A274="","",IFERROR(MATCH(A274,Lists!$A$2:$A$37,0),""))</f>
        <v>26</v>
      </c>
      <c r="C274" s="6" t="s">
        <v>286</v>
      </c>
      <c r="D274" s="6" t="s">
        <v>310</v>
      </c>
      <c r="E274" s="40" t="n">
        <v>125</v>
      </c>
      <c r="F274" s="40" t="n">
        <v>5</v>
      </c>
      <c r="G274" s="43" t="n">
        <v>3.257</v>
      </c>
      <c r="H274" s="40" t="n">
        <v>31</v>
      </c>
      <c r="I274" s="40" t="n">
        <v>14</v>
      </c>
      <c r="J274" s="44"/>
      <c r="K274" s="44"/>
      <c r="L274" s="6" t="s">
        <v>345</v>
      </c>
      <c r="M274" s="6"/>
    </row>
    <row r="275" customFormat="false" ht="15" hidden="false" customHeight="false" outlineLevel="0" collapsed="false">
      <c r="A275" s="6" t="s">
        <v>153</v>
      </c>
      <c r="B275" s="7" t="n">
        <f aca="false">IF(A275="","",IFERROR(MATCH(A275,Lists!$A$2:$A$37,0),""))</f>
        <v>26</v>
      </c>
      <c r="C275" s="6" t="s">
        <v>286</v>
      </c>
      <c r="D275" s="6" t="s">
        <v>311</v>
      </c>
      <c r="E275" s="40" t="n">
        <v>13</v>
      </c>
      <c r="F275" s="40" t="n">
        <v>4</v>
      </c>
      <c r="G275" s="43" t="n">
        <v>3.02</v>
      </c>
      <c r="H275" s="40" t="n">
        <v>42</v>
      </c>
      <c r="I275" s="40" t="n">
        <v>21</v>
      </c>
      <c r="J275" s="44"/>
      <c r="K275" s="44"/>
      <c r="L275" s="6" t="s">
        <v>345</v>
      </c>
      <c r="M275" s="6" t="s">
        <v>349</v>
      </c>
    </row>
    <row r="276" customFormat="false" ht="15" hidden="false" customHeight="false" outlineLevel="0" collapsed="false">
      <c r="A276" s="6" t="s">
        <v>153</v>
      </c>
      <c r="B276" s="7" t="n">
        <f aca="false">IF(A276="","",IFERROR(MATCH(A276,Lists!$A$2:$A$37,0),""))</f>
        <v>26</v>
      </c>
      <c r="C276" s="6" t="s">
        <v>286</v>
      </c>
      <c r="D276" s="6" t="s">
        <v>312</v>
      </c>
      <c r="E276" s="40" t="n">
        <v>91</v>
      </c>
      <c r="F276" s="40"/>
      <c r="G276" s="43" t="n">
        <v>3.463</v>
      </c>
      <c r="H276" s="40" t="n">
        <v>21</v>
      </c>
      <c r="I276" s="40" t="n">
        <v>6</v>
      </c>
      <c r="J276" s="44"/>
      <c r="K276" s="44"/>
      <c r="L276" s="6" t="s">
        <v>345</v>
      </c>
      <c r="M276" s="6" t="s">
        <v>346</v>
      </c>
    </row>
    <row r="277" customFormat="false" ht="15" hidden="false" customHeight="false" outlineLevel="0" collapsed="false">
      <c r="A277" s="6" t="s">
        <v>153</v>
      </c>
      <c r="B277" s="7" t="n">
        <f aca="false">IF(A277="","",IFERROR(MATCH(A277,Lists!$A$2:$A$37,0),""))</f>
        <v>26</v>
      </c>
      <c r="C277" s="6" t="s">
        <v>286</v>
      </c>
      <c r="D277" s="6" t="s">
        <v>313</v>
      </c>
      <c r="E277" s="40" t="n">
        <v>21</v>
      </c>
      <c r="F277" s="40" t="n">
        <v>1</v>
      </c>
      <c r="G277" s="43" t="n">
        <v>3.125</v>
      </c>
      <c r="H277" s="40" t="n">
        <v>38</v>
      </c>
      <c r="I277" s="40" t="n">
        <v>18</v>
      </c>
      <c r="J277" s="44"/>
      <c r="K277" s="44"/>
      <c r="L277" s="6" t="s">
        <v>345</v>
      </c>
      <c r="M277" s="6"/>
    </row>
    <row r="278" customFormat="false" ht="15" hidden="false" customHeight="false" outlineLevel="0" collapsed="false">
      <c r="A278" s="6" t="s">
        <v>153</v>
      </c>
      <c r="B278" s="7" t="n">
        <f aca="false">IF(A278="","",IFERROR(MATCH(A278,Lists!$A$2:$A$37,0),""))</f>
        <v>26</v>
      </c>
      <c r="C278" s="6" t="s">
        <v>286</v>
      </c>
      <c r="D278" s="6" t="s">
        <v>314</v>
      </c>
      <c r="E278" s="40" t="n">
        <v>140</v>
      </c>
      <c r="F278" s="40"/>
      <c r="G278" s="43" t="n">
        <v>3.573</v>
      </c>
      <c r="H278" s="40" t="n">
        <v>9</v>
      </c>
      <c r="I278" s="40" t="n">
        <v>3</v>
      </c>
      <c r="J278" s="44"/>
      <c r="K278" s="44"/>
      <c r="L278" s="6" t="s">
        <v>345</v>
      </c>
      <c r="M278" s="6" t="s">
        <v>346</v>
      </c>
    </row>
    <row r="279" customFormat="false" ht="15" hidden="false" customHeight="false" outlineLevel="0" collapsed="false">
      <c r="A279" s="6" t="s">
        <v>153</v>
      </c>
      <c r="B279" s="7" t="n">
        <f aca="false">IF(A279="","",IFERROR(MATCH(A279,Lists!$A$2:$A$37,0),""))</f>
        <v>26</v>
      </c>
      <c r="C279" s="6" t="s">
        <v>286</v>
      </c>
      <c r="D279" s="6" t="s">
        <v>316</v>
      </c>
      <c r="E279" s="40" t="n">
        <v>12</v>
      </c>
      <c r="F279" s="40" t="n">
        <v>10</v>
      </c>
      <c r="G279" s="43" t="n">
        <v>3.115</v>
      </c>
      <c r="H279" s="40" t="n">
        <v>40</v>
      </c>
      <c r="I279" s="40" t="n">
        <v>20</v>
      </c>
      <c r="J279" s="44"/>
      <c r="K279" s="44"/>
      <c r="L279" s="6" t="s">
        <v>345</v>
      </c>
      <c r="M279" s="6" t="s">
        <v>349</v>
      </c>
    </row>
    <row r="280" customFormat="false" ht="15" hidden="false" customHeight="false" outlineLevel="0" collapsed="false">
      <c r="A280" s="6" t="s">
        <v>153</v>
      </c>
      <c r="B280" s="7" t="n">
        <f aca="false">IF(A280="","",IFERROR(MATCH(A280,Lists!$A$2:$A$37,0),""))</f>
        <v>26</v>
      </c>
      <c r="C280" s="6" t="s">
        <v>286</v>
      </c>
      <c r="D280" s="6" t="s">
        <v>287</v>
      </c>
      <c r="E280" s="40" t="n">
        <v>71</v>
      </c>
      <c r="F280" s="40" t="n">
        <v>6</v>
      </c>
      <c r="G280" s="43" t="n">
        <v>3.121</v>
      </c>
      <c r="H280" s="40" t="n">
        <v>39</v>
      </c>
      <c r="I280" s="40" t="n">
        <v>19</v>
      </c>
      <c r="J280" s="44"/>
      <c r="K280" s="44"/>
      <c r="L280" s="6" t="s">
        <v>345</v>
      </c>
      <c r="M280" s="6" t="s">
        <v>350</v>
      </c>
    </row>
    <row r="281" customFormat="false" ht="15" hidden="false" customHeight="false" outlineLevel="0" collapsed="false">
      <c r="A281" s="6" t="s">
        <v>153</v>
      </c>
      <c r="B281" s="7" t="n">
        <f aca="false">IF(A281="","",IFERROR(MATCH(A281,Lists!$A$2:$A$37,0),""))</f>
        <v>26</v>
      </c>
      <c r="C281" s="6" t="s">
        <v>286</v>
      </c>
      <c r="D281" s="6" t="s">
        <v>317</v>
      </c>
      <c r="E281" s="40" t="n">
        <v>25</v>
      </c>
      <c r="F281" s="40" t="n">
        <v>3</v>
      </c>
      <c r="G281" s="43" t="n">
        <v>2.843</v>
      </c>
      <c r="H281" s="40" t="n">
        <v>47</v>
      </c>
      <c r="I281" s="40" t="n">
        <v>25</v>
      </c>
      <c r="J281" s="44"/>
      <c r="K281" s="44"/>
      <c r="L281" s="6" t="s">
        <v>345</v>
      </c>
      <c r="M281" s="6" t="s">
        <v>351</v>
      </c>
    </row>
    <row r="282" customFormat="false" ht="15" hidden="false" customHeight="false" outlineLevel="0" collapsed="false">
      <c r="A282" s="6" t="s">
        <v>153</v>
      </c>
      <c r="B282" s="7" t="n">
        <f aca="false">IF(A282="","",IFERROR(MATCH(A282,Lists!$A$2:$A$37,0),""))</f>
        <v>26</v>
      </c>
      <c r="C282" s="6" t="s">
        <v>352</v>
      </c>
      <c r="D282" s="6" t="s">
        <v>353</v>
      </c>
      <c r="E282" s="40" t="n">
        <v>22</v>
      </c>
      <c r="F282" s="40"/>
      <c r="G282" s="43" t="n">
        <v>3.528</v>
      </c>
      <c r="H282" s="40" t="n">
        <v>15</v>
      </c>
      <c r="I282" s="40" t="n">
        <v>2</v>
      </c>
      <c r="J282" s="44"/>
      <c r="K282" s="44"/>
      <c r="L282" s="6" t="s">
        <v>345</v>
      </c>
      <c r="M282" s="6" t="s">
        <v>347</v>
      </c>
    </row>
    <row r="283" customFormat="false" ht="15" hidden="false" customHeight="false" outlineLevel="0" collapsed="false">
      <c r="A283" s="6" t="s">
        <v>153</v>
      </c>
      <c r="B283" s="7" t="n">
        <f aca="false">IF(A283="","",IFERROR(MATCH(A283,Lists!$A$2:$A$37,0),""))</f>
        <v>26</v>
      </c>
      <c r="C283" s="6" t="s">
        <v>352</v>
      </c>
      <c r="D283" s="6" t="s">
        <v>354</v>
      </c>
      <c r="E283" s="40" t="n">
        <v>25</v>
      </c>
      <c r="F283" s="40"/>
      <c r="G283" s="43" t="n">
        <v>3.21</v>
      </c>
      <c r="H283" s="40" t="n">
        <v>35</v>
      </c>
      <c r="I283" s="40" t="n">
        <v>4</v>
      </c>
      <c r="J283" s="44"/>
      <c r="K283" s="44"/>
      <c r="L283" s="6" t="s">
        <v>345</v>
      </c>
      <c r="M283" s="6" t="s">
        <v>355</v>
      </c>
    </row>
    <row r="284" customFormat="false" ht="15" hidden="false" customHeight="false" outlineLevel="0" collapsed="false">
      <c r="A284" s="6" t="s">
        <v>153</v>
      </c>
      <c r="B284" s="7" t="n">
        <f aca="false">IF(A284="","",IFERROR(MATCH(A284,Lists!$A$2:$A$37,0),""))</f>
        <v>26</v>
      </c>
      <c r="C284" s="6" t="s">
        <v>352</v>
      </c>
      <c r="D284" s="6" t="s">
        <v>356</v>
      </c>
      <c r="E284" s="40" t="n">
        <v>21</v>
      </c>
      <c r="F284" s="40" t="n">
        <v>4</v>
      </c>
      <c r="G284" s="43" t="n">
        <v>3.069</v>
      </c>
      <c r="H284" s="40" t="n">
        <v>41</v>
      </c>
      <c r="I284" s="40" t="n">
        <v>6</v>
      </c>
      <c r="J284" s="44"/>
      <c r="K284" s="44"/>
      <c r="L284" s="6" t="s">
        <v>345</v>
      </c>
      <c r="M284" s="6" t="s">
        <v>357</v>
      </c>
    </row>
    <row r="285" customFormat="false" ht="15" hidden="false" customHeight="false" outlineLevel="0" collapsed="false">
      <c r="A285" s="6" t="s">
        <v>153</v>
      </c>
      <c r="B285" s="7" t="n">
        <f aca="false">IF(A285="","",IFERROR(MATCH(A285,Lists!$A$2:$A$37,0),""))</f>
        <v>26</v>
      </c>
      <c r="C285" s="6" t="s">
        <v>352</v>
      </c>
      <c r="D285" s="6" t="s">
        <v>358</v>
      </c>
      <c r="E285" s="40" t="n">
        <v>13</v>
      </c>
      <c r="F285" s="40" t="n">
        <v>3</v>
      </c>
      <c r="G285" s="43" t="n">
        <v>3.198</v>
      </c>
      <c r="H285" s="40" t="n">
        <v>36</v>
      </c>
      <c r="I285" s="40" t="n">
        <v>5</v>
      </c>
      <c r="J285" s="44"/>
      <c r="K285" s="44"/>
      <c r="L285" s="6" t="s">
        <v>345</v>
      </c>
      <c r="M285" s="6" t="s">
        <v>351</v>
      </c>
    </row>
    <row r="286" customFormat="false" ht="15" hidden="false" customHeight="false" outlineLevel="0" collapsed="false">
      <c r="A286" s="6" t="s">
        <v>153</v>
      </c>
      <c r="B286" s="7" t="n">
        <f aca="false">IF(A286="","",IFERROR(MATCH(A286,Lists!$A$2:$A$37,0),""))</f>
        <v>26</v>
      </c>
      <c r="C286" s="6" t="s">
        <v>352</v>
      </c>
      <c r="D286" s="6" t="s">
        <v>359</v>
      </c>
      <c r="E286" s="40" t="n">
        <v>11</v>
      </c>
      <c r="F286" s="40" t="n">
        <v>5</v>
      </c>
      <c r="G286" s="43" t="n">
        <v>3.232</v>
      </c>
      <c r="H286" s="40" t="n">
        <v>32</v>
      </c>
      <c r="I286" s="40" t="n">
        <v>3</v>
      </c>
      <c r="J286" s="44"/>
      <c r="K286" s="44"/>
      <c r="L286" s="6" t="s">
        <v>345</v>
      </c>
      <c r="M286" s="6"/>
    </row>
    <row r="287" customFormat="false" ht="15" hidden="false" customHeight="false" outlineLevel="0" collapsed="false">
      <c r="A287" s="6" t="s">
        <v>153</v>
      </c>
      <c r="B287" s="7" t="n">
        <f aca="false">IF(A287="","",IFERROR(MATCH(A287,Lists!$A$2:$A$37,0),""))</f>
        <v>26</v>
      </c>
      <c r="C287" s="6" t="s">
        <v>352</v>
      </c>
      <c r="D287" s="6" t="s">
        <v>360</v>
      </c>
      <c r="E287" s="40" t="n">
        <v>7</v>
      </c>
      <c r="F287" s="40" t="n">
        <v>2</v>
      </c>
      <c r="G287" s="43" t="n">
        <v>3.015</v>
      </c>
      <c r="H287" s="40" t="n">
        <v>43</v>
      </c>
      <c r="I287" s="40" t="n">
        <v>7</v>
      </c>
      <c r="J287" s="44"/>
      <c r="K287" s="44"/>
      <c r="L287" s="6" t="s">
        <v>345</v>
      </c>
      <c r="M287" s="6" t="s">
        <v>349</v>
      </c>
    </row>
    <row r="288" customFormat="false" ht="15" hidden="false" customHeight="false" outlineLevel="0" collapsed="false">
      <c r="A288" s="6" t="s">
        <v>153</v>
      </c>
      <c r="B288" s="7" t="n">
        <f aca="false">IF(A288="","",IFERROR(MATCH(A288,Lists!$A$2:$A$37,0),""))</f>
        <v>26</v>
      </c>
      <c r="C288" s="6" t="s">
        <v>352</v>
      </c>
      <c r="D288" s="6" t="s">
        <v>361</v>
      </c>
      <c r="E288" s="40" t="n">
        <v>15</v>
      </c>
      <c r="F288" s="40" t="n">
        <v>5</v>
      </c>
      <c r="G288" s="43" t="n">
        <v>2.636</v>
      </c>
      <c r="H288" s="40" t="n">
        <v>48</v>
      </c>
      <c r="I288" s="40" t="n">
        <v>8</v>
      </c>
      <c r="J288" s="44"/>
      <c r="K288" s="44"/>
      <c r="L288" s="6" t="s">
        <v>345</v>
      </c>
      <c r="M288" s="6" t="s">
        <v>349</v>
      </c>
    </row>
    <row r="289" customFormat="false" ht="15" hidden="false" customHeight="false" outlineLevel="0" collapsed="false">
      <c r="A289" s="6" t="s">
        <v>153</v>
      </c>
      <c r="B289" s="7" t="n">
        <f aca="false">IF(A289="","",IFERROR(MATCH(A289,Lists!$A$2:$A$37,0),""))</f>
        <v>26</v>
      </c>
      <c r="C289" s="6" t="s">
        <v>352</v>
      </c>
      <c r="D289" s="6" t="s">
        <v>362</v>
      </c>
      <c r="E289" s="40" t="n">
        <v>15</v>
      </c>
      <c r="F289" s="40" t="n">
        <v>3</v>
      </c>
      <c r="G289" s="43" t="n">
        <v>3.597</v>
      </c>
      <c r="H289" s="40" t="n">
        <v>6</v>
      </c>
      <c r="I289" s="40" t="n">
        <v>1</v>
      </c>
      <c r="J289" s="44"/>
      <c r="K289" s="44"/>
      <c r="L289" s="6" t="s">
        <v>345</v>
      </c>
      <c r="M289" s="6" t="s">
        <v>349</v>
      </c>
    </row>
    <row r="290" customFormat="false" ht="15" hidden="false" customHeight="false" outlineLevel="0" collapsed="false">
      <c r="A290" s="6" t="s">
        <v>153</v>
      </c>
      <c r="B290" s="7" t="n">
        <f aca="false">IF(A290="","",IFERROR(MATCH(A290,Lists!$A$2:$A$37,0),""))</f>
        <v>26</v>
      </c>
      <c r="C290" s="6" t="s">
        <v>363</v>
      </c>
      <c r="D290" s="6" t="s">
        <v>364</v>
      </c>
      <c r="E290" s="40" t="n">
        <v>1</v>
      </c>
      <c r="F290" s="40"/>
      <c r="G290" s="43"/>
      <c r="H290" s="40"/>
      <c r="I290" s="40"/>
      <c r="J290" s="44"/>
      <c r="K290" s="44"/>
      <c r="L290" s="6" t="s">
        <v>345</v>
      </c>
      <c r="M290" s="6" t="s">
        <v>365</v>
      </c>
    </row>
    <row r="291" customFormat="false" ht="15" hidden="false" customHeight="false" outlineLevel="0" collapsed="false">
      <c r="A291" s="6" t="s">
        <v>153</v>
      </c>
      <c r="B291" s="7" t="n">
        <f aca="false">IF(A291="","",IFERROR(MATCH(A291,Lists!$A$2:$A$37,0),""))</f>
        <v>26</v>
      </c>
      <c r="C291" s="6" t="s">
        <v>363</v>
      </c>
      <c r="D291" s="6" t="s">
        <v>366</v>
      </c>
      <c r="E291" s="40" t="n">
        <v>7</v>
      </c>
      <c r="F291" s="40"/>
      <c r="G291" s="43" t="n">
        <v>1.978</v>
      </c>
      <c r="H291" s="40" t="n">
        <v>49</v>
      </c>
      <c r="I291" s="40" t="n">
        <v>1</v>
      </c>
      <c r="J291" s="44"/>
      <c r="K291" s="44"/>
      <c r="L291" s="6" t="s">
        <v>345</v>
      </c>
      <c r="M291" s="6" t="s">
        <v>346</v>
      </c>
    </row>
    <row r="292" customFormat="false" ht="15" hidden="false" customHeight="false" outlineLevel="0" collapsed="false">
      <c r="A292" s="6" t="s">
        <v>153</v>
      </c>
      <c r="B292" s="7" t="n">
        <f aca="false">IF(A292="","",IFERROR(MATCH(A292,Lists!$A$2:$A$37,0),""))</f>
        <v>26</v>
      </c>
      <c r="C292" s="6" t="s">
        <v>363</v>
      </c>
      <c r="D292" s="6" t="s">
        <v>367</v>
      </c>
      <c r="E292" s="40" t="n">
        <v>4</v>
      </c>
      <c r="F292" s="40" t="n">
        <v>2</v>
      </c>
      <c r="G292" s="43"/>
      <c r="H292" s="40"/>
      <c r="I292" s="40"/>
      <c r="J292" s="44"/>
      <c r="K292" s="44"/>
      <c r="L292" s="6" t="s">
        <v>345</v>
      </c>
      <c r="M292" s="6" t="s">
        <v>368</v>
      </c>
    </row>
    <row r="293" customFormat="false" ht="15" hidden="false" customHeight="false" outlineLevel="0" collapsed="false">
      <c r="A293" s="6" t="s">
        <v>153</v>
      </c>
      <c r="B293" s="7" t="n">
        <f aca="false">IF(A293="","",IFERROR(MATCH(A293,Lists!$A$2:$A$37,0),""))</f>
        <v>26</v>
      </c>
      <c r="C293" s="6" t="s">
        <v>363</v>
      </c>
      <c r="D293" s="6" t="s">
        <v>369</v>
      </c>
      <c r="E293" s="40" t="n">
        <v>2</v>
      </c>
      <c r="F293" s="40"/>
      <c r="G293" s="43"/>
      <c r="H293" s="40"/>
      <c r="I293" s="40"/>
      <c r="J293" s="44"/>
      <c r="K293" s="44"/>
      <c r="L293" s="6" t="s">
        <v>345</v>
      </c>
      <c r="M293" s="6" t="s">
        <v>370</v>
      </c>
    </row>
    <row r="294" customFormat="false" ht="15" hidden="false" customHeight="false" outlineLevel="0" collapsed="false">
      <c r="A294" s="6" t="s">
        <v>153</v>
      </c>
      <c r="B294" s="7" t="n">
        <f aca="false">IF(A294="","",IFERROR(MATCH(A294,Lists!$A$2:$A$37,0),""))</f>
        <v>26</v>
      </c>
      <c r="C294" s="6" t="s">
        <v>363</v>
      </c>
      <c r="D294" s="6" t="s">
        <v>371</v>
      </c>
      <c r="E294" s="40" t="n">
        <v>2</v>
      </c>
      <c r="F294" s="40"/>
      <c r="G294" s="43"/>
      <c r="H294" s="40"/>
      <c r="I294" s="40"/>
      <c r="J294" s="44"/>
      <c r="K294" s="44"/>
      <c r="L294" s="6" t="s">
        <v>345</v>
      </c>
      <c r="M294" s="6" t="s">
        <v>365</v>
      </c>
    </row>
    <row r="295" customFormat="false" ht="15" hidden="false" customHeight="false" outlineLevel="0" collapsed="false">
      <c r="A295" s="6" t="s">
        <v>153</v>
      </c>
      <c r="B295" s="7" t="n">
        <f aca="false">IF(A295="","",IFERROR(MATCH(A295,Lists!$A$2:$A$37,0),""))</f>
        <v>26</v>
      </c>
      <c r="C295" s="6" t="s">
        <v>372</v>
      </c>
      <c r="D295" s="6" t="s">
        <v>373</v>
      </c>
      <c r="E295" s="40" t="n">
        <v>156</v>
      </c>
      <c r="F295" s="40" t="n">
        <v>10</v>
      </c>
      <c r="G295" s="43" t="n">
        <v>3.498</v>
      </c>
      <c r="H295" s="40" t="n">
        <v>18</v>
      </c>
      <c r="I295" s="40" t="n">
        <v>11</v>
      </c>
      <c r="J295" s="44"/>
      <c r="K295" s="44"/>
      <c r="L295" s="6" t="s">
        <v>345</v>
      </c>
      <c r="M295" s="6"/>
    </row>
    <row r="296" customFormat="false" ht="15" hidden="false" customHeight="false" outlineLevel="0" collapsed="false">
      <c r="A296" s="6" t="s">
        <v>153</v>
      </c>
      <c r="B296" s="7" t="n">
        <f aca="false">IF(A296="","",IFERROR(MATCH(A296,Lists!$A$2:$A$37,0),""))</f>
        <v>26</v>
      </c>
      <c r="C296" s="6" t="s">
        <v>372</v>
      </c>
      <c r="D296" s="6" t="s">
        <v>374</v>
      </c>
      <c r="E296" s="40" t="n">
        <v>161</v>
      </c>
      <c r="F296" s="40" t="n">
        <v>10</v>
      </c>
      <c r="G296" s="43" t="n">
        <v>3.4</v>
      </c>
      <c r="H296" s="40" t="n">
        <v>25</v>
      </c>
      <c r="I296" s="40" t="n">
        <v>14</v>
      </c>
      <c r="J296" s="44"/>
      <c r="K296" s="44"/>
      <c r="L296" s="6" t="s">
        <v>345</v>
      </c>
      <c r="M296" s="6"/>
    </row>
    <row r="297" customFormat="false" ht="15" hidden="false" customHeight="false" outlineLevel="0" collapsed="false">
      <c r="A297" s="6" t="s">
        <v>153</v>
      </c>
      <c r="B297" s="7" t="n">
        <f aca="false">IF(A297="","",IFERROR(MATCH(A297,Lists!$A$2:$A$37,0),""))</f>
        <v>26</v>
      </c>
      <c r="C297" s="6" t="s">
        <v>372</v>
      </c>
      <c r="D297" s="6" t="s">
        <v>375</v>
      </c>
      <c r="E297" s="40" t="n">
        <v>165</v>
      </c>
      <c r="F297" s="40"/>
      <c r="G297" s="43" t="n">
        <v>3.543</v>
      </c>
      <c r="H297" s="40" t="n">
        <v>12</v>
      </c>
      <c r="I297" s="40" t="n">
        <v>8</v>
      </c>
      <c r="J297" s="44"/>
      <c r="K297" s="44"/>
      <c r="L297" s="6" t="s">
        <v>345</v>
      </c>
      <c r="M297" s="6" t="s">
        <v>346</v>
      </c>
    </row>
    <row r="298" customFormat="false" ht="15" hidden="false" customHeight="false" outlineLevel="0" collapsed="false">
      <c r="A298" s="6" t="s">
        <v>153</v>
      </c>
      <c r="B298" s="7" t="n">
        <f aca="false">IF(A298="","",IFERROR(MATCH(A298,Lists!$A$2:$A$37,0),""))</f>
        <v>26</v>
      </c>
      <c r="C298" s="6" t="s">
        <v>372</v>
      </c>
      <c r="D298" s="6" t="s">
        <v>376</v>
      </c>
      <c r="E298" s="40" t="n">
        <v>166</v>
      </c>
      <c r="F298" s="40"/>
      <c r="G298" s="43" t="n">
        <v>3.57</v>
      </c>
      <c r="H298" s="40" t="n">
        <v>10</v>
      </c>
      <c r="I298" s="40" t="n">
        <v>6</v>
      </c>
      <c r="J298" s="44"/>
      <c r="K298" s="44"/>
      <c r="L298" s="6" t="s">
        <v>345</v>
      </c>
      <c r="M298" s="6" t="s">
        <v>346</v>
      </c>
    </row>
    <row r="299" customFormat="false" ht="15" hidden="false" customHeight="false" outlineLevel="0" collapsed="false">
      <c r="A299" s="6" t="s">
        <v>153</v>
      </c>
      <c r="B299" s="7" t="n">
        <f aca="false">IF(A299="","",IFERROR(MATCH(A299,Lists!$A$2:$A$37,0),""))</f>
        <v>26</v>
      </c>
      <c r="C299" s="6" t="s">
        <v>372</v>
      </c>
      <c r="D299" s="6" t="s">
        <v>377</v>
      </c>
      <c r="E299" s="40" t="n">
        <v>171</v>
      </c>
      <c r="F299" s="40"/>
      <c r="G299" s="43" t="n">
        <v>3.691</v>
      </c>
      <c r="H299" s="40" t="n">
        <v>4</v>
      </c>
      <c r="I299" s="40" t="n">
        <v>3</v>
      </c>
      <c r="J299" s="44"/>
      <c r="K299" s="44"/>
      <c r="L299" s="6" t="s">
        <v>345</v>
      </c>
      <c r="M299" s="6" t="s">
        <v>347</v>
      </c>
    </row>
    <row r="300" customFormat="false" ht="15" hidden="false" customHeight="false" outlineLevel="0" collapsed="false">
      <c r="A300" s="6" t="s">
        <v>153</v>
      </c>
      <c r="B300" s="7" t="n">
        <f aca="false">IF(A300="","",IFERROR(MATCH(A300,Lists!$A$2:$A$37,0),""))</f>
        <v>26</v>
      </c>
      <c r="C300" s="6" t="s">
        <v>372</v>
      </c>
      <c r="D300" s="6" t="s">
        <v>378</v>
      </c>
      <c r="E300" s="40" t="n">
        <v>165</v>
      </c>
      <c r="F300" s="40" t="n">
        <v>23</v>
      </c>
      <c r="G300" s="43" t="n">
        <v>3.47</v>
      </c>
      <c r="H300" s="40" t="n">
        <v>20</v>
      </c>
      <c r="I300" s="40" t="n">
        <v>13</v>
      </c>
      <c r="J300" s="44"/>
      <c r="K300" s="44"/>
      <c r="L300" s="6" t="s">
        <v>345</v>
      </c>
      <c r="M300" s="6"/>
    </row>
    <row r="301" customFormat="false" ht="15" hidden="false" customHeight="false" outlineLevel="0" collapsed="false">
      <c r="A301" s="6" t="s">
        <v>153</v>
      </c>
      <c r="B301" s="7" t="n">
        <f aca="false">IF(A301="","",IFERROR(MATCH(A301,Lists!$A$2:$A$37,0),""))</f>
        <v>26</v>
      </c>
      <c r="C301" s="6" t="s">
        <v>372</v>
      </c>
      <c r="D301" s="6" t="s">
        <v>379</v>
      </c>
      <c r="E301" s="40" t="n">
        <v>167</v>
      </c>
      <c r="F301" s="40" t="n">
        <v>1</v>
      </c>
      <c r="G301" s="43" t="n">
        <v>3.615</v>
      </c>
      <c r="H301" s="40" t="n">
        <v>5</v>
      </c>
      <c r="I301" s="40" t="n">
        <v>4</v>
      </c>
      <c r="J301" s="44"/>
      <c r="K301" s="44"/>
      <c r="L301" s="6" t="s">
        <v>345</v>
      </c>
      <c r="M301" s="6" t="s">
        <v>349</v>
      </c>
    </row>
    <row r="302" customFormat="false" ht="15" hidden="false" customHeight="false" outlineLevel="0" collapsed="false">
      <c r="A302" s="6" t="s">
        <v>153</v>
      </c>
      <c r="B302" s="7" t="n">
        <f aca="false">IF(A302="","",IFERROR(MATCH(A302,Lists!$A$2:$A$37,0),""))</f>
        <v>26</v>
      </c>
      <c r="C302" s="6" t="s">
        <v>372</v>
      </c>
      <c r="D302" s="6" t="s">
        <v>380</v>
      </c>
      <c r="E302" s="40" t="n">
        <v>166</v>
      </c>
      <c r="F302" s="40" t="n">
        <v>2</v>
      </c>
      <c r="G302" s="43" t="n">
        <v>3.725</v>
      </c>
      <c r="H302" s="40" t="n">
        <v>2</v>
      </c>
      <c r="I302" s="40" t="n">
        <v>2</v>
      </c>
      <c r="J302" s="44"/>
      <c r="K302" s="44"/>
      <c r="L302" s="6" t="s">
        <v>345</v>
      </c>
      <c r="M302" s="6"/>
    </row>
    <row r="303" customFormat="false" ht="15" hidden="false" customHeight="false" outlineLevel="0" collapsed="false">
      <c r="A303" s="6" t="s">
        <v>153</v>
      </c>
      <c r="B303" s="7" t="n">
        <f aca="false">IF(A303="","",IFERROR(MATCH(A303,Lists!$A$2:$A$37,0),""))</f>
        <v>26</v>
      </c>
      <c r="C303" s="6" t="s">
        <v>372</v>
      </c>
      <c r="D303" s="6" t="s">
        <v>381</v>
      </c>
      <c r="E303" s="40" t="n">
        <v>166</v>
      </c>
      <c r="F303" s="40" t="n">
        <v>6</v>
      </c>
      <c r="G303" s="43" t="n">
        <v>3.594</v>
      </c>
      <c r="H303" s="40" t="n">
        <v>7</v>
      </c>
      <c r="I303" s="40" t="n">
        <v>5</v>
      </c>
      <c r="J303" s="44"/>
      <c r="K303" s="44"/>
      <c r="L303" s="6" t="s">
        <v>345</v>
      </c>
      <c r="M303" s="6"/>
    </row>
    <row r="304" customFormat="false" ht="15" hidden="false" customHeight="false" outlineLevel="0" collapsed="false">
      <c r="A304" s="6" t="s">
        <v>153</v>
      </c>
      <c r="B304" s="7" t="n">
        <f aca="false">IF(A304="","",IFERROR(MATCH(A304,Lists!$A$2:$A$37,0),""))</f>
        <v>26</v>
      </c>
      <c r="C304" s="6" t="s">
        <v>372</v>
      </c>
      <c r="D304" s="6" t="s">
        <v>382</v>
      </c>
      <c r="E304" s="40" t="n">
        <v>166</v>
      </c>
      <c r="F304" s="40" t="n">
        <v>7</v>
      </c>
      <c r="G304" s="43" t="n">
        <v>3.523</v>
      </c>
      <c r="H304" s="40" t="n">
        <v>16</v>
      </c>
      <c r="I304" s="40" t="n">
        <v>9</v>
      </c>
      <c r="J304" s="44"/>
      <c r="K304" s="44"/>
      <c r="L304" s="6" t="s">
        <v>345</v>
      </c>
      <c r="M304" s="6"/>
    </row>
    <row r="305" customFormat="false" ht="15" hidden="false" customHeight="false" outlineLevel="0" collapsed="false">
      <c r="A305" s="6" t="s">
        <v>153</v>
      </c>
      <c r="B305" s="7" t="n">
        <f aca="false">IF(A305="","",IFERROR(MATCH(A305,Lists!$A$2:$A$37,0),""))</f>
        <v>26</v>
      </c>
      <c r="C305" s="6" t="s">
        <v>372</v>
      </c>
      <c r="D305" s="6" t="s">
        <v>383</v>
      </c>
      <c r="E305" s="40" t="n">
        <v>169</v>
      </c>
      <c r="F305" s="40"/>
      <c r="G305" s="43" t="n">
        <v>3.501</v>
      </c>
      <c r="H305" s="40" t="n">
        <v>17</v>
      </c>
      <c r="I305" s="40" t="n">
        <v>10</v>
      </c>
      <c r="J305" s="44"/>
      <c r="K305" s="44"/>
      <c r="L305" s="6" t="s">
        <v>345</v>
      </c>
      <c r="M305" s="6" t="s">
        <v>346</v>
      </c>
    </row>
    <row r="306" customFormat="false" ht="15" hidden="false" customHeight="false" outlineLevel="0" collapsed="false">
      <c r="A306" s="6" t="s">
        <v>153</v>
      </c>
      <c r="B306" s="7" t="n">
        <f aca="false">IF(A306="","",IFERROR(MATCH(A306,Lists!$A$2:$A$37,0),""))</f>
        <v>26</v>
      </c>
      <c r="C306" s="6" t="s">
        <v>372</v>
      </c>
      <c r="D306" s="6" t="s">
        <v>384</v>
      </c>
      <c r="E306" s="40" t="n">
        <v>102</v>
      </c>
      <c r="F306" s="40" t="n">
        <v>13</v>
      </c>
      <c r="G306" s="43" t="n">
        <v>3.484</v>
      </c>
      <c r="H306" s="40" t="n">
        <v>19</v>
      </c>
      <c r="I306" s="40" t="n">
        <v>12</v>
      </c>
      <c r="J306" s="44"/>
      <c r="K306" s="44"/>
      <c r="L306" s="6" t="s">
        <v>345</v>
      </c>
      <c r="M306" s="6"/>
    </row>
    <row r="307" customFormat="false" ht="15" hidden="false" customHeight="false" outlineLevel="0" collapsed="false">
      <c r="A307" s="6" t="s">
        <v>153</v>
      </c>
      <c r="B307" s="7" t="n">
        <f aca="false">IF(A307="","",IFERROR(MATCH(A307,Lists!$A$2:$A$37,0),""))</f>
        <v>26</v>
      </c>
      <c r="C307" s="6" t="s">
        <v>372</v>
      </c>
      <c r="D307" s="6" t="s">
        <v>385</v>
      </c>
      <c r="E307" s="40" t="n">
        <v>27</v>
      </c>
      <c r="F307" s="40" t="n">
        <v>1</v>
      </c>
      <c r="G307" s="43" t="n">
        <v>3.736</v>
      </c>
      <c r="H307" s="40" t="n">
        <v>1</v>
      </c>
      <c r="I307" s="40" t="n">
        <v>1</v>
      </c>
      <c r="J307" s="44"/>
      <c r="K307" s="44"/>
      <c r="L307" s="6" t="s">
        <v>345</v>
      </c>
      <c r="M307" s="6" t="s">
        <v>349</v>
      </c>
    </row>
    <row r="308" customFormat="false" ht="15" hidden="false" customHeight="false" outlineLevel="0" collapsed="false">
      <c r="A308" s="6" t="s">
        <v>153</v>
      </c>
      <c r="B308" s="7" t="n">
        <f aca="false">IF(A308="","",IFERROR(MATCH(A308,Lists!$A$2:$A$37,0),""))</f>
        <v>26</v>
      </c>
      <c r="C308" s="6" t="s">
        <v>372</v>
      </c>
      <c r="D308" s="6" t="s">
        <v>386</v>
      </c>
      <c r="E308" s="40" t="n">
        <v>164</v>
      </c>
      <c r="F308" s="40" t="n">
        <v>6</v>
      </c>
      <c r="G308" s="43" t="n">
        <v>3.567</v>
      </c>
      <c r="H308" s="40" t="n">
        <v>11</v>
      </c>
      <c r="I308" s="40" t="n">
        <v>7</v>
      </c>
      <c r="J308" s="44"/>
      <c r="K308" s="44"/>
      <c r="L308" s="6" t="s">
        <v>345</v>
      </c>
      <c r="M308" s="6"/>
    </row>
    <row r="309" customFormat="false" ht="15" hidden="false" customHeight="false" outlineLevel="0" collapsed="false">
      <c r="A309" s="6" t="s">
        <v>153</v>
      </c>
      <c r="B309" s="7" t="n">
        <f aca="false">IF(A309="","",IFERROR(MATCH(A309,Lists!$A$2:$A$37,0),""))</f>
        <v>26</v>
      </c>
      <c r="C309" s="6" t="s">
        <v>372</v>
      </c>
      <c r="D309" s="6" t="s">
        <v>387</v>
      </c>
      <c r="E309" s="40" t="n">
        <v>56</v>
      </c>
      <c r="F309" s="40" t="n">
        <v>6</v>
      </c>
      <c r="G309" s="43" t="n">
        <v>3.371</v>
      </c>
      <c r="H309" s="40" t="n">
        <v>26</v>
      </c>
      <c r="I309" s="40" t="n">
        <v>15</v>
      </c>
      <c r="J309" s="44"/>
      <c r="K309" s="44"/>
      <c r="L309" s="6" t="s">
        <v>345</v>
      </c>
      <c r="M309" s="6" t="s">
        <v>351</v>
      </c>
    </row>
    <row r="310" customFormat="false" ht="15" hidden="false" customHeight="false" outlineLevel="0" collapsed="false">
      <c r="A310" s="6" t="s">
        <v>154</v>
      </c>
      <c r="B310" s="7" t="n">
        <f aca="false">IF(A310="","",IFERROR(MATCH(A310,Lists!$A$2:$A$37,0),""))</f>
        <v>27</v>
      </c>
      <c r="C310" s="6" t="s">
        <v>286</v>
      </c>
      <c r="D310" s="6" t="s">
        <v>290</v>
      </c>
      <c r="E310" s="40" t="n">
        <v>39</v>
      </c>
      <c r="F310" s="40"/>
      <c r="G310" s="43" t="n">
        <v>3.214</v>
      </c>
      <c r="H310" s="40"/>
      <c r="I310" s="40"/>
      <c r="J310" s="44"/>
      <c r="K310" s="44"/>
      <c r="L310" s="6" t="s">
        <v>388</v>
      </c>
      <c r="M310" s="6" t="s">
        <v>389</v>
      </c>
    </row>
    <row r="311" customFormat="false" ht="15" hidden="false" customHeight="false" outlineLevel="0" collapsed="false">
      <c r="A311" s="6" t="s">
        <v>154</v>
      </c>
      <c r="B311" s="7" t="n">
        <f aca="false">IF(A311="","",IFERROR(MATCH(A311,Lists!$A$2:$A$37,0),""))</f>
        <v>27</v>
      </c>
      <c r="C311" s="6" t="s">
        <v>286</v>
      </c>
      <c r="D311" s="6" t="s">
        <v>293</v>
      </c>
      <c r="E311" s="40" t="n">
        <v>104</v>
      </c>
      <c r="F311" s="40"/>
      <c r="G311" s="43" t="n">
        <v>3.345</v>
      </c>
      <c r="H311" s="40"/>
      <c r="I311" s="40"/>
      <c r="J311" s="44"/>
      <c r="K311" s="44"/>
      <c r="L311" s="6" t="s">
        <v>388</v>
      </c>
      <c r="M311" s="6" t="s">
        <v>389</v>
      </c>
    </row>
    <row r="312" customFormat="false" ht="15" hidden="false" customHeight="false" outlineLevel="0" collapsed="false">
      <c r="A312" s="6" t="s">
        <v>154</v>
      </c>
      <c r="B312" s="7" t="n">
        <f aca="false">IF(A312="","",IFERROR(MATCH(A312,Lists!$A$2:$A$37,0),""))</f>
        <v>27</v>
      </c>
      <c r="C312" s="6" t="s">
        <v>286</v>
      </c>
      <c r="D312" s="6" t="s">
        <v>294</v>
      </c>
      <c r="E312" s="40" t="n">
        <v>93</v>
      </c>
      <c r="F312" s="40"/>
      <c r="G312" s="43" t="n">
        <v>3.342</v>
      </c>
      <c r="H312" s="40"/>
      <c r="I312" s="40"/>
      <c r="J312" s="44"/>
      <c r="K312" s="44"/>
      <c r="L312" s="6" t="s">
        <v>388</v>
      </c>
      <c r="M312" s="6" t="s">
        <v>389</v>
      </c>
    </row>
    <row r="313" customFormat="false" ht="15" hidden="false" customHeight="false" outlineLevel="0" collapsed="false">
      <c r="A313" s="6" t="s">
        <v>154</v>
      </c>
      <c r="B313" s="7" t="n">
        <f aca="false">IF(A313="","",IFERROR(MATCH(A313,Lists!$A$2:$A$37,0),""))</f>
        <v>27</v>
      </c>
      <c r="C313" s="6" t="s">
        <v>286</v>
      </c>
      <c r="D313" s="6" t="s">
        <v>295</v>
      </c>
      <c r="E313" s="40" t="n">
        <v>116</v>
      </c>
      <c r="F313" s="40"/>
      <c r="G313" s="43" t="n">
        <v>3.071</v>
      </c>
      <c r="H313" s="40"/>
      <c r="I313" s="40"/>
      <c r="J313" s="44"/>
      <c r="K313" s="44"/>
      <c r="L313" s="6" t="s">
        <v>388</v>
      </c>
      <c r="M313" s="6" t="s">
        <v>389</v>
      </c>
    </row>
    <row r="314" customFormat="false" ht="15" hidden="false" customHeight="false" outlineLevel="0" collapsed="false">
      <c r="A314" s="6" t="s">
        <v>154</v>
      </c>
      <c r="B314" s="7" t="n">
        <f aca="false">IF(A314="","",IFERROR(MATCH(A314,Lists!$A$2:$A$37,0),""))</f>
        <v>27</v>
      </c>
      <c r="C314" s="6" t="s">
        <v>286</v>
      </c>
      <c r="D314" s="6" t="s">
        <v>296</v>
      </c>
      <c r="E314" s="40" t="n">
        <v>12</v>
      </c>
      <c r="F314" s="40"/>
      <c r="G314" s="43" t="n">
        <v>3.257</v>
      </c>
      <c r="H314" s="40"/>
      <c r="I314" s="40"/>
      <c r="J314" s="44"/>
      <c r="K314" s="44"/>
      <c r="L314" s="6" t="s">
        <v>388</v>
      </c>
      <c r="M314" s="6" t="s">
        <v>389</v>
      </c>
    </row>
    <row r="315" customFormat="false" ht="15" hidden="false" customHeight="false" outlineLevel="0" collapsed="false">
      <c r="A315" s="6" t="s">
        <v>154</v>
      </c>
      <c r="B315" s="7" t="n">
        <f aca="false">IF(A315="","",IFERROR(MATCH(A315,Lists!$A$2:$A$37,0),""))</f>
        <v>27</v>
      </c>
      <c r="C315" s="6" t="s">
        <v>286</v>
      </c>
      <c r="D315" s="6" t="s">
        <v>297</v>
      </c>
      <c r="E315" s="40" t="n">
        <v>116</v>
      </c>
      <c r="F315" s="40"/>
      <c r="G315" s="43" t="n">
        <v>3.583</v>
      </c>
      <c r="H315" s="40"/>
      <c r="I315" s="40"/>
      <c r="J315" s="44"/>
      <c r="K315" s="44"/>
      <c r="L315" s="6" t="s">
        <v>388</v>
      </c>
      <c r="M315" s="6" t="s">
        <v>389</v>
      </c>
    </row>
    <row r="316" customFormat="false" ht="15" hidden="false" customHeight="false" outlineLevel="0" collapsed="false">
      <c r="A316" s="6" t="s">
        <v>154</v>
      </c>
      <c r="B316" s="7" t="n">
        <f aca="false">IF(A316="","",IFERROR(MATCH(A316,Lists!$A$2:$A$37,0),""))</f>
        <v>27</v>
      </c>
      <c r="C316" s="6" t="s">
        <v>286</v>
      </c>
      <c r="D316" s="6" t="s">
        <v>298</v>
      </c>
      <c r="E316" s="40" t="n">
        <v>18</v>
      </c>
      <c r="F316" s="40"/>
      <c r="G316" s="43" t="n">
        <v>2.643</v>
      </c>
      <c r="H316" s="40"/>
      <c r="I316" s="40"/>
      <c r="J316" s="44"/>
      <c r="K316" s="44"/>
      <c r="L316" s="6" t="s">
        <v>388</v>
      </c>
      <c r="M316" s="6" t="s">
        <v>389</v>
      </c>
    </row>
    <row r="317" customFormat="false" ht="15" hidden="false" customHeight="false" outlineLevel="0" collapsed="false">
      <c r="A317" s="6" t="s">
        <v>154</v>
      </c>
      <c r="B317" s="7" t="n">
        <f aca="false">IF(A317="","",IFERROR(MATCH(A317,Lists!$A$2:$A$37,0),""))</f>
        <v>27</v>
      </c>
      <c r="C317" s="6" t="s">
        <v>286</v>
      </c>
      <c r="D317" s="6" t="s">
        <v>333</v>
      </c>
      <c r="E317" s="40" t="n">
        <v>17</v>
      </c>
      <c r="F317" s="40"/>
      <c r="G317" s="43" t="n">
        <v>3.18</v>
      </c>
      <c r="H317" s="40"/>
      <c r="I317" s="40"/>
      <c r="J317" s="44"/>
      <c r="K317" s="44"/>
      <c r="L317" s="6" t="s">
        <v>388</v>
      </c>
      <c r="M317" s="6" t="s">
        <v>389</v>
      </c>
    </row>
    <row r="318" customFormat="false" ht="15" hidden="false" customHeight="false" outlineLevel="0" collapsed="false">
      <c r="A318" s="6" t="s">
        <v>154</v>
      </c>
      <c r="B318" s="7" t="n">
        <f aca="false">IF(A318="","",IFERROR(MATCH(A318,Lists!$A$2:$A$37,0),""))</f>
        <v>27</v>
      </c>
      <c r="C318" s="6" t="s">
        <v>286</v>
      </c>
      <c r="D318" s="6" t="s">
        <v>299</v>
      </c>
      <c r="E318" s="40" t="n">
        <v>109</v>
      </c>
      <c r="F318" s="40"/>
      <c r="G318" s="43" t="n">
        <v>3.03</v>
      </c>
      <c r="H318" s="40"/>
      <c r="I318" s="40"/>
      <c r="J318" s="44"/>
      <c r="K318" s="44"/>
      <c r="L318" s="6" t="s">
        <v>388</v>
      </c>
      <c r="M318" s="6" t="s">
        <v>389</v>
      </c>
    </row>
    <row r="319" customFormat="false" ht="15" hidden="false" customHeight="false" outlineLevel="0" collapsed="false">
      <c r="A319" s="6" t="s">
        <v>154</v>
      </c>
      <c r="B319" s="7" t="n">
        <f aca="false">IF(A319="","",IFERROR(MATCH(A319,Lists!$A$2:$A$37,0),""))</f>
        <v>27</v>
      </c>
      <c r="C319" s="6" t="s">
        <v>286</v>
      </c>
      <c r="D319" s="6" t="s">
        <v>301</v>
      </c>
      <c r="E319" s="40" t="n">
        <v>66</v>
      </c>
      <c r="F319" s="40"/>
      <c r="G319" s="43" t="n">
        <v>3.249</v>
      </c>
      <c r="H319" s="40"/>
      <c r="I319" s="40"/>
      <c r="J319" s="44"/>
      <c r="K319" s="44"/>
      <c r="L319" s="6" t="s">
        <v>388</v>
      </c>
      <c r="M319" s="6" t="s">
        <v>389</v>
      </c>
    </row>
    <row r="320" customFormat="false" ht="15" hidden="false" customHeight="false" outlineLevel="0" collapsed="false">
      <c r="A320" s="6" t="s">
        <v>154</v>
      </c>
      <c r="B320" s="7" t="n">
        <f aca="false">IF(A320="","",IFERROR(MATCH(A320,Lists!$A$2:$A$37,0),""))</f>
        <v>27</v>
      </c>
      <c r="C320" s="6" t="s">
        <v>286</v>
      </c>
      <c r="D320" s="6" t="s">
        <v>302</v>
      </c>
      <c r="E320" s="40" t="n">
        <v>111</v>
      </c>
      <c r="F320" s="40"/>
      <c r="G320" s="43" t="n">
        <v>3.678</v>
      </c>
      <c r="H320" s="40"/>
      <c r="I320" s="40"/>
      <c r="J320" s="44"/>
      <c r="K320" s="44"/>
      <c r="L320" s="6" t="s">
        <v>388</v>
      </c>
      <c r="M320" s="6" t="s">
        <v>389</v>
      </c>
    </row>
    <row r="321" customFormat="false" ht="15" hidden="false" customHeight="false" outlineLevel="0" collapsed="false">
      <c r="A321" s="6" t="s">
        <v>154</v>
      </c>
      <c r="B321" s="7" t="n">
        <f aca="false">IF(A321="","",IFERROR(MATCH(A321,Lists!$A$2:$A$37,0),""))</f>
        <v>27</v>
      </c>
      <c r="C321" s="6" t="s">
        <v>286</v>
      </c>
      <c r="D321" s="6" t="s">
        <v>303</v>
      </c>
      <c r="E321" s="40" t="n">
        <v>45</v>
      </c>
      <c r="F321" s="40"/>
      <c r="G321" s="43" t="n">
        <v>2.965</v>
      </c>
      <c r="H321" s="40"/>
      <c r="I321" s="40"/>
      <c r="J321" s="44"/>
      <c r="K321" s="44"/>
      <c r="L321" s="6" t="s">
        <v>388</v>
      </c>
      <c r="M321" s="6" t="s">
        <v>389</v>
      </c>
    </row>
    <row r="322" customFormat="false" ht="15" hidden="false" customHeight="false" outlineLevel="0" collapsed="false">
      <c r="A322" s="6" t="s">
        <v>154</v>
      </c>
      <c r="B322" s="7" t="n">
        <f aca="false">IF(A322="","",IFERROR(MATCH(A322,Lists!$A$2:$A$37,0),""))</f>
        <v>27</v>
      </c>
      <c r="C322" s="6" t="s">
        <v>286</v>
      </c>
      <c r="D322" s="6" t="s">
        <v>304</v>
      </c>
      <c r="E322" s="40" t="n">
        <v>142</v>
      </c>
      <c r="F322" s="40"/>
      <c r="G322" s="43" t="n">
        <v>3.199</v>
      </c>
      <c r="H322" s="40"/>
      <c r="I322" s="40"/>
      <c r="J322" s="44"/>
      <c r="K322" s="44"/>
      <c r="L322" s="6" t="s">
        <v>388</v>
      </c>
      <c r="M322" s="6" t="s">
        <v>389</v>
      </c>
    </row>
    <row r="323" customFormat="false" ht="15" hidden="false" customHeight="false" outlineLevel="0" collapsed="false">
      <c r="A323" s="6" t="s">
        <v>154</v>
      </c>
      <c r="B323" s="7" t="n">
        <f aca="false">IF(A323="","",IFERROR(MATCH(A323,Lists!$A$2:$A$37,0),""))</f>
        <v>27</v>
      </c>
      <c r="C323" s="6" t="s">
        <v>286</v>
      </c>
      <c r="D323" s="6" t="s">
        <v>306</v>
      </c>
      <c r="E323" s="40" t="n">
        <v>40</v>
      </c>
      <c r="F323" s="40"/>
      <c r="G323" s="43" t="n">
        <v>2.998</v>
      </c>
      <c r="H323" s="40"/>
      <c r="I323" s="40"/>
      <c r="J323" s="44"/>
      <c r="K323" s="44"/>
      <c r="L323" s="6" t="s">
        <v>388</v>
      </c>
      <c r="M323" s="6" t="s">
        <v>389</v>
      </c>
    </row>
    <row r="324" customFormat="false" ht="15" hidden="false" customHeight="false" outlineLevel="0" collapsed="false">
      <c r="A324" s="6" t="s">
        <v>154</v>
      </c>
      <c r="B324" s="7" t="n">
        <f aca="false">IF(A324="","",IFERROR(MATCH(A324,Lists!$A$2:$A$37,0),""))</f>
        <v>27</v>
      </c>
      <c r="C324" s="6" t="s">
        <v>286</v>
      </c>
      <c r="D324" s="6" t="s">
        <v>307</v>
      </c>
      <c r="E324" s="40" t="n">
        <v>80</v>
      </c>
      <c r="F324" s="40"/>
      <c r="G324" s="43" t="n">
        <v>3.443</v>
      </c>
      <c r="H324" s="40"/>
      <c r="I324" s="40"/>
      <c r="J324" s="44"/>
      <c r="K324" s="44"/>
      <c r="L324" s="6" t="s">
        <v>388</v>
      </c>
      <c r="M324" s="6" t="s">
        <v>389</v>
      </c>
    </row>
    <row r="325" customFormat="false" ht="15" hidden="false" customHeight="false" outlineLevel="0" collapsed="false">
      <c r="A325" s="6" t="s">
        <v>154</v>
      </c>
      <c r="B325" s="7" t="n">
        <f aca="false">IF(A325="","",IFERROR(MATCH(A325,Lists!$A$2:$A$37,0),""))</f>
        <v>27</v>
      </c>
      <c r="C325" s="6" t="s">
        <v>286</v>
      </c>
      <c r="D325" s="6" t="s">
        <v>308</v>
      </c>
      <c r="E325" s="40" t="n">
        <v>134</v>
      </c>
      <c r="F325" s="40"/>
      <c r="G325" s="43" t="n">
        <v>3.47</v>
      </c>
      <c r="H325" s="40"/>
      <c r="I325" s="40"/>
      <c r="J325" s="44"/>
      <c r="K325" s="44"/>
      <c r="L325" s="6" t="s">
        <v>388</v>
      </c>
      <c r="M325" s="6" t="s">
        <v>389</v>
      </c>
    </row>
    <row r="326" customFormat="false" ht="15" hidden="false" customHeight="false" outlineLevel="0" collapsed="false">
      <c r="A326" s="6" t="s">
        <v>154</v>
      </c>
      <c r="B326" s="7" t="n">
        <f aca="false">IF(A326="","",IFERROR(MATCH(A326,Lists!$A$2:$A$37,0),""))</f>
        <v>27</v>
      </c>
      <c r="C326" s="6" t="s">
        <v>286</v>
      </c>
      <c r="D326" s="6" t="s">
        <v>309</v>
      </c>
      <c r="E326" s="40" t="n">
        <v>65</v>
      </c>
      <c r="F326" s="40"/>
      <c r="G326" s="43" t="n">
        <v>2.856</v>
      </c>
      <c r="H326" s="40"/>
      <c r="I326" s="40"/>
      <c r="J326" s="44"/>
      <c r="K326" s="44"/>
      <c r="L326" s="6" t="s">
        <v>388</v>
      </c>
      <c r="M326" s="6" t="s">
        <v>389</v>
      </c>
    </row>
    <row r="327" customFormat="false" ht="15" hidden="false" customHeight="false" outlineLevel="0" collapsed="false">
      <c r="A327" s="6" t="s">
        <v>154</v>
      </c>
      <c r="B327" s="7" t="n">
        <f aca="false">IF(A327="","",IFERROR(MATCH(A327,Lists!$A$2:$A$37,0),""))</f>
        <v>27</v>
      </c>
      <c r="C327" s="6" t="s">
        <v>286</v>
      </c>
      <c r="D327" s="6" t="s">
        <v>310</v>
      </c>
      <c r="E327" s="40" t="n">
        <v>128</v>
      </c>
      <c r="F327" s="40"/>
      <c r="G327" s="43" t="n">
        <v>3.23</v>
      </c>
      <c r="H327" s="40"/>
      <c r="I327" s="40"/>
      <c r="J327" s="44"/>
      <c r="K327" s="44"/>
      <c r="L327" s="6" t="s">
        <v>388</v>
      </c>
      <c r="M327" s="6" t="s">
        <v>389</v>
      </c>
    </row>
    <row r="328" customFormat="false" ht="15" hidden="false" customHeight="false" outlineLevel="0" collapsed="false">
      <c r="A328" s="6" t="s">
        <v>154</v>
      </c>
      <c r="B328" s="7" t="n">
        <f aca="false">IF(A328="","",IFERROR(MATCH(A328,Lists!$A$2:$A$37,0),""))</f>
        <v>27</v>
      </c>
      <c r="C328" s="6" t="s">
        <v>286</v>
      </c>
      <c r="D328" s="6" t="s">
        <v>311</v>
      </c>
      <c r="E328" s="40" t="n">
        <v>9</v>
      </c>
      <c r="F328" s="40"/>
      <c r="G328" s="43" t="n">
        <v>2.967</v>
      </c>
      <c r="H328" s="40"/>
      <c r="I328" s="40"/>
      <c r="J328" s="44"/>
      <c r="K328" s="44"/>
      <c r="L328" s="6" t="s">
        <v>388</v>
      </c>
      <c r="M328" s="6" t="s">
        <v>389</v>
      </c>
    </row>
    <row r="329" customFormat="false" ht="15" hidden="false" customHeight="false" outlineLevel="0" collapsed="false">
      <c r="A329" s="6" t="s">
        <v>154</v>
      </c>
      <c r="B329" s="7" t="n">
        <f aca="false">IF(A329="","",IFERROR(MATCH(A329,Lists!$A$2:$A$37,0),""))</f>
        <v>27</v>
      </c>
      <c r="C329" s="6" t="s">
        <v>286</v>
      </c>
      <c r="D329" s="6" t="s">
        <v>312</v>
      </c>
      <c r="E329" s="40" t="n">
        <v>97</v>
      </c>
      <c r="F329" s="40"/>
      <c r="G329" s="43" t="n">
        <v>3.311</v>
      </c>
      <c r="H329" s="40"/>
      <c r="I329" s="40"/>
      <c r="J329" s="44"/>
      <c r="K329" s="44"/>
      <c r="L329" s="6" t="s">
        <v>388</v>
      </c>
      <c r="M329" s="6" t="s">
        <v>389</v>
      </c>
    </row>
    <row r="330" customFormat="false" ht="15" hidden="false" customHeight="false" outlineLevel="0" collapsed="false">
      <c r="A330" s="6" t="s">
        <v>154</v>
      </c>
      <c r="B330" s="7" t="n">
        <f aca="false">IF(A330="","",IFERROR(MATCH(A330,Lists!$A$2:$A$37,0),""))</f>
        <v>27</v>
      </c>
      <c r="C330" s="6" t="s">
        <v>286</v>
      </c>
      <c r="D330" s="6" t="s">
        <v>313</v>
      </c>
      <c r="E330" s="40" t="n">
        <v>12</v>
      </c>
      <c r="F330" s="40"/>
      <c r="G330" s="43" t="n">
        <v>3.094</v>
      </c>
      <c r="H330" s="40"/>
      <c r="I330" s="40"/>
      <c r="J330" s="44"/>
      <c r="K330" s="44"/>
      <c r="L330" s="6" t="s">
        <v>388</v>
      </c>
      <c r="M330" s="6" t="s">
        <v>389</v>
      </c>
    </row>
    <row r="331" customFormat="false" ht="15" hidden="false" customHeight="false" outlineLevel="0" collapsed="false">
      <c r="A331" s="6" t="s">
        <v>154</v>
      </c>
      <c r="B331" s="7" t="n">
        <f aca="false">IF(A331="","",IFERROR(MATCH(A331,Lists!$A$2:$A$37,0),""))</f>
        <v>27</v>
      </c>
      <c r="C331" s="6" t="s">
        <v>286</v>
      </c>
      <c r="D331" s="6" t="s">
        <v>314</v>
      </c>
      <c r="E331" s="40" t="n">
        <v>157</v>
      </c>
      <c r="F331" s="40"/>
      <c r="G331" s="43" t="n">
        <v>3.612</v>
      </c>
      <c r="H331" s="40"/>
      <c r="I331" s="40"/>
      <c r="J331" s="44"/>
      <c r="K331" s="44"/>
      <c r="L331" s="6" t="s">
        <v>388</v>
      </c>
      <c r="M331" s="6" t="s">
        <v>389</v>
      </c>
    </row>
    <row r="332" customFormat="false" ht="15" hidden="false" customHeight="false" outlineLevel="0" collapsed="false">
      <c r="A332" s="6" t="s">
        <v>154</v>
      </c>
      <c r="B332" s="7" t="n">
        <f aca="false">IF(A332="","",IFERROR(MATCH(A332,Lists!$A$2:$A$37,0),""))</f>
        <v>27</v>
      </c>
      <c r="C332" s="6" t="s">
        <v>286</v>
      </c>
      <c r="D332" s="6" t="s">
        <v>316</v>
      </c>
      <c r="E332" s="40" t="n">
        <v>18</v>
      </c>
      <c r="F332" s="40"/>
      <c r="G332" s="43" t="n">
        <v>2.746</v>
      </c>
      <c r="H332" s="40"/>
      <c r="I332" s="40"/>
      <c r="J332" s="44"/>
      <c r="K332" s="44"/>
      <c r="L332" s="6" t="s">
        <v>388</v>
      </c>
      <c r="M332" s="6" t="s">
        <v>389</v>
      </c>
    </row>
    <row r="333" customFormat="false" ht="15" hidden="false" customHeight="false" outlineLevel="0" collapsed="false">
      <c r="A333" s="6" t="s">
        <v>154</v>
      </c>
      <c r="B333" s="7" t="n">
        <f aca="false">IF(A333="","",IFERROR(MATCH(A333,Lists!$A$2:$A$37,0),""))</f>
        <v>27</v>
      </c>
      <c r="C333" s="6" t="s">
        <v>286</v>
      </c>
      <c r="D333" s="6" t="s">
        <v>287</v>
      </c>
      <c r="E333" s="40" t="n">
        <v>60</v>
      </c>
      <c r="F333" s="40"/>
      <c r="G333" s="43" t="n">
        <v>2.997</v>
      </c>
      <c r="H333" s="40"/>
      <c r="I333" s="40"/>
      <c r="J333" s="44"/>
      <c r="K333" s="44"/>
      <c r="L333" s="6" t="s">
        <v>388</v>
      </c>
      <c r="M333" s="6" t="s">
        <v>389</v>
      </c>
    </row>
    <row r="334" customFormat="false" ht="15" hidden="false" customHeight="false" outlineLevel="0" collapsed="false">
      <c r="A334" s="6" t="s">
        <v>154</v>
      </c>
      <c r="B334" s="7" t="n">
        <f aca="false">IF(A334="","",IFERROR(MATCH(A334,Lists!$A$2:$A$37,0),""))</f>
        <v>27</v>
      </c>
      <c r="C334" s="6" t="s">
        <v>286</v>
      </c>
      <c r="D334" s="6" t="s">
        <v>317</v>
      </c>
      <c r="E334" s="40" t="n">
        <v>20</v>
      </c>
      <c r="F334" s="40"/>
      <c r="G334" s="43" t="n">
        <v>2.763</v>
      </c>
      <c r="H334" s="40"/>
      <c r="I334" s="40"/>
      <c r="J334" s="44"/>
      <c r="K334" s="44"/>
      <c r="L334" s="6" t="s">
        <v>388</v>
      </c>
      <c r="M334" s="6" t="s">
        <v>389</v>
      </c>
    </row>
    <row r="335" customFormat="false" ht="15" hidden="false" customHeight="false" outlineLevel="0" collapsed="false">
      <c r="A335" s="6" t="s">
        <v>154</v>
      </c>
      <c r="B335" s="7" t="n">
        <f aca="false">IF(A335="","",IFERROR(MATCH(A335,Lists!$A$2:$A$37,0),""))</f>
        <v>27</v>
      </c>
      <c r="C335" s="6" t="s">
        <v>352</v>
      </c>
      <c r="D335" s="6" t="s">
        <v>353</v>
      </c>
      <c r="E335" s="40" t="n">
        <v>17</v>
      </c>
      <c r="F335" s="40"/>
      <c r="G335" s="43" t="n">
        <v>3.585</v>
      </c>
      <c r="H335" s="40"/>
      <c r="I335" s="40"/>
      <c r="J335" s="44"/>
      <c r="K335" s="44"/>
      <c r="L335" s="6" t="s">
        <v>388</v>
      </c>
      <c r="M335" s="6" t="s">
        <v>389</v>
      </c>
    </row>
    <row r="336" customFormat="false" ht="15" hidden="false" customHeight="false" outlineLevel="0" collapsed="false">
      <c r="A336" s="6" t="s">
        <v>154</v>
      </c>
      <c r="B336" s="7" t="n">
        <f aca="false">IF(A336="","",IFERROR(MATCH(A336,Lists!$A$2:$A$37,0),""))</f>
        <v>27</v>
      </c>
      <c r="C336" s="6" t="s">
        <v>352</v>
      </c>
      <c r="D336" s="6" t="s">
        <v>354</v>
      </c>
      <c r="E336" s="40" t="n">
        <v>16</v>
      </c>
      <c r="F336" s="40"/>
      <c r="G336" s="43" t="n">
        <v>3.333</v>
      </c>
      <c r="H336" s="40"/>
      <c r="I336" s="40"/>
      <c r="J336" s="44"/>
      <c r="K336" s="44"/>
      <c r="L336" s="6" t="s">
        <v>388</v>
      </c>
      <c r="M336" s="6" t="s">
        <v>389</v>
      </c>
    </row>
    <row r="337" customFormat="false" ht="15" hidden="false" customHeight="false" outlineLevel="0" collapsed="false">
      <c r="A337" s="6" t="s">
        <v>154</v>
      </c>
      <c r="B337" s="7" t="n">
        <f aca="false">IF(A337="","",IFERROR(MATCH(A337,Lists!$A$2:$A$37,0),""))</f>
        <v>27</v>
      </c>
      <c r="C337" s="6" t="s">
        <v>352</v>
      </c>
      <c r="D337" s="6" t="s">
        <v>356</v>
      </c>
      <c r="E337" s="40" t="n">
        <v>19</v>
      </c>
      <c r="F337" s="40"/>
      <c r="G337" s="43" t="n">
        <v>2.905</v>
      </c>
      <c r="H337" s="40"/>
      <c r="I337" s="40"/>
      <c r="J337" s="44"/>
      <c r="K337" s="44"/>
      <c r="L337" s="6" t="s">
        <v>388</v>
      </c>
      <c r="M337" s="6" t="s">
        <v>389</v>
      </c>
    </row>
    <row r="338" customFormat="false" ht="15" hidden="false" customHeight="false" outlineLevel="0" collapsed="false">
      <c r="A338" s="6" t="s">
        <v>154</v>
      </c>
      <c r="B338" s="7" t="n">
        <f aca="false">IF(A338="","",IFERROR(MATCH(A338,Lists!$A$2:$A$37,0),""))</f>
        <v>27</v>
      </c>
      <c r="C338" s="6" t="s">
        <v>352</v>
      </c>
      <c r="D338" s="6" t="s">
        <v>358</v>
      </c>
      <c r="E338" s="40" t="n">
        <v>19</v>
      </c>
      <c r="F338" s="40"/>
      <c r="G338" s="43" t="n">
        <v>3.008</v>
      </c>
      <c r="H338" s="40"/>
      <c r="I338" s="40"/>
      <c r="J338" s="44"/>
      <c r="K338" s="44"/>
      <c r="L338" s="6" t="s">
        <v>388</v>
      </c>
      <c r="M338" s="6" t="s">
        <v>389</v>
      </c>
    </row>
    <row r="339" customFormat="false" ht="15" hidden="false" customHeight="false" outlineLevel="0" collapsed="false">
      <c r="A339" s="6" t="s">
        <v>154</v>
      </c>
      <c r="B339" s="7" t="n">
        <f aca="false">IF(A339="","",IFERROR(MATCH(A339,Lists!$A$2:$A$37,0),""))</f>
        <v>27</v>
      </c>
      <c r="C339" s="6" t="s">
        <v>352</v>
      </c>
      <c r="D339" s="6" t="s">
        <v>359</v>
      </c>
      <c r="E339" s="40" t="n">
        <v>9</v>
      </c>
      <c r="F339" s="40"/>
      <c r="G339" s="43" t="n">
        <v>3.253</v>
      </c>
      <c r="H339" s="40"/>
      <c r="I339" s="40"/>
      <c r="J339" s="44"/>
      <c r="K339" s="44"/>
      <c r="L339" s="6" t="s">
        <v>388</v>
      </c>
      <c r="M339" s="6" t="s">
        <v>389</v>
      </c>
    </row>
    <row r="340" customFormat="false" ht="15" hidden="false" customHeight="false" outlineLevel="0" collapsed="false">
      <c r="A340" s="6" t="s">
        <v>154</v>
      </c>
      <c r="B340" s="7" t="n">
        <f aca="false">IF(A340="","",IFERROR(MATCH(A340,Lists!$A$2:$A$37,0),""))</f>
        <v>27</v>
      </c>
      <c r="C340" s="6" t="s">
        <v>352</v>
      </c>
      <c r="D340" s="6" t="s">
        <v>360</v>
      </c>
      <c r="E340" s="40" t="n">
        <v>14</v>
      </c>
      <c r="F340" s="40"/>
      <c r="G340" s="43" t="n">
        <v>2.599</v>
      </c>
      <c r="H340" s="40"/>
      <c r="I340" s="40"/>
      <c r="J340" s="44"/>
      <c r="K340" s="44"/>
      <c r="L340" s="6" t="s">
        <v>388</v>
      </c>
      <c r="M340" s="6" t="s">
        <v>389</v>
      </c>
    </row>
    <row r="341" customFormat="false" ht="15" hidden="false" customHeight="false" outlineLevel="0" collapsed="false">
      <c r="A341" s="6" t="s">
        <v>154</v>
      </c>
      <c r="B341" s="7" t="n">
        <f aca="false">IF(A341="","",IFERROR(MATCH(A341,Lists!$A$2:$A$37,0),""))</f>
        <v>27</v>
      </c>
      <c r="C341" s="6" t="s">
        <v>352</v>
      </c>
      <c r="D341" s="6" t="s">
        <v>361</v>
      </c>
      <c r="E341" s="40" t="n">
        <v>12</v>
      </c>
      <c r="F341" s="40"/>
      <c r="G341" s="43" t="n">
        <v>2.454</v>
      </c>
      <c r="H341" s="40"/>
      <c r="I341" s="40"/>
      <c r="J341" s="44"/>
      <c r="K341" s="44"/>
      <c r="L341" s="6" t="s">
        <v>388</v>
      </c>
      <c r="M341" s="6" t="s">
        <v>389</v>
      </c>
    </row>
    <row r="342" customFormat="false" ht="15" hidden="false" customHeight="false" outlineLevel="0" collapsed="false">
      <c r="A342" s="6" t="s">
        <v>154</v>
      </c>
      <c r="B342" s="7" t="n">
        <f aca="false">IF(A342="","",IFERROR(MATCH(A342,Lists!$A$2:$A$37,0),""))</f>
        <v>27</v>
      </c>
      <c r="C342" s="6" t="s">
        <v>352</v>
      </c>
      <c r="D342" s="6" t="s">
        <v>362</v>
      </c>
      <c r="E342" s="40" t="n">
        <v>12</v>
      </c>
      <c r="F342" s="40"/>
      <c r="G342" s="43" t="n">
        <v>3.382</v>
      </c>
      <c r="H342" s="40"/>
      <c r="I342" s="40"/>
      <c r="J342" s="44"/>
      <c r="K342" s="44"/>
      <c r="L342" s="6" t="s">
        <v>388</v>
      </c>
      <c r="M342" s="6" t="s">
        <v>389</v>
      </c>
    </row>
    <row r="343" customFormat="false" ht="15" hidden="false" customHeight="false" outlineLevel="0" collapsed="false">
      <c r="A343" s="6" t="s">
        <v>154</v>
      </c>
      <c r="B343" s="7" t="n">
        <f aca="false">IF(A343="","",IFERROR(MATCH(A343,Lists!$A$2:$A$37,0),""))</f>
        <v>27</v>
      </c>
      <c r="C343" s="6" t="s">
        <v>363</v>
      </c>
      <c r="D343" s="6" t="s">
        <v>364</v>
      </c>
      <c r="E343" s="40" t="n">
        <v>7</v>
      </c>
      <c r="F343" s="40"/>
      <c r="G343" s="43" t="n">
        <v>3.287</v>
      </c>
      <c r="H343" s="40"/>
      <c r="I343" s="40"/>
      <c r="J343" s="44"/>
      <c r="K343" s="44"/>
      <c r="L343" s="6" t="s">
        <v>388</v>
      </c>
      <c r="M343" s="6" t="s">
        <v>389</v>
      </c>
    </row>
    <row r="344" customFormat="false" ht="15" hidden="false" customHeight="false" outlineLevel="0" collapsed="false">
      <c r="A344" s="6" t="s">
        <v>154</v>
      </c>
      <c r="B344" s="7" t="n">
        <f aca="false">IF(A344="","",IFERROR(MATCH(A344,Lists!$A$2:$A$37,0),""))</f>
        <v>27</v>
      </c>
      <c r="C344" s="6" t="s">
        <v>363</v>
      </c>
      <c r="D344" s="6" t="s">
        <v>366</v>
      </c>
      <c r="E344" s="40" t="n">
        <v>7</v>
      </c>
      <c r="F344" s="40"/>
      <c r="G344" s="43" t="n">
        <v>1.456</v>
      </c>
      <c r="H344" s="40"/>
      <c r="I344" s="40"/>
      <c r="J344" s="44"/>
      <c r="K344" s="44"/>
      <c r="L344" s="6" t="s">
        <v>388</v>
      </c>
      <c r="M344" s="6" t="s">
        <v>389</v>
      </c>
    </row>
    <row r="345" customFormat="false" ht="15" hidden="false" customHeight="false" outlineLevel="0" collapsed="false">
      <c r="A345" s="6" t="s">
        <v>154</v>
      </c>
      <c r="B345" s="7" t="n">
        <f aca="false">IF(A345="","",IFERROR(MATCH(A345,Lists!$A$2:$A$37,0),""))</f>
        <v>27</v>
      </c>
      <c r="C345" s="6" t="s">
        <v>363</v>
      </c>
      <c r="D345" s="6" t="s">
        <v>367</v>
      </c>
      <c r="E345" s="40" t="n">
        <v>5</v>
      </c>
      <c r="F345" s="40"/>
      <c r="G345" s="43" t="n">
        <v>2.329</v>
      </c>
      <c r="H345" s="40"/>
      <c r="I345" s="40"/>
      <c r="J345" s="44"/>
      <c r="K345" s="44"/>
      <c r="L345" s="6" t="s">
        <v>388</v>
      </c>
      <c r="M345" s="6" t="s">
        <v>389</v>
      </c>
    </row>
    <row r="346" customFormat="false" ht="15" hidden="false" customHeight="false" outlineLevel="0" collapsed="false">
      <c r="A346" s="6" t="s">
        <v>154</v>
      </c>
      <c r="B346" s="7" t="n">
        <f aca="false">IF(A346="","",IFERROR(MATCH(A346,Lists!$A$2:$A$37,0),""))</f>
        <v>27</v>
      </c>
      <c r="C346" s="6" t="s">
        <v>372</v>
      </c>
      <c r="D346" s="6" t="s">
        <v>373</v>
      </c>
      <c r="E346" s="40" t="n">
        <v>170</v>
      </c>
      <c r="F346" s="40"/>
      <c r="G346" s="43" t="n">
        <v>3.375</v>
      </c>
      <c r="H346" s="40"/>
      <c r="I346" s="40"/>
      <c r="J346" s="44"/>
      <c r="K346" s="44"/>
      <c r="L346" s="6" t="s">
        <v>388</v>
      </c>
      <c r="M346" s="6" t="s">
        <v>389</v>
      </c>
    </row>
    <row r="347" customFormat="false" ht="15" hidden="false" customHeight="false" outlineLevel="0" collapsed="false">
      <c r="A347" s="6" t="s">
        <v>154</v>
      </c>
      <c r="B347" s="7" t="n">
        <f aca="false">IF(A347="","",IFERROR(MATCH(A347,Lists!$A$2:$A$37,0),""))</f>
        <v>27</v>
      </c>
      <c r="C347" s="6" t="s">
        <v>372</v>
      </c>
      <c r="D347" s="6" t="s">
        <v>374</v>
      </c>
      <c r="E347" s="40" t="n">
        <v>164</v>
      </c>
      <c r="F347" s="40"/>
      <c r="G347" s="43" t="n">
        <v>3.397</v>
      </c>
      <c r="H347" s="40"/>
      <c r="I347" s="40"/>
      <c r="J347" s="44"/>
      <c r="K347" s="44"/>
      <c r="L347" s="6" t="s">
        <v>388</v>
      </c>
      <c r="M347" s="6" t="s">
        <v>389</v>
      </c>
    </row>
    <row r="348" customFormat="false" ht="15" hidden="false" customHeight="false" outlineLevel="0" collapsed="false">
      <c r="A348" s="6" t="s">
        <v>154</v>
      </c>
      <c r="B348" s="7" t="n">
        <f aca="false">IF(A348="","",IFERROR(MATCH(A348,Lists!$A$2:$A$37,0),""))</f>
        <v>27</v>
      </c>
      <c r="C348" s="6" t="s">
        <v>372</v>
      </c>
      <c r="D348" s="6" t="s">
        <v>375</v>
      </c>
      <c r="E348" s="40" t="n">
        <v>159</v>
      </c>
      <c r="F348" s="40"/>
      <c r="G348" s="43" t="n">
        <v>3.463</v>
      </c>
      <c r="H348" s="40"/>
      <c r="I348" s="40"/>
      <c r="J348" s="44"/>
      <c r="K348" s="44"/>
      <c r="L348" s="6" t="s">
        <v>388</v>
      </c>
      <c r="M348" s="6" t="s">
        <v>389</v>
      </c>
    </row>
    <row r="349" customFormat="false" ht="15" hidden="false" customHeight="false" outlineLevel="0" collapsed="false">
      <c r="A349" s="6" t="s">
        <v>154</v>
      </c>
      <c r="B349" s="7" t="n">
        <f aca="false">IF(A349="","",IFERROR(MATCH(A349,Lists!$A$2:$A$37,0),""))</f>
        <v>27</v>
      </c>
      <c r="C349" s="6" t="s">
        <v>372</v>
      </c>
      <c r="D349" s="6" t="s">
        <v>376</v>
      </c>
      <c r="E349" s="40" t="n">
        <v>154</v>
      </c>
      <c r="F349" s="40"/>
      <c r="G349" s="43" t="n">
        <v>3.429</v>
      </c>
      <c r="H349" s="40"/>
      <c r="I349" s="40"/>
      <c r="J349" s="44"/>
      <c r="K349" s="44"/>
      <c r="L349" s="6" t="s">
        <v>388</v>
      </c>
      <c r="M349" s="6" t="s">
        <v>389</v>
      </c>
    </row>
    <row r="350" customFormat="false" ht="15" hidden="false" customHeight="false" outlineLevel="0" collapsed="false">
      <c r="A350" s="6" t="s">
        <v>154</v>
      </c>
      <c r="B350" s="7" t="n">
        <f aca="false">IF(A350="","",IFERROR(MATCH(A350,Lists!$A$2:$A$37,0),""))</f>
        <v>27</v>
      </c>
      <c r="C350" s="6" t="s">
        <v>372</v>
      </c>
      <c r="D350" s="6" t="s">
        <v>377</v>
      </c>
      <c r="E350" s="40" t="n">
        <v>165</v>
      </c>
      <c r="F350" s="40"/>
      <c r="G350" s="43" t="n">
        <v>3.678</v>
      </c>
      <c r="H350" s="40"/>
      <c r="I350" s="40"/>
      <c r="J350" s="44"/>
      <c r="K350" s="44"/>
      <c r="L350" s="6" t="s">
        <v>388</v>
      </c>
      <c r="M350" s="6" t="s">
        <v>389</v>
      </c>
    </row>
    <row r="351" customFormat="false" ht="15" hidden="false" customHeight="false" outlineLevel="0" collapsed="false">
      <c r="A351" s="6" t="s">
        <v>154</v>
      </c>
      <c r="B351" s="7" t="n">
        <f aca="false">IF(A351="","",IFERROR(MATCH(A351,Lists!$A$2:$A$37,0),""))</f>
        <v>27</v>
      </c>
      <c r="C351" s="6" t="s">
        <v>372</v>
      </c>
      <c r="D351" s="6" t="s">
        <v>378</v>
      </c>
      <c r="E351" s="40" t="n">
        <v>159</v>
      </c>
      <c r="F351" s="40"/>
      <c r="G351" s="43" t="n">
        <v>3.282</v>
      </c>
      <c r="H351" s="40"/>
      <c r="I351" s="40"/>
      <c r="J351" s="44"/>
      <c r="K351" s="44"/>
      <c r="L351" s="6" t="s">
        <v>388</v>
      </c>
      <c r="M351" s="6" t="s">
        <v>389</v>
      </c>
    </row>
    <row r="352" customFormat="false" ht="15" hidden="false" customHeight="false" outlineLevel="0" collapsed="false">
      <c r="A352" s="6" t="s">
        <v>154</v>
      </c>
      <c r="B352" s="7" t="n">
        <f aca="false">IF(A352="","",IFERROR(MATCH(A352,Lists!$A$2:$A$37,0),""))</f>
        <v>27</v>
      </c>
      <c r="C352" s="6" t="s">
        <v>372</v>
      </c>
      <c r="D352" s="6" t="s">
        <v>379</v>
      </c>
      <c r="E352" s="40" t="n">
        <v>164</v>
      </c>
      <c r="F352" s="40"/>
      <c r="G352" s="43" t="n">
        <v>3.514</v>
      </c>
      <c r="H352" s="40"/>
      <c r="I352" s="40"/>
      <c r="J352" s="44"/>
      <c r="K352" s="44"/>
      <c r="L352" s="6" t="s">
        <v>388</v>
      </c>
      <c r="M352" s="6" t="s">
        <v>389</v>
      </c>
    </row>
    <row r="353" customFormat="false" ht="15" hidden="false" customHeight="false" outlineLevel="0" collapsed="false">
      <c r="A353" s="6" t="s">
        <v>154</v>
      </c>
      <c r="B353" s="7" t="n">
        <f aca="false">IF(A353="","",IFERROR(MATCH(A353,Lists!$A$2:$A$37,0),""))</f>
        <v>27</v>
      </c>
      <c r="C353" s="6" t="s">
        <v>372</v>
      </c>
      <c r="D353" s="6" t="s">
        <v>380</v>
      </c>
      <c r="E353" s="40" t="n">
        <v>157</v>
      </c>
      <c r="F353" s="40"/>
      <c r="G353" s="43" t="n">
        <v>3.541</v>
      </c>
      <c r="H353" s="40"/>
      <c r="I353" s="40"/>
      <c r="J353" s="44"/>
      <c r="K353" s="44"/>
      <c r="L353" s="6" t="s">
        <v>388</v>
      </c>
      <c r="M353" s="6" t="s">
        <v>389</v>
      </c>
    </row>
    <row r="354" customFormat="false" ht="15" hidden="false" customHeight="false" outlineLevel="0" collapsed="false">
      <c r="A354" s="6" t="s">
        <v>154</v>
      </c>
      <c r="B354" s="7" t="n">
        <f aca="false">IF(A354="","",IFERROR(MATCH(A354,Lists!$A$2:$A$37,0),""))</f>
        <v>27</v>
      </c>
      <c r="C354" s="6" t="s">
        <v>372</v>
      </c>
      <c r="D354" s="6" t="s">
        <v>381</v>
      </c>
      <c r="E354" s="40" t="n">
        <v>157</v>
      </c>
      <c r="F354" s="40"/>
      <c r="G354" s="43" t="n">
        <v>3.612</v>
      </c>
      <c r="H354" s="40"/>
      <c r="I354" s="40"/>
      <c r="J354" s="44"/>
      <c r="K354" s="44"/>
      <c r="L354" s="6" t="s">
        <v>388</v>
      </c>
      <c r="M354" s="6" t="s">
        <v>389</v>
      </c>
    </row>
    <row r="355" customFormat="false" ht="15" hidden="false" customHeight="false" outlineLevel="0" collapsed="false">
      <c r="A355" s="6" t="s">
        <v>154</v>
      </c>
      <c r="B355" s="7" t="n">
        <f aca="false">IF(A355="","",IFERROR(MATCH(A355,Lists!$A$2:$A$37,0),""))</f>
        <v>27</v>
      </c>
      <c r="C355" s="6" t="s">
        <v>372</v>
      </c>
      <c r="D355" s="6" t="s">
        <v>382</v>
      </c>
      <c r="E355" s="40" t="n">
        <v>156</v>
      </c>
      <c r="F355" s="40"/>
      <c r="G355" s="43" t="n">
        <v>3.5</v>
      </c>
      <c r="H355" s="40"/>
      <c r="I355" s="40"/>
      <c r="J355" s="44"/>
      <c r="K355" s="44"/>
      <c r="L355" s="6" t="s">
        <v>388</v>
      </c>
      <c r="M355" s="6" t="s">
        <v>389</v>
      </c>
    </row>
    <row r="356" customFormat="false" ht="15" hidden="false" customHeight="false" outlineLevel="0" collapsed="false">
      <c r="A356" s="6" t="s">
        <v>154</v>
      </c>
      <c r="B356" s="7" t="n">
        <f aca="false">IF(A356="","",IFERROR(MATCH(A356,Lists!$A$2:$A$37,0),""))</f>
        <v>27</v>
      </c>
      <c r="C356" s="6" t="s">
        <v>372</v>
      </c>
      <c r="D356" s="6" t="s">
        <v>383</v>
      </c>
      <c r="E356" s="40" t="n">
        <v>164</v>
      </c>
      <c r="F356" s="40"/>
      <c r="G356" s="43" t="n">
        <v>3.491</v>
      </c>
      <c r="H356" s="40"/>
      <c r="I356" s="40"/>
      <c r="J356" s="44"/>
      <c r="K356" s="44"/>
      <c r="L356" s="6" t="s">
        <v>388</v>
      </c>
      <c r="M356" s="6" t="s">
        <v>389</v>
      </c>
    </row>
    <row r="357" customFormat="false" ht="15" hidden="false" customHeight="false" outlineLevel="0" collapsed="false">
      <c r="A357" s="6" t="s">
        <v>154</v>
      </c>
      <c r="B357" s="7" t="n">
        <f aca="false">IF(A357="","",IFERROR(MATCH(A357,Lists!$A$2:$A$37,0),""))</f>
        <v>27</v>
      </c>
      <c r="C357" s="6" t="s">
        <v>372</v>
      </c>
      <c r="D357" s="6" t="s">
        <v>384</v>
      </c>
      <c r="E357" s="40" t="n">
        <v>94</v>
      </c>
      <c r="F357" s="40"/>
      <c r="G357" s="43" t="n">
        <v>3.205</v>
      </c>
      <c r="H357" s="40"/>
      <c r="I357" s="40"/>
      <c r="J357" s="44"/>
      <c r="K357" s="44"/>
      <c r="L357" s="6" t="s">
        <v>388</v>
      </c>
      <c r="M357" s="6" t="s">
        <v>389</v>
      </c>
    </row>
    <row r="358" customFormat="false" ht="15" hidden="false" customHeight="false" outlineLevel="0" collapsed="false">
      <c r="A358" s="6" t="s">
        <v>154</v>
      </c>
      <c r="B358" s="7" t="n">
        <f aca="false">IF(A358="","",IFERROR(MATCH(A358,Lists!$A$2:$A$37,0),""))</f>
        <v>27</v>
      </c>
      <c r="C358" s="6" t="s">
        <v>372</v>
      </c>
      <c r="D358" s="6" t="s">
        <v>385</v>
      </c>
      <c r="E358" s="40" t="n">
        <v>31</v>
      </c>
      <c r="F358" s="40"/>
      <c r="G358" s="43" t="n">
        <v>3.621</v>
      </c>
      <c r="H358" s="40"/>
      <c r="I358" s="40"/>
      <c r="J358" s="44"/>
      <c r="K358" s="44"/>
      <c r="L358" s="6" t="s">
        <v>388</v>
      </c>
      <c r="M358" s="6" t="s">
        <v>389</v>
      </c>
    </row>
    <row r="359" customFormat="false" ht="15" hidden="false" customHeight="false" outlineLevel="0" collapsed="false">
      <c r="A359" s="6" t="s">
        <v>154</v>
      </c>
      <c r="B359" s="7" t="n">
        <f aca="false">IF(A359="","",IFERROR(MATCH(A359,Lists!$A$2:$A$37,0),""))</f>
        <v>27</v>
      </c>
      <c r="C359" s="6" t="s">
        <v>372</v>
      </c>
      <c r="D359" s="6" t="s">
        <v>386</v>
      </c>
      <c r="E359" s="40" t="n">
        <v>167</v>
      </c>
      <c r="F359" s="40"/>
      <c r="G359" s="43" t="n">
        <v>3.509</v>
      </c>
      <c r="H359" s="40"/>
      <c r="I359" s="40"/>
      <c r="J359" s="44"/>
      <c r="K359" s="44"/>
      <c r="L359" s="6" t="s">
        <v>388</v>
      </c>
      <c r="M359" s="6" t="s">
        <v>389</v>
      </c>
    </row>
    <row r="360" customFormat="false" ht="15" hidden="false" customHeight="false" outlineLevel="0" collapsed="false">
      <c r="A360" s="6" t="s">
        <v>154</v>
      </c>
      <c r="B360" s="7" t="n">
        <f aca="false">IF(A360="","",IFERROR(MATCH(A360,Lists!$A$2:$A$37,0),""))</f>
        <v>27</v>
      </c>
      <c r="C360" s="6" t="s">
        <v>372</v>
      </c>
      <c r="D360" s="6" t="s">
        <v>387</v>
      </c>
      <c r="E360" s="40" t="n">
        <v>64</v>
      </c>
      <c r="F360" s="40"/>
      <c r="G360" s="43" t="n">
        <v>3.456</v>
      </c>
      <c r="H360" s="40"/>
      <c r="I360" s="40"/>
      <c r="J360" s="44"/>
      <c r="K360" s="44"/>
      <c r="L360" s="6" t="s">
        <v>388</v>
      </c>
      <c r="M360" s="6" t="s">
        <v>389</v>
      </c>
    </row>
    <row r="361" customFormat="false" ht="15" hidden="false" customHeight="false" outlineLevel="0" collapsed="false">
      <c r="A361" s="6" t="s">
        <v>155</v>
      </c>
      <c r="B361" s="7" t="n">
        <f aca="false">IF(A361="","",IFERROR(MATCH(A361,Lists!$A$2:$A$37,0),""))</f>
        <v>28</v>
      </c>
      <c r="C361" s="6" t="s">
        <v>286</v>
      </c>
      <c r="D361" s="6" t="s">
        <v>290</v>
      </c>
      <c r="E361" s="40" t="n">
        <v>37</v>
      </c>
      <c r="F361" s="40" t="n">
        <v>4</v>
      </c>
      <c r="G361" s="43" t="n">
        <v>3.27</v>
      </c>
      <c r="H361" s="40" t="n">
        <v>34</v>
      </c>
      <c r="I361" s="40" t="n">
        <v>15</v>
      </c>
      <c r="J361" s="44"/>
      <c r="K361" s="44"/>
      <c r="L361" s="6" t="s">
        <v>390</v>
      </c>
      <c r="M361" s="6"/>
    </row>
    <row r="362" customFormat="false" ht="15" hidden="false" customHeight="false" outlineLevel="0" collapsed="false">
      <c r="A362" s="6" t="s">
        <v>155</v>
      </c>
      <c r="B362" s="7" t="n">
        <f aca="false">IF(A362="","",IFERROR(MATCH(A362,Lists!$A$2:$A$37,0),""))</f>
        <v>28</v>
      </c>
      <c r="C362" s="6" t="s">
        <v>286</v>
      </c>
      <c r="D362" s="6" t="s">
        <v>293</v>
      </c>
      <c r="E362" s="40" t="n">
        <v>101</v>
      </c>
      <c r="F362" s="40" t="n">
        <v>4</v>
      </c>
      <c r="G362" s="43" t="n">
        <v>3.371</v>
      </c>
      <c r="H362" s="40" t="n">
        <v>22</v>
      </c>
      <c r="I362" s="40" t="n">
        <v>6</v>
      </c>
      <c r="J362" s="44"/>
      <c r="K362" s="44"/>
      <c r="L362" s="6" t="s">
        <v>390</v>
      </c>
      <c r="M362" s="6"/>
    </row>
    <row r="363" customFormat="false" ht="15" hidden="false" customHeight="false" outlineLevel="0" collapsed="false">
      <c r="A363" s="6" t="s">
        <v>155</v>
      </c>
      <c r="B363" s="7" t="n">
        <f aca="false">IF(A363="","",IFERROR(MATCH(A363,Lists!$A$2:$A$37,0),""))</f>
        <v>28</v>
      </c>
      <c r="C363" s="6" t="s">
        <v>286</v>
      </c>
      <c r="D363" s="6" t="s">
        <v>294</v>
      </c>
      <c r="E363" s="40" t="n">
        <v>90</v>
      </c>
      <c r="F363" s="40" t="n">
        <v>0</v>
      </c>
      <c r="G363" s="43" t="n">
        <v>3.313</v>
      </c>
      <c r="H363" s="40" t="n">
        <v>31</v>
      </c>
      <c r="I363" s="40" t="n">
        <v>13</v>
      </c>
      <c r="J363" s="44"/>
      <c r="K363" s="44"/>
      <c r="L363" s="6" t="s">
        <v>390</v>
      </c>
      <c r="M363" s="6"/>
    </row>
    <row r="364" customFormat="false" ht="15" hidden="false" customHeight="false" outlineLevel="0" collapsed="false">
      <c r="A364" s="6" t="s">
        <v>155</v>
      </c>
      <c r="B364" s="7" t="n">
        <f aca="false">IF(A364="","",IFERROR(MATCH(A364,Lists!$A$2:$A$37,0),""))</f>
        <v>28</v>
      </c>
      <c r="C364" s="6" t="s">
        <v>286</v>
      </c>
      <c r="D364" s="6" t="s">
        <v>295</v>
      </c>
      <c r="E364" s="40" t="n">
        <v>116</v>
      </c>
      <c r="F364" s="40" t="n">
        <v>2</v>
      </c>
      <c r="G364" s="43" t="n">
        <v>3.222</v>
      </c>
      <c r="H364" s="40" t="n">
        <v>36</v>
      </c>
      <c r="I364" s="40" t="n">
        <v>17</v>
      </c>
      <c r="J364" s="44"/>
      <c r="K364" s="44"/>
      <c r="L364" s="6" t="s">
        <v>390</v>
      </c>
      <c r="M364" s="6"/>
    </row>
    <row r="365" customFormat="false" ht="15" hidden="false" customHeight="false" outlineLevel="0" collapsed="false">
      <c r="A365" s="6" t="s">
        <v>155</v>
      </c>
      <c r="B365" s="7" t="n">
        <f aca="false">IF(A365="","",IFERROR(MATCH(A365,Lists!$A$2:$A$37,0),""))</f>
        <v>28</v>
      </c>
      <c r="C365" s="6" t="s">
        <v>286</v>
      </c>
      <c r="D365" s="6" t="s">
        <v>296</v>
      </c>
      <c r="E365" s="40" t="n">
        <v>12</v>
      </c>
      <c r="F365" s="40" t="n">
        <v>1</v>
      </c>
      <c r="G365" s="43" t="n">
        <v>3.079</v>
      </c>
      <c r="H365" s="40" t="n">
        <v>40</v>
      </c>
      <c r="I365" s="40" t="n">
        <v>19</v>
      </c>
      <c r="J365" s="44"/>
      <c r="K365" s="44"/>
      <c r="L365" s="6" t="s">
        <v>390</v>
      </c>
      <c r="M365" s="6"/>
    </row>
    <row r="366" customFormat="false" ht="15" hidden="false" customHeight="false" outlineLevel="0" collapsed="false">
      <c r="A366" s="6" t="s">
        <v>155</v>
      </c>
      <c r="B366" s="7" t="n">
        <f aca="false">IF(A366="","",IFERROR(MATCH(A366,Lists!$A$2:$A$37,0),""))</f>
        <v>28</v>
      </c>
      <c r="C366" s="6" t="s">
        <v>286</v>
      </c>
      <c r="D366" s="6" t="s">
        <v>297</v>
      </c>
      <c r="E366" s="40" t="n">
        <v>116</v>
      </c>
      <c r="F366" s="40" t="n">
        <v>0</v>
      </c>
      <c r="G366" s="43" t="n">
        <v>3.524</v>
      </c>
      <c r="H366" s="40" t="n">
        <v>10</v>
      </c>
      <c r="I366" s="40" t="n">
        <v>3</v>
      </c>
      <c r="J366" s="44"/>
      <c r="K366" s="44"/>
      <c r="L366" s="6" t="s">
        <v>390</v>
      </c>
      <c r="M366" s="6"/>
    </row>
    <row r="367" customFormat="false" ht="15" hidden="false" customHeight="false" outlineLevel="0" collapsed="false">
      <c r="A367" s="6" t="s">
        <v>155</v>
      </c>
      <c r="B367" s="7" t="n">
        <f aca="false">IF(A367="","",IFERROR(MATCH(A367,Lists!$A$2:$A$37,0),""))</f>
        <v>28</v>
      </c>
      <c r="C367" s="6" t="s">
        <v>286</v>
      </c>
      <c r="D367" s="6" t="s">
        <v>298</v>
      </c>
      <c r="E367" s="40" t="n">
        <v>16</v>
      </c>
      <c r="F367" s="40" t="n">
        <v>2</v>
      </c>
      <c r="G367" s="43" t="n">
        <v>2.985</v>
      </c>
      <c r="H367" s="40" t="n">
        <v>43</v>
      </c>
      <c r="I367" s="40" t="n">
        <v>21</v>
      </c>
      <c r="J367" s="44"/>
      <c r="K367" s="44"/>
      <c r="L367" s="6" t="s">
        <v>390</v>
      </c>
      <c r="M367" s="6"/>
    </row>
    <row r="368" customFormat="false" ht="15" hidden="false" customHeight="false" outlineLevel="0" collapsed="false">
      <c r="A368" s="6" t="s">
        <v>155</v>
      </c>
      <c r="B368" s="7" t="n">
        <f aca="false">IF(A368="","",IFERROR(MATCH(A368,Lists!$A$2:$A$37,0),""))</f>
        <v>28</v>
      </c>
      <c r="C368" s="6" t="s">
        <v>286</v>
      </c>
      <c r="D368" s="6" t="s">
        <v>333</v>
      </c>
      <c r="E368" s="40" t="n">
        <v>15</v>
      </c>
      <c r="F368" s="40" t="n">
        <v>0</v>
      </c>
      <c r="G368" s="43" t="n">
        <v>3.434</v>
      </c>
      <c r="H368" s="40" t="n">
        <v>18</v>
      </c>
      <c r="I368" s="40" t="n">
        <v>5</v>
      </c>
      <c r="J368" s="44"/>
      <c r="K368" s="44"/>
      <c r="L368" s="6" t="s">
        <v>390</v>
      </c>
      <c r="M368" s="6"/>
    </row>
    <row r="369" customFormat="false" ht="15" hidden="false" customHeight="false" outlineLevel="0" collapsed="false">
      <c r="A369" s="6" t="s">
        <v>155</v>
      </c>
      <c r="B369" s="7" t="n">
        <f aca="false">IF(A369="","",IFERROR(MATCH(A369,Lists!$A$2:$A$37,0),""))</f>
        <v>28</v>
      </c>
      <c r="C369" s="6" t="s">
        <v>286</v>
      </c>
      <c r="D369" s="6" t="s">
        <v>299</v>
      </c>
      <c r="E369" s="40" t="n">
        <v>104</v>
      </c>
      <c r="F369" s="40" t="n">
        <v>5</v>
      </c>
      <c r="G369" s="43" t="n">
        <v>3.364</v>
      </c>
      <c r="H369" s="40" t="n">
        <v>23</v>
      </c>
      <c r="I369" s="40" t="n">
        <v>7</v>
      </c>
      <c r="J369" s="44"/>
      <c r="K369" s="44"/>
      <c r="L369" s="6" t="s">
        <v>390</v>
      </c>
      <c r="M369" s="6"/>
    </row>
    <row r="370" customFormat="false" ht="15" hidden="false" customHeight="false" outlineLevel="0" collapsed="false">
      <c r="A370" s="6" t="s">
        <v>155</v>
      </c>
      <c r="B370" s="7" t="n">
        <f aca="false">IF(A370="","",IFERROR(MATCH(A370,Lists!$A$2:$A$37,0),""))</f>
        <v>28</v>
      </c>
      <c r="C370" s="6" t="s">
        <v>286</v>
      </c>
      <c r="D370" s="6" t="s">
        <v>301</v>
      </c>
      <c r="E370" s="40" t="n">
        <v>68</v>
      </c>
      <c r="F370" s="40" t="n">
        <v>3</v>
      </c>
      <c r="G370" s="43" t="n">
        <v>3.31</v>
      </c>
      <c r="H370" s="40" t="n">
        <v>32</v>
      </c>
      <c r="I370" s="40" t="n">
        <v>14</v>
      </c>
      <c r="J370" s="44"/>
      <c r="K370" s="44"/>
      <c r="L370" s="6" t="s">
        <v>390</v>
      </c>
      <c r="M370" s="6"/>
    </row>
    <row r="371" customFormat="false" ht="15" hidden="false" customHeight="false" outlineLevel="0" collapsed="false">
      <c r="A371" s="6" t="s">
        <v>155</v>
      </c>
      <c r="B371" s="7" t="n">
        <f aca="false">IF(A371="","",IFERROR(MATCH(A371,Lists!$A$2:$A$37,0),""))</f>
        <v>28</v>
      </c>
      <c r="C371" s="6" t="s">
        <v>286</v>
      </c>
      <c r="D371" s="6" t="s">
        <v>302</v>
      </c>
      <c r="E371" s="40" t="n">
        <v>107</v>
      </c>
      <c r="F371" s="40" t="n">
        <v>1</v>
      </c>
      <c r="G371" s="43" t="n">
        <v>3.656</v>
      </c>
      <c r="H371" s="40" t="n">
        <v>4</v>
      </c>
      <c r="I371" s="40" t="n">
        <v>1</v>
      </c>
      <c r="J371" s="44"/>
      <c r="K371" s="44"/>
      <c r="L371" s="6" t="s">
        <v>390</v>
      </c>
      <c r="M371" s="6"/>
    </row>
    <row r="372" customFormat="false" ht="15" hidden="false" customHeight="false" outlineLevel="0" collapsed="false">
      <c r="A372" s="6" t="s">
        <v>155</v>
      </c>
      <c r="B372" s="7" t="n">
        <f aca="false">IF(A372="","",IFERROR(MATCH(A372,Lists!$A$2:$A$37,0),""))</f>
        <v>28</v>
      </c>
      <c r="C372" s="6" t="s">
        <v>286</v>
      </c>
      <c r="D372" s="6" t="s">
        <v>303</v>
      </c>
      <c r="E372" s="40" t="n">
        <v>32</v>
      </c>
      <c r="F372" s="40" t="n">
        <v>0</v>
      </c>
      <c r="G372" s="43" t="n">
        <v>2.756</v>
      </c>
      <c r="H372" s="40" t="n">
        <v>45</v>
      </c>
      <c r="I372" s="40" t="n">
        <v>23</v>
      </c>
      <c r="J372" s="44"/>
      <c r="K372" s="44"/>
      <c r="L372" s="6" t="s">
        <v>390</v>
      </c>
      <c r="M372" s="6"/>
    </row>
    <row r="373" customFormat="false" ht="15" hidden="false" customHeight="false" outlineLevel="0" collapsed="false">
      <c r="A373" s="6" t="s">
        <v>155</v>
      </c>
      <c r="B373" s="7" t="n">
        <f aca="false">IF(A373="","",IFERROR(MATCH(A373,Lists!$A$2:$A$37,0),""))</f>
        <v>28</v>
      </c>
      <c r="C373" s="6" t="s">
        <v>286</v>
      </c>
      <c r="D373" s="6" t="s">
        <v>304</v>
      </c>
      <c r="E373" s="40" t="n">
        <v>133</v>
      </c>
      <c r="F373" s="40" t="n">
        <v>7</v>
      </c>
      <c r="G373" s="43" t="n">
        <v>3.357</v>
      </c>
      <c r="H373" s="40" t="n">
        <v>25</v>
      </c>
      <c r="I373" s="40" t="n">
        <v>9</v>
      </c>
      <c r="J373" s="44"/>
      <c r="K373" s="44"/>
      <c r="L373" s="6" t="s">
        <v>390</v>
      </c>
      <c r="M373" s="6"/>
    </row>
    <row r="374" customFormat="false" ht="15" hidden="false" customHeight="false" outlineLevel="0" collapsed="false">
      <c r="A374" s="6" t="s">
        <v>155</v>
      </c>
      <c r="B374" s="7" t="n">
        <f aca="false">IF(A374="","",IFERROR(MATCH(A374,Lists!$A$2:$A$37,0),""))</f>
        <v>28</v>
      </c>
      <c r="C374" s="6" t="s">
        <v>286</v>
      </c>
      <c r="D374" s="6" t="s">
        <v>306</v>
      </c>
      <c r="E374" s="40" t="n">
        <v>39</v>
      </c>
      <c r="F374" s="40" t="n">
        <v>3</v>
      </c>
      <c r="G374" s="43" t="n">
        <v>2.99</v>
      </c>
      <c r="H374" s="40" t="n">
        <v>42</v>
      </c>
      <c r="I374" s="40" t="n">
        <v>20</v>
      </c>
      <c r="J374" s="44"/>
      <c r="K374" s="44"/>
      <c r="L374" s="6" t="s">
        <v>390</v>
      </c>
      <c r="M374" s="6"/>
    </row>
    <row r="375" customFormat="false" ht="15" hidden="false" customHeight="false" outlineLevel="0" collapsed="false">
      <c r="A375" s="6" t="s">
        <v>155</v>
      </c>
      <c r="B375" s="7" t="n">
        <f aca="false">IF(A375="","",IFERROR(MATCH(A375,Lists!$A$2:$A$37,0),""))</f>
        <v>28</v>
      </c>
      <c r="C375" s="6" t="s">
        <v>286</v>
      </c>
      <c r="D375" s="6" t="s">
        <v>307</v>
      </c>
      <c r="E375" s="40" t="n">
        <v>80</v>
      </c>
      <c r="F375" s="40" t="n">
        <v>9</v>
      </c>
      <c r="G375" s="43" t="n">
        <v>3.35</v>
      </c>
      <c r="H375" s="40" t="n">
        <v>27</v>
      </c>
      <c r="I375" s="40" t="n">
        <v>10</v>
      </c>
      <c r="J375" s="44"/>
      <c r="K375" s="44"/>
      <c r="L375" s="6" t="s">
        <v>390</v>
      </c>
      <c r="M375" s="6"/>
    </row>
    <row r="376" customFormat="false" ht="15" hidden="false" customHeight="false" outlineLevel="0" collapsed="false">
      <c r="A376" s="6" t="s">
        <v>155</v>
      </c>
      <c r="B376" s="7" t="n">
        <f aca="false">IF(A376="","",IFERROR(MATCH(A376,Lists!$A$2:$A$37,0),""))</f>
        <v>28</v>
      </c>
      <c r="C376" s="6" t="s">
        <v>286</v>
      </c>
      <c r="D376" s="6" t="s">
        <v>308</v>
      </c>
      <c r="E376" s="40" t="n">
        <v>140</v>
      </c>
      <c r="F376" s="40" t="n">
        <v>18</v>
      </c>
      <c r="G376" s="43" t="n">
        <v>3.485</v>
      </c>
      <c r="H376" s="40" t="n">
        <v>16</v>
      </c>
      <c r="I376" s="40" t="n">
        <v>4</v>
      </c>
      <c r="J376" s="44"/>
      <c r="K376" s="44"/>
      <c r="L376" s="6" t="s">
        <v>390</v>
      </c>
      <c r="M376" s="6"/>
    </row>
    <row r="377" customFormat="false" ht="15" hidden="false" customHeight="false" outlineLevel="0" collapsed="false">
      <c r="A377" s="6" t="s">
        <v>155</v>
      </c>
      <c r="B377" s="7" t="n">
        <f aca="false">IF(A377="","",IFERROR(MATCH(A377,Lists!$A$2:$A$37,0),""))</f>
        <v>28</v>
      </c>
      <c r="C377" s="6" t="s">
        <v>286</v>
      </c>
      <c r="D377" s="6" t="s">
        <v>309</v>
      </c>
      <c r="E377" s="40" t="n">
        <v>61</v>
      </c>
      <c r="F377" s="40" t="n">
        <v>4</v>
      </c>
      <c r="G377" s="43" t="n">
        <v>2.955</v>
      </c>
      <c r="H377" s="40" t="n">
        <v>44</v>
      </c>
      <c r="I377" s="40" t="n">
        <v>22</v>
      </c>
      <c r="J377" s="44"/>
      <c r="K377" s="44"/>
      <c r="L377" s="6" t="s">
        <v>390</v>
      </c>
      <c r="M377" s="6"/>
    </row>
    <row r="378" customFormat="false" ht="15" hidden="false" customHeight="false" outlineLevel="0" collapsed="false">
      <c r="A378" s="6" t="s">
        <v>155</v>
      </c>
      <c r="B378" s="7" t="n">
        <f aca="false">IF(A378="","",IFERROR(MATCH(A378,Lists!$A$2:$A$37,0),""))</f>
        <v>28</v>
      </c>
      <c r="C378" s="6" t="s">
        <v>286</v>
      </c>
      <c r="D378" s="6" t="s">
        <v>310</v>
      </c>
      <c r="E378" s="40" t="n">
        <v>124</v>
      </c>
      <c r="F378" s="40" t="n">
        <v>4</v>
      </c>
      <c r="G378" s="43" t="n">
        <v>3.321</v>
      </c>
      <c r="H378" s="40" t="n">
        <v>29</v>
      </c>
      <c r="I378" s="40" t="n">
        <v>11</v>
      </c>
      <c r="J378" s="44"/>
      <c r="K378" s="44"/>
      <c r="L378" s="6" t="s">
        <v>390</v>
      </c>
      <c r="M378" s="6"/>
    </row>
    <row r="379" customFormat="false" ht="15" hidden="false" customHeight="false" outlineLevel="0" collapsed="false">
      <c r="A379" s="6" t="s">
        <v>155</v>
      </c>
      <c r="B379" s="7" t="n">
        <f aca="false">IF(A379="","",IFERROR(MATCH(A379,Lists!$A$2:$A$37,0),""))</f>
        <v>28</v>
      </c>
      <c r="C379" s="6" t="s">
        <v>286</v>
      </c>
      <c r="D379" s="6" t="s">
        <v>311</v>
      </c>
      <c r="E379" s="40" t="n">
        <v>13</v>
      </c>
      <c r="F379" s="40" t="n">
        <v>3</v>
      </c>
      <c r="G379" s="43" t="n">
        <v>3.14</v>
      </c>
      <c r="H379" s="40" t="n">
        <v>37</v>
      </c>
      <c r="I379" s="40" t="n">
        <v>18</v>
      </c>
      <c r="J379" s="44"/>
      <c r="K379" s="44"/>
      <c r="L379" s="6" t="s">
        <v>390</v>
      </c>
      <c r="M379" s="6"/>
    </row>
    <row r="380" customFormat="false" ht="15" hidden="false" customHeight="false" outlineLevel="0" collapsed="false">
      <c r="A380" s="6" t="s">
        <v>155</v>
      </c>
      <c r="B380" s="7" t="n">
        <f aca="false">IF(A380="","",IFERROR(MATCH(A380,Lists!$A$2:$A$37,0),""))</f>
        <v>28</v>
      </c>
      <c r="C380" s="6" t="s">
        <v>286</v>
      </c>
      <c r="D380" s="6" t="s">
        <v>312</v>
      </c>
      <c r="E380" s="40" t="n">
        <v>92</v>
      </c>
      <c r="F380" s="40" t="n">
        <v>3</v>
      </c>
      <c r="G380" s="43" t="n">
        <v>3.363</v>
      </c>
      <c r="H380" s="40" t="n">
        <v>24</v>
      </c>
      <c r="I380" s="40" t="n">
        <v>8</v>
      </c>
      <c r="J380" s="44"/>
      <c r="K380" s="44"/>
      <c r="L380" s="6" t="s">
        <v>390</v>
      </c>
      <c r="M380" s="6"/>
    </row>
    <row r="381" customFormat="false" ht="15" hidden="false" customHeight="false" outlineLevel="0" collapsed="false">
      <c r="A381" s="6" t="s">
        <v>155</v>
      </c>
      <c r="B381" s="7" t="n">
        <f aca="false">IF(A381="","",IFERROR(MATCH(A381,Lists!$A$2:$A$37,0),""))</f>
        <v>28</v>
      </c>
      <c r="C381" s="6" t="s">
        <v>286</v>
      </c>
      <c r="D381" s="6" t="s">
        <v>313</v>
      </c>
      <c r="E381" s="40" t="n">
        <v>12</v>
      </c>
      <c r="F381" s="40" t="n">
        <v>0</v>
      </c>
      <c r="G381" s="43" t="n">
        <v>3.234</v>
      </c>
      <c r="H381" s="40" t="n">
        <v>35</v>
      </c>
      <c r="I381" s="40" t="n">
        <v>16</v>
      </c>
      <c r="J381" s="44"/>
      <c r="K381" s="44"/>
      <c r="L381" s="6" t="s">
        <v>390</v>
      </c>
      <c r="M381" s="6"/>
    </row>
    <row r="382" customFormat="false" ht="15" hidden="false" customHeight="false" outlineLevel="0" collapsed="false">
      <c r="A382" s="6" t="s">
        <v>155</v>
      </c>
      <c r="B382" s="7" t="n">
        <f aca="false">IF(A382="","",IFERROR(MATCH(A382,Lists!$A$2:$A$37,0),""))</f>
        <v>28</v>
      </c>
      <c r="C382" s="6" t="s">
        <v>286</v>
      </c>
      <c r="D382" s="6" t="s">
        <v>314</v>
      </c>
      <c r="E382" s="40" t="n">
        <v>153</v>
      </c>
      <c r="F382" s="40" t="n">
        <v>0</v>
      </c>
      <c r="G382" s="43" t="n">
        <v>3.637</v>
      </c>
      <c r="H382" s="40" t="n">
        <v>6</v>
      </c>
      <c r="I382" s="40" t="n">
        <v>2</v>
      </c>
      <c r="J382" s="44"/>
      <c r="K382" s="44"/>
      <c r="L382" s="6" t="s">
        <v>390</v>
      </c>
      <c r="M382" s="6"/>
    </row>
    <row r="383" customFormat="false" ht="15" hidden="false" customHeight="false" outlineLevel="0" collapsed="false">
      <c r="A383" s="6" t="s">
        <v>155</v>
      </c>
      <c r="B383" s="7" t="n">
        <f aca="false">IF(A383="","",IFERROR(MATCH(A383,Lists!$A$2:$A$37,0),""))</f>
        <v>28</v>
      </c>
      <c r="C383" s="6" t="s">
        <v>286</v>
      </c>
      <c r="D383" s="6" t="s">
        <v>316</v>
      </c>
      <c r="E383" s="40" t="n">
        <v>27</v>
      </c>
      <c r="F383" s="40" t="n">
        <v>13</v>
      </c>
      <c r="G383" s="43" t="n">
        <v>2.668</v>
      </c>
      <c r="H383" s="40" t="n">
        <v>46</v>
      </c>
      <c r="I383" s="40" t="n">
        <v>24</v>
      </c>
      <c r="J383" s="44"/>
      <c r="K383" s="44"/>
      <c r="L383" s="6" t="s">
        <v>390</v>
      </c>
      <c r="M383" s="6"/>
    </row>
    <row r="384" customFormat="false" ht="15" hidden="false" customHeight="false" outlineLevel="0" collapsed="false">
      <c r="A384" s="6" t="s">
        <v>155</v>
      </c>
      <c r="B384" s="7" t="n">
        <f aca="false">IF(A384="","",IFERROR(MATCH(A384,Lists!$A$2:$A$37,0),""))</f>
        <v>28</v>
      </c>
      <c r="C384" s="6" t="s">
        <v>286</v>
      </c>
      <c r="D384" s="6" t="s">
        <v>287</v>
      </c>
      <c r="E384" s="40" t="n">
        <v>48</v>
      </c>
      <c r="F384" s="40" t="n">
        <v>5</v>
      </c>
      <c r="G384" s="43" t="n">
        <v>3.321</v>
      </c>
      <c r="H384" s="40" t="n">
        <v>29</v>
      </c>
      <c r="I384" s="40" t="n">
        <v>11</v>
      </c>
      <c r="J384" s="44"/>
      <c r="K384" s="44"/>
      <c r="L384" s="6" t="s">
        <v>390</v>
      </c>
      <c r="M384" s="6" t="s">
        <v>391</v>
      </c>
    </row>
    <row r="385" customFormat="false" ht="15" hidden="false" customHeight="false" outlineLevel="0" collapsed="false">
      <c r="A385" s="6" t="s">
        <v>155</v>
      </c>
      <c r="B385" s="7" t="n">
        <f aca="false">IF(A385="","",IFERROR(MATCH(A385,Lists!$A$2:$A$37,0),""))</f>
        <v>28</v>
      </c>
      <c r="C385" s="6" t="s">
        <v>286</v>
      </c>
      <c r="D385" s="6" t="s">
        <v>317</v>
      </c>
      <c r="E385" s="40" t="n">
        <v>23</v>
      </c>
      <c r="F385" s="40" t="n">
        <v>4</v>
      </c>
      <c r="G385" s="43" t="n">
        <v>2.495</v>
      </c>
      <c r="H385" s="40" t="n">
        <v>48</v>
      </c>
      <c r="I385" s="40" t="n">
        <v>25</v>
      </c>
      <c r="J385" s="44"/>
      <c r="K385" s="44"/>
      <c r="L385" s="6" t="s">
        <v>390</v>
      </c>
      <c r="M385" s="6"/>
    </row>
    <row r="386" customFormat="false" ht="15" hidden="false" customHeight="false" outlineLevel="0" collapsed="false">
      <c r="A386" s="6" t="s">
        <v>155</v>
      </c>
      <c r="B386" s="7" t="n">
        <f aca="false">IF(A386="","",IFERROR(MATCH(A386,Lists!$A$2:$A$37,0),""))</f>
        <v>28</v>
      </c>
      <c r="C386" s="6" t="s">
        <v>352</v>
      </c>
      <c r="D386" s="6" t="s">
        <v>353</v>
      </c>
      <c r="E386" s="40" t="n">
        <v>21</v>
      </c>
      <c r="F386" s="40" t="n">
        <v>0</v>
      </c>
      <c r="G386" s="43" t="n">
        <v>3.602</v>
      </c>
      <c r="H386" s="40" t="n">
        <v>7</v>
      </c>
      <c r="I386" s="40" t="n">
        <v>2</v>
      </c>
      <c r="J386" s="44"/>
      <c r="K386" s="44"/>
      <c r="L386" s="6" t="s">
        <v>390</v>
      </c>
      <c r="M386" s="6"/>
    </row>
    <row r="387" customFormat="false" ht="15" hidden="false" customHeight="false" outlineLevel="0" collapsed="false">
      <c r="A387" s="6" t="s">
        <v>155</v>
      </c>
      <c r="B387" s="7" t="n">
        <f aca="false">IF(A387="","",IFERROR(MATCH(A387,Lists!$A$2:$A$37,0),""))</f>
        <v>28</v>
      </c>
      <c r="C387" s="6" t="s">
        <v>352</v>
      </c>
      <c r="D387" s="6" t="s">
        <v>354</v>
      </c>
      <c r="E387" s="40" t="n">
        <v>23</v>
      </c>
      <c r="F387" s="40" t="n">
        <v>0</v>
      </c>
      <c r="G387" s="43" t="n">
        <v>3.431</v>
      </c>
      <c r="H387" s="40" t="n">
        <v>19</v>
      </c>
      <c r="I387" s="40" t="n">
        <v>3</v>
      </c>
      <c r="J387" s="44"/>
      <c r="K387" s="44"/>
      <c r="L387" s="6" t="s">
        <v>390</v>
      </c>
      <c r="M387" s="6"/>
    </row>
    <row r="388" customFormat="false" ht="15" hidden="false" customHeight="false" outlineLevel="0" collapsed="false">
      <c r="A388" s="6" t="s">
        <v>155</v>
      </c>
      <c r="B388" s="7" t="n">
        <f aca="false">IF(A388="","",IFERROR(MATCH(A388,Lists!$A$2:$A$37,0),""))</f>
        <v>28</v>
      </c>
      <c r="C388" s="6" t="s">
        <v>352</v>
      </c>
      <c r="D388" s="6" t="s">
        <v>356</v>
      </c>
      <c r="E388" s="40" t="n">
        <v>24</v>
      </c>
      <c r="F388" s="40" t="n">
        <v>7</v>
      </c>
      <c r="G388" s="43" t="n">
        <v>3.085</v>
      </c>
      <c r="H388" s="40" t="n">
        <v>39</v>
      </c>
      <c r="I388" s="40" t="n">
        <v>6</v>
      </c>
      <c r="J388" s="44"/>
      <c r="K388" s="44"/>
      <c r="L388" s="6" t="s">
        <v>390</v>
      </c>
      <c r="M388" s="6"/>
    </row>
    <row r="389" customFormat="false" ht="15" hidden="false" customHeight="false" outlineLevel="0" collapsed="false">
      <c r="A389" s="6" t="s">
        <v>155</v>
      </c>
      <c r="B389" s="7" t="n">
        <f aca="false">IF(A389="","",IFERROR(MATCH(A389,Lists!$A$2:$A$37,0),""))</f>
        <v>28</v>
      </c>
      <c r="C389" s="6" t="s">
        <v>352</v>
      </c>
      <c r="D389" s="6" t="s">
        <v>358</v>
      </c>
      <c r="E389" s="40" t="n">
        <v>19</v>
      </c>
      <c r="F389" s="40" t="n">
        <v>3</v>
      </c>
      <c r="G389" s="43" t="n">
        <v>3.11</v>
      </c>
      <c r="H389" s="40" t="n">
        <v>38</v>
      </c>
      <c r="I389" s="40" t="n">
        <v>5</v>
      </c>
      <c r="J389" s="44"/>
      <c r="K389" s="44"/>
      <c r="L389" s="6" t="s">
        <v>390</v>
      </c>
      <c r="M389" s="6"/>
    </row>
    <row r="390" customFormat="false" ht="15" hidden="false" customHeight="false" outlineLevel="0" collapsed="false">
      <c r="A390" s="6" t="s">
        <v>155</v>
      </c>
      <c r="B390" s="7" t="n">
        <f aca="false">IF(A390="","",IFERROR(MATCH(A390,Lists!$A$2:$A$37,0),""))</f>
        <v>28</v>
      </c>
      <c r="C390" s="6" t="s">
        <v>352</v>
      </c>
      <c r="D390" s="6" t="s">
        <v>359</v>
      </c>
      <c r="E390" s="40" t="n">
        <v>11</v>
      </c>
      <c r="F390" s="40" t="n">
        <v>2</v>
      </c>
      <c r="G390" s="43" t="n">
        <v>3.336</v>
      </c>
      <c r="H390" s="40" t="n">
        <v>28</v>
      </c>
      <c r="I390" s="40" t="n">
        <v>4</v>
      </c>
      <c r="J390" s="44"/>
      <c r="K390" s="44"/>
      <c r="L390" s="6" t="s">
        <v>390</v>
      </c>
      <c r="M390" s="6"/>
    </row>
    <row r="391" customFormat="false" ht="15" hidden="false" customHeight="false" outlineLevel="0" collapsed="false">
      <c r="A391" s="6" t="s">
        <v>155</v>
      </c>
      <c r="B391" s="7" t="n">
        <f aca="false">IF(A391="","",IFERROR(MATCH(A391,Lists!$A$2:$A$37,0),""))</f>
        <v>28</v>
      </c>
      <c r="C391" s="6" t="s">
        <v>352</v>
      </c>
      <c r="D391" s="6" t="s">
        <v>360</v>
      </c>
      <c r="E391" s="40" t="n">
        <v>10</v>
      </c>
      <c r="F391" s="40" t="n">
        <v>1</v>
      </c>
      <c r="G391" s="43" t="n">
        <v>2.634</v>
      </c>
      <c r="H391" s="40" t="n">
        <v>47</v>
      </c>
      <c r="I391" s="40" t="n">
        <v>7</v>
      </c>
      <c r="J391" s="44"/>
      <c r="K391" s="44"/>
      <c r="L391" s="6" t="s">
        <v>390</v>
      </c>
      <c r="M391" s="6"/>
    </row>
    <row r="392" customFormat="false" ht="15" hidden="false" customHeight="false" outlineLevel="0" collapsed="false">
      <c r="A392" s="6" t="s">
        <v>155</v>
      </c>
      <c r="B392" s="7" t="n">
        <f aca="false">IF(A392="","",IFERROR(MATCH(A392,Lists!$A$2:$A$37,0),""))</f>
        <v>28</v>
      </c>
      <c r="C392" s="6" t="s">
        <v>352</v>
      </c>
      <c r="D392" s="6" t="s">
        <v>361</v>
      </c>
      <c r="E392" s="40" t="n">
        <v>10</v>
      </c>
      <c r="F392" s="40" t="n">
        <v>2</v>
      </c>
      <c r="G392" s="43" t="n">
        <v>2.302</v>
      </c>
      <c r="H392" s="40" t="n">
        <v>49</v>
      </c>
      <c r="I392" s="40" t="n">
        <v>8</v>
      </c>
      <c r="J392" s="44"/>
      <c r="K392" s="44"/>
      <c r="L392" s="6" t="s">
        <v>390</v>
      </c>
      <c r="M392" s="6"/>
    </row>
    <row r="393" customFormat="false" ht="15" hidden="false" customHeight="false" outlineLevel="0" collapsed="false">
      <c r="A393" s="6" t="s">
        <v>155</v>
      </c>
      <c r="B393" s="7" t="n">
        <f aca="false">IF(A393="","",IFERROR(MATCH(A393,Lists!$A$2:$A$37,0),""))</f>
        <v>28</v>
      </c>
      <c r="C393" s="6" t="s">
        <v>352</v>
      </c>
      <c r="D393" s="6" t="s">
        <v>362</v>
      </c>
      <c r="E393" s="40" t="n">
        <v>12</v>
      </c>
      <c r="F393" s="40" t="n">
        <v>0</v>
      </c>
      <c r="G393" s="43" t="n">
        <v>3.65</v>
      </c>
      <c r="H393" s="40" t="n">
        <v>4</v>
      </c>
      <c r="I393" s="40" t="n">
        <v>1</v>
      </c>
      <c r="J393" s="44"/>
      <c r="K393" s="44"/>
      <c r="L393" s="6" t="s">
        <v>390</v>
      </c>
      <c r="M393" s="6"/>
    </row>
    <row r="394" customFormat="false" ht="15" hidden="false" customHeight="false" outlineLevel="0" collapsed="false">
      <c r="A394" s="6" t="s">
        <v>155</v>
      </c>
      <c r="B394" s="7" t="n">
        <f aca="false">IF(A394="","",IFERROR(MATCH(A394,Lists!$A$2:$A$37,0),""))</f>
        <v>28</v>
      </c>
      <c r="C394" s="6" t="s">
        <v>363</v>
      </c>
      <c r="D394" s="6" t="s">
        <v>364</v>
      </c>
      <c r="E394" s="40" t="n">
        <v>7</v>
      </c>
      <c r="F394" s="40" t="n">
        <v>0</v>
      </c>
      <c r="G394" s="43" t="n">
        <v>3.069</v>
      </c>
      <c r="H394" s="40" t="n">
        <v>41</v>
      </c>
      <c r="I394" s="40"/>
      <c r="J394" s="44"/>
      <c r="K394" s="44"/>
      <c r="L394" s="6" t="s">
        <v>390</v>
      </c>
      <c r="M394" s="6" t="s">
        <v>392</v>
      </c>
    </row>
    <row r="395" customFormat="false" ht="15" hidden="false" customHeight="false" outlineLevel="0" collapsed="false">
      <c r="A395" s="6" t="s">
        <v>155</v>
      </c>
      <c r="B395" s="7" t="n">
        <f aca="false">IF(A395="","",IFERROR(MATCH(A395,Lists!$A$2:$A$37,0),""))</f>
        <v>28</v>
      </c>
      <c r="C395" s="6" t="s">
        <v>363</v>
      </c>
      <c r="D395" s="6" t="s">
        <v>366</v>
      </c>
      <c r="E395" s="40" t="n">
        <v>4</v>
      </c>
      <c r="F395" s="40" t="n">
        <v>0</v>
      </c>
      <c r="G395" s="43"/>
      <c r="H395" s="40"/>
      <c r="I395" s="40" t="n">
        <v>1</v>
      </c>
      <c r="J395" s="44"/>
      <c r="K395" s="44"/>
      <c r="L395" s="6" t="s">
        <v>390</v>
      </c>
      <c r="M395" s="6" t="s">
        <v>393</v>
      </c>
    </row>
    <row r="396" customFormat="false" ht="15" hidden="false" customHeight="false" outlineLevel="0" collapsed="false">
      <c r="A396" s="6" t="s">
        <v>155</v>
      </c>
      <c r="B396" s="7" t="n">
        <f aca="false">IF(A396="","",IFERROR(MATCH(A396,Lists!$A$2:$A$37,0),""))</f>
        <v>28</v>
      </c>
      <c r="C396" s="6" t="s">
        <v>363</v>
      </c>
      <c r="D396" s="6" t="s">
        <v>367</v>
      </c>
      <c r="E396" s="40" t="n">
        <v>4</v>
      </c>
      <c r="F396" s="40" t="n">
        <v>0</v>
      </c>
      <c r="G396" s="43"/>
      <c r="H396" s="40"/>
      <c r="I396" s="40"/>
      <c r="J396" s="44"/>
      <c r="K396" s="44"/>
      <c r="L396" s="6" t="s">
        <v>390</v>
      </c>
      <c r="M396" s="6" t="s">
        <v>394</v>
      </c>
    </row>
    <row r="397" customFormat="false" ht="15" hidden="false" customHeight="false" outlineLevel="0" collapsed="false">
      <c r="A397" s="6" t="s">
        <v>155</v>
      </c>
      <c r="B397" s="7" t="n">
        <f aca="false">IF(A397="","",IFERROR(MATCH(A397,Lists!$A$2:$A$37,0),""))</f>
        <v>28</v>
      </c>
      <c r="C397" s="6" t="s">
        <v>363</v>
      </c>
      <c r="D397" s="6" t="s">
        <v>369</v>
      </c>
      <c r="E397" s="40" t="n">
        <v>1</v>
      </c>
      <c r="F397" s="40" t="n">
        <v>0</v>
      </c>
      <c r="G397" s="43"/>
      <c r="H397" s="40"/>
      <c r="I397" s="40"/>
      <c r="J397" s="44"/>
      <c r="K397" s="44"/>
      <c r="L397" s="6" t="s">
        <v>390</v>
      </c>
      <c r="M397" s="6" t="s">
        <v>394</v>
      </c>
    </row>
    <row r="398" customFormat="false" ht="15" hidden="false" customHeight="false" outlineLevel="0" collapsed="false">
      <c r="A398" s="6" t="s">
        <v>155</v>
      </c>
      <c r="B398" s="7" t="n">
        <f aca="false">IF(A398="","",IFERROR(MATCH(A398,Lists!$A$2:$A$37,0),""))</f>
        <v>28</v>
      </c>
      <c r="C398" s="6" t="s">
        <v>363</v>
      </c>
      <c r="D398" s="6" t="s">
        <v>371</v>
      </c>
      <c r="E398" s="40" t="n">
        <v>1</v>
      </c>
      <c r="F398" s="40" t="n">
        <v>0</v>
      </c>
      <c r="G398" s="43"/>
      <c r="H398" s="40"/>
      <c r="I398" s="40"/>
      <c r="J398" s="44"/>
      <c r="K398" s="44"/>
      <c r="L398" s="6" t="s">
        <v>390</v>
      </c>
      <c r="M398" s="6" t="s">
        <v>394</v>
      </c>
    </row>
    <row r="399" customFormat="false" ht="15" hidden="false" customHeight="false" outlineLevel="0" collapsed="false">
      <c r="A399" s="6" t="s">
        <v>155</v>
      </c>
      <c r="B399" s="7" t="n">
        <f aca="false">IF(A399="","",IFERROR(MATCH(A399,Lists!$A$2:$A$37,0),""))</f>
        <v>28</v>
      </c>
      <c r="C399" s="6" t="s">
        <v>372</v>
      </c>
      <c r="D399" s="6" t="s">
        <v>373</v>
      </c>
      <c r="E399" s="40" t="n">
        <v>173</v>
      </c>
      <c r="F399" s="40" t="n">
        <v>0</v>
      </c>
      <c r="G399" s="43" t="n">
        <v>3.498</v>
      </c>
      <c r="H399" s="40" t="n">
        <v>19</v>
      </c>
      <c r="I399" s="40" t="n">
        <v>12</v>
      </c>
      <c r="J399" s="44"/>
      <c r="K399" s="44"/>
      <c r="L399" s="6" t="s">
        <v>390</v>
      </c>
      <c r="M399" s="6"/>
    </row>
    <row r="400" customFormat="false" ht="15" hidden="false" customHeight="false" outlineLevel="0" collapsed="false">
      <c r="A400" s="6" t="s">
        <v>155</v>
      </c>
      <c r="B400" s="7" t="n">
        <f aca="false">IF(A400="","",IFERROR(MATCH(A400,Lists!$A$2:$A$37,0),""))</f>
        <v>28</v>
      </c>
      <c r="C400" s="6" t="s">
        <v>372</v>
      </c>
      <c r="D400" s="6" t="s">
        <v>374</v>
      </c>
      <c r="E400" s="40" t="n">
        <v>164</v>
      </c>
      <c r="F400" s="40" t="n">
        <v>9</v>
      </c>
      <c r="G400" s="43" t="n">
        <v>3.352</v>
      </c>
      <c r="H400" s="40" t="n">
        <v>26</v>
      </c>
      <c r="I400" s="40" t="n">
        <v>14</v>
      </c>
      <c r="J400" s="44"/>
      <c r="K400" s="44"/>
      <c r="L400" s="6" t="s">
        <v>390</v>
      </c>
      <c r="M400" s="6"/>
    </row>
    <row r="401" customFormat="false" ht="15" hidden="false" customHeight="false" outlineLevel="0" collapsed="false">
      <c r="A401" s="6" t="s">
        <v>155</v>
      </c>
      <c r="B401" s="7" t="n">
        <f aca="false">IF(A401="","",IFERROR(MATCH(A401,Lists!$A$2:$A$37,0),""))</f>
        <v>28</v>
      </c>
      <c r="C401" s="6" t="s">
        <v>372</v>
      </c>
      <c r="D401" s="6" t="s">
        <v>375</v>
      </c>
      <c r="E401" s="40" t="n">
        <v>170</v>
      </c>
      <c r="F401" s="40" t="n">
        <v>5</v>
      </c>
      <c r="G401" s="43" t="n">
        <v>3.524</v>
      </c>
      <c r="H401" s="40" t="n">
        <v>10</v>
      </c>
      <c r="I401" s="40" t="n">
        <v>6</v>
      </c>
      <c r="J401" s="44"/>
      <c r="K401" s="44"/>
      <c r="L401" s="6" t="s">
        <v>390</v>
      </c>
      <c r="M401" s="6"/>
    </row>
    <row r="402" customFormat="false" ht="15" hidden="false" customHeight="false" outlineLevel="0" collapsed="false">
      <c r="A402" s="6" t="s">
        <v>155</v>
      </c>
      <c r="B402" s="7" t="n">
        <f aca="false">IF(A402="","",IFERROR(MATCH(A402,Lists!$A$2:$A$37,0),""))</f>
        <v>28</v>
      </c>
      <c r="C402" s="6" t="s">
        <v>372</v>
      </c>
      <c r="D402" s="6" t="s">
        <v>376</v>
      </c>
      <c r="E402" s="40" t="n">
        <v>154</v>
      </c>
      <c r="F402" s="40" t="n">
        <v>12</v>
      </c>
      <c r="G402" s="43" t="n">
        <v>3.519</v>
      </c>
      <c r="H402" s="40" t="n">
        <v>13</v>
      </c>
      <c r="I402" s="40" t="n">
        <v>8</v>
      </c>
      <c r="J402" s="44"/>
      <c r="K402" s="44"/>
      <c r="L402" s="6" t="s">
        <v>390</v>
      </c>
      <c r="M402" s="6"/>
    </row>
    <row r="403" customFormat="false" ht="15" hidden="false" customHeight="false" outlineLevel="0" collapsed="false">
      <c r="A403" s="6" t="s">
        <v>155</v>
      </c>
      <c r="B403" s="7" t="n">
        <f aca="false">IF(A403="","",IFERROR(MATCH(A403,Lists!$A$2:$A$37,0),""))</f>
        <v>28</v>
      </c>
      <c r="C403" s="6" t="s">
        <v>372</v>
      </c>
      <c r="D403" s="6" t="s">
        <v>377</v>
      </c>
      <c r="E403" s="40" t="n">
        <v>171</v>
      </c>
      <c r="F403" s="40" t="n">
        <v>5</v>
      </c>
      <c r="G403" s="43" t="n">
        <v>3.726</v>
      </c>
      <c r="H403" s="40" t="n">
        <v>1</v>
      </c>
      <c r="I403" s="40" t="n">
        <v>1</v>
      </c>
      <c r="J403" s="44"/>
      <c r="K403" s="44"/>
      <c r="L403" s="6" t="s">
        <v>390</v>
      </c>
      <c r="M403" s="6"/>
    </row>
    <row r="404" customFormat="false" ht="15" hidden="false" customHeight="false" outlineLevel="0" collapsed="false">
      <c r="A404" s="6" t="s">
        <v>155</v>
      </c>
      <c r="B404" s="7" t="n">
        <f aca="false">IF(A404="","",IFERROR(MATCH(A404,Lists!$A$2:$A$37,0),""))</f>
        <v>28</v>
      </c>
      <c r="C404" s="6" t="s">
        <v>372</v>
      </c>
      <c r="D404" s="6" t="s">
        <v>378</v>
      </c>
      <c r="E404" s="40" t="n">
        <v>165</v>
      </c>
      <c r="F404" s="40" t="n">
        <v>9</v>
      </c>
      <c r="G404" s="43" t="n">
        <v>3.388</v>
      </c>
      <c r="H404" s="40" t="n">
        <v>21</v>
      </c>
      <c r="I404" s="40" t="n">
        <v>13</v>
      </c>
      <c r="J404" s="44"/>
      <c r="K404" s="44"/>
      <c r="L404" s="6" t="s">
        <v>390</v>
      </c>
      <c r="M404" s="6"/>
    </row>
    <row r="405" customFormat="false" ht="15" hidden="false" customHeight="false" outlineLevel="0" collapsed="false">
      <c r="A405" s="6" t="s">
        <v>155</v>
      </c>
      <c r="B405" s="7" t="n">
        <f aca="false">IF(A405="","",IFERROR(MATCH(A405,Lists!$A$2:$A$37,0),""))</f>
        <v>28</v>
      </c>
      <c r="C405" s="6" t="s">
        <v>372</v>
      </c>
      <c r="D405" s="6" t="s">
        <v>379</v>
      </c>
      <c r="E405" s="40" t="n">
        <v>171</v>
      </c>
      <c r="F405" s="40" t="n">
        <v>5</v>
      </c>
      <c r="G405" s="43" t="n">
        <v>3.516</v>
      </c>
      <c r="H405" s="40" t="n">
        <v>14</v>
      </c>
      <c r="I405" s="40" t="n">
        <v>9</v>
      </c>
      <c r="J405" s="44"/>
      <c r="K405" s="44"/>
      <c r="L405" s="6" t="s">
        <v>390</v>
      </c>
      <c r="M405" s="6"/>
    </row>
    <row r="406" customFormat="false" ht="15" hidden="false" customHeight="false" outlineLevel="0" collapsed="false">
      <c r="A406" s="6" t="s">
        <v>155</v>
      </c>
      <c r="B406" s="7" t="n">
        <f aca="false">IF(A406="","",IFERROR(MATCH(A406,Lists!$A$2:$A$37,0),""))</f>
        <v>28</v>
      </c>
      <c r="C406" s="6" t="s">
        <v>372</v>
      </c>
      <c r="D406" s="6" t="s">
        <v>380</v>
      </c>
      <c r="E406" s="40" t="n">
        <v>171</v>
      </c>
      <c r="F406" s="40" t="n">
        <v>11</v>
      </c>
      <c r="G406" s="43" t="n">
        <v>3.539</v>
      </c>
      <c r="H406" s="40" t="n">
        <v>9</v>
      </c>
      <c r="I406" s="40" t="n">
        <v>5</v>
      </c>
      <c r="J406" s="44"/>
      <c r="K406" s="44"/>
      <c r="L406" s="6" t="s">
        <v>390</v>
      </c>
      <c r="M406" s="6"/>
    </row>
    <row r="407" customFormat="false" ht="15" hidden="false" customHeight="false" outlineLevel="0" collapsed="false">
      <c r="A407" s="6" t="s">
        <v>155</v>
      </c>
      <c r="B407" s="7" t="n">
        <f aca="false">IF(A407="","",IFERROR(MATCH(A407,Lists!$A$2:$A$37,0),""))</f>
        <v>28</v>
      </c>
      <c r="C407" s="6" t="s">
        <v>372</v>
      </c>
      <c r="D407" s="6" t="s">
        <v>381</v>
      </c>
      <c r="E407" s="40" t="n">
        <v>164</v>
      </c>
      <c r="F407" s="40" t="n">
        <v>2</v>
      </c>
      <c r="G407" s="43" t="n">
        <v>3.676</v>
      </c>
      <c r="H407" s="40" t="n">
        <v>3</v>
      </c>
      <c r="I407" s="40" t="n">
        <v>3</v>
      </c>
      <c r="J407" s="44"/>
      <c r="K407" s="44"/>
      <c r="L407" s="6" t="s">
        <v>390</v>
      </c>
      <c r="M407" s="6"/>
    </row>
    <row r="408" customFormat="false" ht="15" hidden="false" customHeight="false" outlineLevel="0" collapsed="false">
      <c r="A408" s="6" t="s">
        <v>155</v>
      </c>
      <c r="B408" s="7" t="n">
        <f aca="false">IF(A408="","",IFERROR(MATCH(A408,Lists!$A$2:$A$37,0),""))</f>
        <v>28</v>
      </c>
      <c r="C408" s="6" t="s">
        <v>372</v>
      </c>
      <c r="D408" s="6" t="s">
        <v>382</v>
      </c>
      <c r="E408" s="40" t="n">
        <v>159</v>
      </c>
      <c r="F408" s="40" t="n">
        <v>12</v>
      </c>
      <c r="G408" s="43" t="n">
        <v>3.574</v>
      </c>
      <c r="H408" s="40" t="n">
        <v>8</v>
      </c>
      <c r="I408" s="40" t="n">
        <v>4</v>
      </c>
      <c r="J408" s="44"/>
      <c r="K408" s="44"/>
      <c r="L408" s="6" t="s">
        <v>390</v>
      </c>
      <c r="M408" s="6"/>
    </row>
    <row r="409" customFormat="false" ht="15" hidden="false" customHeight="false" outlineLevel="0" collapsed="false">
      <c r="A409" s="6" t="s">
        <v>155</v>
      </c>
      <c r="B409" s="7" t="n">
        <f aca="false">IF(A409="","",IFERROR(MATCH(A409,Lists!$A$2:$A$37,0),""))</f>
        <v>28</v>
      </c>
      <c r="C409" s="6" t="s">
        <v>372</v>
      </c>
      <c r="D409" s="6" t="s">
        <v>383</v>
      </c>
      <c r="E409" s="40" t="n">
        <v>168</v>
      </c>
      <c r="F409" s="40" t="n">
        <v>0</v>
      </c>
      <c r="G409" s="43" t="n">
        <v>3.524</v>
      </c>
      <c r="H409" s="40" t="n">
        <v>10</v>
      </c>
      <c r="I409" s="40" t="n">
        <v>6</v>
      </c>
      <c r="J409" s="44"/>
      <c r="K409" s="44"/>
      <c r="L409" s="6" t="s">
        <v>390</v>
      </c>
      <c r="M409" s="6"/>
    </row>
    <row r="410" customFormat="false" ht="15" hidden="false" customHeight="false" outlineLevel="0" collapsed="false">
      <c r="A410" s="6" t="s">
        <v>155</v>
      </c>
      <c r="B410" s="7" t="n">
        <f aca="false">IF(A410="","",IFERROR(MATCH(A410,Lists!$A$2:$A$37,0),""))</f>
        <v>28</v>
      </c>
      <c r="C410" s="6" t="s">
        <v>372</v>
      </c>
      <c r="D410" s="6" t="s">
        <v>384</v>
      </c>
      <c r="E410" s="40" t="n">
        <v>93</v>
      </c>
      <c r="F410" s="40" t="n">
        <v>13</v>
      </c>
      <c r="G410" s="43" t="n">
        <v>3.269</v>
      </c>
      <c r="H410" s="40" t="n">
        <v>33</v>
      </c>
      <c r="I410" s="40" t="n">
        <v>15</v>
      </c>
      <c r="J410" s="44"/>
      <c r="K410" s="44"/>
      <c r="L410" s="6" t="s">
        <v>390</v>
      </c>
      <c r="M410" s="6"/>
    </row>
    <row r="411" customFormat="false" ht="15" hidden="false" customHeight="false" outlineLevel="0" collapsed="false">
      <c r="A411" s="6" t="s">
        <v>155</v>
      </c>
      <c r="B411" s="7" t="n">
        <f aca="false">IF(A411="","",IFERROR(MATCH(A411,Lists!$A$2:$A$37,0),""))</f>
        <v>28</v>
      </c>
      <c r="C411" s="6" t="s">
        <v>372</v>
      </c>
      <c r="D411" s="6" t="s">
        <v>385</v>
      </c>
      <c r="E411" s="40" t="n">
        <v>24</v>
      </c>
      <c r="F411" s="40" t="n">
        <v>2</v>
      </c>
      <c r="G411" s="43" t="n">
        <v>3.712</v>
      </c>
      <c r="H411" s="40" t="n">
        <v>2</v>
      </c>
      <c r="I411" s="40" t="n">
        <v>2</v>
      </c>
      <c r="J411" s="44"/>
      <c r="K411" s="44"/>
      <c r="L411" s="6" t="s">
        <v>390</v>
      </c>
      <c r="M411" s="6"/>
    </row>
    <row r="412" customFormat="false" ht="15" hidden="false" customHeight="false" outlineLevel="0" collapsed="false">
      <c r="A412" s="6" t="s">
        <v>155</v>
      </c>
      <c r="B412" s="7" t="n">
        <f aca="false">IF(A412="","",IFERROR(MATCH(A412,Lists!$A$2:$A$37,0),""))</f>
        <v>28</v>
      </c>
      <c r="C412" s="6" t="s">
        <v>372</v>
      </c>
      <c r="D412" s="6" t="s">
        <v>386</v>
      </c>
      <c r="E412" s="40" t="n">
        <v>169</v>
      </c>
      <c r="F412" s="40" t="n">
        <v>6</v>
      </c>
      <c r="G412" s="43" t="n">
        <v>3.485</v>
      </c>
      <c r="H412" s="40" t="n">
        <v>16</v>
      </c>
      <c r="I412" s="40" t="n">
        <v>11</v>
      </c>
      <c r="J412" s="44"/>
      <c r="K412" s="44"/>
      <c r="L412" s="6" t="s">
        <v>390</v>
      </c>
      <c r="M412" s="6"/>
    </row>
    <row r="413" customFormat="false" ht="15" hidden="false" customHeight="false" outlineLevel="0" collapsed="false">
      <c r="A413" s="6" t="s">
        <v>155</v>
      </c>
      <c r="B413" s="7" t="n">
        <f aca="false">IF(A413="","",IFERROR(MATCH(A413,Lists!$A$2:$A$37,0),""))</f>
        <v>28</v>
      </c>
      <c r="C413" s="6" t="s">
        <v>372</v>
      </c>
      <c r="D413" s="6" t="s">
        <v>387</v>
      </c>
      <c r="E413" s="40" t="n">
        <v>58</v>
      </c>
      <c r="F413" s="40" t="n">
        <v>5</v>
      </c>
      <c r="G413" s="43" t="n">
        <v>3.499</v>
      </c>
      <c r="H413" s="40" t="n">
        <v>15</v>
      </c>
      <c r="I413" s="40" t="n">
        <v>10</v>
      </c>
      <c r="J413" s="44"/>
      <c r="K413" s="44"/>
      <c r="L413" s="6" t="s">
        <v>390</v>
      </c>
      <c r="M413" s="6"/>
    </row>
    <row r="414" customFormat="false" ht="15" hidden="false" customHeight="false" outlineLevel="0" collapsed="false">
      <c r="A414" s="6" t="s">
        <v>156</v>
      </c>
      <c r="B414" s="7" t="n">
        <f aca="false">IF(A414="","",IFERROR(MATCH(A414,Lists!$A$2:$A$37,0),""))</f>
        <v>29</v>
      </c>
      <c r="C414" s="6" t="s">
        <v>286</v>
      </c>
      <c r="D414" s="6" t="s">
        <v>290</v>
      </c>
      <c r="E414" s="40" t="n">
        <v>37</v>
      </c>
      <c r="F414" s="40" t="n">
        <v>12</v>
      </c>
      <c r="G414" s="43" t="n">
        <v>3.244</v>
      </c>
      <c r="H414" s="40" t="n">
        <v>34</v>
      </c>
      <c r="I414" s="40" t="n">
        <v>15</v>
      </c>
      <c r="J414" s="44" t="n">
        <v>1</v>
      </c>
      <c r="K414" s="44" t="n">
        <v>0.86</v>
      </c>
      <c r="L414" s="6" t="s">
        <v>395</v>
      </c>
      <c r="M414" s="6"/>
    </row>
    <row r="415" customFormat="false" ht="15" hidden="false" customHeight="false" outlineLevel="0" collapsed="false">
      <c r="A415" s="6" t="s">
        <v>156</v>
      </c>
      <c r="B415" s="7" t="n">
        <f aca="false">IF(A415="","",IFERROR(MATCH(A415,Lists!$A$2:$A$37,0),""))</f>
        <v>29</v>
      </c>
      <c r="C415" s="6" t="s">
        <v>286</v>
      </c>
      <c r="D415" s="6" t="s">
        <v>293</v>
      </c>
      <c r="E415" s="40" t="n">
        <v>107</v>
      </c>
      <c r="F415" s="40" t="n">
        <v>33</v>
      </c>
      <c r="G415" s="43" t="n">
        <v>3.271</v>
      </c>
      <c r="H415" s="40" t="n">
        <v>21</v>
      </c>
      <c r="I415" s="40" t="n">
        <v>13</v>
      </c>
      <c r="J415" s="44" t="n">
        <v>1</v>
      </c>
      <c r="K415" s="44" t="n">
        <v>1</v>
      </c>
      <c r="L415" s="6" t="s">
        <v>395</v>
      </c>
      <c r="M415" s="6"/>
    </row>
    <row r="416" customFormat="false" ht="15" hidden="false" customHeight="false" outlineLevel="0" collapsed="false">
      <c r="A416" s="6" t="s">
        <v>156</v>
      </c>
      <c r="B416" s="7" t="n">
        <f aca="false">IF(A416="","",IFERROR(MATCH(A416,Lists!$A$2:$A$37,0),""))</f>
        <v>29</v>
      </c>
      <c r="C416" s="6" t="s">
        <v>286</v>
      </c>
      <c r="D416" s="6" t="s">
        <v>294</v>
      </c>
      <c r="E416" s="40" t="n">
        <v>96</v>
      </c>
      <c r="F416" s="40" t="n">
        <v>27</v>
      </c>
      <c r="G416" s="43" t="n">
        <v>3.267</v>
      </c>
      <c r="H416" s="40" t="n">
        <v>33</v>
      </c>
      <c r="I416" s="40" t="n">
        <v>14</v>
      </c>
      <c r="J416" s="44" t="n">
        <v>1</v>
      </c>
      <c r="K416" s="44" t="n">
        <v>0.93</v>
      </c>
      <c r="L416" s="6" t="s">
        <v>395</v>
      </c>
      <c r="M416" s="6"/>
    </row>
    <row r="417" customFormat="false" ht="15" hidden="false" customHeight="false" outlineLevel="0" collapsed="false">
      <c r="A417" s="6" t="s">
        <v>156</v>
      </c>
      <c r="B417" s="7" t="n">
        <f aca="false">IF(A417="","",IFERROR(MATCH(A417,Lists!$A$2:$A$37,0),""))</f>
        <v>29</v>
      </c>
      <c r="C417" s="6" t="s">
        <v>286</v>
      </c>
      <c r="D417" s="6" t="s">
        <v>295</v>
      </c>
      <c r="E417" s="40" t="n">
        <v>124</v>
      </c>
      <c r="F417" s="40" t="n">
        <v>39</v>
      </c>
      <c r="G417" s="43" t="n">
        <v>3.384</v>
      </c>
      <c r="H417" s="40" t="n">
        <v>22</v>
      </c>
      <c r="I417" s="40" t="n">
        <v>6</v>
      </c>
      <c r="J417" s="44" t="n">
        <v>0.97</v>
      </c>
      <c r="K417" s="44" t="n">
        <v>0.91</v>
      </c>
      <c r="L417" s="6" t="s">
        <v>395</v>
      </c>
      <c r="M417" s="6"/>
    </row>
    <row r="418" customFormat="false" ht="15" hidden="false" customHeight="false" outlineLevel="0" collapsed="false">
      <c r="A418" s="6" t="s">
        <v>156</v>
      </c>
      <c r="B418" s="7" t="n">
        <f aca="false">IF(A418="","",IFERROR(MATCH(A418,Lists!$A$2:$A$37,0),""))</f>
        <v>29</v>
      </c>
      <c r="C418" s="6" t="s">
        <v>286</v>
      </c>
      <c r="D418" s="6" t="s">
        <v>296</v>
      </c>
      <c r="E418" s="40" t="n">
        <v>15</v>
      </c>
      <c r="F418" s="40" t="n">
        <v>4</v>
      </c>
      <c r="G418" s="43" t="n">
        <v>3.35</v>
      </c>
      <c r="H418" s="40" t="n">
        <v>25</v>
      </c>
      <c r="I418" s="40" t="n">
        <v>8</v>
      </c>
      <c r="J418" s="44" t="n">
        <v>1</v>
      </c>
      <c r="K418" s="44"/>
      <c r="L418" s="6" t="s">
        <v>395</v>
      </c>
      <c r="M418" s="6"/>
    </row>
    <row r="419" customFormat="false" ht="15" hidden="false" customHeight="false" outlineLevel="0" collapsed="false">
      <c r="A419" s="6" t="s">
        <v>156</v>
      </c>
      <c r="B419" s="7" t="n">
        <f aca="false">IF(A419="","",IFERROR(MATCH(A419,Lists!$A$2:$A$37,0),""))</f>
        <v>29</v>
      </c>
      <c r="C419" s="6" t="s">
        <v>286</v>
      </c>
      <c r="D419" s="6" t="s">
        <v>297</v>
      </c>
      <c r="E419" s="40" t="n">
        <v>126</v>
      </c>
      <c r="F419" s="40" t="n">
        <v>34</v>
      </c>
      <c r="G419" s="43" t="n">
        <v>3.623</v>
      </c>
      <c r="H419" s="40" t="n">
        <v>4</v>
      </c>
      <c r="I419" s="40" t="n">
        <v>3</v>
      </c>
      <c r="J419" s="44" t="n">
        <v>1</v>
      </c>
      <c r="K419" s="44" t="n">
        <v>0.94</v>
      </c>
      <c r="L419" s="6" t="s">
        <v>395</v>
      </c>
      <c r="M419" s="6"/>
    </row>
    <row r="420" customFormat="false" ht="15" hidden="false" customHeight="false" outlineLevel="0" collapsed="false">
      <c r="A420" s="6" t="s">
        <v>156</v>
      </c>
      <c r="B420" s="7" t="n">
        <f aca="false">IF(A420="","",IFERROR(MATCH(A420,Lists!$A$2:$A$37,0),""))</f>
        <v>29</v>
      </c>
      <c r="C420" s="6" t="s">
        <v>286</v>
      </c>
      <c r="D420" s="6" t="s">
        <v>298</v>
      </c>
      <c r="E420" s="40" t="n">
        <v>15</v>
      </c>
      <c r="F420" s="40" t="n">
        <v>2</v>
      </c>
      <c r="G420" s="43" t="n">
        <v>2.78</v>
      </c>
      <c r="H420" s="40" t="n">
        <v>49</v>
      </c>
      <c r="I420" s="40" t="n">
        <v>25</v>
      </c>
      <c r="J420" s="44" t="n">
        <v>0.87</v>
      </c>
      <c r="K420" s="44" t="n">
        <v>1</v>
      </c>
      <c r="L420" s="6" t="s">
        <v>395</v>
      </c>
      <c r="M420" s="6"/>
    </row>
    <row r="421" customFormat="false" ht="15" hidden="false" customHeight="false" outlineLevel="0" collapsed="false">
      <c r="A421" s="6" t="s">
        <v>156</v>
      </c>
      <c r="B421" s="7" t="n">
        <f aca="false">IF(A421="","",IFERROR(MATCH(A421,Lists!$A$2:$A$37,0),""))</f>
        <v>29</v>
      </c>
      <c r="C421" s="6" t="s">
        <v>286</v>
      </c>
      <c r="D421" s="6" t="s">
        <v>333</v>
      </c>
      <c r="E421" s="40" t="n">
        <v>9</v>
      </c>
      <c r="F421" s="40" t="n">
        <v>0</v>
      </c>
      <c r="G421" s="43" t="n">
        <v>2.967</v>
      </c>
      <c r="H421" s="40" t="n">
        <v>42</v>
      </c>
      <c r="I421" s="40" t="n">
        <v>20</v>
      </c>
      <c r="J421" s="44" t="n">
        <v>0.9</v>
      </c>
      <c r="K421" s="44"/>
      <c r="L421" s="6" t="s">
        <v>395</v>
      </c>
      <c r="M421" s="6"/>
    </row>
    <row r="422" customFormat="false" ht="15" hidden="false" customHeight="false" outlineLevel="0" collapsed="false">
      <c r="A422" s="6" t="s">
        <v>156</v>
      </c>
      <c r="B422" s="7" t="n">
        <f aca="false">IF(A422="","",IFERROR(MATCH(A422,Lists!$A$2:$A$37,0),""))</f>
        <v>29</v>
      </c>
      <c r="C422" s="6" t="s">
        <v>286</v>
      </c>
      <c r="D422" s="6" t="s">
        <v>299</v>
      </c>
      <c r="E422" s="40" t="n">
        <v>121</v>
      </c>
      <c r="F422" s="40" t="n">
        <v>31</v>
      </c>
      <c r="G422" s="43" t="n">
        <v>3.278</v>
      </c>
      <c r="H422" s="40" t="n">
        <v>31</v>
      </c>
      <c r="I422" s="40" t="n">
        <v>12</v>
      </c>
      <c r="J422" s="44" t="n">
        <v>0.98</v>
      </c>
      <c r="K422" s="44" t="n">
        <v>0.82</v>
      </c>
      <c r="L422" s="6" t="s">
        <v>395</v>
      </c>
      <c r="M422" s="6"/>
    </row>
    <row r="423" customFormat="false" ht="15" hidden="false" customHeight="false" outlineLevel="0" collapsed="false">
      <c r="A423" s="6" t="s">
        <v>156</v>
      </c>
      <c r="B423" s="7" t="n">
        <f aca="false">IF(A423="","",IFERROR(MATCH(A423,Lists!$A$2:$A$37,0),""))</f>
        <v>29</v>
      </c>
      <c r="C423" s="6" t="s">
        <v>286</v>
      </c>
      <c r="D423" s="6" t="s">
        <v>301</v>
      </c>
      <c r="E423" s="40" t="n">
        <v>77</v>
      </c>
      <c r="F423" s="40" t="n">
        <v>29</v>
      </c>
      <c r="G423" s="43" t="n">
        <v>3.327</v>
      </c>
      <c r="H423" s="40" t="n">
        <v>27</v>
      </c>
      <c r="I423" s="40" t="n">
        <v>10</v>
      </c>
      <c r="J423" s="44" t="n">
        <v>0.94</v>
      </c>
      <c r="K423" s="44" t="n">
        <v>0.85</v>
      </c>
      <c r="L423" s="6" t="s">
        <v>395</v>
      </c>
      <c r="M423" s="6"/>
    </row>
    <row r="424" customFormat="false" ht="15" hidden="false" customHeight="false" outlineLevel="0" collapsed="false">
      <c r="A424" s="6" t="s">
        <v>156</v>
      </c>
      <c r="B424" s="7" t="n">
        <f aca="false">IF(A424="","",IFERROR(MATCH(A424,Lists!$A$2:$A$37,0),""))</f>
        <v>29</v>
      </c>
      <c r="C424" s="6" t="s">
        <v>286</v>
      </c>
      <c r="D424" s="6" t="s">
        <v>302</v>
      </c>
      <c r="E424" s="40" t="n">
        <v>114</v>
      </c>
      <c r="F424" s="40" t="n">
        <v>33</v>
      </c>
      <c r="G424" s="43" t="n">
        <v>3.707</v>
      </c>
      <c r="H424" s="40" t="n">
        <v>2</v>
      </c>
      <c r="I424" s="40" t="n">
        <v>1</v>
      </c>
      <c r="J424" s="44" t="n">
        <v>1</v>
      </c>
      <c r="K424" s="44" t="n">
        <v>1</v>
      </c>
      <c r="L424" s="6" t="s">
        <v>395</v>
      </c>
      <c r="M424" s="6"/>
    </row>
    <row r="425" customFormat="false" ht="15" hidden="false" customHeight="false" outlineLevel="0" collapsed="false">
      <c r="A425" s="6" t="s">
        <v>156</v>
      </c>
      <c r="B425" s="7" t="n">
        <f aca="false">IF(A425="","",IFERROR(MATCH(A425,Lists!$A$2:$A$37,0),""))</f>
        <v>29</v>
      </c>
      <c r="C425" s="6" t="s">
        <v>286</v>
      </c>
      <c r="D425" s="6" t="s">
        <v>303</v>
      </c>
      <c r="E425" s="40" t="n">
        <v>51</v>
      </c>
      <c r="F425" s="40" t="n">
        <v>23</v>
      </c>
      <c r="G425" s="43" t="n">
        <v>2.956</v>
      </c>
      <c r="H425" s="40" t="n">
        <v>43</v>
      </c>
      <c r="I425" s="40" t="n">
        <v>21</v>
      </c>
      <c r="J425" s="44" t="n">
        <v>0.93</v>
      </c>
      <c r="K425" s="44" t="n">
        <v>0.7</v>
      </c>
      <c r="L425" s="6" t="s">
        <v>395</v>
      </c>
      <c r="M425" s="6"/>
    </row>
    <row r="426" customFormat="false" ht="15" hidden="false" customHeight="false" outlineLevel="0" collapsed="false">
      <c r="A426" s="6" t="s">
        <v>156</v>
      </c>
      <c r="B426" s="7" t="n">
        <f aca="false">IF(A426="","",IFERROR(MATCH(A426,Lists!$A$2:$A$37,0),""))</f>
        <v>29</v>
      </c>
      <c r="C426" s="6" t="s">
        <v>286</v>
      </c>
      <c r="D426" s="6" t="s">
        <v>396</v>
      </c>
      <c r="E426" s="40" t="n">
        <v>24</v>
      </c>
      <c r="F426" s="40" t="n">
        <v>24</v>
      </c>
      <c r="G426" s="43" t="n">
        <v>3.12</v>
      </c>
      <c r="H426" s="40" t="n">
        <v>38</v>
      </c>
      <c r="I426" s="40" t="n">
        <v>18</v>
      </c>
      <c r="J426" s="44"/>
      <c r="K426" s="44" t="n">
        <v>0.89</v>
      </c>
      <c r="L426" s="6" t="s">
        <v>395</v>
      </c>
      <c r="M426" s="6"/>
    </row>
    <row r="427" customFormat="false" ht="15" hidden="false" customHeight="false" outlineLevel="0" collapsed="false">
      <c r="A427" s="6" t="s">
        <v>156</v>
      </c>
      <c r="B427" s="7" t="n">
        <f aca="false">IF(A427="","",IFERROR(MATCH(A427,Lists!$A$2:$A$37,0),""))</f>
        <v>29</v>
      </c>
      <c r="C427" s="6" t="s">
        <v>286</v>
      </c>
      <c r="D427" s="6" t="s">
        <v>304</v>
      </c>
      <c r="E427" s="40" t="n">
        <v>155</v>
      </c>
      <c r="F427" s="40" t="n">
        <v>42</v>
      </c>
      <c r="G427" s="43" t="n">
        <v>3.298</v>
      </c>
      <c r="H427" s="40" t="n">
        <v>30</v>
      </c>
      <c r="I427" s="40" t="n">
        <v>11</v>
      </c>
      <c r="J427" s="44" t="n">
        <v>1.01</v>
      </c>
      <c r="K427" s="44" t="n">
        <v>0.91</v>
      </c>
      <c r="L427" s="6" t="s">
        <v>395</v>
      </c>
      <c r="M427" s="6" t="s">
        <v>397</v>
      </c>
    </row>
    <row r="428" customFormat="false" ht="15" hidden="false" customHeight="false" outlineLevel="0" collapsed="false">
      <c r="A428" s="6" t="s">
        <v>156</v>
      </c>
      <c r="B428" s="7" t="n">
        <f aca="false">IF(A428="","",IFERROR(MATCH(A428,Lists!$A$2:$A$37,0),""))</f>
        <v>29</v>
      </c>
      <c r="C428" s="6" t="s">
        <v>286</v>
      </c>
      <c r="D428" s="6" t="s">
        <v>306</v>
      </c>
      <c r="E428" s="40" t="n">
        <v>42</v>
      </c>
      <c r="F428" s="40" t="n">
        <v>10</v>
      </c>
      <c r="G428" s="43" t="n">
        <v>3.13</v>
      </c>
      <c r="H428" s="40" t="n">
        <v>37</v>
      </c>
      <c r="I428" s="40" t="n">
        <v>17</v>
      </c>
      <c r="J428" s="44" t="n">
        <v>0.97</v>
      </c>
      <c r="K428" s="44" t="n">
        <v>0.77</v>
      </c>
      <c r="L428" s="6" t="s">
        <v>395</v>
      </c>
      <c r="M428" s="6"/>
    </row>
    <row r="429" customFormat="false" ht="15" hidden="false" customHeight="false" outlineLevel="0" collapsed="false">
      <c r="A429" s="6" t="s">
        <v>156</v>
      </c>
      <c r="B429" s="7" t="n">
        <f aca="false">IF(A429="","",IFERROR(MATCH(A429,Lists!$A$2:$A$37,0),""))</f>
        <v>29</v>
      </c>
      <c r="C429" s="6" t="s">
        <v>286</v>
      </c>
      <c r="D429" s="6" t="s">
        <v>307</v>
      </c>
      <c r="E429" s="40" t="n">
        <v>91</v>
      </c>
      <c r="F429" s="40" t="n">
        <v>33</v>
      </c>
      <c r="G429" s="43" t="n">
        <v>3.474</v>
      </c>
      <c r="H429" s="40" t="n">
        <v>17</v>
      </c>
      <c r="I429" s="40" t="n">
        <v>5</v>
      </c>
      <c r="J429" s="44" t="n">
        <v>0.97</v>
      </c>
      <c r="K429" s="44" t="n">
        <v>1</v>
      </c>
      <c r="L429" s="6" t="s">
        <v>395</v>
      </c>
      <c r="M429" s="6"/>
    </row>
    <row r="430" customFormat="false" ht="15" hidden="false" customHeight="false" outlineLevel="0" collapsed="false">
      <c r="A430" s="6" t="s">
        <v>156</v>
      </c>
      <c r="B430" s="7" t="n">
        <f aca="false">IF(A430="","",IFERROR(MATCH(A430,Lists!$A$2:$A$37,0),""))</f>
        <v>29</v>
      </c>
      <c r="C430" s="6" t="s">
        <v>286</v>
      </c>
      <c r="D430" s="6" t="s">
        <v>308</v>
      </c>
      <c r="E430" s="40" t="n">
        <v>139</v>
      </c>
      <c r="F430" s="40" t="n">
        <v>27</v>
      </c>
      <c r="G430" s="43" t="n">
        <v>3.533</v>
      </c>
      <c r="H430" s="40" t="n">
        <v>13</v>
      </c>
      <c r="I430" s="40" t="n">
        <v>4</v>
      </c>
      <c r="J430" s="44" t="n">
        <v>0.99</v>
      </c>
      <c r="K430" s="44" t="n">
        <v>0.84</v>
      </c>
      <c r="L430" s="6" t="s">
        <v>395</v>
      </c>
      <c r="M430" s="6"/>
    </row>
    <row r="431" customFormat="false" ht="15" hidden="false" customHeight="false" outlineLevel="0" collapsed="false">
      <c r="A431" s="6" t="s">
        <v>156</v>
      </c>
      <c r="B431" s="7" t="n">
        <f aca="false">IF(A431="","",IFERROR(MATCH(A431,Lists!$A$2:$A$37,0),""))</f>
        <v>29</v>
      </c>
      <c r="C431" s="6" t="s">
        <v>286</v>
      </c>
      <c r="D431" s="6" t="s">
        <v>309</v>
      </c>
      <c r="E431" s="40" t="n">
        <v>56</v>
      </c>
      <c r="F431" s="40" t="n">
        <v>11</v>
      </c>
      <c r="G431" s="43" t="n">
        <v>2.789</v>
      </c>
      <c r="H431" s="40" t="n">
        <v>48</v>
      </c>
      <c r="I431" s="40" t="n">
        <v>24</v>
      </c>
      <c r="J431" s="44" t="n">
        <v>0.9</v>
      </c>
      <c r="K431" s="44" t="n">
        <v>0.85</v>
      </c>
      <c r="L431" s="6" t="s">
        <v>395</v>
      </c>
      <c r="M431" s="6"/>
    </row>
    <row r="432" customFormat="false" ht="15" hidden="false" customHeight="false" outlineLevel="0" collapsed="false">
      <c r="A432" s="6" t="s">
        <v>156</v>
      </c>
      <c r="B432" s="7" t="n">
        <f aca="false">IF(A432="","",IFERROR(MATCH(A432,Lists!$A$2:$A$37,0),""))</f>
        <v>29</v>
      </c>
      <c r="C432" s="6" t="s">
        <v>286</v>
      </c>
      <c r="D432" s="6" t="s">
        <v>310</v>
      </c>
      <c r="E432" s="40" t="n">
        <v>132</v>
      </c>
      <c r="F432" s="40" t="n">
        <v>37</v>
      </c>
      <c r="G432" s="43" t="n">
        <v>3.341</v>
      </c>
      <c r="H432" s="40" t="n">
        <v>26</v>
      </c>
      <c r="I432" s="40" t="n">
        <v>9</v>
      </c>
      <c r="J432" s="44" t="n">
        <v>0.99</v>
      </c>
      <c r="K432" s="44" t="n">
        <v>0.93</v>
      </c>
      <c r="L432" s="6" t="s">
        <v>395</v>
      </c>
      <c r="M432" s="6"/>
    </row>
    <row r="433" customFormat="false" ht="15" hidden="false" customHeight="false" outlineLevel="0" collapsed="false">
      <c r="A433" s="6" t="s">
        <v>156</v>
      </c>
      <c r="B433" s="7" t="n">
        <f aca="false">IF(A433="","",IFERROR(MATCH(A433,Lists!$A$2:$A$37,0),""))</f>
        <v>29</v>
      </c>
      <c r="C433" s="6" t="s">
        <v>286</v>
      </c>
      <c r="D433" s="6" t="s">
        <v>311</v>
      </c>
      <c r="E433" s="40" t="n">
        <v>12</v>
      </c>
      <c r="F433" s="40" t="n">
        <v>0</v>
      </c>
      <c r="G433" s="43" t="n">
        <v>3.082</v>
      </c>
      <c r="H433" s="40" t="n">
        <v>39</v>
      </c>
      <c r="I433" s="40" t="n">
        <v>19</v>
      </c>
      <c r="J433" s="44" t="n">
        <v>1</v>
      </c>
      <c r="K433" s="44"/>
      <c r="L433" s="6" t="s">
        <v>395</v>
      </c>
      <c r="M433" s="6"/>
    </row>
    <row r="434" customFormat="false" ht="15" hidden="false" customHeight="false" outlineLevel="0" collapsed="false">
      <c r="A434" s="6" t="s">
        <v>156</v>
      </c>
      <c r="B434" s="7" t="n">
        <f aca="false">IF(A434="","",IFERROR(MATCH(A434,Lists!$A$2:$A$37,0),""))</f>
        <v>29</v>
      </c>
      <c r="C434" s="6" t="s">
        <v>286</v>
      </c>
      <c r="D434" s="6" t="s">
        <v>312</v>
      </c>
      <c r="E434" s="40" t="n">
        <v>111</v>
      </c>
      <c r="F434" s="40" t="n">
        <v>38</v>
      </c>
      <c r="G434" s="43" t="n">
        <v>3.384</v>
      </c>
      <c r="H434" s="40" t="n">
        <v>22</v>
      </c>
      <c r="I434" s="40" t="n">
        <v>6</v>
      </c>
      <c r="J434" s="44" t="n">
        <v>0.97</v>
      </c>
      <c r="K434" s="44" t="n">
        <v>0.95</v>
      </c>
      <c r="L434" s="6" t="s">
        <v>395</v>
      </c>
      <c r="M434" s="6"/>
    </row>
    <row r="435" customFormat="false" ht="15" hidden="false" customHeight="false" outlineLevel="0" collapsed="false">
      <c r="A435" s="6" t="s">
        <v>156</v>
      </c>
      <c r="B435" s="7" t="n">
        <f aca="false">IF(A435="","",IFERROR(MATCH(A435,Lists!$A$2:$A$37,0),""))</f>
        <v>29</v>
      </c>
      <c r="C435" s="6" t="s">
        <v>286</v>
      </c>
      <c r="D435" s="6" t="s">
        <v>313</v>
      </c>
      <c r="E435" s="40" t="n">
        <v>4</v>
      </c>
      <c r="F435" s="40" t="n">
        <v>0</v>
      </c>
      <c r="G435" s="43"/>
      <c r="H435" s="40"/>
      <c r="I435" s="40"/>
      <c r="J435" s="44" t="n">
        <v>1</v>
      </c>
      <c r="K435" s="44"/>
      <c r="L435" s="6" t="s">
        <v>395</v>
      </c>
      <c r="M435" s="6" t="s">
        <v>394</v>
      </c>
    </row>
    <row r="436" customFormat="false" ht="15" hidden="false" customHeight="false" outlineLevel="0" collapsed="false">
      <c r="A436" s="6" t="s">
        <v>156</v>
      </c>
      <c r="B436" s="7" t="n">
        <f aca="false">IF(A436="","",IFERROR(MATCH(A436,Lists!$A$2:$A$37,0),""))</f>
        <v>29</v>
      </c>
      <c r="C436" s="6" t="s">
        <v>286</v>
      </c>
      <c r="D436" s="6" t="s">
        <v>314</v>
      </c>
      <c r="E436" s="40" t="n">
        <v>151</v>
      </c>
      <c r="F436" s="40" t="n">
        <v>39</v>
      </c>
      <c r="G436" s="43" t="n">
        <v>3.693</v>
      </c>
      <c r="H436" s="40" t="n">
        <v>3</v>
      </c>
      <c r="I436" s="40" t="n">
        <v>2</v>
      </c>
      <c r="J436" s="44" t="n">
        <v>1.02</v>
      </c>
      <c r="K436" s="44" t="n">
        <v>0.98</v>
      </c>
      <c r="L436" s="6" t="s">
        <v>395</v>
      </c>
      <c r="M436" s="6" t="s">
        <v>398</v>
      </c>
    </row>
    <row r="437" customFormat="false" ht="15" hidden="false" customHeight="false" outlineLevel="0" collapsed="false">
      <c r="A437" s="6" t="s">
        <v>156</v>
      </c>
      <c r="B437" s="7" t="n">
        <f aca="false">IF(A437="","",IFERROR(MATCH(A437,Lists!$A$2:$A$37,0),""))</f>
        <v>29</v>
      </c>
      <c r="C437" s="6" t="s">
        <v>286</v>
      </c>
      <c r="D437" s="6" t="s">
        <v>316</v>
      </c>
      <c r="E437" s="40" t="n">
        <v>27</v>
      </c>
      <c r="F437" s="40" t="n">
        <v>8</v>
      </c>
      <c r="G437" s="43" t="n">
        <v>2.948</v>
      </c>
      <c r="H437" s="40" t="n">
        <v>44</v>
      </c>
      <c r="I437" s="40" t="n">
        <v>22</v>
      </c>
      <c r="J437" s="44" t="n">
        <v>0.76</v>
      </c>
      <c r="K437" s="44" t="n">
        <v>1</v>
      </c>
      <c r="L437" s="6" t="s">
        <v>395</v>
      </c>
      <c r="M437" s="6"/>
    </row>
    <row r="438" customFormat="false" ht="15" hidden="false" customHeight="false" outlineLevel="0" collapsed="false">
      <c r="A438" s="6" t="s">
        <v>156</v>
      </c>
      <c r="B438" s="7" t="n">
        <f aca="false">IF(A438="","",IFERROR(MATCH(A438,Lists!$A$2:$A$37,0),""))</f>
        <v>29</v>
      </c>
      <c r="C438" s="6" t="s">
        <v>286</v>
      </c>
      <c r="D438" s="6" t="s">
        <v>287</v>
      </c>
      <c r="E438" s="40" t="n">
        <v>48</v>
      </c>
      <c r="F438" s="40" t="n">
        <v>12</v>
      </c>
      <c r="G438" s="43" t="n">
        <v>3.216</v>
      </c>
      <c r="H438" s="40" t="n">
        <v>36</v>
      </c>
      <c r="I438" s="40" t="n">
        <v>16</v>
      </c>
      <c r="J438" s="44" t="n">
        <v>0.9</v>
      </c>
      <c r="K438" s="44" t="n">
        <v>1</v>
      </c>
      <c r="L438" s="6" t="s">
        <v>395</v>
      </c>
      <c r="M438" s="6"/>
    </row>
    <row r="439" customFormat="false" ht="15" hidden="false" customHeight="false" outlineLevel="0" collapsed="false">
      <c r="A439" s="6" t="s">
        <v>156</v>
      </c>
      <c r="B439" s="7" t="n">
        <f aca="false">IF(A439="","",IFERROR(MATCH(A439,Lists!$A$2:$A$37,0),""))</f>
        <v>29</v>
      </c>
      <c r="C439" s="6" t="s">
        <v>286</v>
      </c>
      <c r="D439" s="6" t="s">
        <v>317</v>
      </c>
      <c r="E439" s="40" t="n">
        <v>20</v>
      </c>
      <c r="F439" s="40" t="n">
        <v>5</v>
      </c>
      <c r="G439" s="43" t="n">
        <v>2.862</v>
      </c>
      <c r="H439" s="40" t="n">
        <v>47</v>
      </c>
      <c r="I439" s="40" t="n">
        <v>23</v>
      </c>
      <c r="J439" s="44" t="n">
        <v>1</v>
      </c>
      <c r="K439" s="44" t="n">
        <v>0.83</v>
      </c>
      <c r="L439" s="6" t="s">
        <v>395</v>
      </c>
      <c r="M439" s="6"/>
    </row>
    <row r="440" customFormat="false" ht="15" hidden="false" customHeight="false" outlineLevel="0" collapsed="false">
      <c r="A440" s="6" t="s">
        <v>156</v>
      </c>
      <c r="B440" s="7" t="n">
        <f aca="false">IF(A440="","",IFERROR(MATCH(A440,Lists!$A$2:$A$37,0),""))</f>
        <v>29</v>
      </c>
      <c r="C440" s="6" t="s">
        <v>352</v>
      </c>
      <c r="D440" s="6" t="s">
        <v>353</v>
      </c>
      <c r="E440" s="40" t="n">
        <v>22</v>
      </c>
      <c r="F440" s="40" t="n">
        <v>4</v>
      </c>
      <c r="G440" s="43" t="n">
        <v>3.551</v>
      </c>
      <c r="H440" s="40" t="n">
        <v>11</v>
      </c>
      <c r="I440" s="40" t="n">
        <v>2</v>
      </c>
      <c r="J440" s="44" t="n">
        <v>0.9</v>
      </c>
      <c r="K440" s="44" t="n">
        <v>0.57</v>
      </c>
      <c r="L440" s="6" t="s">
        <v>395</v>
      </c>
      <c r="M440" s="6"/>
    </row>
    <row r="441" customFormat="false" ht="15" hidden="false" customHeight="false" outlineLevel="0" collapsed="false">
      <c r="A441" s="6" t="s">
        <v>156</v>
      </c>
      <c r="B441" s="7" t="n">
        <f aca="false">IF(A441="","",IFERROR(MATCH(A441,Lists!$A$2:$A$37,0),""))</f>
        <v>29</v>
      </c>
      <c r="C441" s="6" t="s">
        <v>352</v>
      </c>
      <c r="D441" s="6" t="s">
        <v>354</v>
      </c>
      <c r="E441" s="40" t="n">
        <v>13</v>
      </c>
      <c r="F441" s="40" t="n">
        <v>5</v>
      </c>
      <c r="G441" s="43" t="n">
        <v>2.869</v>
      </c>
      <c r="H441" s="40" t="n">
        <v>46</v>
      </c>
      <c r="I441" s="40" t="n">
        <v>8</v>
      </c>
      <c r="J441" s="44" t="n">
        <v>0.89</v>
      </c>
      <c r="K441" s="44" t="n">
        <v>1</v>
      </c>
      <c r="L441" s="6" t="s">
        <v>395</v>
      </c>
      <c r="M441" s="6"/>
    </row>
    <row r="442" customFormat="false" ht="15" hidden="false" customHeight="false" outlineLevel="0" collapsed="false">
      <c r="A442" s="6" t="s">
        <v>156</v>
      </c>
      <c r="B442" s="7" t="n">
        <f aca="false">IF(A442="","",IFERROR(MATCH(A442,Lists!$A$2:$A$37,0),""))</f>
        <v>29</v>
      </c>
      <c r="C442" s="6" t="s">
        <v>352</v>
      </c>
      <c r="D442" s="6" t="s">
        <v>356</v>
      </c>
      <c r="E442" s="40" t="n">
        <v>19</v>
      </c>
      <c r="F442" s="40" t="n">
        <v>0</v>
      </c>
      <c r="G442" s="43" t="n">
        <v>3.018</v>
      </c>
      <c r="H442" s="40" t="n">
        <v>41</v>
      </c>
      <c r="I442" s="40" t="n">
        <v>6</v>
      </c>
      <c r="J442" s="44" t="n">
        <v>1</v>
      </c>
      <c r="K442" s="44"/>
      <c r="L442" s="6" t="s">
        <v>395</v>
      </c>
      <c r="M442" s="6"/>
    </row>
    <row r="443" customFormat="false" ht="15" hidden="false" customHeight="false" outlineLevel="0" collapsed="false">
      <c r="A443" s="6" t="s">
        <v>156</v>
      </c>
      <c r="B443" s="7" t="n">
        <f aca="false">IF(A443="","",IFERROR(MATCH(A443,Lists!$A$2:$A$37,0),""))</f>
        <v>29</v>
      </c>
      <c r="C443" s="6" t="s">
        <v>352</v>
      </c>
      <c r="D443" s="6" t="s">
        <v>358</v>
      </c>
      <c r="E443" s="40" t="n">
        <v>24</v>
      </c>
      <c r="F443" s="40" t="n">
        <v>5</v>
      </c>
      <c r="G443" s="43" t="n">
        <v>3.039</v>
      </c>
      <c r="H443" s="40" t="n">
        <v>40</v>
      </c>
      <c r="I443" s="40" t="n">
        <v>5</v>
      </c>
      <c r="J443" s="44" t="n">
        <v>1</v>
      </c>
      <c r="K443" s="44" t="n">
        <v>1</v>
      </c>
      <c r="L443" s="6" t="s">
        <v>395</v>
      </c>
      <c r="M443" s="6"/>
    </row>
    <row r="444" customFormat="false" ht="15" hidden="false" customHeight="false" outlineLevel="0" collapsed="false">
      <c r="A444" s="6" t="s">
        <v>156</v>
      </c>
      <c r="B444" s="7" t="n">
        <f aca="false">IF(A444="","",IFERROR(MATCH(A444,Lists!$A$2:$A$37,0),""))</f>
        <v>29</v>
      </c>
      <c r="C444" s="6" t="s">
        <v>352</v>
      </c>
      <c r="D444" s="6" t="s">
        <v>359</v>
      </c>
      <c r="E444" s="40" t="n">
        <v>17</v>
      </c>
      <c r="F444" s="40" t="n">
        <v>9</v>
      </c>
      <c r="G444" s="43" t="n">
        <v>3.323</v>
      </c>
      <c r="H444" s="40" t="n">
        <v>28</v>
      </c>
      <c r="I444" s="40" t="n">
        <v>3</v>
      </c>
      <c r="J444" s="44" t="n">
        <v>1</v>
      </c>
      <c r="K444" s="44" t="n">
        <v>1</v>
      </c>
      <c r="L444" s="6" t="s">
        <v>395</v>
      </c>
      <c r="M444" s="6"/>
    </row>
    <row r="445" customFormat="false" ht="15" hidden="false" customHeight="false" outlineLevel="0" collapsed="false">
      <c r="A445" s="6" t="s">
        <v>156</v>
      </c>
      <c r="B445" s="7" t="n">
        <f aca="false">IF(A445="","",IFERROR(MATCH(A445,Lists!$A$2:$A$37,0),""))</f>
        <v>29</v>
      </c>
      <c r="C445" s="6" t="s">
        <v>352</v>
      </c>
      <c r="D445" s="6" t="s">
        <v>360</v>
      </c>
      <c r="E445" s="40" t="n">
        <v>13</v>
      </c>
      <c r="F445" s="40" t="n">
        <v>4</v>
      </c>
      <c r="G445" s="43" t="n">
        <v>2.731</v>
      </c>
      <c r="H445" s="40" t="n">
        <v>51</v>
      </c>
      <c r="I445" s="40" t="n">
        <v>9</v>
      </c>
      <c r="J445" s="44" t="n">
        <v>1</v>
      </c>
      <c r="K445" s="44" t="n">
        <v>0.8</v>
      </c>
      <c r="L445" s="6" t="s">
        <v>395</v>
      </c>
      <c r="M445" s="6"/>
    </row>
    <row r="446" customFormat="false" ht="15" hidden="false" customHeight="false" outlineLevel="0" collapsed="false">
      <c r="A446" s="6" t="s">
        <v>156</v>
      </c>
      <c r="B446" s="7" t="n">
        <f aca="false">IF(A446="","",IFERROR(MATCH(A446,Lists!$A$2:$A$37,0),""))</f>
        <v>29</v>
      </c>
      <c r="C446" s="6" t="s">
        <v>352</v>
      </c>
      <c r="D446" s="6" t="s">
        <v>361</v>
      </c>
      <c r="E446" s="40" t="n">
        <v>16</v>
      </c>
      <c r="F446" s="40" t="n">
        <v>6</v>
      </c>
      <c r="G446" s="43" t="n">
        <v>2.948</v>
      </c>
      <c r="H446" s="40" t="n">
        <v>45</v>
      </c>
      <c r="I446" s="40" t="n">
        <v>7</v>
      </c>
      <c r="J446" s="44" t="n">
        <v>0.91</v>
      </c>
      <c r="K446" s="44" t="n">
        <v>1</v>
      </c>
      <c r="L446" s="6" t="s">
        <v>395</v>
      </c>
      <c r="M446" s="6"/>
    </row>
    <row r="447" customFormat="false" ht="15" hidden="false" customHeight="false" outlineLevel="0" collapsed="false">
      <c r="A447" s="6" t="s">
        <v>156</v>
      </c>
      <c r="B447" s="7" t="n">
        <f aca="false">IF(A447="","",IFERROR(MATCH(A447,Lists!$A$2:$A$37,0),""))</f>
        <v>29</v>
      </c>
      <c r="C447" s="6" t="s">
        <v>352</v>
      </c>
      <c r="D447" s="6" t="s">
        <v>399</v>
      </c>
      <c r="E447" s="40" t="n">
        <v>9</v>
      </c>
      <c r="F447" s="40" t="n">
        <v>9</v>
      </c>
      <c r="G447" s="43" t="n">
        <v>3.239</v>
      </c>
      <c r="H447" s="40" t="n">
        <v>35</v>
      </c>
      <c r="I447" s="40" t="n">
        <v>4</v>
      </c>
      <c r="J447" s="44"/>
      <c r="K447" s="44" t="n">
        <v>1</v>
      </c>
      <c r="L447" s="6" t="s">
        <v>395</v>
      </c>
      <c r="M447" s="6"/>
    </row>
    <row r="448" customFormat="false" ht="15" hidden="false" customHeight="false" outlineLevel="0" collapsed="false">
      <c r="A448" s="6" t="s">
        <v>156</v>
      </c>
      <c r="B448" s="7" t="n">
        <f aca="false">IF(A448="","",IFERROR(MATCH(A448,Lists!$A$2:$A$37,0),""))</f>
        <v>29</v>
      </c>
      <c r="C448" s="6" t="s">
        <v>352</v>
      </c>
      <c r="D448" s="6" t="s">
        <v>362</v>
      </c>
      <c r="E448" s="40" t="n">
        <v>13</v>
      </c>
      <c r="F448" s="40" t="n">
        <v>2</v>
      </c>
      <c r="G448" s="43" t="n">
        <v>3.597</v>
      </c>
      <c r="H448" s="40" t="n">
        <v>7</v>
      </c>
      <c r="I448" s="40" t="n">
        <v>1</v>
      </c>
      <c r="J448" s="44" t="n">
        <v>1</v>
      </c>
      <c r="K448" s="44" t="n">
        <v>0.67</v>
      </c>
      <c r="L448" s="6" t="s">
        <v>395</v>
      </c>
      <c r="M448" s="6"/>
    </row>
    <row r="449" customFormat="false" ht="15" hidden="false" customHeight="false" outlineLevel="0" collapsed="false">
      <c r="A449" s="6" t="s">
        <v>156</v>
      </c>
      <c r="B449" s="7" t="n">
        <f aca="false">IF(A449="","",IFERROR(MATCH(A449,Lists!$A$2:$A$37,0),""))</f>
        <v>29</v>
      </c>
      <c r="C449" s="6" t="s">
        <v>363</v>
      </c>
      <c r="D449" s="6" t="s">
        <v>364</v>
      </c>
      <c r="E449" s="40" t="n">
        <v>7</v>
      </c>
      <c r="F449" s="40" t="n">
        <v>4</v>
      </c>
      <c r="G449" s="43" t="n">
        <v>2.76</v>
      </c>
      <c r="H449" s="40" t="n">
        <v>50</v>
      </c>
      <c r="I449" s="40" t="n">
        <v>1</v>
      </c>
      <c r="J449" s="44"/>
      <c r="K449" s="44" t="n">
        <v>1</v>
      </c>
      <c r="L449" s="6" t="s">
        <v>395</v>
      </c>
      <c r="M449" s="6"/>
    </row>
    <row r="450" customFormat="false" ht="15" hidden="false" customHeight="false" outlineLevel="0" collapsed="false">
      <c r="A450" s="6" t="s">
        <v>156</v>
      </c>
      <c r="B450" s="7" t="n">
        <f aca="false">IF(A450="","",IFERROR(MATCH(A450,Lists!$A$2:$A$37,0),""))</f>
        <v>29</v>
      </c>
      <c r="C450" s="6" t="s">
        <v>363</v>
      </c>
      <c r="D450" s="6" t="s">
        <v>366</v>
      </c>
      <c r="E450" s="40" t="n">
        <v>4</v>
      </c>
      <c r="F450" s="40" t="n">
        <v>0</v>
      </c>
      <c r="G450" s="43"/>
      <c r="H450" s="40"/>
      <c r="I450" s="40"/>
      <c r="J450" s="44" t="n">
        <v>1</v>
      </c>
      <c r="K450" s="44"/>
      <c r="L450" s="6" t="s">
        <v>395</v>
      </c>
      <c r="M450" s="6" t="s">
        <v>394</v>
      </c>
    </row>
    <row r="451" customFormat="false" ht="15" hidden="false" customHeight="false" outlineLevel="0" collapsed="false">
      <c r="A451" s="6" t="s">
        <v>156</v>
      </c>
      <c r="B451" s="7" t="n">
        <f aca="false">IF(A451="","",IFERROR(MATCH(A451,Lists!$A$2:$A$37,0),""))</f>
        <v>29</v>
      </c>
      <c r="C451" s="6" t="s">
        <v>363</v>
      </c>
      <c r="D451" s="6" t="s">
        <v>367</v>
      </c>
      <c r="E451" s="40" t="n">
        <v>1</v>
      </c>
      <c r="F451" s="40" t="n">
        <v>0</v>
      </c>
      <c r="G451" s="43"/>
      <c r="H451" s="40"/>
      <c r="I451" s="40"/>
      <c r="J451" s="44" t="n">
        <v>1</v>
      </c>
      <c r="K451" s="44"/>
      <c r="L451" s="6" t="s">
        <v>395</v>
      </c>
      <c r="M451" s="6" t="s">
        <v>394</v>
      </c>
    </row>
    <row r="452" customFormat="false" ht="15" hidden="false" customHeight="false" outlineLevel="0" collapsed="false">
      <c r="A452" s="6" t="s">
        <v>156</v>
      </c>
      <c r="B452" s="7" t="n">
        <f aca="false">IF(A452="","",IFERROR(MATCH(A452,Lists!$A$2:$A$37,0),""))</f>
        <v>29</v>
      </c>
      <c r="C452" s="6" t="s">
        <v>363</v>
      </c>
      <c r="D452" s="6" t="s">
        <v>400</v>
      </c>
      <c r="E452" s="40" t="n">
        <v>4</v>
      </c>
      <c r="F452" s="40" t="n">
        <v>4</v>
      </c>
      <c r="G452" s="43"/>
      <c r="H452" s="40"/>
      <c r="I452" s="40"/>
      <c r="J452" s="44"/>
      <c r="K452" s="44" t="n">
        <v>1</v>
      </c>
      <c r="L452" s="6" t="s">
        <v>395</v>
      </c>
      <c r="M452" s="6" t="s">
        <v>394</v>
      </c>
    </row>
    <row r="453" customFormat="false" ht="15" hidden="false" customHeight="false" outlineLevel="0" collapsed="false">
      <c r="A453" s="6" t="s">
        <v>156</v>
      </c>
      <c r="B453" s="7" t="n">
        <f aca="false">IF(A453="","",IFERROR(MATCH(A453,Lists!$A$2:$A$37,0),""))</f>
        <v>29</v>
      </c>
      <c r="C453" s="6" t="s">
        <v>372</v>
      </c>
      <c r="D453" s="6" t="s">
        <v>373</v>
      </c>
      <c r="E453" s="40" t="n">
        <v>177</v>
      </c>
      <c r="F453" s="40" t="n">
        <v>50</v>
      </c>
      <c r="G453" s="43" t="n">
        <v>3.42</v>
      </c>
      <c r="H453" s="40" t="n">
        <v>20</v>
      </c>
      <c r="I453" s="40" t="n">
        <v>13</v>
      </c>
      <c r="J453" s="44" t="n">
        <v>0.99</v>
      </c>
      <c r="K453" s="44" t="n">
        <v>1</v>
      </c>
      <c r="L453" s="6" t="s">
        <v>395</v>
      </c>
      <c r="M453" s="6"/>
    </row>
    <row r="454" customFormat="false" ht="15" hidden="false" customHeight="false" outlineLevel="0" collapsed="false">
      <c r="A454" s="6" t="s">
        <v>156</v>
      </c>
      <c r="B454" s="7" t="n">
        <f aca="false">IF(A454="","",IFERROR(MATCH(A454,Lists!$A$2:$A$37,0),""))</f>
        <v>29</v>
      </c>
      <c r="C454" s="6" t="s">
        <v>372</v>
      </c>
      <c r="D454" s="6" t="s">
        <v>401</v>
      </c>
      <c r="E454" s="40" t="n">
        <v>22</v>
      </c>
      <c r="F454" s="40" t="n">
        <v>22</v>
      </c>
      <c r="G454" s="43" t="n">
        <v>3.461</v>
      </c>
      <c r="H454" s="40" t="n">
        <v>18</v>
      </c>
      <c r="I454" s="40" t="n">
        <v>11</v>
      </c>
      <c r="J454" s="44"/>
      <c r="K454" s="44" t="n">
        <v>0.88</v>
      </c>
      <c r="L454" s="6" t="s">
        <v>395</v>
      </c>
      <c r="M454" s="6"/>
    </row>
    <row r="455" customFormat="false" ht="15" hidden="false" customHeight="false" outlineLevel="0" collapsed="false">
      <c r="A455" s="6" t="s">
        <v>156</v>
      </c>
      <c r="B455" s="7" t="n">
        <f aca="false">IF(A455="","",IFERROR(MATCH(A455,Lists!$A$2:$A$37,0),""))</f>
        <v>29</v>
      </c>
      <c r="C455" s="6" t="s">
        <v>372</v>
      </c>
      <c r="D455" s="6" t="s">
        <v>374</v>
      </c>
      <c r="E455" s="40" t="n">
        <v>168</v>
      </c>
      <c r="F455" s="40" t="n">
        <v>50</v>
      </c>
      <c r="G455" s="43" t="n">
        <v>3.367</v>
      </c>
      <c r="H455" s="40" t="n">
        <v>24</v>
      </c>
      <c r="I455" s="40" t="n">
        <v>15</v>
      </c>
      <c r="J455" s="44" t="n">
        <v>0.98</v>
      </c>
      <c r="K455" s="44" t="n">
        <v>0.91</v>
      </c>
      <c r="L455" s="6" t="s">
        <v>395</v>
      </c>
      <c r="M455" s="6"/>
    </row>
    <row r="456" customFormat="false" ht="15" hidden="false" customHeight="false" outlineLevel="0" collapsed="false">
      <c r="A456" s="6" t="s">
        <v>156</v>
      </c>
      <c r="B456" s="7" t="n">
        <f aca="false">IF(A456="","",IFERROR(MATCH(A456,Lists!$A$2:$A$37,0),""))</f>
        <v>29</v>
      </c>
      <c r="C456" s="6" t="s">
        <v>372</v>
      </c>
      <c r="D456" s="6" t="s">
        <v>375</v>
      </c>
      <c r="E456" s="40" t="n">
        <v>176</v>
      </c>
      <c r="F456" s="40" t="n">
        <v>47</v>
      </c>
      <c r="G456" s="43" t="n">
        <v>3.504</v>
      </c>
      <c r="H456" s="40" t="n">
        <v>16</v>
      </c>
      <c r="I456" s="40" t="n">
        <v>10</v>
      </c>
      <c r="J456" s="44" t="n">
        <v>1</v>
      </c>
      <c r="K456" s="44" t="n">
        <v>0.98</v>
      </c>
      <c r="L456" s="6" t="s">
        <v>395</v>
      </c>
      <c r="M456" s="6"/>
    </row>
    <row r="457" customFormat="false" ht="15" hidden="false" customHeight="false" outlineLevel="0" collapsed="false">
      <c r="A457" s="6" t="s">
        <v>156</v>
      </c>
      <c r="B457" s="7" t="n">
        <f aca="false">IF(A457="","",IFERROR(MATCH(A457,Lists!$A$2:$A$37,0),""))</f>
        <v>29</v>
      </c>
      <c r="C457" s="6" t="s">
        <v>372</v>
      </c>
      <c r="D457" s="6" t="s">
        <v>376</v>
      </c>
      <c r="E457" s="40" t="n">
        <v>176</v>
      </c>
      <c r="F457" s="40" t="n">
        <v>67</v>
      </c>
      <c r="G457" s="43" t="n">
        <v>3.437</v>
      </c>
      <c r="H457" s="40" t="n">
        <v>19</v>
      </c>
      <c r="I457" s="40" t="n">
        <v>12</v>
      </c>
      <c r="J457" s="44" t="n">
        <v>0.98</v>
      </c>
      <c r="K457" s="44" t="n">
        <v>1</v>
      </c>
      <c r="L457" s="6" t="s">
        <v>395</v>
      </c>
      <c r="M457" s="6"/>
    </row>
    <row r="458" customFormat="false" ht="15" hidden="false" customHeight="false" outlineLevel="0" collapsed="false">
      <c r="A458" s="6" t="s">
        <v>156</v>
      </c>
      <c r="B458" s="7" t="n">
        <f aca="false">IF(A458="","",IFERROR(MATCH(A458,Lists!$A$2:$A$37,0),""))</f>
        <v>29</v>
      </c>
      <c r="C458" s="6" t="s">
        <v>372</v>
      </c>
      <c r="D458" s="6" t="s">
        <v>377</v>
      </c>
      <c r="E458" s="40" t="n">
        <v>180</v>
      </c>
      <c r="F458" s="40" t="n">
        <v>48</v>
      </c>
      <c r="G458" s="43" t="n">
        <v>3.738</v>
      </c>
      <c r="H458" s="40" t="n">
        <v>1</v>
      </c>
      <c r="I458" s="40" t="n">
        <v>1</v>
      </c>
      <c r="J458" s="44" t="n">
        <v>1</v>
      </c>
      <c r="K458" s="44" t="n">
        <v>0.98</v>
      </c>
      <c r="L458" s="6" t="s">
        <v>395</v>
      </c>
      <c r="M458" s="6"/>
    </row>
    <row r="459" customFormat="false" ht="15" hidden="false" customHeight="false" outlineLevel="0" collapsed="false">
      <c r="A459" s="6" t="s">
        <v>156</v>
      </c>
      <c r="B459" s="7" t="n">
        <f aca="false">IF(A459="","",IFERROR(MATCH(A459,Lists!$A$2:$A$37,0),""))</f>
        <v>29</v>
      </c>
      <c r="C459" s="6" t="s">
        <v>372</v>
      </c>
      <c r="D459" s="6" t="s">
        <v>378</v>
      </c>
      <c r="E459" s="40" t="n">
        <v>163</v>
      </c>
      <c r="F459" s="40" t="n">
        <v>58</v>
      </c>
      <c r="G459" s="43" t="n">
        <v>3.309</v>
      </c>
      <c r="H459" s="40" t="n">
        <v>29</v>
      </c>
      <c r="I459" s="40" t="n">
        <v>16</v>
      </c>
      <c r="J459" s="44" t="n">
        <v>1</v>
      </c>
      <c r="K459" s="44" t="n">
        <v>0.91</v>
      </c>
      <c r="L459" s="6" t="s">
        <v>395</v>
      </c>
      <c r="M459" s="6"/>
    </row>
    <row r="460" customFormat="false" ht="15" hidden="false" customHeight="false" outlineLevel="0" collapsed="false">
      <c r="A460" s="6" t="s">
        <v>156</v>
      </c>
      <c r="B460" s="7" t="n">
        <f aca="false">IF(A460="","",IFERROR(MATCH(A460,Lists!$A$2:$A$37,0),""))</f>
        <v>29</v>
      </c>
      <c r="C460" s="6" t="s">
        <v>372</v>
      </c>
      <c r="D460" s="6" t="s">
        <v>379</v>
      </c>
      <c r="E460" s="40" t="n">
        <v>175</v>
      </c>
      <c r="F460" s="40" t="n">
        <v>49</v>
      </c>
      <c r="G460" s="43" t="n">
        <v>3.53</v>
      </c>
      <c r="H460" s="40" t="n">
        <v>14</v>
      </c>
      <c r="I460" s="40" t="n">
        <v>8</v>
      </c>
      <c r="J460" s="44" t="n">
        <v>1</v>
      </c>
      <c r="K460" s="44" t="n">
        <v>0.98</v>
      </c>
      <c r="L460" s="6" t="s">
        <v>395</v>
      </c>
      <c r="M460" s="6"/>
    </row>
    <row r="461" customFormat="false" ht="15" hidden="false" customHeight="false" outlineLevel="0" collapsed="false">
      <c r="A461" s="6" t="s">
        <v>156</v>
      </c>
      <c r="B461" s="7" t="n">
        <f aca="false">IF(A461="","",IFERROR(MATCH(A461,Lists!$A$2:$A$37,0),""))</f>
        <v>29</v>
      </c>
      <c r="C461" s="6" t="s">
        <v>372</v>
      </c>
      <c r="D461" s="6" t="s">
        <v>380</v>
      </c>
      <c r="E461" s="40" t="n">
        <v>176</v>
      </c>
      <c r="F461" s="40" t="n">
        <v>48</v>
      </c>
      <c r="G461" s="43" t="n">
        <v>3.585</v>
      </c>
      <c r="H461" s="40" t="n">
        <v>8</v>
      </c>
      <c r="I461" s="40" t="n">
        <v>4</v>
      </c>
      <c r="J461" s="44" t="n">
        <v>0.99</v>
      </c>
      <c r="K461" s="44" t="n">
        <v>0.98</v>
      </c>
      <c r="L461" s="6" t="s">
        <v>395</v>
      </c>
      <c r="M461" s="6"/>
    </row>
    <row r="462" customFormat="false" ht="15" hidden="false" customHeight="false" outlineLevel="0" collapsed="false">
      <c r="A462" s="6" t="s">
        <v>156</v>
      </c>
      <c r="B462" s="7" t="n">
        <f aca="false">IF(A462="","",IFERROR(MATCH(A462,Lists!$A$2:$A$37,0),""))</f>
        <v>29</v>
      </c>
      <c r="C462" s="6" t="s">
        <v>372</v>
      </c>
      <c r="D462" s="6" t="s">
        <v>381</v>
      </c>
      <c r="E462" s="40" t="n">
        <v>164</v>
      </c>
      <c r="F462" s="40" t="n">
        <v>49</v>
      </c>
      <c r="G462" s="43" t="n">
        <v>3.623</v>
      </c>
      <c r="H462" s="40" t="n">
        <v>4</v>
      </c>
      <c r="I462" s="40" t="n">
        <v>2</v>
      </c>
      <c r="J462" s="44" t="n">
        <v>0.99</v>
      </c>
      <c r="K462" s="44" t="n">
        <v>0.96</v>
      </c>
      <c r="L462" s="6" t="s">
        <v>395</v>
      </c>
      <c r="M462" s="6"/>
    </row>
    <row r="463" customFormat="false" ht="15" hidden="false" customHeight="false" outlineLevel="0" collapsed="false">
      <c r="A463" s="6" t="s">
        <v>156</v>
      </c>
      <c r="B463" s="7" t="n">
        <f aca="false">IF(A463="","",IFERROR(MATCH(A463,Lists!$A$2:$A$37,0),""))</f>
        <v>29</v>
      </c>
      <c r="C463" s="6" t="s">
        <v>372</v>
      </c>
      <c r="D463" s="6" t="s">
        <v>382</v>
      </c>
      <c r="E463" s="40" t="n">
        <v>173</v>
      </c>
      <c r="F463" s="40" t="n">
        <v>51</v>
      </c>
      <c r="G463" s="43" t="n">
        <v>3.552</v>
      </c>
      <c r="H463" s="40" t="n">
        <v>10</v>
      </c>
      <c r="I463" s="40" t="n">
        <v>6</v>
      </c>
      <c r="J463" s="44" t="n">
        <v>0.99</v>
      </c>
      <c r="K463" s="44" t="n">
        <v>1</v>
      </c>
      <c r="L463" s="6" t="s">
        <v>395</v>
      </c>
      <c r="M463" s="6"/>
    </row>
    <row r="464" customFormat="false" ht="15" hidden="false" customHeight="false" outlineLevel="0" collapsed="false">
      <c r="A464" s="6" t="s">
        <v>156</v>
      </c>
      <c r="B464" s="7" t="n">
        <f aca="false">IF(A464="","",IFERROR(MATCH(A464,Lists!$A$2:$A$37,0),""))</f>
        <v>29</v>
      </c>
      <c r="C464" s="6" t="s">
        <v>372</v>
      </c>
      <c r="D464" s="6" t="s">
        <v>383</v>
      </c>
      <c r="E464" s="40" t="n">
        <v>176</v>
      </c>
      <c r="F464" s="40" t="n">
        <v>57</v>
      </c>
      <c r="G464" s="43" t="n">
        <v>3.527</v>
      </c>
      <c r="H464" s="40" t="n">
        <v>15</v>
      </c>
      <c r="I464" s="40" t="n">
        <v>9</v>
      </c>
      <c r="J464" s="44" t="n">
        <v>0.99</v>
      </c>
      <c r="K464" s="44" t="n">
        <v>1</v>
      </c>
      <c r="L464" s="6" t="s">
        <v>395</v>
      </c>
      <c r="M464" s="6"/>
    </row>
    <row r="465" customFormat="false" ht="15" hidden="false" customHeight="false" outlineLevel="0" collapsed="false">
      <c r="A465" s="6" t="s">
        <v>156</v>
      </c>
      <c r="B465" s="7" t="n">
        <f aca="false">IF(A465="","",IFERROR(MATCH(A465,Lists!$A$2:$A$37,0),""))</f>
        <v>29</v>
      </c>
      <c r="C465" s="6" t="s">
        <v>372</v>
      </c>
      <c r="D465" s="6" t="s">
        <v>384</v>
      </c>
      <c r="E465" s="40" t="n">
        <v>87</v>
      </c>
      <c r="F465" s="40" t="n">
        <v>23</v>
      </c>
      <c r="G465" s="43" t="n">
        <v>3.386</v>
      </c>
      <c r="H465" s="40" t="n">
        <v>21</v>
      </c>
      <c r="I465" s="40" t="n">
        <v>14</v>
      </c>
      <c r="J465" s="44" t="n">
        <v>0.94</v>
      </c>
      <c r="K465" s="44" t="n">
        <v>0.79</v>
      </c>
      <c r="L465" s="6" t="s">
        <v>395</v>
      </c>
      <c r="M465" s="6"/>
    </row>
    <row r="466" customFormat="false" ht="15" hidden="false" customHeight="false" outlineLevel="0" collapsed="false">
      <c r="A466" s="6" t="s">
        <v>156</v>
      </c>
      <c r="B466" s="7" t="n">
        <f aca="false">IF(A466="","",IFERROR(MATCH(A466,Lists!$A$2:$A$37,0),""))</f>
        <v>29</v>
      </c>
      <c r="C466" s="6" t="s">
        <v>372</v>
      </c>
      <c r="D466" s="6" t="s">
        <v>385</v>
      </c>
      <c r="E466" s="40" t="n">
        <v>22</v>
      </c>
      <c r="F466" s="40" t="n">
        <v>5</v>
      </c>
      <c r="G466" s="43" t="n">
        <v>3.622</v>
      </c>
      <c r="H466" s="40" t="n">
        <v>6</v>
      </c>
      <c r="I466" s="40" t="n">
        <v>3</v>
      </c>
      <c r="J466" s="44" t="n">
        <v>1</v>
      </c>
      <c r="K466" s="44" t="n">
        <v>0.71</v>
      </c>
      <c r="L466" s="6" t="s">
        <v>395</v>
      </c>
      <c r="M466" s="6"/>
    </row>
    <row r="467" customFormat="false" ht="15" hidden="false" customHeight="false" outlineLevel="0" collapsed="false">
      <c r="A467" s="6" t="s">
        <v>156</v>
      </c>
      <c r="B467" s="7" t="n">
        <f aca="false">IF(A467="","",IFERROR(MATCH(A467,Lists!$A$2:$A$37,0),""))</f>
        <v>29</v>
      </c>
      <c r="C467" s="6" t="s">
        <v>372</v>
      </c>
      <c r="D467" s="6" t="s">
        <v>386</v>
      </c>
      <c r="E467" s="40" t="n">
        <v>174</v>
      </c>
      <c r="F467" s="40" t="n">
        <v>48</v>
      </c>
      <c r="G467" s="43" t="n">
        <v>3.561</v>
      </c>
      <c r="H467" s="40" t="n">
        <v>9</v>
      </c>
      <c r="I467" s="40" t="n">
        <v>5</v>
      </c>
      <c r="J467" s="44" t="n">
        <v>0.98</v>
      </c>
      <c r="K467" s="44" t="n">
        <v>0.91</v>
      </c>
      <c r="L467" s="6" t="s">
        <v>395</v>
      </c>
      <c r="M467" s="6"/>
    </row>
    <row r="468" customFormat="false" ht="15" hidden="false" customHeight="false" outlineLevel="0" collapsed="false">
      <c r="A468" s="6" t="s">
        <v>156</v>
      </c>
      <c r="B468" s="7" t="n">
        <f aca="false">IF(A468="","",IFERROR(MATCH(A468,Lists!$A$2:$A$37,0),""))</f>
        <v>29</v>
      </c>
      <c r="C468" s="6" t="s">
        <v>372</v>
      </c>
      <c r="D468" s="6" t="s">
        <v>387</v>
      </c>
      <c r="E468" s="40" t="n">
        <v>59</v>
      </c>
      <c r="F468" s="40" t="n">
        <v>20</v>
      </c>
      <c r="G468" s="43" t="n">
        <v>3.539</v>
      </c>
      <c r="H468" s="40" t="n">
        <v>12</v>
      </c>
      <c r="I468" s="40" t="n">
        <v>7</v>
      </c>
      <c r="J468" s="44" t="n">
        <v>0.91</v>
      </c>
      <c r="K468" s="44" t="n">
        <v>0.91</v>
      </c>
      <c r="L468" s="6" t="s">
        <v>395</v>
      </c>
      <c r="M468" s="6"/>
    </row>
    <row r="469" customFormat="false" ht="15" hidden="false" customHeight="false" outlineLevel="0" collapsed="false">
      <c r="A469" s="6" t="s">
        <v>157</v>
      </c>
      <c r="B469" s="7" t="n">
        <f aca="false">IF(A469="","",IFERROR(MATCH(A469,Lists!$A$2:$A$37,0),""))</f>
        <v>30</v>
      </c>
      <c r="C469" s="6" t="s">
        <v>286</v>
      </c>
      <c r="D469" s="6" t="s">
        <v>290</v>
      </c>
      <c r="E469" s="40" t="n">
        <v>36</v>
      </c>
      <c r="F469" s="40" t="n">
        <v>3</v>
      </c>
      <c r="G469" s="43" t="n">
        <v>3.344</v>
      </c>
      <c r="H469" s="40" t="n">
        <v>28</v>
      </c>
      <c r="I469" s="40" t="n">
        <v>11</v>
      </c>
      <c r="J469" s="44" t="n">
        <v>1</v>
      </c>
      <c r="K469" s="44" t="n">
        <v>0.6</v>
      </c>
      <c r="L469" s="6" t="s">
        <v>402</v>
      </c>
      <c r="M469" s="6"/>
    </row>
    <row r="470" customFormat="false" ht="15" hidden="false" customHeight="false" outlineLevel="0" collapsed="false">
      <c r="A470" s="6" t="s">
        <v>157</v>
      </c>
      <c r="B470" s="7" t="n">
        <f aca="false">IF(A470="","",IFERROR(MATCH(A470,Lists!$A$2:$A$37,0),""))</f>
        <v>30</v>
      </c>
      <c r="C470" s="6" t="s">
        <v>286</v>
      </c>
      <c r="D470" s="6" t="s">
        <v>293</v>
      </c>
      <c r="E470" s="40" t="n">
        <v>101</v>
      </c>
      <c r="F470" s="40" t="n">
        <v>4</v>
      </c>
      <c r="G470" s="43" t="n">
        <v>3.259</v>
      </c>
      <c r="H470" s="40" t="n">
        <v>36</v>
      </c>
      <c r="I470" s="40" t="n">
        <v>17</v>
      </c>
      <c r="J470" s="44" t="n">
        <v>0.99</v>
      </c>
      <c r="K470" s="44" t="n">
        <v>1</v>
      </c>
      <c r="L470" s="6" t="s">
        <v>402</v>
      </c>
      <c r="M470" s="6"/>
    </row>
    <row r="471" customFormat="false" ht="15" hidden="false" customHeight="false" outlineLevel="0" collapsed="false">
      <c r="A471" s="6" t="s">
        <v>157</v>
      </c>
      <c r="B471" s="7" t="n">
        <f aca="false">IF(A471="","",IFERROR(MATCH(A471,Lists!$A$2:$A$37,0),""))</f>
        <v>30</v>
      </c>
      <c r="C471" s="6" t="s">
        <v>286</v>
      </c>
      <c r="D471" s="6" t="s">
        <v>294</v>
      </c>
      <c r="E471" s="40" t="n">
        <v>85</v>
      </c>
      <c r="F471" s="40" t="n">
        <v>0</v>
      </c>
      <c r="G471" s="43" t="n">
        <v>3.458</v>
      </c>
      <c r="H471" s="40" t="n">
        <v>18</v>
      </c>
      <c r="I471" s="40" t="n">
        <v>5</v>
      </c>
      <c r="J471" s="44" t="n">
        <v>0.92</v>
      </c>
      <c r="K471" s="44"/>
      <c r="L471" s="6" t="s">
        <v>402</v>
      </c>
      <c r="M471" s="6"/>
    </row>
    <row r="472" customFormat="false" ht="15" hidden="false" customHeight="false" outlineLevel="0" collapsed="false">
      <c r="A472" s="6" t="s">
        <v>157</v>
      </c>
      <c r="B472" s="7" t="n">
        <f aca="false">IF(A472="","",IFERROR(MATCH(A472,Lists!$A$2:$A$37,0),""))</f>
        <v>30</v>
      </c>
      <c r="C472" s="6" t="s">
        <v>286</v>
      </c>
      <c r="D472" s="6" t="s">
        <v>295</v>
      </c>
      <c r="E472" s="40" t="n">
        <v>125</v>
      </c>
      <c r="F472" s="40" t="n">
        <v>4</v>
      </c>
      <c r="G472" s="43" t="n">
        <v>3.37</v>
      </c>
      <c r="H472" s="40" t="n">
        <v>26</v>
      </c>
      <c r="I472" s="40" t="n">
        <v>10</v>
      </c>
      <c r="J472" s="44" t="n">
        <v>0.98</v>
      </c>
      <c r="K472" s="44" t="n">
        <v>1</v>
      </c>
      <c r="L472" s="6" t="s">
        <v>402</v>
      </c>
      <c r="M472" s="6"/>
    </row>
    <row r="473" customFormat="false" ht="15" hidden="false" customHeight="false" outlineLevel="0" collapsed="false">
      <c r="A473" s="6" t="s">
        <v>157</v>
      </c>
      <c r="B473" s="7" t="n">
        <f aca="false">IF(A473="","",IFERROR(MATCH(A473,Lists!$A$2:$A$37,0),""))</f>
        <v>30</v>
      </c>
      <c r="C473" s="6" t="s">
        <v>286</v>
      </c>
      <c r="D473" s="6" t="s">
        <v>296</v>
      </c>
      <c r="E473" s="40" t="n">
        <v>15</v>
      </c>
      <c r="F473" s="40" t="n">
        <v>1</v>
      </c>
      <c r="G473" s="43" t="n">
        <v>3.313</v>
      </c>
      <c r="H473" s="40" t="n">
        <v>31</v>
      </c>
      <c r="I473" s="40" t="n">
        <v>14</v>
      </c>
      <c r="J473" s="44" t="n">
        <v>1</v>
      </c>
      <c r="K473" s="44"/>
      <c r="L473" s="6" t="s">
        <v>402</v>
      </c>
      <c r="M473" s="6"/>
    </row>
    <row r="474" customFormat="false" ht="15" hidden="false" customHeight="false" outlineLevel="0" collapsed="false">
      <c r="A474" s="6" t="s">
        <v>157</v>
      </c>
      <c r="B474" s="7" t="n">
        <f aca="false">IF(A474="","",IFERROR(MATCH(A474,Lists!$A$2:$A$37,0),""))</f>
        <v>30</v>
      </c>
      <c r="C474" s="6" t="s">
        <v>286</v>
      </c>
      <c r="D474" s="6" t="s">
        <v>297</v>
      </c>
      <c r="E474" s="40" t="n">
        <v>122</v>
      </c>
      <c r="F474" s="40" t="n">
        <v>0</v>
      </c>
      <c r="G474" s="43" t="n">
        <v>3.624</v>
      </c>
      <c r="H474" s="40" t="n">
        <v>7</v>
      </c>
      <c r="I474" s="40" t="n">
        <v>3</v>
      </c>
      <c r="J474" s="44" t="n">
        <v>0.98</v>
      </c>
      <c r="K474" s="44"/>
      <c r="L474" s="6" t="s">
        <v>402</v>
      </c>
      <c r="M474" s="6"/>
    </row>
    <row r="475" customFormat="false" ht="15" hidden="false" customHeight="false" outlineLevel="0" collapsed="false">
      <c r="A475" s="6" t="s">
        <v>157</v>
      </c>
      <c r="B475" s="7" t="n">
        <f aca="false">IF(A475="","",IFERROR(MATCH(A475,Lists!$A$2:$A$37,0),""))</f>
        <v>30</v>
      </c>
      <c r="C475" s="6" t="s">
        <v>286</v>
      </c>
      <c r="D475" s="6" t="s">
        <v>298</v>
      </c>
      <c r="E475" s="40" t="n">
        <v>14</v>
      </c>
      <c r="F475" s="40" t="n">
        <v>2</v>
      </c>
      <c r="G475" s="43" t="n">
        <v>3.019</v>
      </c>
      <c r="H475" s="40" t="n">
        <v>45</v>
      </c>
      <c r="I475" s="40" t="n">
        <v>22</v>
      </c>
      <c r="J475" s="44" t="n">
        <v>0.92</v>
      </c>
      <c r="K475" s="44" t="n">
        <v>1</v>
      </c>
      <c r="L475" s="6" t="s">
        <v>402</v>
      </c>
      <c r="M475" s="6"/>
    </row>
    <row r="476" customFormat="false" ht="15" hidden="false" customHeight="false" outlineLevel="0" collapsed="false">
      <c r="A476" s="6" t="s">
        <v>157</v>
      </c>
      <c r="B476" s="7" t="n">
        <f aca="false">IF(A476="","",IFERROR(MATCH(A476,Lists!$A$2:$A$37,0),""))</f>
        <v>30</v>
      </c>
      <c r="C476" s="6" t="s">
        <v>286</v>
      </c>
      <c r="D476" s="6" t="s">
        <v>299</v>
      </c>
      <c r="E476" s="40" t="n">
        <v>122</v>
      </c>
      <c r="F476" s="40" t="n">
        <v>8</v>
      </c>
      <c r="G476" s="43" t="n">
        <v>3.3</v>
      </c>
      <c r="H476" s="40" t="n">
        <v>32</v>
      </c>
      <c r="I476" s="40" t="n">
        <v>15</v>
      </c>
      <c r="J476" s="44" t="n">
        <v>0.98</v>
      </c>
      <c r="K476" s="44" t="n">
        <v>0.67</v>
      </c>
      <c r="L476" s="6" t="s">
        <v>402</v>
      </c>
      <c r="M476" s="6"/>
    </row>
    <row r="477" customFormat="false" ht="15" hidden="false" customHeight="false" outlineLevel="0" collapsed="false">
      <c r="A477" s="6" t="s">
        <v>157</v>
      </c>
      <c r="B477" s="7" t="n">
        <f aca="false">IF(A477="","",IFERROR(MATCH(A477,Lists!$A$2:$A$37,0),""))</f>
        <v>30</v>
      </c>
      <c r="C477" s="6" t="s">
        <v>286</v>
      </c>
      <c r="D477" s="6" t="s">
        <v>301</v>
      </c>
      <c r="E477" s="40" t="n">
        <v>81</v>
      </c>
      <c r="F477" s="40" t="n">
        <v>6</v>
      </c>
      <c r="G477" s="43" t="n">
        <v>3.29</v>
      </c>
      <c r="H477" s="40" t="n">
        <v>34</v>
      </c>
      <c r="I477" s="40" t="n">
        <v>16</v>
      </c>
      <c r="J477" s="44" t="n">
        <v>0.99</v>
      </c>
      <c r="K477" s="44" t="n">
        <v>1</v>
      </c>
      <c r="L477" s="6" t="s">
        <v>402</v>
      </c>
      <c r="M477" s="6"/>
    </row>
    <row r="478" customFormat="false" ht="15" hidden="false" customHeight="false" outlineLevel="0" collapsed="false">
      <c r="A478" s="6" t="s">
        <v>157</v>
      </c>
      <c r="B478" s="7" t="n">
        <f aca="false">IF(A478="","",IFERROR(MATCH(A478,Lists!$A$2:$A$37,0),""))</f>
        <v>30</v>
      </c>
      <c r="C478" s="6" t="s">
        <v>286</v>
      </c>
      <c r="D478" s="6" t="s">
        <v>302</v>
      </c>
      <c r="E478" s="40" t="n">
        <v>109</v>
      </c>
      <c r="F478" s="40" t="n">
        <v>4</v>
      </c>
      <c r="G478" s="43" t="n">
        <v>3.722</v>
      </c>
      <c r="H478" s="40" t="n">
        <v>2</v>
      </c>
      <c r="I478" s="40" t="n">
        <v>1</v>
      </c>
      <c r="J478" s="44" t="n">
        <v>0.99</v>
      </c>
      <c r="K478" s="44" t="n">
        <v>1</v>
      </c>
      <c r="L478" s="6" t="s">
        <v>402</v>
      </c>
      <c r="M478" s="6"/>
    </row>
    <row r="479" customFormat="false" ht="15" hidden="false" customHeight="false" outlineLevel="0" collapsed="false">
      <c r="A479" s="6" t="s">
        <v>157</v>
      </c>
      <c r="B479" s="7" t="n">
        <f aca="false">IF(A479="","",IFERROR(MATCH(A479,Lists!$A$2:$A$37,0),""))</f>
        <v>30</v>
      </c>
      <c r="C479" s="6" t="s">
        <v>286</v>
      </c>
      <c r="D479" s="6" t="s">
        <v>303</v>
      </c>
      <c r="E479" s="40" t="n">
        <v>58</v>
      </c>
      <c r="F479" s="40" t="n">
        <v>13</v>
      </c>
      <c r="G479" s="43" t="n">
        <v>2.919</v>
      </c>
      <c r="H479" s="40" t="n">
        <v>48</v>
      </c>
      <c r="I479" s="40" t="n">
        <v>23</v>
      </c>
      <c r="J479" s="44" t="n">
        <v>0.94</v>
      </c>
      <c r="K479" s="44" t="n">
        <v>0.87</v>
      </c>
      <c r="L479" s="6" t="s">
        <v>402</v>
      </c>
      <c r="M479" s="6"/>
    </row>
    <row r="480" customFormat="false" ht="15" hidden="false" customHeight="false" outlineLevel="0" collapsed="false">
      <c r="A480" s="6" t="s">
        <v>157</v>
      </c>
      <c r="B480" s="7" t="n">
        <f aca="false">IF(A480="","",IFERROR(MATCH(A480,Lists!$A$2:$A$37,0),""))</f>
        <v>30</v>
      </c>
      <c r="C480" s="6" t="s">
        <v>286</v>
      </c>
      <c r="D480" s="6" t="s">
        <v>396</v>
      </c>
      <c r="E480" s="40" t="n">
        <v>27</v>
      </c>
      <c r="F480" s="40" t="n">
        <v>7</v>
      </c>
      <c r="G480" s="43" t="n">
        <v>3.378</v>
      </c>
      <c r="H480" s="40" t="n">
        <v>24</v>
      </c>
      <c r="I480" s="40" t="n">
        <v>9</v>
      </c>
      <c r="J480" s="44" t="n">
        <v>0.83</v>
      </c>
      <c r="K480" s="44" t="n">
        <v>1</v>
      </c>
      <c r="L480" s="6" t="s">
        <v>402</v>
      </c>
      <c r="M480" s="6"/>
    </row>
    <row r="481" customFormat="false" ht="15" hidden="false" customHeight="false" outlineLevel="0" collapsed="false">
      <c r="A481" s="6" t="s">
        <v>157</v>
      </c>
      <c r="B481" s="7" t="n">
        <f aca="false">IF(A481="","",IFERROR(MATCH(A481,Lists!$A$2:$A$37,0),""))</f>
        <v>30</v>
      </c>
      <c r="C481" s="6" t="s">
        <v>286</v>
      </c>
      <c r="D481" s="6" t="s">
        <v>304</v>
      </c>
      <c r="E481" s="40" t="n">
        <v>142</v>
      </c>
      <c r="F481" s="40" t="n">
        <v>4</v>
      </c>
      <c r="G481" s="43" t="n">
        <v>3.339</v>
      </c>
      <c r="H481" s="40" t="n">
        <v>29</v>
      </c>
      <c r="I481" s="40" t="n">
        <v>12</v>
      </c>
      <c r="J481" s="44" t="n">
        <v>0.94</v>
      </c>
      <c r="K481" s="44" t="n">
        <v>0.57</v>
      </c>
      <c r="L481" s="6" t="s">
        <v>402</v>
      </c>
      <c r="M481" s="6"/>
    </row>
    <row r="482" customFormat="false" ht="15" hidden="false" customHeight="false" outlineLevel="0" collapsed="false">
      <c r="A482" s="6" t="s">
        <v>157</v>
      </c>
      <c r="B482" s="7" t="n">
        <f aca="false">IF(A482="","",IFERROR(MATCH(A482,Lists!$A$2:$A$37,0),""))</f>
        <v>30</v>
      </c>
      <c r="C482" s="6" t="s">
        <v>286</v>
      </c>
      <c r="D482" s="6" t="s">
        <v>306</v>
      </c>
      <c r="E482" s="40" t="n">
        <v>46</v>
      </c>
      <c r="F482" s="40" t="n">
        <v>5</v>
      </c>
      <c r="G482" s="43" t="n">
        <v>3.211</v>
      </c>
      <c r="H482" s="40" t="n">
        <v>39</v>
      </c>
      <c r="I482" s="40" t="n">
        <v>18</v>
      </c>
      <c r="J482" s="44" t="n">
        <v>0.98</v>
      </c>
      <c r="K482" s="44" t="n">
        <v>0.71</v>
      </c>
      <c r="L482" s="6" t="s">
        <v>402</v>
      </c>
      <c r="M482" s="6"/>
    </row>
    <row r="483" customFormat="false" ht="15" hidden="false" customHeight="false" outlineLevel="0" collapsed="false">
      <c r="A483" s="6" t="s">
        <v>157</v>
      </c>
      <c r="B483" s="7" t="n">
        <f aca="false">IF(A483="","",IFERROR(MATCH(A483,Lists!$A$2:$A$37,0),""))</f>
        <v>30</v>
      </c>
      <c r="C483" s="6" t="s">
        <v>286</v>
      </c>
      <c r="D483" s="6" t="s">
        <v>307</v>
      </c>
      <c r="E483" s="40" t="n">
        <v>88</v>
      </c>
      <c r="F483" s="40" t="n">
        <v>4</v>
      </c>
      <c r="G483" s="43" t="n">
        <v>3.383</v>
      </c>
      <c r="H483" s="40" t="n">
        <v>23</v>
      </c>
      <c r="I483" s="40" t="n">
        <v>8</v>
      </c>
      <c r="J483" s="44" t="n">
        <v>1</v>
      </c>
      <c r="K483" s="44" t="n">
        <v>0.44</v>
      </c>
      <c r="L483" s="6" t="s">
        <v>402</v>
      </c>
      <c r="M483" s="6"/>
    </row>
    <row r="484" customFormat="false" ht="15" hidden="false" customHeight="false" outlineLevel="0" collapsed="false">
      <c r="A484" s="6" t="s">
        <v>157</v>
      </c>
      <c r="B484" s="7" t="n">
        <f aca="false">IF(A484="","",IFERROR(MATCH(A484,Lists!$A$2:$A$37,0),""))</f>
        <v>30</v>
      </c>
      <c r="C484" s="6" t="s">
        <v>286</v>
      </c>
      <c r="D484" s="6" t="s">
        <v>308</v>
      </c>
      <c r="E484" s="40" t="n">
        <v>146</v>
      </c>
      <c r="F484" s="40" t="n">
        <v>14</v>
      </c>
      <c r="G484" s="43" t="n">
        <v>3.548</v>
      </c>
      <c r="H484" s="40" t="n">
        <v>13</v>
      </c>
      <c r="I484" s="40" t="n">
        <v>4</v>
      </c>
      <c r="J484" s="44" t="n">
        <v>0.98</v>
      </c>
      <c r="K484" s="44" t="n">
        <v>0.74</v>
      </c>
      <c r="L484" s="6" t="s">
        <v>402</v>
      </c>
      <c r="M484" s="6"/>
    </row>
    <row r="485" customFormat="false" ht="15" hidden="false" customHeight="false" outlineLevel="0" collapsed="false">
      <c r="A485" s="6" t="s">
        <v>157</v>
      </c>
      <c r="B485" s="7" t="n">
        <f aca="false">IF(A485="","",IFERROR(MATCH(A485,Lists!$A$2:$A$37,0),""))</f>
        <v>30</v>
      </c>
      <c r="C485" s="6" t="s">
        <v>286</v>
      </c>
      <c r="D485" s="6" t="s">
        <v>309</v>
      </c>
      <c r="E485" s="40" t="n">
        <v>56</v>
      </c>
      <c r="F485" s="40" t="n">
        <v>5</v>
      </c>
      <c r="G485" s="43" t="n">
        <v>2.684</v>
      </c>
      <c r="H485" s="40" t="n">
        <v>52</v>
      </c>
      <c r="I485" s="40" t="n">
        <v>25</v>
      </c>
      <c r="J485" s="44" t="n">
        <v>0.86</v>
      </c>
      <c r="K485" s="44" t="n">
        <v>0.83</v>
      </c>
      <c r="L485" s="6" t="s">
        <v>402</v>
      </c>
      <c r="M485" s="6"/>
    </row>
    <row r="486" customFormat="false" ht="15" hidden="false" customHeight="false" outlineLevel="0" collapsed="false">
      <c r="A486" s="6" t="s">
        <v>157</v>
      </c>
      <c r="B486" s="7" t="n">
        <f aca="false">IF(A486="","",IFERROR(MATCH(A486,Lists!$A$2:$A$37,0),""))</f>
        <v>30</v>
      </c>
      <c r="C486" s="6" t="s">
        <v>286</v>
      </c>
      <c r="D486" s="6" t="s">
        <v>310</v>
      </c>
      <c r="E486" s="40" t="n">
        <v>130</v>
      </c>
      <c r="F486" s="40" t="n">
        <v>3</v>
      </c>
      <c r="G486" s="43" t="n">
        <v>3.394</v>
      </c>
      <c r="H486" s="40" t="n">
        <v>22</v>
      </c>
      <c r="I486" s="40" t="n">
        <v>7</v>
      </c>
      <c r="J486" s="44" t="n">
        <v>0.97</v>
      </c>
      <c r="K486" s="44" t="n">
        <v>1</v>
      </c>
      <c r="L486" s="6" t="s">
        <v>402</v>
      </c>
      <c r="M486" s="6"/>
    </row>
    <row r="487" customFormat="false" ht="15" hidden="false" customHeight="false" outlineLevel="0" collapsed="false">
      <c r="A487" s="6" t="s">
        <v>157</v>
      </c>
      <c r="B487" s="7" t="n">
        <f aca="false">IF(A487="","",IFERROR(MATCH(A487,Lists!$A$2:$A$37,0),""))</f>
        <v>30</v>
      </c>
      <c r="C487" s="6" t="s">
        <v>286</v>
      </c>
      <c r="D487" s="6" t="s">
        <v>311</v>
      </c>
      <c r="E487" s="40" t="n">
        <v>16</v>
      </c>
      <c r="F487" s="40" t="n">
        <v>3</v>
      </c>
      <c r="G487" s="43" t="n">
        <v>3.207</v>
      </c>
      <c r="H487" s="40" t="n">
        <v>40</v>
      </c>
      <c r="I487" s="40" t="n">
        <v>19</v>
      </c>
      <c r="J487" s="44" t="n">
        <v>1</v>
      </c>
      <c r="K487" s="44"/>
      <c r="L487" s="6" t="s">
        <v>402</v>
      </c>
      <c r="M487" s="6"/>
    </row>
    <row r="488" customFormat="false" ht="15" hidden="false" customHeight="false" outlineLevel="0" collapsed="false">
      <c r="A488" s="6" t="s">
        <v>157</v>
      </c>
      <c r="B488" s="7" t="n">
        <f aca="false">IF(A488="","",IFERROR(MATCH(A488,Lists!$A$2:$A$37,0),""))</f>
        <v>30</v>
      </c>
      <c r="C488" s="6" t="s">
        <v>286</v>
      </c>
      <c r="D488" s="6" t="s">
        <v>312</v>
      </c>
      <c r="E488" s="40" t="n">
        <v>110</v>
      </c>
      <c r="F488" s="40" t="n">
        <v>6</v>
      </c>
      <c r="G488" s="43" t="n">
        <v>3.433</v>
      </c>
      <c r="H488" s="40" t="n">
        <v>19</v>
      </c>
      <c r="I488" s="40" t="n">
        <v>6</v>
      </c>
      <c r="J488" s="44" t="n">
        <v>0.94</v>
      </c>
      <c r="K488" s="44" t="n">
        <v>0.75</v>
      </c>
      <c r="L488" s="6" t="s">
        <v>402</v>
      </c>
      <c r="M488" s="6"/>
    </row>
    <row r="489" customFormat="false" ht="15" hidden="false" customHeight="false" outlineLevel="0" collapsed="false">
      <c r="A489" s="6" t="s">
        <v>157</v>
      </c>
      <c r="B489" s="7" t="n">
        <f aca="false">IF(A489="","",IFERROR(MATCH(A489,Lists!$A$2:$A$37,0),""))</f>
        <v>30</v>
      </c>
      <c r="C489" s="6" t="s">
        <v>286</v>
      </c>
      <c r="D489" s="6" t="s">
        <v>314</v>
      </c>
      <c r="E489" s="40" t="n">
        <v>147</v>
      </c>
      <c r="F489" s="40" t="n">
        <v>0</v>
      </c>
      <c r="G489" s="43" t="n">
        <v>3.684</v>
      </c>
      <c r="H489" s="40" t="n">
        <v>3</v>
      </c>
      <c r="I489" s="40" t="n">
        <v>2</v>
      </c>
      <c r="J489" s="44" t="n">
        <v>0.99</v>
      </c>
      <c r="K489" s="44"/>
      <c r="L489" s="6" t="s">
        <v>402</v>
      </c>
      <c r="M489" s="6"/>
    </row>
    <row r="490" customFormat="false" ht="15" hidden="false" customHeight="false" outlineLevel="0" collapsed="false">
      <c r="A490" s="6" t="s">
        <v>157</v>
      </c>
      <c r="B490" s="7" t="n">
        <f aca="false">IF(A490="","",IFERROR(MATCH(A490,Lists!$A$2:$A$37,0),""))</f>
        <v>30</v>
      </c>
      <c r="C490" s="6" t="s">
        <v>286</v>
      </c>
      <c r="D490" s="6" t="s">
        <v>316</v>
      </c>
      <c r="E490" s="40" t="n">
        <v>34</v>
      </c>
      <c r="F490" s="40" t="n">
        <v>11</v>
      </c>
      <c r="G490" s="43" t="n">
        <v>3.088</v>
      </c>
      <c r="H490" s="40" t="n">
        <v>42</v>
      </c>
      <c r="I490" s="40" t="n">
        <v>20</v>
      </c>
      <c r="J490" s="44" t="n">
        <v>1</v>
      </c>
      <c r="K490" s="44" t="n">
        <v>1</v>
      </c>
      <c r="L490" s="6" t="s">
        <v>402</v>
      </c>
      <c r="M490" s="6"/>
    </row>
    <row r="491" customFormat="false" ht="15" hidden="false" customHeight="false" outlineLevel="0" collapsed="false">
      <c r="A491" s="6" t="s">
        <v>157</v>
      </c>
      <c r="B491" s="7" t="n">
        <f aca="false">IF(A491="","",IFERROR(MATCH(A491,Lists!$A$2:$A$37,0),""))</f>
        <v>30</v>
      </c>
      <c r="C491" s="6" t="s">
        <v>286</v>
      </c>
      <c r="D491" s="6" t="s">
        <v>287</v>
      </c>
      <c r="E491" s="40" t="n">
        <v>48</v>
      </c>
      <c r="F491" s="40" t="n">
        <v>3</v>
      </c>
      <c r="G491" s="43" t="n">
        <v>3.053</v>
      </c>
      <c r="H491" s="40" t="n">
        <v>44</v>
      </c>
      <c r="I491" s="40" t="n">
        <v>21</v>
      </c>
      <c r="J491" s="44" t="n">
        <v>0.98</v>
      </c>
      <c r="K491" s="44" t="n">
        <v>0.75</v>
      </c>
      <c r="L491" s="6" t="s">
        <v>402</v>
      </c>
      <c r="M491" s="6"/>
    </row>
    <row r="492" customFormat="false" ht="15" hidden="false" customHeight="false" outlineLevel="0" collapsed="false">
      <c r="A492" s="6" t="s">
        <v>157</v>
      </c>
      <c r="B492" s="7" t="n">
        <f aca="false">IF(A492="","",IFERROR(MATCH(A492,Lists!$A$2:$A$37,0),""))</f>
        <v>30</v>
      </c>
      <c r="C492" s="6" t="s">
        <v>286</v>
      </c>
      <c r="D492" s="6" t="s">
        <v>317</v>
      </c>
      <c r="E492" s="40" t="n">
        <v>24</v>
      </c>
      <c r="F492" s="40" t="n">
        <v>5</v>
      </c>
      <c r="G492" s="43" t="n">
        <v>2.706</v>
      </c>
      <c r="H492" s="40" t="n">
        <v>51</v>
      </c>
      <c r="I492" s="40" t="n">
        <v>24</v>
      </c>
      <c r="J492" s="44" t="n">
        <v>0.95</v>
      </c>
      <c r="K492" s="44" t="n">
        <v>1</v>
      </c>
      <c r="L492" s="6" t="s">
        <v>402</v>
      </c>
      <c r="M492" s="6"/>
    </row>
    <row r="493" customFormat="false" ht="15" hidden="false" customHeight="false" outlineLevel="0" collapsed="false">
      <c r="A493" s="6" t="s">
        <v>157</v>
      </c>
      <c r="B493" s="7" t="n">
        <f aca="false">IF(A493="","",IFERROR(MATCH(A493,Lists!$A$2:$A$37,0),""))</f>
        <v>30</v>
      </c>
      <c r="C493" s="6" t="s">
        <v>352</v>
      </c>
      <c r="D493" s="6" t="s">
        <v>403</v>
      </c>
      <c r="E493" s="40" t="n">
        <v>20</v>
      </c>
      <c r="F493" s="40" t="n">
        <v>3</v>
      </c>
      <c r="G493" s="43" t="n">
        <v>3.294</v>
      </c>
      <c r="H493" s="40" t="n">
        <v>33</v>
      </c>
      <c r="I493" s="40" t="n">
        <v>4</v>
      </c>
      <c r="J493" s="44" t="n">
        <v>1</v>
      </c>
      <c r="K493" s="44" t="n">
        <v>1</v>
      </c>
      <c r="L493" s="6" t="s">
        <v>402</v>
      </c>
      <c r="M493" s="6"/>
    </row>
    <row r="494" customFormat="false" ht="15" hidden="false" customHeight="false" outlineLevel="0" collapsed="false">
      <c r="A494" s="6" t="s">
        <v>157</v>
      </c>
      <c r="B494" s="7" t="n">
        <f aca="false">IF(A494="","",IFERROR(MATCH(A494,Lists!$A$2:$A$37,0),""))</f>
        <v>30</v>
      </c>
      <c r="C494" s="6" t="s">
        <v>352</v>
      </c>
      <c r="D494" s="6" t="s">
        <v>404</v>
      </c>
      <c r="E494" s="40" t="n">
        <v>13</v>
      </c>
      <c r="F494" s="40" t="n">
        <v>1</v>
      </c>
      <c r="G494" s="43" t="n">
        <v>3.267</v>
      </c>
      <c r="H494" s="40" t="n">
        <v>35</v>
      </c>
      <c r="I494" s="40" t="n">
        <v>5</v>
      </c>
      <c r="J494" s="44" t="n">
        <v>0.8</v>
      </c>
      <c r="K494" s="44" t="n">
        <v>0.33</v>
      </c>
      <c r="L494" s="6" t="s">
        <v>402</v>
      </c>
      <c r="M494" s="6"/>
    </row>
    <row r="495" customFormat="false" ht="15" hidden="false" customHeight="false" outlineLevel="0" collapsed="false">
      <c r="A495" s="6" t="s">
        <v>157</v>
      </c>
      <c r="B495" s="7" t="n">
        <f aca="false">IF(A495="","",IFERROR(MATCH(A495,Lists!$A$2:$A$37,0),""))</f>
        <v>30</v>
      </c>
      <c r="C495" s="6" t="s">
        <v>352</v>
      </c>
      <c r="D495" s="6" t="s">
        <v>405</v>
      </c>
      <c r="E495" s="40" t="n">
        <v>27</v>
      </c>
      <c r="F495" s="40" t="n">
        <v>7</v>
      </c>
      <c r="G495" s="43" t="n">
        <v>2.974</v>
      </c>
      <c r="H495" s="40" t="n">
        <v>46</v>
      </c>
      <c r="I495" s="40" t="n">
        <v>7</v>
      </c>
      <c r="J495" s="44" t="n">
        <v>1</v>
      </c>
      <c r="K495" s="44" t="n">
        <v>0.88</v>
      </c>
      <c r="L495" s="6" t="s">
        <v>402</v>
      </c>
      <c r="M495" s="6"/>
    </row>
    <row r="496" customFormat="false" ht="15" hidden="false" customHeight="false" outlineLevel="0" collapsed="false">
      <c r="A496" s="6" t="s">
        <v>157</v>
      </c>
      <c r="B496" s="7" t="n">
        <f aca="false">IF(A496="","",IFERROR(MATCH(A496,Lists!$A$2:$A$37,0),""))</f>
        <v>30</v>
      </c>
      <c r="C496" s="6" t="s">
        <v>352</v>
      </c>
      <c r="D496" s="6" t="s">
        <v>406</v>
      </c>
      <c r="E496" s="40" t="n">
        <v>21</v>
      </c>
      <c r="F496" s="40" t="n">
        <v>3</v>
      </c>
      <c r="G496" s="43" t="n">
        <v>3.159</v>
      </c>
      <c r="H496" s="40" t="n">
        <v>41</v>
      </c>
      <c r="I496" s="40" t="n">
        <v>6</v>
      </c>
      <c r="J496" s="44" t="n">
        <v>1</v>
      </c>
      <c r="K496" s="44" t="n">
        <v>1</v>
      </c>
      <c r="L496" s="6" t="s">
        <v>402</v>
      </c>
      <c r="M496" s="6"/>
    </row>
    <row r="497" customFormat="false" ht="15" hidden="false" customHeight="false" outlineLevel="0" collapsed="false">
      <c r="A497" s="6" t="s">
        <v>157</v>
      </c>
      <c r="B497" s="7" t="n">
        <f aca="false">IF(A497="","",IFERROR(MATCH(A497,Lists!$A$2:$A$37,0),""))</f>
        <v>30</v>
      </c>
      <c r="C497" s="6" t="s">
        <v>352</v>
      </c>
      <c r="D497" s="6" t="s">
        <v>407</v>
      </c>
      <c r="E497" s="40" t="n">
        <v>16</v>
      </c>
      <c r="F497" s="40" t="n">
        <v>1</v>
      </c>
      <c r="G497" s="43" t="n">
        <v>2.863</v>
      </c>
      <c r="H497" s="40" t="n">
        <v>49</v>
      </c>
      <c r="I497" s="40" t="n">
        <v>8</v>
      </c>
      <c r="J497" s="44" t="n">
        <v>1</v>
      </c>
      <c r="K497" s="44" t="n">
        <v>1</v>
      </c>
      <c r="L497" s="6" t="s">
        <v>402</v>
      </c>
      <c r="M497" s="6"/>
    </row>
    <row r="498" customFormat="false" ht="15" hidden="false" customHeight="false" outlineLevel="0" collapsed="false">
      <c r="A498" s="6" t="s">
        <v>157</v>
      </c>
      <c r="B498" s="7" t="n">
        <f aca="false">IF(A498="","",IFERROR(MATCH(A498,Lists!$A$2:$A$37,0),""))</f>
        <v>30</v>
      </c>
      <c r="C498" s="6" t="s">
        <v>352</v>
      </c>
      <c r="D498" s="6" t="s">
        <v>408</v>
      </c>
      <c r="E498" s="40" t="n">
        <v>11</v>
      </c>
      <c r="F498" s="40" t="n">
        <v>3</v>
      </c>
      <c r="G498" s="43" t="n">
        <v>2.707</v>
      </c>
      <c r="H498" s="40" t="n">
        <v>50</v>
      </c>
      <c r="I498" s="40" t="n">
        <v>9</v>
      </c>
      <c r="J498" s="44" t="n">
        <v>1</v>
      </c>
      <c r="K498" s="44" t="n">
        <v>0.6</v>
      </c>
      <c r="L498" s="6" t="s">
        <v>402</v>
      </c>
      <c r="M498" s="6"/>
    </row>
    <row r="499" customFormat="false" ht="15" hidden="false" customHeight="false" outlineLevel="0" collapsed="false">
      <c r="A499" s="6" t="s">
        <v>157</v>
      </c>
      <c r="B499" s="7" t="n">
        <f aca="false">IF(A499="","",IFERROR(MATCH(A499,Lists!$A$2:$A$37,0),""))</f>
        <v>30</v>
      </c>
      <c r="C499" s="6" t="s">
        <v>352</v>
      </c>
      <c r="D499" s="6" t="s">
        <v>409</v>
      </c>
      <c r="E499" s="40" t="n">
        <v>15</v>
      </c>
      <c r="F499" s="40" t="n">
        <v>0</v>
      </c>
      <c r="G499" s="43" t="n">
        <v>3.42</v>
      </c>
      <c r="H499" s="40" t="n">
        <v>21</v>
      </c>
      <c r="I499" s="40" t="n">
        <v>3</v>
      </c>
      <c r="J499" s="44" t="n">
        <v>0.88</v>
      </c>
      <c r="K499" s="44"/>
      <c r="L499" s="6" t="s">
        <v>402</v>
      </c>
      <c r="M499" s="6"/>
    </row>
    <row r="500" customFormat="false" ht="15" hidden="false" customHeight="false" outlineLevel="0" collapsed="false">
      <c r="A500" s="6" t="s">
        <v>157</v>
      </c>
      <c r="B500" s="7" t="n">
        <f aca="false">IF(A500="","",IFERROR(MATCH(A500,Lists!$A$2:$A$37,0),""))</f>
        <v>30</v>
      </c>
      <c r="C500" s="6" t="s">
        <v>352</v>
      </c>
      <c r="D500" s="6" t="s">
        <v>410</v>
      </c>
      <c r="E500" s="40" t="n">
        <v>10</v>
      </c>
      <c r="F500" s="40" t="n">
        <v>1</v>
      </c>
      <c r="G500" s="43" t="n">
        <v>3.427</v>
      </c>
      <c r="H500" s="40" t="n">
        <v>20</v>
      </c>
      <c r="I500" s="40" t="n">
        <v>2</v>
      </c>
      <c r="J500" s="44" t="n">
        <v>1</v>
      </c>
      <c r="K500" s="44" t="n">
        <v>1</v>
      </c>
      <c r="L500" s="6" t="s">
        <v>402</v>
      </c>
      <c r="M500" s="6"/>
    </row>
    <row r="501" customFormat="false" ht="15" hidden="false" customHeight="false" outlineLevel="0" collapsed="false">
      <c r="A501" s="6" t="s">
        <v>157</v>
      </c>
      <c r="B501" s="7" t="n">
        <f aca="false">IF(A501="","",IFERROR(MATCH(A501,Lists!$A$2:$A$37,0),""))</f>
        <v>30</v>
      </c>
      <c r="C501" s="6" t="s">
        <v>352</v>
      </c>
      <c r="D501" s="6" t="s">
        <v>411</v>
      </c>
      <c r="E501" s="40" t="n">
        <v>15</v>
      </c>
      <c r="F501" s="40" t="n">
        <v>2</v>
      </c>
      <c r="G501" s="43" t="n">
        <v>3.462</v>
      </c>
      <c r="H501" s="40" t="n">
        <v>17</v>
      </c>
      <c r="I501" s="40" t="n">
        <v>1</v>
      </c>
      <c r="J501" s="44" t="n">
        <v>1</v>
      </c>
      <c r="K501" s="44" t="n">
        <v>1</v>
      </c>
      <c r="L501" s="6" t="s">
        <v>402</v>
      </c>
      <c r="M501" s="6"/>
    </row>
    <row r="502" customFormat="false" ht="15" hidden="false" customHeight="false" outlineLevel="0" collapsed="false">
      <c r="A502" s="6" t="s">
        <v>157</v>
      </c>
      <c r="B502" s="7" t="n">
        <f aca="false">IF(A502="","",IFERROR(MATCH(A502,Lists!$A$2:$A$37,0),""))</f>
        <v>30</v>
      </c>
      <c r="C502" s="6" t="s">
        <v>363</v>
      </c>
      <c r="D502" s="6" t="s">
        <v>412</v>
      </c>
      <c r="E502" s="40" t="n">
        <v>7</v>
      </c>
      <c r="F502" s="40" t="n">
        <v>1</v>
      </c>
      <c r="G502" s="43" t="n">
        <v>3.08</v>
      </c>
      <c r="H502" s="40" t="n">
        <v>43</v>
      </c>
      <c r="I502" s="40" t="n">
        <v>1</v>
      </c>
      <c r="J502" s="44" t="n">
        <v>1</v>
      </c>
      <c r="K502" s="44" t="n">
        <v>1</v>
      </c>
      <c r="L502" s="6" t="s">
        <v>402</v>
      </c>
      <c r="M502" s="6"/>
    </row>
    <row r="503" customFormat="false" ht="15" hidden="false" customHeight="false" outlineLevel="0" collapsed="false">
      <c r="A503" s="6" t="s">
        <v>157</v>
      </c>
      <c r="B503" s="7" t="n">
        <f aca="false">IF(A503="","",IFERROR(MATCH(A503,Lists!$A$2:$A$37,0),""))</f>
        <v>30</v>
      </c>
      <c r="C503" s="6" t="s">
        <v>363</v>
      </c>
      <c r="D503" s="6" t="s">
        <v>413</v>
      </c>
      <c r="E503" s="40" t="n">
        <v>7</v>
      </c>
      <c r="F503" s="40" t="n">
        <v>3</v>
      </c>
      <c r="G503" s="43" t="n">
        <v>2.955</v>
      </c>
      <c r="H503" s="40" t="n">
        <v>47</v>
      </c>
      <c r="I503" s="40" t="n">
        <v>2</v>
      </c>
      <c r="J503" s="44" t="n">
        <v>1</v>
      </c>
      <c r="K503" s="44" t="n">
        <v>1</v>
      </c>
      <c r="L503" s="6" t="s">
        <v>402</v>
      </c>
      <c r="M503" s="6"/>
    </row>
    <row r="504" customFormat="false" ht="15" hidden="false" customHeight="false" outlineLevel="0" collapsed="false">
      <c r="A504" s="6" t="s">
        <v>157</v>
      </c>
      <c r="B504" s="7" t="n">
        <f aca="false">IF(A504="","",IFERROR(MATCH(A504,Lists!$A$2:$A$37,0),""))</f>
        <v>30</v>
      </c>
      <c r="C504" s="6" t="s">
        <v>363</v>
      </c>
      <c r="D504" s="6" t="s">
        <v>414</v>
      </c>
      <c r="E504" s="40" t="n">
        <v>4</v>
      </c>
      <c r="F504" s="40" t="n">
        <v>0</v>
      </c>
      <c r="G504" s="43"/>
      <c r="H504" s="40"/>
      <c r="I504" s="40"/>
      <c r="J504" s="44" t="n">
        <v>1</v>
      </c>
      <c r="K504" s="44"/>
      <c r="L504" s="6" t="s">
        <v>402</v>
      </c>
      <c r="M504" s="6"/>
    </row>
    <row r="505" customFormat="false" ht="15" hidden="false" customHeight="false" outlineLevel="0" collapsed="false">
      <c r="A505" s="6" t="s">
        <v>157</v>
      </c>
      <c r="B505" s="7" t="n">
        <f aca="false">IF(A505="","",IFERROR(MATCH(A505,Lists!$A$2:$A$37,0),""))</f>
        <v>30</v>
      </c>
      <c r="C505" s="6" t="s">
        <v>363</v>
      </c>
      <c r="D505" s="6" t="s">
        <v>415</v>
      </c>
      <c r="E505" s="40" t="n">
        <v>2</v>
      </c>
      <c r="F505" s="40" t="n">
        <v>2</v>
      </c>
      <c r="G505" s="43"/>
      <c r="H505" s="40"/>
      <c r="I505" s="40"/>
      <c r="J505" s="44"/>
      <c r="K505" s="44" t="n">
        <v>1</v>
      </c>
      <c r="L505" s="6" t="s">
        <v>402</v>
      </c>
      <c r="M505" s="6"/>
    </row>
    <row r="506" customFormat="false" ht="15" hidden="false" customHeight="false" outlineLevel="0" collapsed="false">
      <c r="A506" s="6" t="s">
        <v>157</v>
      </c>
      <c r="B506" s="7" t="n">
        <f aca="false">IF(A506="","",IFERROR(MATCH(A506,Lists!$A$2:$A$37,0),""))</f>
        <v>30</v>
      </c>
      <c r="C506" s="6" t="s">
        <v>372</v>
      </c>
      <c r="D506" s="6" t="s">
        <v>373</v>
      </c>
      <c r="E506" s="40" t="n">
        <v>174</v>
      </c>
      <c r="F506" s="40" t="n">
        <v>9</v>
      </c>
      <c r="G506" s="43" t="n">
        <v>3.492</v>
      </c>
      <c r="H506" s="40" t="n">
        <v>14</v>
      </c>
      <c r="I506" s="40" t="n">
        <v>10</v>
      </c>
      <c r="J506" s="44" t="n">
        <v>0.98</v>
      </c>
      <c r="K506" s="44" t="n">
        <v>1</v>
      </c>
      <c r="L506" s="6" t="s">
        <v>402</v>
      </c>
      <c r="M506" s="6"/>
    </row>
    <row r="507" customFormat="false" ht="15" hidden="false" customHeight="false" outlineLevel="0" collapsed="false">
      <c r="A507" s="6" t="s">
        <v>157</v>
      </c>
      <c r="B507" s="7" t="n">
        <f aca="false">IF(A507="","",IFERROR(MATCH(A507,Lists!$A$2:$A$37,0),""))</f>
        <v>30</v>
      </c>
      <c r="C507" s="6" t="s">
        <v>372</v>
      </c>
      <c r="D507" s="6" t="s">
        <v>401</v>
      </c>
      <c r="E507" s="40" t="n">
        <v>36</v>
      </c>
      <c r="F507" s="40" t="n">
        <v>15</v>
      </c>
      <c r="G507" s="43" t="n">
        <v>3.24</v>
      </c>
      <c r="H507" s="40" t="n">
        <v>38</v>
      </c>
      <c r="I507" s="40" t="n">
        <v>16</v>
      </c>
      <c r="J507" s="44" t="n">
        <v>1</v>
      </c>
      <c r="K507" s="44" t="n">
        <v>1</v>
      </c>
      <c r="L507" s="6" t="s">
        <v>402</v>
      </c>
      <c r="M507" s="6"/>
    </row>
    <row r="508" customFormat="false" ht="15" hidden="false" customHeight="false" outlineLevel="0" collapsed="false">
      <c r="A508" s="6" t="s">
        <v>157</v>
      </c>
      <c r="B508" s="7" t="n">
        <f aca="false">IF(A508="","",IFERROR(MATCH(A508,Lists!$A$2:$A$37,0),""))</f>
        <v>30</v>
      </c>
      <c r="C508" s="6" t="s">
        <v>372</v>
      </c>
      <c r="D508" s="6" t="s">
        <v>374</v>
      </c>
      <c r="E508" s="40" t="n">
        <v>165</v>
      </c>
      <c r="F508" s="40" t="n">
        <v>13</v>
      </c>
      <c r="G508" s="43" t="n">
        <v>3.367</v>
      </c>
      <c r="H508" s="40" t="n">
        <v>27</v>
      </c>
      <c r="I508" s="40" t="n">
        <v>14</v>
      </c>
      <c r="J508" s="44" t="n">
        <v>0.94</v>
      </c>
      <c r="K508" s="44" t="n">
        <v>0.93</v>
      </c>
      <c r="L508" s="6" t="s">
        <v>402</v>
      </c>
      <c r="M508" s="6"/>
    </row>
    <row r="509" customFormat="false" ht="15" hidden="false" customHeight="false" outlineLevel="0" collapsed="false">
      <c r="A509" s="6" t="s">
        <v>157</v>
      </c>
      <c r="B509" s="7" t="n">
        <f aca="false">IF(A509="","",IFERROR(MATCH(A509,Lists!$A$2:$A$37,0),""))</f>
        <v>30</v>
      </c>
      <c r="C509" s="6" t="s">
        <v>372</v>
      </c>
      <c r="D509" s="6" t="s">
        <v>375</v>
      </c>
      <c r="E509" s="40" t="n">
        <v>176</v>
      </c>
      <c r="F509" s="40" t="n">
        <v>7</v>
      </c>
      <c r="G509" s="43" t="n">
        <v>3.604</v>
      </c>
      <c r="H509" s="40" t="n">
        <v>8</v>
      </c>
      <c r="I509" s="40" t="n">
        <v>5</v>
      </c>
      <c r="J509" s="44" t="n">
        <v>0.98</v>
      </c>
      <c r="K509" s="44" t="n">
        <v>1</v>
      </c>
      <c r="L509" s="6" t="s">
        <v>402</v>
      </c>
      <c r="M509" s="6"/>
    </row>
    <row r="510" customFormat="false" ht="15" hidden="false" customHeight="false" outlineLevel="0" collapsed="false">
      <c r="A510" s="6" t="s">
        <v>157</v>
      </c>
      <c r="B510" s="7" t="n">
        <f aca="false">IF(A510="","",IFERROR(MATCH(A510,Lists!$A$2:$A$37,0),""))</f>
        <v>30</v>
      </c>
      <c r="C510" s="6" t="s">
        <v>372</v>
      </c>
      <c r="D510" s="6" t="s">
        <v>376</v>
      </c>
      <c r="E510" s="40" t="n">
        <v>169</v>
      </c>
      <c r="F510" s="40" t="n">
        <v>11</v>
      </c>
      <c r="G510" s="43" t="n">
        <v>3.477</v>
      </c>
      <c r="H510" s="40" t="n">
        <v>16</v>
      </c>
      <c r="I510" s="40" t="n">
        <v>12</v>
      </c>
      <c r="J510" s="44" t="n">
        <v>0.98</v>
      </c>
      <c r="K510" s="44" t="n">
        <v>1</v>
      </c>
      <c r="L510" s="6" t="s">
        <v>402</v>
      </c>
      <c r="M510" s="6"/>
    </row>
    <row r="511" customFormat="false" ht="15" hidden="false" customHeight="false" outlineLevel="0" collapsed="false">
      <c r="A511" s="6" t="s">
        <v>157</v>
      </c>
      <c r="B511" s="7" t="n">
        <f aca="false">IF(A511="","",IFERROR(MATCH(A511,Lists!$A$2:$A$37,0),""))</f>
        <v>30</v>
      </c>
      <c r="C511" s="6" t="s">
        <v>372</v>
      </c>
      <c r="D511" s="6" t="s">
        <v>377</v>
      </c>
      <c r="E511" s="40" t="n">
        <v>176</v>
      </c>
      <c r="F511" s="40" t="n">
        <v>3</v>
      </c>
      <c r="G511" s="43" t="n">
        <v>3.784</v>
      </c>
      <c r="H511" s="40" t="n">
        <v>1</v>
      </c>
      <c r="I511" s="40" t="n">
        <v>1</v>
      </c>
      <c r="J511" s="44" t="n">
        <v>0.98</v>
      </c>
      <c r="K511" s="44" t="n">
        <v>1</v>
      </c>
      <c r="L511" s="6" t="s">
        <v>402</v>
      </c>
      <c r="M511" s="6"/>
    </row>
    <row r="512" customFormat="false" ht="15" hidden="false" customHeight="false" outlineLevel="0" collapsed="false">
      <c r="A512" s="6" t="s">
        <v>157</v>
      </c>
      <c r="B512" s="7" t="n">
        <f aca="false">IF(A512="","",IFERROR(MATCH(A512,Lists!$A$2:$A$37,0),""))</f>
        <v>30</v>
      </c>
      <c r="C512" s="6" t="s">
        <v>372</v>
      </c>
      <c r="D512" s="6" t="s">
        <v>378</v>
      </c>
      <c r="E512" s="40" t="n">
        <v>155</v>
      </c>
      <c r="F512" s="40" t="n">
        <v>17</v>
      </c>
      <c r="G512" s="43" t="n">
        <v>3.376</v>
      </c>
      <c r="H512" s="40" t="n">
        <v>25</v>
      </c>
      <c r="I512" s="40" t="n">
        <v>13</v>
      </c>
      <c r="J512" s="44" t="n">
        <v>0.93</v>
      </c>
      <c r="K512" s="44" t="n">
        <v>1</v>
      </c>
      <c r="L512" s="6" t="s">
        <v>402</v>
      </c>
      <c r="M512" s="6"/>
    </row>
    <row r="513" customFormat="false" ht="15" hidden="false" customHeight="false" outlineLevel="0" collapsed="false">
      <c r="A513" s="6" t="s">
        <v>157</v>
      </c>
      <c r="B513" s="7" t="n">
        <f aca="false">IF(A513="","",IFERROR(MATCH(A513,Lists!$A$2:$A$37,0),""))</f>
        <v>30</v>
      </c>
      <c r="C513" s="6" t="s">
        <v>372</v>
      </c>
      <c r="D513" s="6" t="s">
        <v>379</v>
      </c>
      <c r="E513" s="40" t="n">
        <v>176</v>
      </c>
      <c r="F513" s="40" t="n">
        <v>5</v>
      </c>
      <c r="G513" s="43" t="n">
        <v>3.577</v>
      </c>
      <c r="H513" s="40" t="n">
        <v>10</v>
      </c>
      <c r="I513" s="40" t="n">
        <v>7</v>
      </c>
      <c r="J513" s="44" t="n">
        <v>1</v>
      </c>
      <c r="K513" s="44" t="n">
        <v>1</v>
      </c>
      <c r="L513" s="6" t="s">
        <v>402</v>
      </c>
      <c r="M513" s="6"/>
    </row>
    <row r="514" customFormat="false" ht="15" hidden="false" customHeight="false" outlineLevel="0" collapsed="false">
      <c r="A514" s="6" t="s">
        <v>157</v>
      </c>
      <c r="B514" s="7" t="n">
        <f aca="false">IF(A514="","",IFERROR(MATCH(A514,Lists!$A$2:$A$37,0),""))</f>
        <v>30</v>
      </c>
      <c r="C514" s="6" t="s">
        <v>372</v>
      </c>
      <c r="D514" s="6" t="s">
        <v>380</v>
      </c>
      <c r="E514" s="40" t="n">
        <v>172</v>
      </c>
      <c r="F514" s="40" t="n">
        <v>7</v>
      </c>
      <c r="G514" s="43" t="n">
        <v>3.668</v>
      </c>
      <c r="H514" s="40" t="n">
        <v>4</v>
      </c>
      <c r="I514" s="40" t="n">
        <v>2</v>
      </c>
      <c r="J514" s="44" t="n">
        <v>0.98</v>
      </c>
      <c r="K514" s="44" t="n">
        <v>1</v>
      </c>
      <c r="L514" s="6" t="s">
        <v>402</v>
      </c>
      <c r="M514" s="6"/>
    </row>
    <row r="515" customFormat="false" ht="15" hidden="false" customHeight="false" outlineLevel="0" collapsed="false">
      <c r="A515" s="6" t="s">
        <v>157</v>
      </c>
      <c r="B515" s="7" t="n">
        <f aca="false">IF(A515="","",IFERROR(MATCH(A515,Lists!$A$2:$A$37,0),""))</f>
        <v>30</v>
      </c>
      <c r="C515" s="6" t="s">
        <v>372</v>
      </c>
      <c r="D515" s="6" t="s">
        <v>381</v>
      </c>
      <c r="E515" s="40" t="n">
        <v>159</v>
      </c>
      <c r="F515" s="40" t="n">
        <v>0</v>
      </c>
      <c r="G515" s="43" t="n">
        <v>3.666</v>
      </c>
      <c r="H515" s="40" t="n">
        <v>5</v>
      </c>
      <c r="I515" s="40" t="n">
        <v>3</v>
      </c>
      <c r="J515" s="44" t="n">
        <v>1</v>
      </c>
      <c r="K515" s="44"/>
      <c r="L515" s="6" t="s">
        <v>402</v>
      </c>
      <c r="M515" s="6"/>
    </row>
    <row r="516" customFormat="false" ht="15" hidden="false" customHeight="false" outlineLevel="0" collapsed="false">
      <c r="A516" s="6" t="s">
        <v>157</v>
      </c>
      <c r="B516" s="7" t="n">
        <f aca="false">IF(A516="","",IFERROR(MATCH(A516,Lists!$A$2:$A$37,0),""))</f>
        <v>30</v>
      </c>
      <c r="C516" s="6" t="s">
        <v>372</v>
      </c>
      <c r="D516" s="6" t="s">
        <v>382</v>
      </c>
      <c r="E516" s="40" t="n">
        <v>174</v>
      </c>
      <c r="F516" s="40" t="n">
        <v>9</v>
      </c>
      <c r="G516" s="43" t="n">
        <v>3.648</v>
      </c>
      <c r="H516" s="40" t="n">
        <v>6</v>
      </c>
      <c r="I516" s="40" t="n">
        <v>4</v>
      </c>
      <c r="J516" s="44" t="n">
        <v>0.99</v>
      </c>
      <c r="K516" s="44" t="n">
        <v>1</v>
      </c>
      <c r="L516" s="6" t="s">
        <v>402</v>
      </c>
      <c r="M516" s="6"/>
    </row>
    <row r="517" customFormat="false" ht="15" hidden="false" customHeight="false" outlineLevel="0" collapsed="false">
      <c r="A517" s="6" t="s">
        <v>157</v>
      </c>
      <c r="B517" s="7" t="n">
        <f aca="false">IF(A517="","",IFERROR(MATCH(A517,Lists!$A$2:$A$37,0),""))</f>
        <v>30</v>
      </c>
      <c r="C517" s="6" t="s">
        <v>372</v>
      </c>
      <c r="D517" s="6" t="s">
        <v>383</v>
      </c>
      <c r="E517" s="40" t="n">
        <v>172</v>
      </c>
      <c r="F517" s="40" t="n">
        <v>0</v>
      </c>
      <c r="G517" s="43" t="n">
        <v>3.584</v>
      </c>
      <c r="H517" s="40" t="n">
        <v>9</v>
      </c>
      <c r="I517" s="40" t="n">
        <v>6</v>
      </c>
      <c r="J517" s="44" t="n">
        <v>0.99</v>
      </c>
      <c r="K517" s="44"/>
      <c r="L517" s="6" t="s">
        <v>402</v>
      </c>
      <c r="M517" s="6"/>
    </row>
    <row r="518" customFormat="false" ht="15" hidden="false" customHeight="false" outlineLevel="0" collapsed="false">
      <c r="A518" s="6" t="s">
        <v>157</v>
      </c>
      <c r="B518" s="7" t="n">
        <f aca="false">IF(A518="","",IFERROR(MATCH(A518,Lists!$A$2:$A$37,0),""))</f>
        <v>30</v>
      </c>
      <c r="C518" s="6" t="s">
        <v>372</v>
      </c>
      <c r="D518" s="6" t="s">
        <v>384</v>
      </c>
      <c r="E518" s="40" t="n">
        <v>87</v>
      </c>
      <c r="F518" s="40" t="n">
        <v>9</v>
      </c>
      <c r="G518" s="43" t="n">
        <v>3.241</v>
      </c>
      <c r="H518" s="40" t="n">
        <v>37</v>
      </c>
      <c r="I518" s="40" t="n">
        <v>15</v>
      </c>
      <c r="J518" s="44" t="n">
        <v>0.98</v>
      </c>
      <c r="K518" s="44" t="n">
        <v>1</v>
      </c>
      <c r="L518" s="6" t="s">
        <v>402</v>
      </c>
      <c r="M518" s="6"/>
    </row>
    <row r="519" customFormat="false" ht="15" hidden="false" customHeight="false" outlineLevel="0" collapsed="false">
      <c r="A519" s="6" t="s">
        <v>157</v>
      </c>
      <c r="B519" s="7" t="n">
        <f aca="false">IF(A519="","",IFERROR(MATCH(A519,Lists!$A$2:$A$37,0),""))</f>
        <v>30</v>
      </c>
      <c r="C519" s="6" t="s">
        <v>372</v>
      </c>
      <c r="D519" s="6" t="s">
        <v>385</v>
      </c>
      <c r="E519" s="40" t="n">
        <v>22</v>
      </c>
      <c r="F519" s="40" t="n">
        <v>0</v>
      </c>
      <c r="G519" s="43" t="n">
        <v>3.568</v>
      </c>
      <c r="H519" s="40" t="n">
        <v>11</v>
      </c>
      <c r="I519" s="40" t="n">
        <v>8</v>
      </c>
      <c r="J519" s="44" t="n">
        <v>1</v>
      </c>
      <c r="K519" s="44"/>
      <c r="L519" s="6" t="s">
        <v>402</v>
      </c>
      <c r="M519" s="6"/>
    </row>
    <row r="520" customFormat="false" ht="15" hidden="false" customHeight="false" outlineLevel="0" collapsed="false">
      <c r="A520" s="6" t="s">
        <v>157</v>
      </c>
      <c r="B520" s="7" t="n">
        <f aca="false">IF(A520="","",IFERROR(MATCH(A520,Lists!$A$2:$A$37,0),""))</f>
        <v>30</v>
      </c>
      <c r="C520" s="6" t="s">
        <v>372</v>
      </c>
      <c r="D520" s="6" t="s">
        <v>386</v>
      </c>
      <c r="E520" s="40" t="n">
        <v>174</v>
      </c>
      <c r="F520" s="40" t="n">
        <v>13</v>
      </c>
      <c r="G520" s="43" t="n">
        <v>3.554</v>
      </c>
      <c r="H520" s="40" t="n">
        <v>12</v>
      </c>
      <c r="I520" s="40" t="n">
        <v>9</v>
      </c>
      <c r="J520" s="44" t="n">
        <v>0.99</v>
      </c>
      <c r="K520" s="44" t="n">
        <v>1</v>
      </c>
      <c r="L520" s="6" t="s">
        <v>402</v>
      </c>
      <c r="M520" s="6"/>
    </row>
    <row r="521" customFormat="false" ht="15" hidden="false" customHeight="false" outlineLevel="0" collapsed="false">
      <c r="A521" s="6" t="s">
        <v>157</v>
      </c>
      <c r="B521" s="7" t="n">
        <f aca="false">IF(A521="","",IFERROR(MATCH(A521,Lists!$A$2:$A$37,0),""))</f>
        <v>30</v>
      </c>
      <c r="C521" s="6" t="s">
        <v>372</v>
      </c>
      <c r="D521" s="6" t="s">
        <v>387</v>
      </c>
      <c r="E521" s="40" t="n">
        <v>68</v>
      </c>
      <c r="F521" s="40" t="n">
        <v>13</v>
      </c>
      <c r="G521" s="43" t="n">
        <v>3.492</v>
      </c>
      <c r="H521" s="40" t="n">
        <v>14</v>
      </c>
      <c r="I521" s="40" t="n">
        <v>10</v>
      </c>
      <c r="J521" s="44" t="n">
        <v>1</v>
      </c>
      <c r="K521" s="44" t="n">
        <v>1</v>
      </c>
      <c r="L521" s="6" t="s">
        <v>402</v>
      </c>
      <c r="M521" s="6"/>
    </row>
    <row r="522" customFormat="false" ht="15" hidden="false" customHeight="false" outlineLevel="0" collapsed="false">
      <c r="A522" s="6" t="s">
        <v>158</v>
      </c>
      <c r="B522" s="7" t="n">
        <f aca="false">IF(A522="","",IFERROR(MATCH(A522,Lists!$A$2:$A$37,0),""))</f>
        <v>31</v>
      </c>
      <c r="C522" s="6" t="s">
        <v>286</v>
      </c>
      <c r="D522" s="6" t="s">
        <v>290</v>
      </c>
      <c r="E522" s="40" t="n">
        <v>34</v>
      </c>
      <c r="F522" s="40" t="n">
        <v>5</v>
      </c>
      <c r="G522" s="43" t="n">
        <v>3.314</v>
      </c>
      <c r="H522" s="40" t="n">
        <v>29</v>
      </c>
      <c r="I522" s="40" t="n">
        <v>10</v>
      </c>
      <c r="J522" s="44" t="n">
        <v>1</v>
      </c>
      <c r="K522" s="44" t="n">
        <v>0.45</v>
      </c>
      <c r="L522" s="6" t="s">
        <v>416</v>
      </c>
      <c r="M522" s="6"/>
    </row>
    <row r="523" customFormat="false" ht="15" hidden="false" customHeight="false" outlineLevel="0" collapsed="false">
      <c r="A523" s="6" t="s">
        <v>158</v>
      </c>
      <c r="B523" s="7" t="n">
        <f aca="false">IF(A523="","",IFERROR(MATCH(A523,Lists!$A$2:$A$37,0),""))</f>
        <v>31</v>
      </c>
      <c r="C523" s="6" t="s">
        <v>286</v>
      </c>
      <c r="D523" s="6" t="s">
        <v>293</v>
      </c>
      <c r="E523" s="40" t="n">
        <v>95</v>
      </c>
      <c r="F523" s="40" t="n">
        <v>25</v>
      </c>
      <c r="G523" s="43" t="n">
        <v>3.444</v>
      </c>
      <c r="H523" s="40" t="n">
        <v>20</v>
      </c>
      <c r="I523" s="40" t="n">
        <v>7</v>
      </c>
      <c r="J523" s="44" t="n">
        <v>0.99</v>
      </c>
      <c r="K523" s="44" t="n">
        <v>0.96</v>
      </c>
      <c r="L523" s="6" t="s">
        <v>416</v>
      </c>
      <c r="M523" s="6"/>
    </row>
    <row r="524" customFormat="false" ht="15" hidden="false" customHeight="false" outlineLevel="0" collapsed="false">
      <c r="A524" s="6" t="s">
        <v>158</v>
      </c>
      <c r="B524" s="7" t="n">
        <f aca="false">IF(A524="","",IFERROR(MATCH(A524,Lists!$A$2:$A$37,0),""))</f>
        <v>31</v>
      </c>
      <c r="C524" s="6" t="s">
        <v>286</v>
      </c>
      <c r="D524" s="6" t="s">
        <v>294</v>
      </c>
      <c r="E524" s="40" t="n">
        <v>94</v>
      </c>
      <c r="F524" s="40" t="n">
        <v>37</v>
      </c>
      <c r="G524" s="43" t="n">
        <v>3.447</v>
      </c>
      <c r="H524" s="40" t="n">
        <v>19</v>
      </c>
      <c r="I524" s="40" t="n">
        <v>6</v>
      </c>
      <c r="J524" s="44" t="n">
        <v>0.75</v>
      </c>
      <c r="K524" s="44" t="n">
        <v>0.88</v>
      </c>
      <c r="L524" s="6" t="s">
        <v>416</v>
      </c>
      <c r="M524" s="6"/>
    </row>
    <row r="525" customFormat="false" ht="15" hidden="false" customHeight="false" outlineLevel="0" collapsed="false">
      <c r="A525" s="6" t="s">
        <v>158</v>
      </c>
      <c r="B525" s="7" t="n">
        <f aca="false">IF(A525="","",IFERROR(MATCH(A525,Lists!$A$2:$A$37,0),""))</f>
        <v>31</v>
      </c>
      <c r="C525" s="6" t="s">
        <v>286</v>
      </c>
      <c r="D525" s="6" t="s">
        <v>295</v>
      </c>
      <c r="E525" s="40" t="n">
        <v>142</v>
      </c>
      <c r="F525" s="40" t="n">
        <v>36</v>
      </c>
      <c r="G525" s="43" t="n">
        <v>3.383</v>
      </c>
      <c r="H525" s="40" t="n">
        <v>26</v>
      </c>
      <c r="I525" s="40" t="n">
        <v>8</v>
      </c>
      <c r="J525" s="44" t="n">
        <v>0.96</v>
      </c>
      <c r="K525" s="44" t="n">
        <v>0.88</v>
      </c>
      <c r="L525" s="6" t="s">
        <v>416</v>
      </c>
      <c r="M525" s="6"/>
    </row>
    <row r="526" customFormat="false" ht="15" hidden="false" customHeight="false" outlineLevel="0" collapsed="false">
      <c r="A526" s="6" t="s">
        <v>158</v>
      </c>
      <c r="B526" s="7" t="n">
        <f aca="false">IF(A526="","",IFERROR(MATCH(A526,Lists!$A$2:$A$37,0),""))</f>
        <v>31</v>
      </c>
      <c r="C526" s="6" t="s">
        <v>286</v>
      </c>
      <c r="D526" s="6" t="s">
        <v>296</v>
      </c>
      <c r="E526" s="40" t="n">
        <v>15</v>
      </c>
      <c r="F526" s="40" t="n">
        <v>3</v>
      </c>
      <c r="G526" s="43" t="n">
        <v>3.309</v>
      </c>
      <c r="H526" s="40" t="n">
        <v>30</v>
      </c>
      <c r="I526" s="40" t="n">
        <v>11</v>
      </c>
      <c r="J526" s="44" t="n">
        <v>1</v>
      </c>
      <c r="K526" s="44" t="n">
        <v>1</v>
      </c>
      <c r="L526" s="6" t="s">
        <v>416</v>
      </c>
      <c r="M526" s="6"/>
    </row>
    <row r="527" customFormat="false" ht="15" hidden="false" customHeight="false" outlineLevel="0" collapsed="false">
      <c r="A527" s="6" t="s">
        <v>158</v>
      </c>
      <c r="B527" s="7" t="n">
        <f aca="false">IF(A527="","",IFERROR(MATCH(A527,Lists!$A$2:$A$37,0),""))</f>
        <v>31</v>
      </c>
      <c r="C527" s="6" t="s">
        <v>286</v>
      </c>
      <c r="D527" s="6" t="s">
        <v>297</v>
      </c>
      <c r="E527" s="40" t="n">
        <v>128</v>
      </c>
      <c r="F527" s="40" t="n">
        <v>34</v>
      </c>
      <c r="G527" s="43" t="n">
        <v>3.65</v>
      </c>
      <c r="H527" s="40" t="n">
        <v>4</v>
      </c>
      <c r="I527" s="40" t="n">
        <v>2</v>
      </c>
      <c r="J527" s="44" t="n">
        <v>1</v>
      </c>
      <c r="K527" s="44" t="n">
        <v>0.97</v>
      </c>
      <c r="L527" s="6" t="s">
        <v>416</v>
      </c>
      <c r="M527" s="6"/>
    </row>
    <row r="528" customFormat="false" ht="15" hidden="false" customHeight="false" outlineLevel="0" collapsed="false">
      <c r="A528" s="6" t="s">
        <v>158</v>
      </c>
      <c r="B528" s="7" t="n">
        <f aca="false">IF(A528="","",IFERROR(MATCH(A528,Lists!$A$2:$A$37,0),""))</f>
        <v>31</v>
      </c>
      <c r="C528" s="6" t="s">
        <v>286</v>
      </c>
      <c r="D528" s="6" t="s">
        <v>298</v>
      </c>
      <c r="E528" s="40" t="n">
        <v>13</v>
      </c>
      <c r="F528" s="40" t="n">
        <v>3</v>
      </c>
      <c r="G528" s="43" t="n">
        <v>2.903</v>
      </c>
      <c r="H528" s="40" t="n">
        <v>45</v>
      </c>
      <c r="I528" s="40" t="n">
        <v>22</v>
      </c>
      <c r="J528" s="44" t="n">
        <v>0.91</v>
      </c>
      <c r="K528" s="44" t="n">
        <v>1</v>
      </c>
      <c r="L528" s="6" t="s">
        <v>416</v>
      </c>
      <c r="M528" s="6"/>
    </row>
    <row r="529" customFormat="false" ht="15" hidden="false" customHeight="false" outlineLevel="0" collapsed="false">
      <c r="A529" s="6" t="s">
        <v>158</v>
      </c>
      <c r="B529" s="7" t="n">
        <f aca="false">IF(A529="","",IFERROR(MATCH(A529,Lists!$A$2:$A$37,0),""))</f>
        <v>31</v>
      </c>
      <c r="C529" s="6" t="s">
        <v>286</v>
      </c>
      <c r="D529" s="6" t="s">
        <v>299</v>
      </c>
      <c r="E529" s="40" t="n">
        <v>128</v>
      </c>
      <c r="F529" s="40" t="n">
        <v>29</v>
      </c>
      <c r="G529" s="43" t="n">
        <v>3.243</v>
      </c>
      <c r="H529" s="40" t="n">
        <v>34</v>
      </c>
      <c r="I529" s="40" t="n">
        <v>14</v>
      </c>
      <c r="J529" s="44" t="n">
        <v>0.93</v>
      </c>
      <c r="K529" s="44" t="n">
        <v>0.67</v>
      </c>
      <c r="L529" s="6" t="s">
        <v>416</v>
      </c>
      <c r="M529" s="6"/>
    </row>
    <row r="530" customFormat="false" ht="15" hidden="false" customHeight="false" outlineLevel="0" collapsed="false">
      <c r="A530" s="6" t="s">
        <v>158</v>
      </c>
      <c r="B530" s="7" t="n">
        <f aca="false">IF(A530="","",IFERROR(MATCH(A530,Lists!$A$2:$A$37,0),""))</f>
        <v>31</v>
      </c>
      <c r="C530" s="6" t="s">
        <v>286</v>
      </c>
      <c r="D530" s="6" t="s">
        <v>301</v>
      </c>
      <c r="E530" s="40" t="n">
        <v>87</v>
      </c>
      <c r="F530" s="40" t="n">
        <v>26</v>
      </c>
      <c r="G530" s="43" t="n">
        <v>3.134</v>
      </c>
      <c r="H530" s="40" t="n">
        <v>38</v>
      </c>
      <c r="I530" s="40" t="n">
        <v>16</v>
      </c>
      <c r="J530" s="44" t="n">
        <v>0.97</v>
      </c>
      <c r="K530" s="44" t="n">
        <v>0.9</v>
      </c>
      <c r="L530" s="6" t="s">
        <v>416</v>
      </c>
      <c r="M530" s="6"/>
    </row>
    <row r="531" customFormat="false" ht="15" hidden="false" customHeight="false" outlineLevel="0" collapsed="false">
      <c r="A531" s="6" t="s">
        <v>158</v>
      </c>
      <c r="B531" s="7" t="n">
        <f aca="false">IF(A531="","",IFERROR(MATCH(A531,Lists!$A$2:$A$37,0),""))</f>
        <v>31</v>
      </c>
      <c r="C531" s="6" t="s">
        <v>286</v>
      </c>
      <c r="D531" s="6" t="s">
        <v>302</v>
      </c>
      <c r="E531" s="40" t="n">
        <v>113</v>
      </c>
      <c r="F531" s="40" t="n">
        <v>28</v>
      </c>
      <c r="G531" s="43" t="n">
        <v>3.653</v>
      </c>
      <c r="H531" s="40" t="n">
        <v>3</v>
      </c>
      <c r="I531" s="40" t="n">
        <v>1</v>
      </c>
      <c r="J531" s="44" t="n">
        <v>1</v>
      </c>
      <c r="K531" s="44" t="n">
        <v>1</v>
      </c>
      <c r="L531" s="6" t="s">
        <v>416</v>
      </c>
      <c r="M531" s="6"/>
    </row>
    <row r="532" customFormat="false" ht="15" hidden="false" customHeight="false" outlineLevel="0" collapsed="false">
      <c r="A532" s="6" t="s">
        <v>158</v>
      </c>
      <c r="B532" s="7" t="n">
        <f aca="false">IF(A532="","",IFERROR(MATCH(A532,Lists!$A$2:$A$37,0),""))</f>
        <v>31</v>
      </c>
      <c r="C532" s="6" t="s">
        <v>286</v>
      </c>
      <c r="D532" s="6" t="s">
        <v>303</v>
      </c>
      <c r="E532" s="40" t="n">
        <v>74</v>
      </c>
      <c r="F532" s="40" t="n">
        <v>23</v>
      </c>
      <c r="G532" s="43" t="n">
        <v>2.671</v>
      </c>
      <c r="H532" s="40" t="n">
        <v>51</v>
      </c>
      <c r="I532" s="40" t="n">
        <v>25</v>
      </c>
      <c r="J532" s="44" t="n">
        <v>1.02</v>
      </c>
      <c r="K532" s="44" t="n">
        <v>0.82</v>
      </c>
      <c r="L532" s="6" t="s">
        <v>416</v>
      </c>
      <c r="M532" s="6"/>
    </row>
    <row r="533" customFormat="false" ht="15" hidden="false" customHeight="false" outlineLevel="0" collapsed="false">
      <c r="A533" s="6" t="s">
        <v>158</v>
      </c>
      <c r="B533" s="7" t="n">
        <f aca="false">IF(A533="","",IFERROR(MATCH(A533,Lists!$A$2:$A$37,0),""))</f>
        <v>31</v>
      </c>
      <c r="C533" s="6" t="s">
        <v>286</v>
      </c>
      <c r="D533" s="6" t="s">
        <v>396</v>
      </c>
      <c r="E533" s="40" t="n">
        <v>38</v>
      </c>
      <c r="F533" s="40" t="n">
        <v>13</v>
      </c>
      <c r="G533" s="43" t="n">
        <v>3.052</v>
      </c>
      <c r="H533" s="40" t="n">
        <v>41</v>
      </c>
      <c r="I533" s="40" t="n">
        <v>18</v>
      </c>
      <c r="J533" s="44" t="n">
        <v>0.96</v>
      </c>
      <c r="K533" s="44" t="n">
        <v>0.68</v>
      </c>
      <c r="L533" s="6" t="s">
        <v>416</v>
      </c>
      <c r="M533" s="6"/>
    </row>
    <row r="534" customFormat="false" ht="15" hidden="false" customHeight="false" outlineLevel="0" collapsed="false">
      <c r="A534" s="6" t="s">
        <v>158</v>
      </c>
      <c r="B534" s="7" t="n">
        <f aca="false">IF(A534="","",IFERROR(MATCH(A534,Lists!$A$2:$A$37,0),""))</f>
        <v>31</v>
      </c>
      <c r="C534" s="6" t="s">
        <v>286</v>
      </c>
      <c r="D534" s="6" t="s">
        <v>304</v>
      </c>
      <c r="E534" s="40" t="n">
        <v>138</v>
      </c>
      <c r="F534" s="40" t="n">
        <v>34</v>
      </c>
      <c r="G534" s="43" t="n">
        <v>3.191</v>
      </c>
      <c r="H534" s="40" t="n">
        <v>37</v>
      </c>
      <c r="I534" s="40" t="n">
        <v>15</v>
      </c>
      <c r="J534" s="44" t="n">
        <v>0.95</v>
      </c>
      <c r="K534" s="44" t="n">
        <v>0.83</v>
      </c>
      <c r="L534" s="6" t="s">
        <v>416</v>
      </c>
      <c r="M534" s="6"/>
    </row>
    <row r="535" customFormat="false" ht="15" hidden="false" customHeight="false" outlineLevel="0" collapsed="false">
      <c r="A535" s="6" t="s">
        <v>158</v>
      </c>
      <c r="B535" s="7" t="n">
        <f aca="false">IF(A535="","",IFERROR(MATCH(A535,Lists!$A$2:$A$37,0),""))</f>
        <v>31</v>
      </c>
      <c r="C535" s="6" t="s">
        <v>286</v>
      </c>
      <c r="D535" s="6" t="s">
        <v>305</v>
      </c>
      <c r="E535" s="40" t="n">
        <v>15</v>
      </c>
      <c r="F535" s="40" t="n">
        <v>15</v>
      </c>
      <c r="G535" s="43" t="n">
        <v>3.101</v>
      </c>
      <c r="H535" s="40" t="n">
        <v>39</v>
      </c>
      <c r="I535" s="40" t="n">
        <v>17</v>
      </c>
      <c r="J535" s="44"/>
      <c r="K535" s="44" t="n">
        <v>0.94</v>
      </c>
      <c r="L535" s="6" t="s">
        <v>416</v>
      </c>
      <c r="M535" s="6"/>
    </row>
    <row r="536" customFormat="false" ht="15" hidden="false" customHeight="false" outlineLevel="0" collapsed="false">
      <c r="A536" s="6" t="s">
        <v>158</v>
      </c>
      <c r="B536" s="7" t="n">
        <f aca="false">IF(A536="","",IFERROR(MATCH(A536,Lists!$A$2:$A$37,0),""))</f>
        <v>31</v>
      </c>
      <c r="C536" s="6" t="s">
        <v>286</v>
      </c>
      <c r="D536" s="6" t="s">
        <v>306</v>
      </c>
      <c r="E536" s="40" t="n">
        <v>42</v>
      </c>
      <c r="F536" s="40" t="n">
        <v>6</v>
      </c>
      <c r="G536" s="43" t="n">
        <v>2.929</v>
      </c>
      <c r="H536" s="40" t="n">
        <v>43</v>
      </c>
      <c r="I536" s="40" t="n">
        <v>20</v>
      </c>
      <c r="J536" s="44" t="n">
        <v>0.97</v>
      </c>
      <c r="K536" s="44" t="n">
        <v>0.6</v>
      </c>
      <c r="L536" s="6" t="s">
        <v>416</v>
      </c>
      <c r="M536" s="6"/>
    </row>
    <row r="537" customFormat="false" ht="15" hidden="false" customHeight="false" outlineLevel="0" collapsed="false">
      <c r="A537" s="6" t="s">
        <v>158</v>
      </c>
      <c r="B537" s="7" t="n">
        <f aca="false">IF(A537="","",IFERROR(MATCH(A537,Lists!$A$2:$A$37,0),""))</f>
        <v>31</v>
      </c>
      <c r="C537" s="6" t="s">
        <v>286</v>
      </c>
      <c r="D537" s="6" t="s">
        <v>307</v>
      </c>
      <c r="E537" s="40" t="n">
        <v>95</v>
      </c>
      <c r="F537" s="40" t="n">
        <v>31</v>
      </c>
      <c r="G537" s="43" t="n">
        <v>3.458</v>
      </c>
      <c r="H537" s="40" t="n">
        <v>18</v>
      </c>
      <c r="I537" s="40" t="n">
        <v>5</v>
      </c>
      <c r="J537" s="44" t="n">
        <v>1</v>
      </c>
      <c r="K537" s="44" t="n">
        <v>1</v>
      </c>
      <c r="L537" s="6" t="s">
        <v>416</v>
      </c>
      <c r="M537" s="6"/>
    </row>
    <row r="538" customFormat="false" ht="15" hidden="false" customHeight="false" outlineLevel="0" collapsed="false">
      <c r="A538" s="6" t="s">
        <v>158</v>
      </c>
      <c r="B538" s="7" t="n">
        <f aca="false">IF(A538="","",IFERROR(MATCH(A538,Lists!$A$2:$A$37,0),""))</f>
        <v>31</v>
      </c>
      <c r="C538" s="6" t="s">
        <v>286</v>
      </c>
      <c r="D538" s="6" t="s">
        <v>308</v>
      </c>
      <c r="E538" s="40" t="n">
        <v>153</v>
      </c>
      <c r="F538" s="40" t="n">
        <v>38</v>
      </c>
      <c r="G538" s="43" t="n">
        <v>3.556</v>
      </c>
      <c r="H538" s="40" t="n">
        <v>13</v>
      </c>
      <c r="I538" s="40" t="n">
        <v>4</v>
      </c>
      <c r="J538" s="44" t="n">
        <v>0.99</v>
      </c>
      <c r="K538" s="44" t="n">
        <v>0.83</v>
      </c>
      <c r="L538" s="6" t="s">
        <v>416</v>
      </c>
      <c r="M538" s="6"/>
    </row>
    <row r="539" customFormat="false" ht="15" hidden="false" customHeight="false" outlineLevel="0" collapsed="false">
      <c r="A539" s="6" t="s">
        <v>158</v>
      </c>
      <c r="B539" s="7" t="n">
        <f aca="false">IF(A539="","",IFERROR(MATCH(A539,Lists!$A$2:$A$37,0),""))</f>
        <v>31</v>
      </c>
      <c r="C539" s="6" t="s">
        <v>286</v>
      </c>
      <c r="D539" s="6" t="s">
        <v>309</v>
      </c>
      <c r="E539" s="40" t="n">
        <v>36</v>
      </c>
      <c r="F539" s="40" t="n">
        <v>7</v>
      </c>
      <c r="G539" s="43" t="n">
        <v>2.844</v>
      </c>
      <c r="H539" s="40" t="n">
        <v>47</v>
      </c>
      <c r="I539" s="40" t="n">
        <v>23</v>
      </c>
      <c r="J539" s="44" t="n">
        <v>0.88</v>
      </c>
      <c r="K539" s="44" t="n">
        <v>1</v>
      </c>
      <c r="L539" s="6" t="s">
        <v>416</v>
      </c>
      <c r="M539" s="6"/>
    </row>
    <row r="540" customFormat="false" ht="15" hidden="false" customHeight="false" outlineLevel="0" collapsed="false">
      <c r="A540" s="6" t="s">
        <v>158</v>
      </c>
      <c r="B540" s="7" t="n">
        <f aca="false">IF(A540="","",IFERROR(MATCH(A540,Lists!$A$2:$A$37,0),""))</f>
        <v>31</v>
      </c>
      <c r="C540" s="6" t="s">
        <v>286</v>
      </c>
      <c r="D540" s="6" t="s">
        <v>310</v>
      </c>
      <c r="E540" s="40" t="n">
        <v>146</v>
      </c>
      <c r="F540" s="40" t="n">
        <v>41</v>
      </c>
      <c r="G540" s="43" t="n">
        <v>3.286</v>
      </c>
      <c r="H540" s="40" t="n">
        <v>32</v>
      </c>
      <c r="I540" s="40" t="n">
        <v>13</v>
      </c>
      <c r="J540" s="44" t="n">
        <v>0.99</v>
      </c>
      <c r="K540" s="44" t="n">
        <v>0.98</v>
      </c>
      <c r="L540" s="6" t="s">
        <v>416</v>
      </c>
      <c r="M540" s="6"/>
    </row>
    <row r="541" customFormat="false" ht="15" hidden="false" customHeight="false" outlineLevel="0" collapsed="false">
      <c r="A541" s="6" t="s">
        <v>158</v>
      </c>
      <c r="B541" s="7" t="n">
        <f aca="false">IF(A541="","",IFERROR(MATCH(A541,Lists!$A$2:$A$37,0),""))</f>
        <v>31</v>
      </c>
      <c r="C541" s="6" t="s">
        <v>286</v>
      </c>
      <c r="D541" s="6" t="s">
        <v>311</v>
      </c>
      <c r="E541" s="40" t="n">
        <v>12</v>
      </c>
      <c r="F541" s="40" t="n">
        <v>2</v>
      </c>
      <c r="G541" s="43" t="n">
        <v>3.332</v>
      </c>
      <c r="H541" s="40" t="n">
        <v>28</v>
      </c>
      <c r="I541" s="40" t="n">
        <v>9</v>
      </c>
      <c r="J541" s="44" t="n">
        <v>0.91</v>
      </c>
      <c r="K541" s="44" t="n">
        <v>1</v>
      </c>
      <c r="L541" s="6" t="s">
        <v>416</v>
      </c>
      <c r="M541" s="6"/>
    </row>
    <row r="542" customFormat="false" ht="15" hidden="false" customHeight="false" outlineLevel="0" collapsed="false">
      <c r="A542" s="6" t="s">
        <v>158</v>
      </c>
      <c r="B542" s="7" t="n">
        <f aca="false">IF(A542="","",IFERROR(MATCH(A542,Lists!$A$2:$A$37,0),""))</f>
        <v>31</v>
      </c>
      <c r="C542" s="6" t="s">
        <v>286</v>
      </c>
      <c r="D542" s="6" t="s">
        <v>312</v>
      </c>
      <c r="E542" s="40" t="n">
        <v>120</v>
      </c>
      <c r="F542" s="40" t="n">
        <v>41</v>
      </c>
      <c r="G542" s="43" t="n">
        <v>3.288</v>
      </c>
      <c r="H542" s="40" t="n">
        <v>31</v>
      </c>
      <c r="I542" s="40" t="n">
        <v>12</v>
      </c>
      <c r="J542" s="44" t="n">
        <v>1</v>
      </c>
      <c r="K542" s="44" t="n">
        <v>0.95</v>
      </c>
      <c r="L542" s="6" t="s">
        <v>416</v>
      </c>
      <c r="M542" s="6"/>
    </row>
    <row r="543" customFormat="false" ht="15" hidden="false" customHeight="false" outlineLevel="0" collapsed="false">
      <c r="A543" s="6" t="s">
        <v>158</v>
      </c>
      <c r="B543" s="7" t="n">
        <f aca="false">IF(A543="","",IFERROR(MATCH(A543,Lists!$A$2:$A$37,0),""))</f>
        <v>31</v>
      </c>
      <c r="C543" s="6" t="s">
        <v>286</v>
      </c>
      <c r="D543" s="6" t="s">
        <v>314</v>
      </c>
      <c r="E543" s="40" t="n">
        <v>160</v>
      </c>
      <c r="F543" s="40" t="n">
        <v>45</v>
      </c>
      <c r="G543" s="43" t="n">
        <v>3.606</v>
      </c>
      <c r="H543" s="40" t="n">
        <v>6</v>
      </c>
      <c r="I543" s="40" t="n">
        <v>3</v>
      </c>
      <c r="J543" s="44" t="n">
        <v>0.98</v>
      </c>
      <c r="K543" s="44" t="n">
        <v>0.98</v>
      </c>
      <c r="L543" s="6" t="s">
        <v>416</v>
      </c>
      <c r="M543" s="6"/>
    </row>
    <row r="544" customFormat="false" ht="15" hidden="false" customHeight="false" outlineLevel="0" collapsed="false">
      <c r="A544" s="6" t="s">
        <v>158</v>
      </c>
      <c r="B544" s="7" t="n">
        <f aca="false">IF(A544="","",IFERROR(MATCH(A544,Lists!$A$2:$A$37,0),""))</f>
        <v>31</v>
      </c>
      <c r="C544" s="6" t="s">
        <v>286</v>
      </c>
      <c r="D544" s="6" t="s">
        <v>316</v>
      </c>
      <c r="E544" s="40" t="n">
        <v>33</v>
      </c>
      <c r="F544" s="40" t="n">
        <v>9</v>
      </c>
      <c r="G544" s="43" t="n">
        <v>2.922</v>
      </c>
      <c r="H544" s="40" t="n">
        <v>44</v>
      </c>
      <c r="I544" s="40" t="n">
        <v>21</v>
      </c>
      <c r="J544" s="44" t="n">
        <v>0.86</v>
      </c>
      <c r="K544" s="44" t="n">
        <v>0.9</v>
      </c>
      <c r="L544" s="6" t="s">
        <v>416</v>
      </c>
      <c r="M544" s="6"/>
    </row>
    <row r="545" customFormat="false" ht="15" hidden="false" customHeight="false" outlineLevel="0" collapsed="false">
      <c r="A545" s="6" t="s">
        <v>158</v>
      </c>
      <c r="B545" s="7" t="n">
        <f aca="false">IF(A545="","",IFERROR(MATCH(A545,Lists!$A$2:$A$37,0),""))</f>
        <v>31</v>
      </c>
      <c r="C545" s="6" t="s">
        <v>286</v>
      </c>
      <c r="D545" s="6" t="s">
        <v>287</v>
      </c>
      <c r="E545" s="40" t="n">
        <v>44</v>
      </c>
      <c r="F545" s="40" t="n">
        <v>12</v>
      </c>
      <c r="G545" s="43" t="n">
        <v>3.033</v>
      </c>
      <c r="H545" s="40" t="n">
        <v>42</v>
      </c>
      <c r="I545" s="40" t="n">
        <v>19</v>
      </c>
      <c r="J545" s="44" t="n">
        <v>0.94</v>
      </c>
      <c r="K545" s="44" t="n">
        <v>0.92</v>
      </c>
      <c r="L545" s="6" t="s">
        <v>416</v>
      </c>
      <c r="M545" s="6"/>
    </row>
    <row r="546" customFormat="false" ht="15" hidden="false" customHeight="false" outlineLevel="0" collapsed="false">
      <c r="A546" s="6" t="s">
        <v>158</v>
      </c>
      <c r="B546" s="7" t="n">
        <f aca="false">IF(A546="","",IFERROR(MATCH(A546,Lists!$A$2:$A$37,0),""))</f>
        <v>31</v>
      </c>
      <c r="C546" s="6" t="s">
        <v>286</v>
      </c>
      <c r="D546" s="6" t="s">
        <v>317</v>
      </c>
      <c r="E546" s="40" t="n">
        <v>25</v>
      </c>
      <c r="F546" s="40" t="n">
        <v>8</v>
      </c>
      <c r="G546" s="43" t="n">
        <v>2.782</v>
      </c>
      <c r="H546" s="40" t="n">
        <v>48</v>
      </c>
      <c r="I546" s="40" t="n">
        <v>24</v>
      </c>
      <c r="J546" s="44" t="n">
        <v>0.94</v>
      </c>
      <c r="K546" s="44" t="n">
        <v>1</v>
      </c>
      <c r="L546" s="6" t="s">
        <v>416</v>
      </c>
      <c r="M546" s="6"/>
    </row>
    <row r="547" customFormat="false" ht="15" hidden="false" customHeight="false" outlineLevel="0" collapsed="false">
      <c r="A547" s="6" t="s">
        <v>158</v>
      </c>
      <c r="B547" s="7" t="n">
        <f aca="false">IF(A547="","",IFERROR(MATCH(A547,Lists!$A$2:$A$37,0),""))</f>
        <v>31</v>
      </c>
      <c r="C547" s="6" t="s">
        <v>352</v>
      </c>
      <c r="D547" s="6" t="s">
        <v>403</v>
      </c>
      <c r="E547" s="40" t="n">
        <v>16</v>
      </c>
      <c r="F547" s="40" t="n">
        <v>2</v>
      </c>
      <c r="G547" s="43" t="n">
        <v>2.862</v>
      </c>
      <c r="H547" s="40" t="n">
        <v>46</v>
      </c>
      <c r="I547" s="40" t="n">
        <v>7</v>
      </c>
      <c r="J547" s="44" t="n">
        <v>0.88</v>
      </c>
      <c r="K547" s="44" t="n">
        <v>0.67</v>
      </c>
      <c r="L547" s="6" t="s">
        <v>416</v>
      </c>
      <c r="M547" s="6"/>
    </row>
    <row r="548" customFormat="false" ht="15" hidden="false" customHeight="false" outlineLevel="0" collapsed="false">
      <c r="A548" s="6" t="s">
        <v>158</v>
      </c>
      <c r="B548" s="7" t="n">
        <f aca="false">IF(A548="","",IFERROR(MATCH(A548,Lists!$A$2:$A$37,0),""))</f>
        <v>31</v>
      </c>
      <c r="C548" s="6" t="s">
        <v>352</v>
      </c>
      <c r="D548" s="6" t="s">
        <v>404</v>
      </c>
      <c r="E548" s="40" t="n">
        <v>14</v>
      </c>
      <c r="F548" s="40" t="n">
        <v>2</v>
      </c>
      <c r="G548" s="43" t="n">
        <v>3.217</v>
      </c>
      <c r="H548" s="40" t="n">
        <v>36</v>
      </c>
      <c r="I548" s="40" t="n">
        <v>5</v>
      </c>
      <c r="J548" s="44" t="n">
        <v>0.92</v>
      </c>
      <c r="K548" s="44" t="n">
        <v>1</v>
      </c>
      <c r="L548" s="6" t="s">
        <v>416</v>
      </c>
      <c r="M548" s="6"/>
    </row>
    <row r="549" customFormat="false" ht="15" hidden="false" customHeight="false" outlineLevel="0" collapsed="false">
      <c r="A549" s="6" t="s">
        <v>158</v>
      </c>
      <c r="B549" s="7" t="n">
        <f aca="false">IF(A549="","",IFERROR(MATCH(A549,Lists!$A$2:$A$37,0),""))</f>
        <v>31</v>
      </c>
      <c r="C549" s="6" t="s">
        <v>352</v>
      </c>
      <c r="D549" s="6" t="s">
        <v>405</v>
      </c>
      <c r="E549" s="40" t="n">
        <v>19</v>
      </c>
      <c r="F549" s="40" t="n">
        <v>7</v>
      </c>
      <c r="G549" s="43" t="n">
        <v>3.273</v>
      </c>
      <c r="H549" s="40" t="n">
        <v>33</v>
      </c>
      <c r="I549" s="40" t="n">
        <v>4</v>
      </c>
      <c r="J549" s="44" t="n">
        <v>0.86</v>
      </c>
      <c r="K549" s="44" t="n">
        <v>1</v>
      </c>
      <c r="L549" s="6" t="s">
        <v>416</v>
      </c>
      <c r="M549" s="6"/>
    </row>
    <row r="550" customFormat="false" ht="15" hidden="false" customHeight="false" outlineLevel="0" collapsed="false">
      <c r="A550" s="6" t="s">
        <v>158</v>
      </c>
      <c r="B550" s="7" t="n">
        <f aca="false">IF(A550="","",IFERROR(MATCH(A550,Lists!$A$2:$A$37,0),""))</f>
        <v>31</v>
      </c>
      <c r="C550" s="6" t="s">
        <v>352</v>
      </c>
      <c r="D550" s="6" t="s">
        <v>406</v>
      </c>
      <c r="E550" s="40" t="n">
        <v>24</v>
      </c>
      <c r="F550" s="40" t="n">
        <v>4</v>
      </c>
      <c r="G550" s="43" t="n">
        <v>3.427</v>
      </c>
      <c r="H550" s="40" t="n">
        <v>21</v>
      </c>
      <c r="I550" s="40" t="n">
        <v>3</v>
      </c>
      <c r="J550" s="44" t="n">
        <v>1</v>
      </c>
      <c r="K550" s="44" t="n">
        <v>0.8</v>
      </c>
      <c r="L550" s="6" t="s">
        <v>416</v>
      </c>
      <c r="M550" s="6"/>
    </row>
    <row r="551" customFormat="false" ht="15" hidden="false" customHeight="false" outlineLevel="0" collapsed="false">
      <c r="A551" s="6" t="s">
        <v>158</v>
      </c>
      <c r="B551" s="7" t="n">
        <f aca="false">IF(A551="","",IFERROR(MATCH(A551,Lists!$A$2:$A$37,0),""))</f>
        <v>31</v>
      </c>
      <c r="C551" s="6" t="s">
        <v>352</v>
      </c>
      <c r="D551" s="6" t="s">
        <v>407</v>
      </c>
      <c r="E551" s="40" t="n">
        <v>21</v>
      </c>
      <c r="F551" s="40" t="n">
        <v>6</v>
      </c>
      <c r="G551" s="43" t="n">
        <v>3.075</v>
      </c>
      <c r="H551" s="40" t="n">
        <v>40</v>
      </c>
      <c r="I551" s="40" t="n">
        <v>6</v>
      </c>
      <c r="J551" s="44" t="n">
        <v>1.15</v>
      </c>
      <c r="K551" s="44" t="n">
        <v>0.67</v>
      </c>
      <c r="L551" s="6" t="s">
        <v>416</v>
      </c>
      <c r="M551" s="6"/>
    </row>
    <row r="552" customFormat="false" ht="15" hidden="false" customHeight="false" outlineLevel="0" collapsed="false">
      <c r="A552" s="6" t="s">
        <v>158</v>
      </c>
      <c r="B552" s="7" t="n">
        <f aca="false">IF(A552="","",IFERROR(MATCH(A552,Lists!$A$2:$A$37,0),""))</f>
        <v>31</v>
      </c>
      <c r="C552" s="6" t="s">
        <v>352</v>
      </c>
      <c r="D552" s="6" t="s">
        <v>408</v>
      </c>
      <c r="E552" s="40" t="n">
        <v>7</v>
      </c>
      <c r="F552" s="40" t="n">
        <v>0</v>
      </c>
      <c r="G552" s="43" t="n">
        <v>2.744</v>
      </c>
      <c r="H552" s="40" t="n">
        <v>50</v>
      </c>
      <c r="I552" s="40" t="n">
        <v>9</v>
      </c>
      <c r="J552" s="44" t="n">
        <v>1</v>
      </c>
      <c r="K552" s="44" t="n">
        <v>0</v>
      </c>
      <c r="L552" s="6" t="s">
        <v>416</v>
      </c>
      <c r="M552" s="6"/>
    </row>
    <row r="553" customFormat="false" ht="15" hidden="false" customHeight="false" outlineLevel="0" collapsed="false">
      <c r="A553" s="6" t="s">
        <v>158</v>
      </c>
      <c r="B553" s="7" t="n">
        <f aca="false">IF(A553="","",IFERROR(MATCH(A553,Lists!$A$2:$A$37,0),""))</f>
        <v>31</v>
      </c>
      <c r="C553" s="6" t="s">
        <v>352</v>
      </c>
      <c r="D553" s="6" t="s">
        <v>409</v>
      </c>
      <c r="E553" s="40" t="n">
        <v>18</v>
      </c>
      <c r="F553" s="40" t="n">
        <v>3</v>
      </c>
      <c r="G553" s="43" t="n">
        <v>2.752</v>
      </c>
      <c r="H553" s="40" t="n">
        <v>49</v>
      </c>
      <c r="I553" s="40" t="n">
        <v>8</v>
      </c>
      <c r="J553" s="44" t="n">
        <v>1</v>
      </c>
      <c r="K553" s="44" t="n">
        <v>1</v>
      </c>
      <c r="L553" s="6" t="s">
        <v>416</v>
      </c>
      <c r="M553" s="6"/>
    </row>
    <row r="554" customFormat="false" ht="15" hidden="false" customHeight="false" outlineLevel="0" collapsed="false">
      <c r="A554" s="6" t="s">
        <v>158</v>
      </c>
      <c r="B554" s="7" t="n">
        <f aca="false">IF(A554="","",IFERROR(MATCH(A554,Lists!$A$2:$A$37,0),""))</f>
        <v>31</v>
      </c>
      <c r="C554" s="6" t="s">
        <v>352</v>
      </c>
      <c r="D554" s="6" t="s">
        <v>410</v>
      </c>
      <c r="E554" s="40" t="n">
        <v>17</v>
      </c>
      <c r="F554" s="40" t="n">
        <v>7</v>
      </c>
      <c r="G554" s="43" t="n">
        <v>3.515</v>
      </c>
      <c r="H554" s="40" t="n">
        <v>15</v>
      </c>
      <c r="I554" s="40" t="n">
        <v>2</v>
      </c>
      <c r="J554" s="44" t="n">
        <v>1</v>
      </c>
      <c r="K554" s="44" t="n">
        <v>1</v>
      </c>
      <c r="L554" s="6" t="s">
        <v>416</v>
      </c>
      <c r="M554" s="6"/>
    </row>
    <row r="555" customFormat="false" ht="15" hidden="false" customHeight="false" outlineLevel="0" collapsed="false">
      <c r="A555" s="6" t="s">
        <v>158</v>
      </c>
      <c r="B555" s="7" t="n">
        <f aca="false">IF(A555="","",IFERROR(MATCH(A555,Lists!$A$2:$A$37,0),""))</f>
        <v>31</v>
      </c>
      <c r="C555" s="6" t="s">
        <v>352</v>
      </c>
      <c r="D555" s="6" t="s">
        <v>411</v>
      </c>
      <c r="E555" s="40" t="n">
        <v>6</v>
      </c>
      <c r="F555" s="40" t="n">
        <v>0</v>
      </c>
      <c r="G555" s="43" t="n">
        <v>3.569</v>
      </c>
      <c r="H555" s="40" t="n">
        <v>11</v>
      </c>
      <c r="I555" s="40" t="n">
        <v>1</v>
      </c>
      <c r="J555" s="44" t="n">
        <v>0.86</v>
      </c>
      <c r="K555" s="44"/>
      <c r="L555" s="6" t="s">
        <v>416</v>
      </c>
      <c r="M555" s="6"/>
    </row>
    <row r="556" customFormat="false" ht="15" hidden="false" customHeight="false" outlineLevel="0" collapsed="false">
      <c r="A556" s="6" t="s">
        <v>158</v>
      </c>
      <c r="B556" s="7" t="n">
        <f aca="false">IF(A556="","",IFERROR(MATCH(A556,Lists!$A$2:$A$37,0),""))</f>
        <v>31</v>
      </c>
      <c r="C556" s="6" t="s">
        <v>363</v>
      </c>
      <c r="D556" s="6" t="s">
        <v>412</v>
      </c>
      <c r="E556" s="40" t="n">
        <v>5</v>
      </c>
      <c r="F556" s="40" t="n">
        <v>0</v>
      </c>
      <c r="G556" s="43" t="n">
        <v>3.401</v>
      </c>
      <c r="H556" s="40" t="n">
        <v>24</v>
      </c>
      <c r="I556" s="40" t="n">
        <v>1</v>
      </c>
      <c r="J556" s="44" t="n">
        <v>1</v>
      </c>
      <c r="K556" s="44"/>
      <c r="L556" s="6" t="s">
        <v>416</v>
      </c>
      <c r="M556" s="6"/>
    </row>
    <row r="557" customFormat="false" ht="15" hidden="false" customHeight="false" outlineLevel="0" collapsed="false">
      <c r="A557" s="6" t="s">
        <v>158</v>
      </c>
      <c r="B557" s="7" t="n">
        <f aca="false">IF(A557="","",IFERROR(MATCH(A557,Lists!$A$2:$A$37,0),""))</f>
        <v>31</v>
      </c>
      <c r="C557" s="6" t="s">
        <v>363</v>
      </c>
      <c r="D557" s="6" t="s">
        <v>413</v>
      </c>
      <c r="E557" s="40" t="n">
        <v>3</v>
      </c>
      <c r="F557" s="40" t="n">
        <v>0</v>
      </c>
      <c r="G557" s="43"/>
      <c r="H557" s="40"/>
      <c r="I557" s="40"/>
      <c r="J557" s="44" t="n">
        <v>1</v>
      </c>
      <c r="K557" s="44"/>
      <c r="L557" s="6" t="s">
        <v>416</v>
      </c>
      <c r="M557" s="6"/>
    </row>
    <row r="558" customFormat="false" ht="15" hidden="false" customHeight="false" outlineLevel="0" collapsed="false">
      <c r="A558" s="6" t="s">
        <v>158</v>
      </c>
      <c r="B558" s="7" t="n">
        <f aca="false">IF(A558="","",IFERROR(MATCH(A558,Lists!$A$2:$A$37,0),""))</f>
        <v>31</v>
      </c>
      <c r="C558" s="6" t="s">
        <v>363</v>
      </c>
      <c r="D558" s="6" t="s">
        <v>414</v>
      </c>
      <c r="E558" s="40" t="n">
        <v>3</v>
      </c>
      <c r="F558" s="40" t="n">
        <v>0</v>
      </c>
      <c r="G558" s="43"/>
      <c r="H558" s="40"/>
      <c r="I558" s="40"/>
      <c r="J558" s="44" t="n">
        <v>1</v>
      </c>
      <c r="K558" s="44"/>
      <c r="L558" s="6" t="s">
        <v>416</v>
      </c>
      <c r="M558" s="6"/>
    </row>
    <row r="559" customFormat="false" ht="15" hidden="false" customHeight="false" outlineLevel="0" collapsed="false">
      <c r="A559" s="6" t="s">
        <v>158</v>
      </c>
      <c r="B559" s="7" t="n">
        <f aca="false">IF(A559="","",IFERROR(MATCH(A559,Lists!$A$2:$A$37,0),""))</f>
        <v>31</v>
      </c>
      <c r="C559" s="6" t="s">
        <v>363</v>
      </c>
      <c r="D559" s="6" t="s">
        <v>415</v>
      </c>
      <c r="E559" s="40" t="n">
        <v>2</v>
      </c>
      <c r="F559" s="40" t="n">
        <v>0</v>
      </c>
      <c r="G559" s="43"/>
      <c r="H559" s="40"/>
      <c r="I559" s="40"/>
      <c r="J559" s="44" t="n">
        <v>1</v>
      </c>
      <c r="K559" s="44"/>
      <c r="L559" s="6" t="s">
        <v>416</v>
      </c>
      <c r="M559" s="6"/>
    </row>
    <row r="560" customFormat="false" ht="15" hidden="false" customHeight="false" outlineLevel="0" collapsed="false">
      <c r="A560" s="6" t="s">
        <v>158</v>
      </c>
      <c r="B560" s="7" t="n">
        <f aca="false">IF(A560="","",IFERROR(MATCH(A560,Lists!$A$2:$A$37,0),""))</f>
        <v>31</v>
      </c>
      <c r="C560" s="6" t="s">
        <v>372</v>
      </c>
      <c r="D560" s="6" t="s">
        <v>373</v>
      </c>
      <c r="E560" s="40" t="n">
        <v>192</v>
      </c>
      <c r="F560" s="40" t="n">
        <v>66</v>
      </c>
      <c r="G560" s="43" t="n">
        <v>3.353</v>
      </c>
      <c r="H560" s="40" t="n">
        <v>27</v>
      </c>
      <c r="I560" s="40" t="n">
        <v>15</v>
      </c>
      <c r="J560" s="44" t="n">
        <v>0.98</v>
      </c>
      <c r="K560" s="44" t="n">
        <v>0.94</v>
      </c>
      <c r="L560" s="6" t="s">
        <v>416</v>
      </c>
      <c r="M560" s="6"/>
    </row>
    <row r="561" customFormat="false" ht="15" hidden="false" customHeight="false" outlineLevel="0" collapsed="false">
      <c r="A561" s="6" t="s">
        <v>158</v>
      </c>
      <c r="B561" s="7" t="n">
        <f aca="false">IF(A561="","",IFERROR(MATCH(A561,Lists!$A$2:$A$37,0),""))</f>
        <v>31</v>
      </c>
      <c r="C561" s="6" t="s">
        <v>372</v>
      </c>
      <c r="D561" s="6" t="s">
        <v>401</v>
      </c>
      <c r="E561" s="40" t="n">
        <v>43</v>
      </c>
      <c r="F561" s="40" t="n">
        <v>9</v>
      </c>
      <c r="G561" s="43" t="n">
        <v>3.416</v>
      </c>
      <c r="H561" s="40" t="n">
        <v>23</v>
      </c>
      <c r="I561" s="40" t="n">
        <v>13</v>
      </c>
      <c r="J561" s="44" t="n">
        <v>0.97</v>
      </c>
      <c r="K561" s="44" t="n">
        <v>0.69</v>
      </c>
      <c r="L561" s="6" t="s">
        <v>416</v>
      </c>
      <c r="M561" s="6"/>
    </row>
    <row r="562" customFormat="false" ht="15" hidden="false" customHeight="false" outlineLevel="0" collapsed="false">
      <c r="A562" s="6" t="s">
        <v>158</v>
      </c>
      <c r="B562" s="7" t="n">
        <f aca="false">IF(A562="","",IFERROR(MATCH(A562,Lists!$A$2:$A$37,0),""))</f>
        <v>31</v>
      </c>
      <c r="C562" s="6" t="s">
        <v>372</v>
      </c>
      <c r="D562" s="6" t="s">
        <v>374</v>
      </c>
      <c r="E562" s="40" t="n">
        <v>180</v>
      </c>
      <c r="F562" s="40" t="n">
        <v>67</v>
      </c>
      <c r="G562" s="43" t="n">
        <v>3.387</v>
      </c>
      <c r="H562" s="40" t="n">
        <v>25</v>
      </c>
      <c r="I562" s="40" t="n">
        <v>14</v>
      </c>
      <c r="J562" s="44" t="n">
        <v>0.99</v>
      </c>
      <c r="K562" s="44" t="n">
        <v>0.92</v>
      </c>
      <c r="L562" s="6" t="s">
        <v>416</v>
      </c>
      <c r="M562" s="6"/>
    </row>
    <row r="563" customFormat="false" ht="15" hidden="false" customHeight="false" outlineLevel="0" collapsed="false">
      <c r="A563" s="6" t="s">
        <v>158</v>
      </c>
      <c r="B563" s="7" t="n">
        <f aca="false">IF(A563="","",IFERROR(MATCH(A563,Lists!$A$2:$A$37,0),""))</f>
        <v>31</v>
      </c>
      <c r="C563" s="6" t="s">
        <v>372</v>
      </c>
      <c r="D563" s="6" t="s">
        <v>375</v>
      </c>
      <c r="E563" s="40" t="n">
        <v>199</v>
      </c>
      <c r="F563" s="40" t="n">
        <v>58</v>
      </c>
      <c r="G563" s="43" t="n">
        <v>3.582</v>
      </c>
      <c r="H563" s="40" t="n">
        <v>10</v>
      </c>
      <c r="I563" s="40" t="n">
        <v>7</v>
      </c>
      <c r="J563" s="44" t="n">
        <v>0.99</v>
      </c>
      <c r="K563" s="44" t="n">
        <v>0.95</v>
      </c>
      <c r="L563" s="6" t="s">
        <v>416</v>
      </c>
      <c r="M563" s="6"/>
    </row>
    <row r="564" customFormat="false" ht="15" hidden="false" customHeight="false" outlineLevel="0" collapsed="false">
      <c r="A564" s="6" t="s">
        <v>158</v>
      </c>
      <c r="B564" s="7" t="n">
        <f aca="false">IF(A564="","",IFERROR(MATCH(A564,Lists!$A$2:$A$37,0),""))</f>
        <v>31</v>
      </c>
      <c r="C564" s="6" t="s">
        <v>372</v>
      </c>
      <c r="D564" s="6" t="s">
        <v>376</v>
      </c>
      <c r="E564" s="40" t="n">
        <v>191</v>
      </c>
      <c r="F564" s="40" t="n">
        <v>54</v>
      </c>
      <c r="G564" s="43" t="n">
        <v>3.426</v>
      </c>
      <c r="H564" s="40" t="n">
        <v>22</v>
      </c>
      <c r="I564" s="40" t="n">
        <v>12</v>
      </c>
      <c r="J564" s="44" t="n">
        <v>0.97</v>
      </c>
      <c r="K564" s="44" t="n">
        <v>0.9</v>
      </c>
      <c r="L564" s="6" t="s">
        <v>416</v>
      </c>
      <c r="M564" s="6"/>
    </row>
    <row r="565" customFormat="false" ht="15" hidden="false" customHeight="false" outlineLevel="0" collapsed="false">
      <c r="A565" s="6" t="s">
        <v>158</v>
      </c>
      <c r="B565" s="7" t="n">
        <f aca="false">IF(A565="","",IFERROR(MATCH(A565,Lists!$A$2:$A$37,0),""))</f>
        <v>31</v>
      </c>
      <c r="C565" s="6" t="s">
        <v>372</v>
      </c>
      <c r="D565" s="6" t="s">
        <v>377</v>
      </c>
      <c r="E565" s="40" t="n">
        <v>192</v>
      </c>
      <c r="F565" s="40" t="n">
        <v>66</v>
      </c>
      <c r="G565" s="43" t="n">
        <v>3.758</v>
      </c>
      <c r="H565" s="40" t="n">
        <v>1</v>
      </c>
      <c r="I565" s="40" t="n">
        <v>1</v>
      </c>
      <c r="J565" s="44" t="n">
        <v>0.98</v>
      </c>
      <c r="K565" s="44" t="n">
        <v>1</v>
      </c>
      <c r="L565" s="6" t="s">
        <v>416</v>
      </c>
      <c r="M565" s="6"/>
    </row>
    <row r="566" customFormat="false" ht="15" hidden="false" customHeight="false" outlineLevel="0" collapsed="false">
      <c r="A566" s="6" t="s">
        <v>158</v>
      </c>
      <c r="B566" s="7" t="n">
        <f aca="false">IF(A566="","",IFERROR(MATCH(A566,Lists!$A$2:$A$37,0),""))</f>
        <v>31</v>
      </c>
      <c r="C566" s="6" t="s">
        <v>372</v>
      </c>
      <c r="D566" s="6" t="s">
        <v>378</v>
      </c>
      <c r="E566" s="40" t="n">
        <v>180</v>
      </c>
      <c r="F566" s="40" t="n">
        <v>88</v>
      </c>
      <c r="G566" s="43" t="n">
        <v>3.224</v>
      </c>
      <c r="H566" s="40" t="n">
        <v>35</v>
      </c>
      <c r="I566" s="40" t="n">
        <v>16</v>
      </c>
      <c r="J566" s="44" t="n">
        <v>0.99</v>
      </c>
      <c r="K566" s="44" t="n">
        <v>0.91</v>
      </c>
      <c r="L566" s="6" t="s">
        <v>416</v>
      </c>
      <c r="M566" s="6"/>
    </row>
    <row r="567" customFormat="false" ht="15" hidden="false" customHeight="false" outlineLevel="0" collapsed="false">
      <c r="A567" s="6" t="s">
        <v>158</v>
      </c>
      <c r="B567" s="7" t="n">
        <f aca="false">IF(A567="","",IFERROR(MATCH(A567,Lists!$A$2:$A$37,0),""))</f>
        <v>31</v>
      </c>
      <c r="C567" s="6" t="s">
        <v>372</v>
      </c>
      <c r="D567" s="6" t="s">
        <v>379</v>
      </c>
      <c r="E567" s="40" t="n">
        <v>192</v>
      </c>
      <c r="F567" s="40" t="n">
        <v>61</v>
      </c>
      <c r="G567" s="43" t="n">
        <v>3.613</v>
      </c>
      <c r="H567" s="40" t="n">
        <v>5</v>
      </c>
      <c r="I567" s="40" t="n">
        <v>3</v>
      </c>
      <c r="J567" s="44" t="n">
        <v>0.98</v>
      </c>
      <c r="K567" s="44" t="n">
        <v>1</v>
      </c>
      <c r="L567" s="6" t="s">
        <v>416</v>
      </c>
      <c r="M567" s="6"/>
    </row>
    <row r="568" customFormat="false" ht="15" hidden="false" customHeight="false" outlineLevel="0" collapsed="false">
      <c r="A568" s="6" t="s">
        <v>158</v>
      </c>
      <c r="B568" s="7" t="n">
        <f aca="false">IF(A568="","",IFERROR(MATCH(A568,Lists!$A$2:$A$37,0),""))</f>
        <v>31</v>
      </c>
      <c r="C568" s="6" t="s">
        <v>372</v>
      </c>
      <c r="D568" s="6" t="s">
        <v>380</v>
      </c>
      <c r="E568" s="40" t="n">
        <v>191</v>
      </c>
      <c r="F568" s="40" t="n">
        <v>70</v>
      </c>
      <c r="G568" s="43" t="n">
        <v>3.67</v>
      </c>
      <c r="H568" s="40" t="n">
        <v>2</v>
      </c>
      <c r="I568" s="40" t="n">
        <v>2</v>
      </c>
      <c r="J568" s="44" t="n">
        <v>1</v>
      </c>
      <c r="K568" s="44" t="n">
        <v>0.95</v>
      </c>
      <c r="L568" s="6" t="s">
        <v>416</v>
      </c>
      <c r="M568" s="6"/>
    </row>
    <row r="569" customFormat="false" ht="15" hidden="false" customHeight="false" outlineLevel="0" collapsed="false">
      <c r="A569" s="6" t="s">
        <v>158</v>
      </c>
      <c r="B569" s="7" t="n">
        <f aca="false">IF(A569="","",IFERROR(MATCH(A569,Lists!$A$2:$A$37,0),""))</f>
        <v>31</v>
      </c>
      <c r="C569" s="6" t="s">
        <v>372</v>
      </c>
      <c r="D569" s="6" t="s">
        <v>381</v>
      </c>
      <c r="E569" s="40" t="n">
        <v>183</v>
      </c>
      <c r="F569" s="40" t="n">
        <v>56</v>
      </c>
      <c r="G569" s="43" t="n">
        <v>3.59</v>
      </c>
      <c r="H569" s="40" t="n">
        <v>9</v>
      </c>
      <c r="I569" s="40" t="n">
        <v>6</v>
      </c>
      <c r="J569" s="44" t="n">
        <v>0.99</v>
      </c>
      <c r="K569" s="44" t="n">
        <v>0.98</v>
      </c>
      <c r="L569" s="6" t="s">
        <v>416</v>
      </c>
      <c r="M569" s="6"/>
    </row>
    <row r="570" customFormat="false" ht="15" hidden="false" customHeight="false" outlineLevel="0" collapsed="false">
      <c r="A570" s="6" t="s">
        <v>158</v>
      </c>
      <c r="B570" s="7" t="n">
        <f aca="false">IF(A570="","",IFERROR(MATCH(A570,Lists!$A$2:$A$37,0),""))</f>
        <v>31</v>
      </c>
      <c r="C570" s="6" t="s">
        <v>372</v>
      </c>
      <c r="D570" s="6" t="s">
        <v>382</v>
      </c>
      <c r="E570" s="40" t="n">
        <v>185</v>
      </c>
      <c r="F570" s="40" t="n">
        <v>57</v>
      </c>
      <c r="G570" s="43" t="n">
        <v>3.593</v>
      </c>
      <c r="H570" s="40" t="n">
        <v>8</v>
      </c>
      <c r="I570" s="40" t="n">
        <v>5</v>
      </c>
      <c r="J570" s="44" t="n">
        <v>0.98</v>
      </c>
      <c r="K570" s="44" t="n">
        <v>0.88</v>
      </c>
      <c r="L570" s="6" t="s">
        <v>416</v>
      </c>
      <c r="M570" s="6"/>
    </row>
    <row r="571" customFormat="false" ht="15" hidden="false" customHeight="false" outlineLevel="0" collapsed="false">
      <c r="A571" s="6" t="s">
        <v>158</v>
      </c>
      <c r="B571" s="7" t="n">
        <f aca="false">IF(A571="","",IFERROR(MATCH(A571,Lists!$A$2:$A$37,0),""))</f>
        <v>31</v>
      </c>
      <c r="C571" s="6" t="s">
        <v>372</v>
      </c>
      <c r="D571" s="6" t="s">
        <v>383</v>
      </c>
      <c r="E571" s="40" t="n">
        <v>187</v>
      </c>
      <c r="F571" s="40" t="n">
        <v>61</v>
      </c>
      <c r="G571" s="43" t="n">
        <v>3.598</v>
      </c>
      <c r="H571" s="40" t="n">
        <v>7</v>
      </c>
      <c r="I571" s="40" t="n">
        <v>4</v>
      </c>
      <c r="J571" s="44" t="n">
        <v>0.93</v>
      </c>
      <c r="K571" s="44" t="n">
        <v>0.97</v>
      </c>
      <c r="L571" s="6" t="s">
        <v>416</v>
      </c>
      <c r="M571" s="6"/>
    </row>
    <row r="572" customFormat="false" ht="15" hidden="false" customHeight="false" outlineLevel="0" collapsed="false">
      <c r="A572" s="6" t="s">
        <v>158</v>
      </c>
      <c r="B572" s="7" t="n">
        <f aca="false">IF(A572="","",IFERROR(MATCH(A572,Lists!$A$2:$A$37,0),""))</f>
        <v>31</v>
      </c>
      <c r="C572" s="6" t="s">
        <v>372</v>
      </c>
      <c r="D572" s="6" t="s">
        <v>384</v>
      </c>
      <c r="E572" s="40" t="n">
        <v>60</v>
      </c>
      <c r="F572" s="40" t="n">
        <v>14</v>
      </c>
      <c r="G572" s="43" t="n">
        <v>3.462</v>
      </c>
      <c r="H572" s="40" t="n">
        <v>17</v>
      </c>
      <c r="I572" s="40" t="n">
        <v>11</v>
      </c>
      <c r="J572" s="44" t="n">
        <v>0.94</v>
      </c>
      <c r="K572" s="44" t="n">
        <v>0.93</v>
      </c>
      <c r="L572" s="6" t="s">
        <v>416</v>
      </c>
      <c r="M572" s="6"/>
    </row>
    <row r="573" customFormat="false" ht="15" hidden="false" customHeight="false" outlineLevel="0" collapsed="false">
      <c r="A573" s="6" t="s">
        <v>158</v>
      </c>
      <c r="B573" s="7" t="n">
        <f aca="false">IF(A573="","",IFERROR(MATCH(A573,Lists!$A$2:$A$37,0),""))</f>
        <v>31</v>
      </c>
      <c r="C573" s="6" t="s">
        <v>372</v>
      </c>
      <c r="D573" s="6" t="s">
        <v>385</v>
      </c>
      <c r="E573" s="40" t="n">
        <v>23</v>
      </c>
      <c r="F573" s="40" t="n">
        <v>9</v>
      </c>
      <c r="G573" s="43" t="n">
        <v>3.544</v>
      </c>
      <c r="H573" s="40" t="n">
        <v>14</v>
      </c>
      <c r="I573" s="40" t="n">
        <v>9</v>
      </c>
      <c r="J573" s="44" t="n">
        <v>1</v>
      </c>
      <c r="K573" s="44" t="n">
        <v>1</v>
      </c>
      <c r="L573" s="6" t="s">
        <v>416</v>
      </c>
      <c r="M573" s="6"/>
    </row>
    <row r="574" customFormat="false" ht="15" hidden="false" customHeight="false" outlineLevel="0" collapsed="false">
      <c r="A574" s="6" t="s">
        <v>158</v>
      </c>
      <c r="B574" s="7" t="n">
        <f aca="false">IF(A574="","",IFERROR(MATCH(A574,Lists!$A$2:$A$37,0),""))</f>
        <v>31</v>
      </c>
      <c r="C574" s="6" t="s">
        <v>372</v>
      </c>
      <c r="D574" s="6" t="s">
        <v>386</v>
      </c>
      <c r="E574" s="40" t="n">
        <v>198</v>
      </c>
      <c r="F574" s="40" t="n">
        <v>60</v>
      </c>
      <c r="G574" s="43" t="n">
        <v>3.567</v>
      </c>
      <c r="H574" s="40" t="n">
        <v>12</v>
      </c>
      <c r="I574" s="40" t="n">
        <v>8</v>
      </c>
      <c r="J574" s="44" t="n">
        <v>1</v>
      </c>
      <c r="K574" s="44" t="n">
        <v>0.92</v>
      </c>
      <c r="L574" s="6" t="s">
        <v>416</v>
      </c>
      <c r="M574" s="6"/>
    </row>
    <row r="575" customFormat="false" ht="15" hidden="false" customHeight="false" outlineLevel="0" collapsed="false">
      <c r="A575" s="6" t="s">
        <v>158</v>
      </c>
      <c r="B575" s="7" t="n">
        <f aca="false">IF(A575="","",IFERROR(MATCH(A575,Lists!$A$2:$A$37,0),""))</f>
        <v>31</v>
      </c>
      <c r="C575" s="6" t="s">
        <v>372</v>
      </c>
      <c r="D575" s="6" t="s">
        <v>387</v>
      </c>
      <c r="E575" s="40" t="n">
        <v>68</v>
      </c>
      <c r="F575" s="40" t="n">
        <v>21</v>
      </c>
      <c r="G575" s="43" t="n">
        <v>3.512</v>
      </c>
      <c r="H575" s="40" t="n">
        <v>15</v>
      </c>
      <c r="I575" s="40" t="n">
        <v>10</v>
      </c>
      <c r="J575" s="44" t="n">
        <v>0.89</v>
      </c>
      <c r="K575" s="44" t="n">
        <v>1</v>
      </c>
      <c r="L575" s="6" t="s">
        <v>416</v>
      </c>
      <c r="M575" s="6"/>
    </row>
    <row r="576" customFormat="false" ht="15" hidden="false" customHeight="false" outlineLevel="0" collapsed="false">
      <c r="A576" s="6" t="s">
        <v>159</v>
      </c>
      <c r="B576" s="7" t="n">
        <f aca="false">IF(A576="","",IFERROR(MATCH(A576,Lists!$A$2:$A$37,0),""))</f>
        <v>32</v>
      </c>
      <c r="C576" s="6" t="s">
        <v>286</v>
      </c>
      <c r="D576" s="6" t="s">
        <v>290</v>
      </c>
      <c r="E576" s="40" t="n">
        <v>33</v>
      </c>
      <c r="F576" s="40" t="n">
        <v>1</v>
      </c>
      <c r="G576" s="43" t="n">
        <v>3.121</v>
      </c>
      <c r="H576" s="40" t="n">
        <v>39</v>
      </c>
      <c r="I576" s="40" t="n">
        <v>18</v>
      </c>
      <c r="J576" s="44" t="n">
        <v>0.94</v>
      </c>
      <c r="K576" s="44" t="n">
        <v>0.5</v>
      </c>
      <c r="L576" s="6" t="s">
        <v>417</v>
      </c>
      <c r="M576" s="6"/>
    </row>
    <row r="577" customFormat="false" ht="15" hidden="false" customHeight="false" outlineLevel="0" collapsed="false">
      <c r="A577" s="6" t="s">
        <v>159</v>
      </c>
      <c r="B577" s="7" t="n">
        <f aca="false">IF(A577="","",IFERROR(MATCH(A577,Lists!$A$2:$A$37,0),""))</f>
        <v>32</v>
      </c>
      <c r="C577" s="6" t="s">
        <v>286</v>
      </c>
      <c r="D577" s="6" t="s">
        <v>293</v>
      </c>
      <c r="E577" s="40" t="n">
        <v>92</v>
      </c>
      <c r="F577" s="40" t="n">
        <v>2</v>
      </c>
      <c r="G577" s="43" t="n">
        <v>3.421</v>
      </c>
      <c r="H577" s="40" t="n">
        <v>22</v>
      </c>
      <c r="I577" s="40" t="n">
        <v>10</v>
      </c>
      <c r="J577" s="44" t="n">
        <v>0.99</v>
      </c>
      <c r="K577" s="44" t="n">
        <v>1</v>
      </c>
      <c r="L577" s="6" t="s">
        <v>417</v>
      </c>
      <c r="M577" s="6"/>
    </row>
    <row r="578" customFormat="false" ht="15" hidden="false" customHeight="false" outlineLevel="0" collapsed="false">
      <c r="A578" s="6" t="s">
        <v>159</v>
      </c>
      <c r="B578" s="7" t="n">
        <f aca="false">IF(A578="","",IFERROR(MATCH(A578,Lists!$A$2:$A$37,0),""))</f>
        <v>32</v>
      </c>
      <c r="C578" s="6" t="s">
        <v>286</v>
      </c>
      <c r="D578" s="6" t="s">
        <v>294</v>
      </c>
      <c r="E578" s="40" t="n">
        <v>88</v>
      </c>
      <c r="F578" s="40" t="n">
        <v>4</v>
      </c>
      <c r="G578" s="43" t="n">
        <v>3.454</v>
      </c>
      <c r="H578" s="40" t="n">
        <v>20</v>
      </c>
      <c r="I578" s="40" t="n">
        <v>8</v>
      </c>
      <c r="J578" s="44" t="n">
        <v>0.92</v>
      </c>
      <c r="K578" s="44" t="n">
        <v>1</v>
      </c>
      <c r="L578" s="6" t="s">
        <v>417</v>
      </c>
      <c r="M578" s="6"/>
    </row>
    <row r="579" customFormat="false" ht="15" hidden="false" customHeight="false" outlineLevel="0" collapsed="false">
      <c r="A579" s="6" t="s">
        <v>159</v>
      </c>
      <c r="B579" s="7" t="n">
        <f aca="false">IF(A579="","",IFERROR(MATCH(A579,Lists!$A$2:$A$37,0),""))</f>
        <v>32</v>
      </c>
      <c r="C579" s="6" t="s">
        <v>286</v>
      </c>
      <c r="D579" s="6" t="s">
        <v>295</v>
      </c>
      <c r="E579" s="40" t="n">
        <v>142</v>
      </c>
      <c r="F579" s="40" t="n">
        <v>4</v>
      </c>
      <c r="G579" s="43" t="n">
        <v>3.296</v>
      </c>
      <c r="H579" s="40" t="n">
        <v>31</v>
      </c>
      <c r="I579" s="40" t="n">
        <v>14</v>
      </c>
      <c r="J579" s="44" t="n">
        <v>0.97</v>
      </c>
      <c r="K579" s="44" t="n">
        <v>1</v>
      </c>
      <c r="L579" s="6" t="s">
        <v>417</v>
      </c>
      <c r="M579" s="6"/>
    </row>
    <row r="580" customFormat="false" ht="15" hidden="false" customHeight="false" outlineLevel="0" collapsed="false">
      <c r="A580" s="6" t="s">
        <v>159</v>
      </c>
      <c r="B580" s="7" t="n">
        <f aca="false">IF(A580="","",IFERROR(MATCH(A580,Lists!$A$2:$A$37,0),""))</f>
        <v>32</v>
      </c>
      <c r="C580" s="6" t="s">
        <v>286</v>
      </c>
      <c r="D580" s="6" t="s">
        <v>296</v>
      </c>
      <c r="E580" s="40" t="n">
        <v>15</v>
      </c>
      <c r="F580" s="40" t="n">
        <v>0</v>
      </c>
      <c r="G580" s="43" t="n">
        <v>3.494</v>
      </c>
      <c r="H580" s="40" t="n">
        <v>16</v>
      </c>
      <c r="I580" s="40" t="n">
        <v>6</v>
      </c>
      <c r="J580" s="44" t="n">
        <v>1</v>
      </c>
      <c r="K580" s="44"/>
      <c r="L580" s="6" t="s">
        <v>417</v>
      </c>
      <c r="M580" s="6"/>
    </row>
    <row r="581" customFormat="false" ht="15" hidden="false" customHeight="false" outlineLevel="0" collapsed="false">
      <c r="A581" s="6" t="s">
        <v>159</v>
      </c>
      <c r="B581" s="7" t="n">
        <f aca="false">IF(A581="","",IFERROR(MATCH(A581,Lists!$A$2:$A$37,0),""))</f>
        <v>32</v>
      </c>
      <c r="C581" s="6" t="s">
        <v>286</v>
      </c>
      <c r="D581" s="6" t="s">
        <v>297</v>
      </c>
      <c r="E581" s="40" t="n">
        <v>119</v>
      </c>
      <c r="F581" s="40" t="n">
        <v>0</v>
      </c>
      <c r="G581" s="43" t="n">
        <v>3.607</v>
      </c>
      <c r="H581" s="40" t="n">
        <v>5</v>
      </c>
      <c r="I581" s="40" t="n">
        <v>3</v>
      </c>
      <c r="J581" s="44" t="n">
        <v>0.97</v>
      </c>
      <c r="K581" s="44"/>
      <c r="L581" s="6" t="s">
        <v>417</v>
      </c>
      <c r="M581" s="6"/>
    </row>
    <row r="582" customFormat="false" ht="15" hidden="false" customHeight="false" outlineLevel="0" collapsed="false">
      <c r="A582" s="6" t="s">
        <v>159</v>
      </c>
      <c r="B582" s="7" t="n">
        <f aca="false">IF(A582="","",IFERROR(MATCH(A582,Lists!$A$2:$A$37,0),""))</f>
        <v>32</v>
      </c>
      <c r="C582" s="6" t="s">
        <v>286</v>
      </c>
      <c r="D582" s="6" t="s">
        <v>298</v>
      </c>
      <c r="E582" s="40" t="n">
        <v>15</v>
      </c>
      <c r="F582" s="40" t="n">
        <v>4</v>
      </c>
      <c r="G582" s="43" t="n">
        <v>2.687</v>
      </c>
      <c r="H582" s="40" t="n">
        <v>48</v>
      </c>
      <c r="I582" s="40" t="n">
        <v>23</v>
      </c>
      <c r="J582" s="44" t="n">
        <v>0.85</v>
      </c>
      <c r="K582" s="44" t="n">
        <v>1</v>
      </c>
      <c r="L582" s="6" t="s">
        <v>417</v>
      </c>
      <c r="M582" s="6"/>
    </row>
    <row r="583" customFormat="false" ht="15" hidden="false" customHeight="false" outlineLevel="0" collapsed="false">
      <c r="A583" s="6" t="s">
        <v>159</v>
      </c>
      <c r="B583" s="7" t="n">
        <f aca="false">IF(A583="","",IFERROR(MATCH(A583,Lists!$A$2:$A$37,0),""))</f>
        <v>32</v>
      </c>
      <c r="C583" s="6" t="s">
        <v>286</v>
      </c>
      <c r="D583" s="6" t="s">
        <v>301</v>
      </c>
      <c r="E583" s="40" t="n">
        <v>78</v>
      </c>
      <c r="F583" s="40" t="n">
        <v>4</v>
      </c>
      <c r="G583" s="43" t="n">
        <v>3.195</v>
      </c>
      <c r="H583" s="40" t="n">
        <v>37</v>
      </c>
      <c r="I583" s="40" t="n">
        <v>16</v>
      </c>
      <c r="J583" s="44" t="n">
        <v>0.9</v>
      </c>
      <c r="K583" s="44" t="n">
        <v>0.8</v>
      </c>
      <c r="L583" s="6" t="s">
        <v>417</v>
      </c>
      <c r="M583" s="6"/>
    </row>
    <row r="584" customFormat="false" ht="15" hidden="false" customHeight="false" outlineLevel="0" collapsed="false">
      <c r="A584" s="6" t="s">
        <v>159</v>
      </c>
      <c r="B584" s="7" t="n">
        <f aca="false">IF(A584="","",IFERROR(MATCH(A584,Lists!$A$2:$A$37,0),""))</f>
        <v>32</v>
      </c>
      <c r="C584" s="6" t="s">
        <v>286</v>
      </c>
      <c r="D584" s="6" t="s">
        <v>302</v>
      </c>
      <c r="E584" s="40" t="n">
        <v>109</v>
      </c>
      <c r="F584" s="40" t="n">
        <v>2</v>
      </c>
      <c r="G584" s="43" t="n">
        <v>3.683</v>
      </c>
      <c r="H584" s="40" t="n">
        <v>2</v>
      </c>
      <c r="I584" s="40" t="n">
        <v>1</v>
      </c>
      <c r="J584" s="44" t="n">
        <v>1</v>
      </c>
      <c r="K584" s="44" t="n">
        <v>0.67</v>
      </c>
      <c r="L584" s="6" t="s">
        <v>417</v>
      </c>
      <c r="M584" s="6"/>
    </row>
    <row r="585" customFormat="false" ht="15" hidden="false" customHeight="false" outlineLevel="0" collapsed="false">
      <c r="A585" s="6" t="s">
        <v>159</v>
      </c>
      <c r="B585" s="7" t="n">
        <f aca="false">IF(A585="","",IFERROR(MATCH(A585,Lists!$A$2:$A$37,0),""))</f>
        <v>32</v>
      </c>
      <c r="C585" s="6" t="s">
        <v>286</v>
      </c>
      <c r="D585" s="6" t="s">
        <v>303</v>
      </c>
      <c r="E585" s="40" t="n">
        <v>67</v>
      </c>
      <c r="F585" s="40" t="n">
        <v>8</v>
      </c>
      <c r="G585" s="43" t="n">
        <v>3.041</v>
      </c>
      <c r="H585" s="40" t="n">
        <v>43</v>
      </c>
      <c r="I585" s="40" t="n">
        <v>20</v>
      </c>
      <c r="J585" s="44" t="n">
        <v>0.73</v>
      </c>
      <c r="K585" s="44" t="n">
        <v>1</v>
      </c>
      <c r="L585" s="6" t="s">
        <v>417</v>
      </c>
      <c r="M585" s="6"/>
    </row>
    <row r="586" customFormat="false" ht="15" hidden="false" customHeight="false" outlineLevel="0" collapsed="false">
      <c r="A586" s="6" t="s">
        <v>159</v>
      </c>
      <c r="B586" s="7" t="n">
        <f aca="false">IF(A586="","",IFERROR(MATCH(A586,Lists!$A$2:$A$37,0),""))</f>
        <v>32</v>
      </c>
      <c r="C586" s="6" t="s">
        <v>286</v>
      </c>
      <c r="D586" s="6" t="s">
        <v>396</v>
      </c>
      <c r="E586" s="40" t="n">
        <v>37</v>
      </c>
      <c r="F586" s="40" t="n">
        <v>4</v>
      </c>
      <c r="G586" s="43" t="n">
        <v>3.216</v>
      </c>
      <c r="H586" s="40" t="n">
        <v>36</v>
      </c>
      <c r="I586" s="40" t="n">
        <v>15</v>
      </c>
      <c r="J586" s="44" t="n">
        <v>0.94</v>
      </c>
      <c r="K586" s="44" t="n">
        <v>1</v>
      </c>
      <c r="L586" s="6" t="s">
        <v>417</v>
      </c>
      <c r="M586" s="6"/>
    </row>
    <row r="587" customFormat="false" ht="15" hidden="false" customHeight="false" outlineLevel="0" collapsed="false">
      <c r="A587" s="6" t="s">
        <v>159</v>
      </c>
      <c r="B587" s="7" t="n">
        <f aca="false">IF(A587="","",IFERROR(MATCH(A587,Lists!$A$2:$A$37,0),""))</f>
        <v>32</v>
      </c>
      <c r="C587" s="6" t="s">
        <v>286</v>
      </c>
      <c r="D587" s="6" t="s">
        <v>304</v>
      </c>
      <c r="E587" s="40" t="n">
        <v>127</v>
      </c>
      <c r="F587" s="40" t="n">
        <v>10</v>
      </c>
      <c r="G587" s="43" t="n">
        <v>3.427</v>
      </c>
      <c r="H587" s="40" t="n">
        <v>21</v>
      </c>
      <c r="I587" s="40" t="n">
        <v>9</v>
      </c>
      <c r="J587" s="44" t="n">
        <v>0.87</v>
      </c>
      <c r="K587" s="44" t="n">
        <v>0.83</v>
      </c>
      <c r="L587" s="6" t="s">
        <v>417</v>
      </c>
      <c r="M587" s="6"/>
    </row>
    <row r="588" customFormat="false" ht="15" hidden="false" customHeight="false" outlineLevel="0" collapsed="false">
      <c r="A588" s="6" t="s">
        <v>159</v>
      </c>
      <c r="B588" s="7" t="n">
        <f aca="false">IF(A588="","",IFERROR(MATCH(A588,Lists!$A$2:$A$37,0),""))</f>
        <v>32</v>
      </c>
      <c r="C588" s="6" t="s">
        <v>286</v>
      </c>
      <c r="D588" s="6" t="s">
        <v>305</v>
      </c>
      <c r="E588" s="40" t="n">
        <v>14</v>
      </c>
      <c r="F588" s="40" t="n">
        <v>2</v>
      </c>
      <c r="G588" s="43" t="n">
        <v>3.509</v>
      </c>
      <c r="H588" s="40" t="n">
        <v>15</v>
      </c>
      <c r="I588" s="40" t="n">
        <v>5</v>
      </c>
      <c r="J588" s="44" t="n">
        <v>0.92</v>
      </c>
      <c r="K588" s="44" t="n">
        <v>0.67</v>
      </c>
      <c r="L588" s="6" t="s">
        <v>417</v>
      </c>
      <c r="M588" s="6"/>
    </row>
    <row r="589" customFormat="false" ht="15" hidden="false" customHeight="false" outlineLevel="0" collapsed="false">
      <c r="A589" s="6" t="s">
        <v>159</v>
      </c>
      <c r="B589" s="7" t="n">
        <f aca="false">IF(A589="","",IFERROR(MATCH(A589,Lists!$A$2:$A$37,0),""))</f>
        <v>32</v>
      </c>
      <c r="C589" s="6" t="s">
        <v>286</v>
      </c>
      <c r="D589" s="6" t="s">
        <v>306</v>
      </c>
      <c r="E589" s="40" t="n">
        <v>39</v>
      </c>
      <c r="F589" s="40" t="n">
        <v>2</v>
      </c>
      <c r="G589" s="43" t="n">
        <v>2.876</v>
      </c>
      <c r="H589" s="40" t="n">
        <v>45</v>
      </c>
      <c r="I589" s="40" t="n">
        <v>21</v>
      </c>
      <c r="J589" s="44" t="n">
        <v>0.95</v>
      </c>
      <c r="K589" s="44" t="n">
        <v>1</v>
      </c>
      <c r="L589" s="6" t="s">
        <v>417</v>
      </c>
      <c r="M589" s="6"/>
    </row>
    <row r="590" customFormat="false" ht="15" hidden="false" customHeight="false" outlineLevel="0" collapsed="false">
      <c r="A590" s="6" t="s">
        <v>159</v>
      </c>
      <c r="B590" s="7" t="n">
        <f aca="false">IF(A590="","",IFERROR(MATCH(A590,Lists!$A$2:$A$37,0),""))</f>
        <v>32</v>
      </c>
      <c r="C590" s="6" t="s">
        <v>286</v>
      </c>
      <c r="D590" s="6" t="s">
        <v>307</v>
      </c>
      <c r="E590" s="40" t="n">
        <v>95</v>
      </c>
      <c r="F590" s="40" t="n">
        <v>5</v>
      </c>
      <c r="G590" s="43" t="n">
        <v>3.351</v>
      </c>
      <c r="H590" s="40" t="n">
        <v>28</v>
      </c>
      <c r="I590" s="40" t="n">
        <v>12</v>
      </c>
      <c r="J590" s="44" t="n">
        <v>0.99</v>
      </c>
      <c r="K590" s="44" t="n">
        <v>0.83</v>
      </c>
      <c r="L590" s="6" t="s">
        <v>417</v>
      </c>
      <c r="M590" s="6"/>
    </row>
    <row r="591" customFormat="false" ht="15" hidden="false" customHeight="false" outlineLevel="0" collapsed="false">
      <c r="A591" s="6" t="s">
        <v>159</v>
      </c>
      <c r="B591" s="7" t="n">
        <f aca="false">IF(A591="","",IFERROR(MATCH(A591,Lists!$A$2:$A$37,0),""))</f>
        <v>32</v>
      </c>
      <c r="C591" s="6" t="s">
        <v>286</v>
      </c>
      <c r="D591" s="6" t="s">
        <v>308</v>
      </c>
      <c r="E591" s="40" t="n">
        <v>165</v>
      </c>
      <c r="F591" s="40" t="n">
        <v>18</v>
      </c>
      <c r="G591" s="43" t="n">
        <v>3.577</v>
      </c>
      <c r="H591" s="40" t="n">
        <v>9</v>
      </c>
      <c r="I591" s="40" t="n">
        <v>4</v>
      </c>
      <c r="J591" s="44" t="n">
        <v>1</v>
      </c>
      <c r="K591" s="44" t="n">
        <v>0.86</v>
      </c>
      <c r="L591" s="6" t="s">
        <v>417</v>
      </c>
      <c r="M591" s="6"/>
    </row>
    <row r="592" customFormat="false" ht="15" hidden="false" customHeight="false" outlineLevel="0" collapsed="false">
      <c r="A592" s="6" t="s">
        <v>159</v>
      </c>
      <c r="B592" s="7" t="n">
        <f aca="false">IF(A592="","",IFERROR(MATCH(A592,Lists!$A$2:$A$37,0),""))</f>
        <v>32</v>
      </c>
      <c r="C592" s="6" t="s">
        <v>286</v>
      </c>
      <c r="D592" s="6" t="s">
        <v>310</v>
      </c>
      <c r="E592" s="40" t="n">
        <v>142</v>
      </c>
      <c r="F592" s="40" t="n">
        <v>1</v>
      </c>
      <c r="G592" s="43" t="n">
        <v>3.299</v>
      </c>
      <c r="H592" s="40" t="n">
        <v>30</v>
      </c>
      <c r="I592" s="40" t="n">
        <v>13</v>
      </c>
      <c r="J592" s="44" t="n">
        <v>0.99</v>
      </c>
      <c r="K592" s="44" t="n">
        <v>1</v>
      </c>
      <c r="L592" s="6" t="s">
        <v>417</v>
      </c>
      <c r="M592" s="6"/>
    </row>
    <row r="593" customFormat="false" ht="15" hidden="false" customHeight="false" outlineLevel="0" collapsed="false">
      <c r="A593" s="6" t="s">
        <v>159</v>
      </c>
      <c r="B593" s="7" t="n">
        <f aca="false">IF(A593="","",IFERROR(MATCH(A593,Lists!$A$2:$A$37,0),""))</f>
        <v>32</v>
      </c>
      <c r="C593" s="6" t="s">
        <v>286</v>
      </c>
      <c r="D593" s="6" t="s">
        <v>311</v>
      </c>
      <c r="E593" s="40" t="n">
        <v>9</v>
      </c>
      <c r="F593" s="40" t="n">
        <v>1</v>
      </c>
      <c r="G593" s="43" t="n">
        <v>3.376</v>
      </c>
      <c r="H593" s="40" t="n">
        <v>27</v>
      </c>
      <c r="I593" s="40" t="n">
        <v>11</v>
      </c>
      <c r="J593" s="44" t="n">
        <v>0.73</v>
      </c>
      <c r="K593" s="44" t="n">
        <v>1</v>
      </c>
      <c r="L593" s="6" t="s">
        <v>417</v>
      </c>
      <c r="M593" s="6"/>
    </row>
    <row r="594" customFormat="false" ht="15" hidden="false" customHeight="false" outlineLevel="0" collapsed="false">
      <c r="A594" s="6" t="s">
        <v>159</v>
      </c>
      <c r="B594" s="7" t="n">
        <f aca="false">IF(A594="","",IFERROR(MATCH(A594,Lists!$A$2:$A$37,0),""))</f>
        <v>32</v>
      </c>
      <c r="C594" s="6" t="s">
        <v>286</v>
      </c>
      <c r="D594" s="6" t="s">
        <v>312</v>
      </c>
      <c r="E594" s="40" t="n">
        <v>112</v>
      </c>
      <c r="F594" s="40" t="n">
        <v>3</v>
      </c>
      <c r="G594" s="43" t="n">
        <v>3.464</v>
      </c>
      <c r="H594" s="40" t="n">
        <v>19</v>
      </c>
      <c r="I594" s="40" t="n">
        <v>7</v>
      </c>
      <c r="J594" s="44" t="n">
        <v>0.95</v>
      </c>
      <c r="K594" s="44" t="n">
        <v>1</v>
      </c>
      <c r="L594" s="6" t="s">
        <v>417</v>
      </c>
      <c r="M594" s="6"/>
    </row>
    <row r="595" customFormat="false" ht="15" hidden="false" customHeight="false" outlineLevel="0" collapsed="false">
      <c r="A595" s="6" t="s">
        <v>159</v>
      </c>
      <c r="B595" s="7" t="n">
        <f aca="false">IF(A595="","",IFERROR(MATCH(A595,Lists!$A$2:$A$37,0),""))</f>
        <v>32</v>
      </c>
      <c r="C595" s="6" t="s">
        <v>286</v>
      </c>
      <c r="D595" s="6" t="s">
        <v>314</v>
      </c>
      <c r="E595" s="40" t="n">
        <v>155</v>
      </c>
      <c r="F595" s="40" t="n">
        <v>1</v>
      </c>
      <c r="G595" s="43" t="n">
        <v>3.664</v>
      </c>
      <c r="H595" s="40" t="n">
        <v>4</v>
      </c>
      <c r="I595" s="40" t="n">
        <v>2</v>
      </c>
      <c r="J595" s="44" t="n">
        <v>0.98</v>
      </c>
      <c r="K595" s="44" t="n">
        <v>1</v>
      </c>
      <c r="L595" s="6" t="s">
        <v>417</v>
      </c>
      <c r="M595" s="6"/>
    </row>
    <row r="596" customFormat="false" ht="15" hidden="false" customHeight="false" outlineLevel="0" collapsed="false">
      <c r="A596" s="6" t="s">
        <v>159</v>
      </c>
      <c r="B596" s="7" t="n">
        <f aca="false">IF(A596="","",IFERROR(MATCH(A596,Lists!$A$2:$A$37,0),""))</f>
        <v>32</v>
      </c>
      <c r="C596" s="6" t="s">
        <v>286</v>
      </c>
      <c r="D596" s="6" t="s">
        <v>316</v>
      </c>
      <c r="E596" s="40" t="n">
        <v>32</v>
      </c>
      <c r="F596" s="40" t="n">
        <v>6</v>
      </c>
      <c r="G596" s="43" t="n">
        <v>2.807</v>
      </c>
      <c r="H596" s="40" t="n">
        <v>46</v>
      </c>
      <c r="I596" s="40" t="n">
        <v>22</v>
      </c>
      <c r="J596" s="44" t="n">
        <v>0.79</v>
      </c>
      <c r="K596" s="44" t="n">
        <v>1</v>
      </c>
      <c r="L596" s="6" t="s">
        <v>417</v>
      </c>
      <c r="M596" s="6"/>
    </row>
    <row r="597" customFormat="false" ht="15" hidden="false" customHeight="false" outlineLevel="0" collapsed="false">
      <c r="A597" s="6" t="s">
        <v>159</v>
      </c>
      <c r="B597" s="7" t="n">
        <f aca="false">IF(A597="","",IFERROR(MATCH(A597,Lists!$A$2:$A$37,0),""))</f>
        <v>32</v>
      </c>
      <c r="C597" s="6" t="s">
        <v>286</v>
      </c>
      <c r="D597" s="6" t="s">
        <v>287</v>
      </c>
      <c r="E597" s="40" t="n">
        <v>43</v>
      </c>
      <c r="F597" s="40" t="n">
        <v>6</v>
      </c>
      <c r="G597" s="43" t="n">
        <v>3.163</v>
      </c>
      <c r="H597" s="40" t="n">
        <v>38</v>
      </c>
      <c r="I597" s="40" t="n">
        <v>17</v>
      </c>
      <c r="J597" s="44" t="n">
        <v>0.95</v>
      </c>
      <c r="K597" s="44" t="n">
        <v>1</v>
      </c>
      <c r="L597" s="6" t="s">
        <v>417</v>
      </c>
      <c r="M597" s="6"/>
    </row>
    <row r="598" customFormat="false" ht="15" hidden="false" customHeight="false" outlineLevel="0" collapsed="false">
      <c r="A598" s="6" t="s">
        <v>159</v>
      </c>
      <c r="B598" s="7" t="n">
        <f aca="false">IF(A598="","",IFERROR(MATCH(A598,Lists!$A$2:$A$37,0),""))</f>
        <v>32</v>
      </c>
      <c r="C598" s="6" t="s">
        <v>286</v>
      </c>
      <c r="D598" s="6" t="s">
        <v>317</v>
      </c>
      <c r="E598" s="40" t="n">
        <v>28</v>
      </c>
      <c r="F598" s="40" t="n">
        <v>7</v>
      </c>
      <c r="G598" s="43" t="n">
        <v>3.058</v>
      </c>
      <c r="H598" s="40" t="n">
        <v>41</v>
      </c>
      <c r="I598" s="40" t="n">
        <v>19</v>
      </c>
      <c r="J598" s="44" t="n">
        <v>0.91</v>
      </c>
      <c r="K598" s="44" t="n">
        <v>1</v>
      </c>
      <c r="L598" s="6" t="s">
        <v>417</v>
      </c>
      <c r="M598" s="6"/>
    </row>
    <row r="599" customFormat="false" ht="15" hidden="false" customHeight="false" outlineLevel="0" collapsed="false">
      <c r="A599" s="6" t="s">
        <v>159</v>
      </c>
      <c r="B599" s="7" t="n">
        <f aca="false">IF(A599="","",IFERROR(MATCH(A599,Lists!$A$2:$A$37,0),""))</f>
        <v>32</v>
      </c>
      <c r="C599" s="6" t="s">
        <v>352</v>
      </c>
      <c r="D599" s="6" t="s">
        <v>403</v>
      </c>
      <c r="E599" s="40" t="n">
        <v>13</v>
      </c>
      <c r="F599" s="40" t="n">
        <v>0</v>
      </c>
      <c r="G599" s="43" t="n">
        <v>3.317</v>
      </c>
      <c r="H599" s="40" t="n">
        <v>29</v>
      </c>
      <c r="I599" s="40" t="n">
        <v>3</v>
      </c>
      <c r="J599" s="44" t="n">
        <v>0.87</v>
      </c>
      <c r="K599" s="44"/>
      <c r="L599" s="6" t="s">
        <v>417</v>
      </c>
      <c r="M599" s="6"/>
    </row>
    <row r="600" customFormat="false" ht="15" hidden="false" customHeight="false" outlineLevel="0" collapsed="false">
      <c r="A600" s="6" t="s">
        <v>159</v>
      </c>
      <c r="B600" s="7" t="n">
        <f aca="false">IF(A600="","",IFERROR(MATCH(A600,Lists!$A$2:$A$37,0),""))</f>
        <v>32</v>
      </c>
      <c r="C600" s="6" t="s">
        <v>352</v>
      </c>
      <c r="D600" s="6" t="s">
        <v>404</v>
      </c>
      <c r="E600" s="40" t="n">
        <v>14</v>
      </c>
      <c r="F600" s="40" t="n">
        <v>1</v>
      </c>
      <c r="G600" s="43" t="n">
        <v>3.236</v>
      </c>
      <c r="H600" s="40" t="n">
        <v>35</v>
      </c>
      <c r="I600" s="40" t="n">
        <v>5</v>
      </c>
      <c r="J600" s="44" t="n">
        <v>1</v>
      </c>
      <c r="K600" s="44" t="n">
        <v>0.25</v>
      </c>
      <c r="L600" s="6" t="s">
        <v>417</v>
      </c>
      <c r="M600" s="6"/>
    </row>
    <row r="601" customFormat="false" ht="15" hidden="false" customHeight="false" outlineLevel="0" collapsed="false">
      <c r="A601" s="6" t="s">
        <v>159</v>
      </c>
      <c r="B601" s="7" t="n">
        <f aca="false">IF(A601="","",IFERROR(MATCH(A601,Lists!$A$2:$A$37,0),""))</f>
        <v>32</v>
      </c>
      <c r="C601" s="6" t="s">
        <v>352</v>
      </c>
      <c r="D601" s="6" t="s">
        <v>405</v>
      </c>
      <c r="E601" s="40" t="n">
        <v>25</v>
      </c>
      <c r="F601" s="40" t="n">
        <v>2</v>
      </c>
      <c r="G601" s="43" t="n">
        <v>3.056</v>
      </c>
      <c r="H601" s="40" t="n">
        <v>42</v>
      </c>
      <c r="I601" s="40" t="n">
        <v>7</v>
      </c>
      <c r="J601" s="44" t="n">
        <v>1</v>
      </c>
      <c r="K601" s="44" t="n">
        <v>0.67</v>
      </c>
      <c r="L601" s="6" t="s">
        <v>417</v>
      </c>
      <c r="M601" s="6"/>
    </row>
    <row r="602" customFormat="false" ht="15" hidden="false" customHeight="false" outlineLevel="0" collapsed="false">
      <c r="A602" s="6" t="s">
        <v>159</v>
      </c>
      <c r="B602" s="7" t="n">
        <f aca="false">IF(A602="","",IFERROR(MATCH(A602,Lists!$A$2:$A$37,0),""))</f>
        <v>32</v>
      </c>
      <c r="C602" s="6" t="s">
        <v>352</v>
      </c>
      <c r="D602" s="6" t="s">
        <v>406</v>
      </c>
      <c r="E602" s="40" t="n">
        <v>25</v>
      </c>
      <c r="F602" s="40" t="n">
        <v>3</v>
      </c>
      <c r="G602" s="43" t="n">
        <v>3.281</v>
      </c>
      <c r="H602" s="40" t="n">
        <v>32</v>
      </c>
      <c r="I602" s="40" t="n">
        <v>4</v>
      </c>
      <c r="J602" s="44" t="n">
        <v>1</v>
      </c>
      <c r="K602" s="44" t="n">
        <v>1</v>
      </c>
      <c r="L602" s="6" t="s">
        <v>417</v>
      </c>
      <c r="M602" s="6"/>
    </row>
    <row r="603" customFormat="false" ht="15" hidden="false" customHeight="false" outlineLevel="0" collapsed="false">
      <c r="A603" s="6" t="s">
        <v>159</v>
      </c>
      <c r="B603" s="7" t="n">
        <f aca="false">IF(A603="","",IFERROR(MATCH(A603,Lists!$A$2:$A$37,0),""))</f>
        <v>32</v>
      </c>
      <c r="C603" s="6" t="s">
        <v>352</v>
      </c>
      <c r="D603" s="6" t="s">
        <v>407</v>
      </c>
      <c r="E603" s="40" t="n">
        <v>20</v>
      </c>
      <c r="F603" s="40" t="n">
        <v>5</v>
      </c>
      <c r="G603" s="43" t="n">
        <v>2.946</v>
      </c>
      <c r="H603" s="40" t="n">
        <v>44</v>
      </c>
      <c r="I603" s="40" t="n">
        <v>8</v>
      </c>
      <c r="J603" s="44" t="n">
        <v>0.88</v>
      </c>
      <c r="K603" s="44" t="n">
        <v>1</v>
      </c>
      <c r="L603" s="6" t="s">
        <v>417</v>
      </c>
      <c r="M603" s="6"/>
    </row>
    <row r="604" customFormat="false" ht="15" hidden="false" customHeight="false" outlineLevel="0" collapsed="false">
      <c r="A604" s="6" t="s">
        <v>159</v>
      </c>
      <c r="B604" s="7" t="n">
        <f aca="false">IF(A604="","",IFERROR(MATCH(A604,Lists!$A$2:$A$37,0),""))</f>
        <v>32</v>
      </c>
      <c r="C604" s="6" t="s">
        <v>352</v>
      </c>
      <c r="D604" s="6" t="s">
        <v>408</v>
      </c>
      <c r="E604" s="40" t="n">
        <v>7</v>
      </c>
      <c r="F604" s="40" t="n">
        <v>1</v>
      </c>
      <c r="G604" s="43" t="n">
        <v>3.102</v>
      </c>
      <c r="H604" s="40" t="n">
        <v>40</v>
      </c>
      <c r="I604" s="40" t="n">
        <v>6</v>
      </c>
      <c r="J604" s="44" t="n">
        <v>0.86</v>
      </c>
      <c r="K604" s="44" t="n">
        <v>1</v>
      </c>
      <c r="L604" s="6" t="s">
        <v>417</v>
      </c>
      <c r="M604" s="6"/>
    </row>
    <row r="605" customFormat="false" ht="15" hidden="false" customHeight="false" outlineLevel="0" collapsed="false">
      <c r="A605" s="6" t="s">
        <v>159</v>
      </c>
      <c r="B605" s="7" t="n">
        <f aca="false">IF(A605="","",IFERROR(MATCH(A605,Lists!$A$2:$A$37,0),""))</f>
        <v>32</v>
      </c>
      <c r="C605" s="6" t="s">
        <v>352</v>
      </c>
      <c r="D605" s="6" t="s">
        <v>409</v>
      </c>
      <c r="E605" s="40" t="n">
        <v>12</v>
      </c>
      <c r="F605" s="40" t="n">
        <v>0</v>
      </c>
      <c r="G605" s="43" t="n">
        <v>2.712</v>
      </c>
      <c r="H605" s="40" t="n">
        <v>47</v>
      </c>
      <c r="I605" s="40" t="n">
        <v>9</v>
      </c>
      <c r="J605" s="44" t="n">
        <v>0.92</v>
      </c>
      <c r="K605" s="44" t="n">
        <v>0</v>
      </c>
      <c r="L605" s="6" t="s">
        <v>417</v>
      </c>
      <c r="M605" s="6"/>
    </row>
    <row r="606" customFormat="false" ht="15" hidden="false" customHeight="false" outlineLevel="0" collapsed="false">
      <c r="A606" s="6" t="s">
        <v>159</v>
      </c>
      <c r="B606" s="7" t="n">
        <f aca="false">IF(A606="","",IFERROR(MATCH(A606,Lists!$A$2:$A$37,0),""))</f>
        <v>32</v>
      </c>
      <c r="C606" s="6" t="s">
        <v>352</v>
      </c>
      <c r="D606" s="6" t="s">
        <v>410</v>
      </c>
      <c r="E606" s="40" t="n">
        <v>16</v>
      </c>
      <c r="F606" s="40" t="n">
        <v>0</v>
      </c>
      <c r="G606" s="43" t="n">
        <v>3.467</v>
      </c>
      <c r="H606" s="40" t="n">
        <v>18</v>
      </c>
      <c r="I606" s="40" t="n">
        <v>1</v>
      </c>
      <c r="J606" s="44" t="n">
        <v>0.94</v>
      </c>
      <c r="K606" s="44"/>
      <c r="L606" s="6" t="s">
        <v>417</v>
      </c>
      <c r="M606" s="6"/>
    </row>
    <row r="607" customFormat="false" ht="15" hidden="false" customHeight="false" outlineLevel="0" collapsed="false">
      <c r="A607" s="6" t="s">
        <v>159</v>
      </c>
      <c r="B607" s="7" t="n">
        <f aca="false">IF(A607="","",IFERROR(MATCH(A607,Lists!$A$2:$A$37,0),""))</f>
        <v>32</v>
      </c>
      <c r="C607" s="6" t="s">
        <v>352</v>
      </c>
      <c r="D607" s="6" t="s">
        <v>411</v>
      </c>
      <c r="E607" s="40" t="n">
        <v>7</v>
      </c>
      <c r="F607" s="40" t="n">
        <v>2</v>
      </c>
      <c r="G607" s="43" t="n">
        <v>3.401</v>
      </c>
      <c r="H607" s="40" t="n">
        <v>23</v>
      </c>
      <c r="I607" s="40" t="n">
        <v>2</v>
      </c>
      <c r="J607" s="44" t="n">
        <v>1</v>
      </c>
      <c r="K607" s="44" t="n">
        <v>0.5</v>
      </c>
      <c r="L607" s="6" t="s">
        <v>417</v>
      </c>
      <c r="M607" s="6"/>
    </row>
    <row r="608" customFormat="false" ht="15" hidden="false" customHeight="false" outlineLevel="0" collapsed="false">
      <c r="A608" s="6" t="s">
        <v>159</v>
      </c>
      <c r="B608" s="7" t="n">
        <f aca="false">IF(A608="","",IFERROR(MATCH(A608,Lists!$A$2:$A$37,0),""))</f>
        <v>32</v>
      </c>
      <c r="C608" s="6" t="s">
        <v>363</v>
      </c>
      <c r="D608" s="6" t="s">
        <v>412</v>
      </c>
      <c r="E608" s="40" t="n">
        <v>8</v>
      </c>
      <c r="F608" s="40" t="n">
        <v>4</v>
      </c>
      <c r="G608" s="43" t="n">
        <v>3.24</v>
      </c>
      <c r="H608" s="40" t="n">
        <v>34</v>
      </c>
      <c r="I608" s="40" t="n">
        <v>1</v>
      </c>
      <c r="J608" s="44" t="n">
        <v>1</v>
      </c>
      <c r="K608" s="44" t="n">
        <v>1</v>
      </c>
      <c r="L608" s="6" t="s">
        <v>417</v>
      </c>
      <c r="M608" s="6"/>
    </row>
    <row r="609" customFormat="false" ht="15" hidden="false" customHeight="false" outlineLevel="0" collapsed="false">
      <c r="A609" s="6" t="s">
        <v>159</v>
      </c>
      <c r="B609" s="7" t="n">
        <f aca="false">IF(A609="","",IFERROR(MATCH(A609,Lists!$A$2:$A$37,0),""))</f>
        <v>32</v>
      </c>
      <c r="C609" s="6" t="s">
        <v>363</v>
      </c>
      <c r="D609" s="6" t="s">
        <v>413</v>
      </c>
      <c r="E609" s="40" t="n">
        <v>3</v>
      </c>
      <c r="F609" s="40" t="n">
        <v>0</v>
      </c>
      <c r="G609" s="43"/>
      <c r="H609" s="40"/>
      <c r="I609" s="40"/>
      <c r="J609" s="44" t="n">
        <v>1</v>
      </c>
      <c r="K609" s="44"/>
      <c r="L609" s="6" t="s">
        <v>417</v>
      </c>
      <c r="M609" s="6"/>
    </row>
    <row r="610" customFormat="false" ht="15" hidden="false" customHeight="false" outlineLevel="0" collapsed="false">
      <c r="A610" s="6" t="s">
        <v>159</v>
      </c>
      <c r="B610" s="7" t="n">
        <f aca="false">IF(A610="","",IFERROR(MATCH(A610,Lists!$A$2:$A$37,0),""))</f>
        <v>32</v>
      </c>
      <c r="C610" s="6" t="s">
        <v>363</v>
      </c>
      <c r="D610" s="6" t="s">
        <v>418</v>
      </c>
      <c r="E610" s="40" t="n">
        <v>2</v>
      </c>
      <c r="F610" s="40" t="n">
        <v>2</v>
      </c>
      <c r="G610" s="43"/>
      <c r="H610" s="40"/>
      <c r="I610" s="40"/>
      <c r="J610" s="44"/>
      <c r="K610" s="44" t="n">
        <v>0.67</v>
      </c>
      <c r="L610" s="6" t="s">
        <v>417</v>
      </c>
      <c r="M610" s="6"/>
    </row>
    <row r="611" customFormat="false" ht="15" hidden="false" customHeight="false" outlineLevel="0" collapsed="false">
      <c r="A611" s="6" t="s">
        <v>159</v>
      </c>
      <c r="B611" s="7" t="n">
        <f aca="false">IF(A611="","",IFERROR(MATCH(A611,Lists!$A$2:$A$37,0),""))</f>
        <v>32</v>
      </c>
      <c r="C611" s="6" t="s">
        <v>363</v>
      </c>
      <c r="D611" s="6" t="s">
        <v>414</v>
      </c>
      <c r="E611" s="40" t="n">
        <v>2</v>
      </c>
      <c r="F611" s="40" t="n">
        <v>0</v>
      </c>
      <c r="G611" s="43"/>
      <c r="H611" s="40"/>
      <c r="I611" s="40"/>
      <c r="J611" s="44" t="n">
        <v>1</v>
      </c>
      <c r="K611" s="44"/>
      <c r="L611" s="6" t="s">
        <v>417</v>
      </c>
      <c r="M611" s="6"/>
    </row>
    <row r="612" customFormat="false" ht="15" hidden="false" customHeight="false" outlineLevel="0" collapsed="false">
      <c r="A612" s="6" t="s">
        <v>159</v>
      </c>
      <c r="B612" s="7" t="n">
        <f aca="false">IF(A612="","",IFERROR(MATCH(A612,Lists!$A$2:$A$37,0),""))</f>
        <v>32</v>
      </c>
      <c r="C612" s="6" t="s">
        <v>363</v>
      </c>
      <c r="D612" s="6" t="s">
        <v>415</v>
      </c>
      <c r="E612" s="40" t="n">
        <v>4</v>
      </c>
      <c r="F612" s="40" t="n">
        <v>2</v>
      </c>
      <c r="G612" s="43"/>
      <c r="H612" s="40"/>
      <c r="I612" s="40"/>
      <c r="J612" s="44" t="n">
        <v>1</v>
      </c>
      <c r="K612" s="44" t="n">
        <v>1</v>
      </c>
      <c r="L612" s="6" t="s">
        <v>417</v>
      </c>
      <c r="M612" s="6"/>
    </row>
    <row r="613" customFormat="false" ht="15" hidden="false" customHeight="false" outlineLevel="0" collapsed="false">
      <c r="A613" s="6" t="s">
        <v>159</v>
      </c>
      <c r="B613" s="7" t="n">
        <f aca="false">IF(A613="","",IFERROR(MATCH(A613,Lists!$A$2:$A$37,0),""))</f>
        <v>32</v>
      </c>
      <c r="C613" s="6" t="s">
        <v>372</v>
      </c>
      <c r="D613" s="6" t="s">
        <v>373</v>
      </c>
      <c r="E613" s="40" t="n">
        <v>183</v>
      </c>
      <c r="F613" s="40" t="n">
        <v>0</v>
      </c>
      <c r="G613" s="43" t="n">
        <v>3.479</v>
      </c>
      <c r="H613" s="40" t="n">
        <v>17</v>
      </c>
      <c r="I613" s="40" t="n">
        <v>11</v>
      </c>
      <c r="J613" s="44" t="n">
        <v>0.96</v>
      </c>
      <c r="K613" s="44"/>
      <c r="L613" s="6" t="s">
        <v>417</v>
      </c>
      <c r="M613" s="6"/>
    </row>
    <row r="614" customFormat="false" ht="15" hidden="false" customHeight="false" outlineLevel="0" collapsed="false">
      <c r="A614" s="6" t="s">
        <v>159</v>
      </c>
      <c r="B614" s="7" t="n">
        <f aca="false">IF(A614="","",IFERROR(MATCH(A614,Lists!$A$2:$A$37,0),""))</f>
        <v>32</v>
      </c>
      <c r="C614" s="6" t="s">
        <v>372</v>
      </c>
      <c r="D614" s="6" t="s">
        <v>401</v>
      </c>
      <c r="E614" s="40" t="n">
        <v>44</v>
      </c>
      <c r="F614" s="40" t="n">
        <v>11</v>
      </c>
      <c r="G614" s="43" t="n">
        <v>3.39</v>
      </c>
      <c r="H614" s="40" t="n">
        <v>24</v>
      </c>
      <c r="I614" s="40" t="n">
        <v>12</v>
      </c>
      <c r="J614" s="44" t="n">
        <v>0.97</v>
      </c>
      <c r="K614" s="44" t="n">
        <v>1</v>
      </c>
      <c r="L614" s="6" t="s">
        <v>417</v>
      </c>
      <c r="M614" s="6"/>
    </row>
    <row r="615" customFormat="false" ht="15" hidden="false" customHeight="false" outlineLevel="0" collapsed="false">
      <c r="A615" s="6" t="s">
        <v>159</v>
      </c>
      <c r="B615" s="7" t="n">
        <f aca="false">IF(A615="","",IFERROR(MATCH(A615,Lists!$A$2:$A$37,0),""))</f>
        <v>32</v>
      </c>
      <c r="C615" s="6" t="s">
        <v>372</v>
      </c>
      <c r="D615" s="6" t="s">
        <v>374</v>
      </c>
      <c r="E615" s="40" t="n">
        <v>180</v>
      </c>
      <c r="F615" s="40" t="n">
        <v>11</v>
      </c>
      <c r="G615" s="43" t="n">
        <v>3.384</v>
      </c>
      <c r="H615" s="40" t="n">
        <v>26</v>
      </c>
      <c r="I615" s="40" t="n">
        <v>14</v>
      </c>
      <c r="J615" s="44" t="n">
        <v>0.98</v>
      </c>
      <c r="K615" s="44" t="n">
        <v>1</v>
      </c>
      <c r="L615" s="6" t="s">
        <v>417</v>
      </c>
      <c r="M615" s="6"/>
    </row>
    <row r="616" customFormat="false" ht="15" hidden="false" customHeight="false" outlineLevel="0" collapsed="false">
      <c r="A616" s="6" t="s">
        <v>159</v>
      </c>
      <c r="B616" s="7" t="n">
        <f aca="false">IF(A616="","",IFERROR(MATCH(A616,Lists!$A$2:$A$37,0),""))</f>
        <v>32</v>
      </c>
      <c r="C616" s="6" t="s">
        <v>372</v>
      </c>
      <c r="D616" s="6" t="s">
        <v>375</v>
      </c>
      <c r="E616" s="40" t="n">
        <v>201</v>
      </c>
      <c r="F616" s="40" t="n">
        <v>0</v>
      </c>
      <c r="G616" s="43" t="n">
        <v>3.555</v>
      </c>
      <c r="H616" s="40" t="n">
        <v>11</v>
      </c>
      <c r="I616" s="40" t="n">
        <v>7</v>
      </c>
      <c r="J616" s="44" t="n">
        <v>1</v>
      </c>
      <c r="K616" s="44"/>
      <c r="L616" s="6" t="s">
        <v>417</v>
      </c>
      <c r="M616" s="6"/>
    </row>
    <row r="617" customFormat="false" ht="15" hidden="false" customHeight="false" outlineLevel="0" collapsed="false">
      <c r="A617" s="6" t="s">
        <v>159</v>
      </c>
      <c r="B617" s="7" t="n">
        <f aca="false">IF(A617="","",IFERROR(MATCH(A617,Lists!$A$2:$A$37,0),""))</f>
        <v>32</v>
      </c>
      <c r="C617" s="6" t="s">
        <v>372</v>
      </c>
      <c r="D617" s="6" t="s">
        <v>376</v>
      </c>
      <c r="E617" s="40" t="n">
        <v>184</v>
      </c>
      <c r="F617" s="40" t="n">
        <v>0</v>
      </c>
      <c r="G617" s="43" t="n">
        <v>3.532</v>
      </c>
      <c r="H617" s="40" t="n">
        <v>14</v>
      </c>
      <c r="I617" s="40" t="n">
        <v>10</v>
      </c>
      <c r="J617" s="44" t="n">
        <v>0.98</v>
      </c>
      <c r="K617" s="44"/>
      <c r="L617" s="6" t="s">
        <v>417</v>
      </c>
      <c r="M617" s="6"/>
    </row>
    <row r="618" customFormat="false" ht="15" hidden="false" customHeight="false" outlineLevel="0" collapsed="false">
      <c r="A618" s="6" t="s">
        <v>159</v>
      </c>
      <c r="B618" s="7" t="n">
        <f aca="false">IF(A618="","",IFERROR(MATCH(A618,Lists!$A$2:$A$37,0),""))</f>
        <v>32</v>
      </c>
      <c r="C618" s="6" t="s">
        <v>372</v>
      </c>
      <c r="D618" s="6" t="s">
        <v>377</v>
      </c>
      <c r="E618" s="40" t="n">
        <v>190</v>
      </c>
      <c r="F618" s="40" t="n">
        <v>0</v>
      </c>
      <c r="G618" s="43" t="n">
        <v>3.745</v>
      </c>
      <c r="H618" s="40" t="n">
        <v>1</v>
      </c>
      <c r="I618" s="40" t="n">
        <v>1</v>
      </c>
      <c r="J618" s="44" t="n">
        <v>1</v>
      </c>
      <c r="K618" s="44"/>
      <c r="L618" s="6" t="s">
        <v>417</v>
      </c>
      <c r="M618" s="6"/>
    </row>
    <row r="619" customFormat="false" ht="15" hidden="false" customHeight="false" outlineLevel="0" collapsed="false">
      <c r="A619" s="6" t="s">
        <v>159</v>
      </c>
      <c r="B619" s="7" t="n">
        <f aca="false">IF(A619="","",IFERROR(MATCH(A619,Lists!$A$2:$A$37,0),""))</f>
        <v>32</v>
      </c>
      <c r="C619" s="6" t="s">
        <v>372</v>
      </c>
      <c r="D619" s="6" t="s">
        <v>378</v>
      </c>
      <c r="E619" s="40" t="n">
        <v>175</v>
      </c>
      <c r="F619" s="40" t="n">
        <v>11</v>
      </c>
      <c r="G619" s="43" t="n">
        <v>3.262</v>
      </c>
      <c r="H619" s="40" t="n">
        <v>33</v>
      </c>
      <c r="I619" s="40" t="n">
        <v>15</v>
      </c>
      <c r="J619" s="44" t="n">
        <v>0.97</v>
      </c>
      <c r="K619" s="44" t="n">
        <v>0.92</v>
      </c>
      <c r="L619" s="6" t="s">
        <v>417</v>
      </c>
      <c r="M619" s="6"/>
    </row>
    <row r="620" customFormat="false" ht="15" hidden="false" customHeight="false" outlineLevel="0" collapsed="false">
      <c r="A620" s="6" t="s">
        <v>159</v>
      </c>
      <c r="B620" s="7" t="n">
        <f aca="false">IF(A620="","",IFERROR(MATCH(A620,Lists!$A$2:$A$37,0),""))</f>
        <v>32</v>
      </c>
      <c r="C620" s="6" t="s">
        <v>372</v>
      </c>
      <c r="D620" s="6" t="s">
        <v>379</v>
      </c>
      <c r="E620" s="40" t="n">
        <v>189</v>
      </c>
      <c r="F620" s="40" t="n">
        <v>1</v>
      </c>
      <c r="G620" s="43" t="n">
        <v>3.533</v>
      </c>
      <c r="H620" s="40" t="n">
        <v>13</v>
      </c>
      <c r="I620" s="40" t="n">
        <v>9</v>
      </c>
      <c r="J620" s="44" t="n">
        <v>1</v>
      </c>
      <c r="K620" s="44" t="n">
        <v>1</v>
      </c>
      <c r="L620" s="6" t="s">
        <v>417</v>
      </c>
      <c r="M620" s="6"/>
    </row>
    <row r="621" customFormat="false" ht="15" hidden="false" customHeight="false" outlineLevel="0" collapsed="false">
      <c r="A621" s="6" t="s">
        <v>159</v>
      </c>
      <c r="B621" s="7" t="n">
        <f aca="false">IF(A621="","",IFERROR(MATCH(A621,Lists!$A$2:$A$37,0),""))</f>
        <v>32</v>
      </c>
      <c r="C621" s="6" t="s">
        <v>372</v>
      </c>
      <c r="D621" s="6" t="s">
        <v>380</v>
      </c>
      <c r="E621" s="40" t="n">
        <v>182</v>
      </c>
      <c r="F621" s="40" t="n">
        <v>0</v>
      </c>
      <c r="G621" s="43" t="n">
        <v>3.673</v>
      </c>
      <c r="H621" s="40" t="n">
        <v>3</v>
      </c>
      <c r="I621" s="40" t="n">
        <v>2</v>
      </c>
      <c r="J621" s="44" t="n">
        <v>0.99</v>
      </c>
      <c r="K621" s="44"/>
      <c r="L621" s="6" t="s">
        <v>417</v>
      </c>
      <c r="M621" s="6"/>
    </row>
    <row r="622" customFormat="false" ht="15" hidden="false" customHeight="false" outlineLevel="0" collapsed="false">
      <c r="A622" s="6" t="s">
        <v>159</v>
      </c>
      <c r="B622" s="7" t="n">
        <f aca="false">IF(A622="","",IFERROR(MATCH(A622,Lists!$A$2:$A$37,0),""))</f>
        <v>32</v>
      </c>
      <c r="C622" s="6" t="s">
        <v>372</v>
      </c>
      <c r="D622" s="6" t="s">
        <v>381</v>
      </c>
      <c r="E622" s="40" t="n">
        <v>180</v>
      </c>
      <c r="F622" s="40" t="n">
        <v>5</v>
      </c>
      <c r="G622" s="43" t="n">
        <v>3.589</v>
      </c>
      <c r="H622" s="40" t="n">
        <v>7</v>
      </c>
      <c r="I622" s="40" t="n">
        <v>4</v>
      </c>
      <c r="J622" s="44" t="n">
        <v>0.98</v>
      </c>
      <c r="K622" s="44" t="n">
        <v>1</v>
      </c>
      <c r="L622" s="6" t="s">
        <v>417</v>
      </c>
      <c r="M622" s="6"/>
    </row>
    <row r="623" customFormat="false" ht="15" hidden="false" customHeight="false" outlineLevel="0" collapsed="false">
      <c r="A623" s="6" t="s">
        <v>159</v>
      </c>
      <c r="B623" s="7" t="n">
        <f aca="false">IF(A623="","",IFERROR(MATCH(A623,Lists!$A$2:$A$37,0),""))</f>
        <v>32</v>
      </c>
      <c r="C623" s="6" t="s">
        <v>372</v>
      </c>
      <c r="D623" s="6" t="s">
        <v>382</v>
      </c>
      <c r="E623" s="40" t="n">
        <v>179</v>
      </c>
      <c r="F623" s="40" t="n">
        <v>7</v>
      </c>
      <c r="G623" s="43" t="n">
        <v>3.584</v>
      </c>
      <c r="H623" s="40" t="n">
        <v>8</v>
      </c>
      <c r="I623" s="40" t="n">
        <v>5</v>
      </c>
      <c r="J623" s="44" t="n">
        <v>0.97</v>
      </c>
      <c r="K623" s="44" t="n">
        <v>0.88</v>
      </c>
      <c r="L623" s="6" t="s">
        <v>417</v>
      </c>
      <c r="M623" s="6"/>
    </row>
    <row r="624" customFormat="false" ht="15" hidden="false" customHeight="false" outlineLevel="0" collapsed="false">
      <c r="A624" s="6" t="s">
        <v>159</v>
      </c>
      <c r="B624" s="7" t="n">
        <f aca="false">IF(A624="","",IFERROR(MATCH(A624,Lists!$A$2:$A$37,0),""))</f>
        <v>32</v>
      </c>
      <c r="C624" s="6" t="s">
        <v>372</v>
      </c>
      <c r="D624" s="6" t="s">
        <v>383</v>
      </c>
      <c r="E624" s="40" t="n">
        <v>182</v>
      </c>
      <c r="F624" s="40" t="n">
        <v>6</v>
      </c>
      <c r="G624" s="43" t="n">
        <v>3.544</v>
      </c>
      <c r="H624" s="40" t="n">
        <v>12</v>
      </c>
      <c r="I624" s="40" t="n">
        <v>8</v>
      </c>
      <c r="J624" s="44" t="n">
        <v>0.98</v>
      </c>
      <c r="K624" s="44" t="n">
        <v>0.86</v>
      </c>
      <c r="L624" s="6" t="s">
        <v>417</v>
      </c>
      <c r="M624" s="6"/>
    </row>
    <row r="625" customFormat="false" ht="15" hidden="false" customHeight="false" outlineLevel="0" collapsed="false">
      <c r="A625" s="6" t="s">
        <v>159</v>
      </c>
      <c r="B625" s="7" t="n">
        <f aca="false">IF(A625="","",IFERROR(MATCH(A625,Lists!$A$2:$A$37,0),""))</f>
        <v>32</v>
      </c>
      <c r="C625" s="6" t="s">
        <v>372</v>
      </c>
      <c r="D625" s="6" t="s">
        <v>385</v>
      </c>
      <c r="E625" s="40" t="n">
        <v>25</v>
      </c>
      <c r="F625" s="40" t="n">
        <v>2</v>
      </c>
      <c r="G625" s="43" t="n">
        <v>3.605</v>
      </c>
      <c r="H625" s="40" t="n">
        <v>6</v>
      </c>
      <c r="I625" s="40" t="n">
        <v>3</v>
      </c>
      <c r="J625" s="44" t="n">
        <v>0.96</v>
      </c>
      <c r="K625" s="44" t="n">
        <v>0.67</v>
      </c>
      <c r="L625" s="6" t="s">
        <v>417</v>
      </c>
      <c r="M625" s="6"/>
    </row>
    <row r="626" customFormat="false" ht="15" hidden="false" customHeight="false" outlineLevel="0" collapsed="false">
      <c r="A626" s="6" t="s">
        <v>159</v>
      </c>
      <c r="B626" s="7" t="n">
        <f aca="false">IF(A626="","",IFERROR(MATCH(A626,Lists!$A$2:$A$37,0),""))</f>
        <v>32</v>
      </c>
      <c r="C626" s="6" t="s">
        <v>372</v>
      </c>
      <c r="D626" s="6" t="s">
        <v>386</v>
      </c>
      <c r="E626" s="40" t="n">
        <v>187</v>
      </c>
      <c r="F626" s="40" t="n">
        <v>0</v>
      </c>
      <c r="G626" s="43" t="n">
        <v>3.575</v>
      </c>
      <c r="H626" s="40" t="n">
        <v>10</v>
      </c>
      <c r="I626" s="40" t="n">
        <v>6</v>
      </c>
      <c r="J626" s="44" t="n">
        <v>0.98</v>
      </c>
      <c r="K626" s="44"/>
      <c r="L626" s="6" t="s">
        <v>417</v>
      </c>
      <c r="M626" s="6"/>
    </row>
    <row r="627" customFormat="false" ht="15" hidden="false" customHeight="false" outlineLevel="0" collapsed="false">
      <c r="A627" s="6" t="s">
        <v>159</v>
      </c>
      <c r="B627" s="7" t="n">
        <f aca="false">IF(A627="","",IFERROR(MATCH(A627,Lists!$A$2:$A$37,0),""))</f>
        <v>32</v>
      </c>
      <c r="C627" s="6" t="s">
        <v>372</v>
      </c>
      <c r="D627" s="6" t="s">
        <v>387</v>
      </c>
      <c r="E627" s="40" t="n">
        <v>60</v>
      </c>
      <c r="F627" s="40" t="n">
        <v>5</v>
      </c>
      <c r="G627" s="43" t="n">
        <v>3.387</v>
      </c>
      <c r="H627" s="40" t="n">
        <v>25</v>
      </c>
      <c r="I627" s="40" t="n">
        <v>13</v>
      </c>
      <c r="J627" s="44" t="n">
        <v>1</v>
      </c>
      <c r="K627" s="44" t="n">
        <v>1</v>
      </c>
      <c r="L627" s="6" t="s">
        <v>417</v>
      </c>
      <c r="M627" s="6"/>
    </row>
    <row r="628" customFormat="false" ht="15" hidden="false" customHeight="false" outlineLevel="0" collapsed="false">
      <c r="B628" s="7" t="str">
        <f aca="false">IF(A628="","",IFERROR(MATCH(A628,Lists!$A$2:$A$37,0),""))</f>
        <v/>
      </c>
    </row>
    <row r="629" customFormat="false" ht="15" hidden="false" customHeight="false" outlineLevel="0" collapsed="false">
      <c r="B629" s="7" t="str">
        <f aca="false">IF(A629="","",IFERROR(MATCH(A629,Lists!$A$2:$A$37,0),""))</f>
        <v/>
      </c>
    </row>
    <row r="630" customFormat="false" ht="15" hidden="false" customHeight="false" outlineLevel="0" collapsed="false">
      <c r="B630" s="7" t="str">
        <f aca="false">IF(A630="","",IFERROR(MATCH(A630,Lists!$A$2:$A$37,0),""))</f>
        <v/>
      </c>
    </row>
    <row r="631" customFormat="false" ht="15" hidden="false" customHeight="false" outlineLevel="0" collapsed="false">
      <c r="B631" s="7" t="str">
        <f aca="false">IF(A631="","",IFERROR(MATCH(A631,Lists!$A$2:$A$37,0),""))</f>
        <v/>
      </c>
    </row>
    <row r="632" customFormat="false" ht="15" hidden="false" customHeight="false" outlineLevel="0" collapsed="false">
      <c r="B632" s="7" t="str">
        <f aca="false">IF(A632="","",IFERROR(MATCH(A632,Lists!$A$2:$A$37,0),""))</f>
        <v/>
      </c>
    </row>
    <row r="633" customFormat="false" ht="15" hidden="false" customHeight="false" outlineLevel="0" collapsed="false">
      <c r="B633" s="7" t="str">
        <f aca="false">IF(A633="","",IFERROR(MATCH(A633,Lists!$A$2:$A$37,0),""))</f>
        <v/>
      </c>
    </row>
    <row r="634" customFormat="false" ht="15" hidden="false" customHeight="false" outlineLevel="0" collapsed="false">
      <c r="B634" s="7" t="str">
        <f aca="false">IF(A634="","",IFERROR(MATCH(A634,Lists!$A$2:$A$37,0),""))</f>
        <v/>
      </c>
    </row>
    <row r="635" customFormat="false" ht="15" hidden="false" customHeight="false" outlineLevel="0" collapsed="false">
      <c r="B635" s="7" t="str">
        <f aca="false">IF(A635="","",IFERROR(MATCH(A635,Lists!$A$2:$A$37,0),""))</f>
        <v/>
      </c>
    </row>
    <row r="636" customFormat="false" ht="15" hidden="false" customHeight="false" outlineLevel="0" collapsed="false">
      <c r="B636" s="7" t="str">
        <f aca="false">IF(A636="","",IFERROR(MATCH(A636,Lists!$A$2:$A$37,0),""))</f>
        <v/>
      </c>
    </row>
    <row r="637" customFormat="false" ht="15" hidden="false" customHeight="false" outlineLevel="0" collapsed="false">
      <c r="B637" s="7" t="str">
        <f aca="false">IF(A637="","",IFERROR(MATCH(A637,Lists!$A$2:$A$37,0),""))</f>
        <v/>
      </c>
    </row>
    <row r="638" customFormat="false" ht="15" hidden="false" customHeight="false" outlineLevel="0" collapsed="false">
      <c r="B638" s="7" t="str">
        <f aca="false">IF(A638="","",IFERROR(MATCH(A638,Lists!$A$2:$A$37,0),""))</f>
        <v/>
      </c>
    </row>
    <row r="639" customFormat="false" ht="15" hidden="false" customHeight="false" outlineLevel="0" collapsed="false">
      <c r="B639" s="7" t="str">
        <f aca="false">IF(A639="","",IFERROR(MATCH(A639,Lists!$A$2:$A$37,0),""))</f>
        <v/>
      </c>
    </row>
    <row r="640" customFormat="false" ht="15" hidden="false" customHeight="false" outlineLevel="0" collapsed="false">
      <c r="B640" s="7" t="str">
        <f aca="false">IF(A640="","",IFERROR(MATCH(A640,Lists!$A$2:$A$37,0),""))</f>
        <v/>
      </c>
    </row>
    <row r="641" customFormat="false" ht="15" hidden="false" customHeight="false" outlineLevel="0" collapsed="false">
      <c r="B641" s="7" t="str">
        <f aca="false">IF(A641="","",IFERROR(MATCH(A641,Lists!$A$2:$A$37,0),""))</f>
        <v/>
      </c>
    </row>
    <row r="642" customFormat="false" ht="15" hidden="false" customHeight="false" outlineLevel="0" collapsed="false">
      <c r="B642" s="7" t="str">
        <f aca="false">IF(A642="","",IFERROR(MATCH(A642,Lists!$A$2:$A$37,0),""))</f>
        <v/>
      </c>
    </row>
    <row r="643" customFormat="false" ht="15" hidden="false" customHeight="false" outlineLevel="0" collapsed="false">
      <c r="B643" s="7" t="str">
        <f aca="false">IF(A643="","",IFERROR(MATCH(A643,Lists!$A$2:$A$37,0),""))</f>
        <v/>
      </c>
    </row>
    <row r="644" customFormat="false" ht="15" hidden="false" customHeight="false" outlineLevel="0" collapsed="false">
      <c r="B644" s="7" t="str">
        <f aca="false">IF(A644="","",IFERROR(MATCH(A644,Lists!$A$2:$A$37,0),""))</f>
        <v/>
      </c>
    </row>
    <row r="645" customFormat="false" ht="15" hidden="false" customHeight="false" outlineLevel="0" collapsed="false">
      <c r="B645" s="7" t="str">
        <f aca="false">IF(A645="","",IFERROR(MATCH(A645,Lists!$A$2:$A$37,0),""))</f>
        <v/>
      </c>
    </row>
    <row r="646" customFormat="false" ht="15" hidden="false" customHeight="false" outlineLevel="0" collapsed="false">
      <c r="B646" s="7" t="str">
        <f aca="false">IF(A646="","",IFERROR(MATCH(A646,Lists!$A$2:$A$37,0),""))</f>
        <v/>
      </c>
    </row>
    <row r="647" customFormat="false" ht="15" hidden="false" customHeight="false" outlineLevel="0" collapsed="false">
      <c r="B647" s="7" t="str">
        <f aca="false">IF(A647="","",IFERROR(MATCH(A647,Lists!$A$2:$A$37,0),""))</f>
        <v/>
      </c>
    </row>
    <row r="648" customFormat="false" ht="15" hidden="false" customHeight="false" outlineLevel="0" collapsed="false">
      <c r="B648" s="7" t="str">
        <f aca="false">IF(A648="","",IFERROR(MATCH(A648,Lists!$A$2:$A$37,0),""))</f>
        <v/>
      </c>
    </row>
    <row r="649" customFormat="false" ht="15" hidden="false" customHeight="false" outlineLevel="0" collapsed="false">
      <c r="B649" s="7" t="str">
        <f aca="false">IF(A649="","",IFERROR(MATCH(A649,Lists!$A$2:$A$37,0),""))</f>
        <v/>
      </c>
    </row>
    <row r="650" customFormat="false" ht="15" hidden="false" customHeight="false" outlineLevel="0" collapsed="false">
      <c r="B650" s="7" t="str">
        <f aca="false">IF(A650="","",IFERROR(MATCH(A650,Lists!$A$2:$A$37,0),""))</f>
        <v/>
      </c>
    </row>
    <row r="651" customFormat="false" ht="15" hidden="false" customHeight="false" outlineLevel="0" collapsed="false">
      <c r="B651" s="7" t="str">
        <f aca="false">IF(A651="","",IFERROR(MATCH(A651,Lists!$A$2:$A$37,0),""))</f>
        <v/>
      </c>
    </row>
    <row r="652" customFormat="false" ht="15" hidden="false" customHeight="false" outlineLevel="0" collapsed="false">
      <c r="B652" s="7" t="str">
        <f aca="false">IF(A652="","",IFERROR(MATCH(A652,Lists!$A$2:$A$37,0),""))</f>
        <v/>
      </c>
    </row>
    <row r="653" customFormat="false" ht="15" hidden="false" customHeight="false" outlineLevel="0" collapsed="false">
      <c r="B653" s="7" t="str">
        <f aca="false">IF(A653="","",IFERROR(MATCH(A653,Lists!$A$2:$A$37,0),""))</f>
        <v/>
      </c>
    </row>
    <row r="654" customFormat="false" ht="15" hidden="false" customHeight="false" outlineLevel="0" collapsed="false">
      <c r="B654" s="7" t="str">
        <f aca="false">IF(A654="","",IFERROR(MATCH(A654,Lists!$A$2:$A$37,0),""))</f>
        <v/>
      </c>
    </row>
    <row r="655" customFormat="false" ht="15" hidden="false" customHeight="false" outlineLevel="0" collapsed="false">
      <c r="B655" s="7" t="str">
        <f aca="false">IF(A655="","",IFERROR(MATCH(A655,Lists!$A$2:$A$37,0),""))</f>
        <v/>
      </c>
    </row>
    <row r="656" customFormat="false" ht="15" hidden="false" customHeight="false" outlineLevel="0" collapsed="false">
      <c r="B656" s="7" t="str">
        <f aca="false">IF(A656="","",IFERROR(MATCH(A656,Lists!$A$2:$A$37,0),""))</f>
        <v/>
      </c>
    </row>
    <row r="657" customFormat="false" ht="15" hidden="false" customHeight="false" outlineLevel="0" collapsed="false">
      <c r="B657" s="7" t="str">
        <f aca="false">IF(A657="","",IFERROR(MATCH(A657,Lists!$A$2:$A$37,0),""))</f>
        <v/>
      </c>
    </row>
    <row r="658" customFormat="false" ht="15" hidden="false" customHeight="false" outlineLevel="0" collapsed="false">
      <c r="B658" s="7" t="str">
        <f aca="false">IF(A658="","",IFERROR(MATCH(A658,Lists!$A$2:$A$37,0),""))</f>
        <v/>
      </c>
    </row>
    <row r="659" customFormat="false" ht="15" hidden="false" customHeight="false" outlineLevel="0" collapsed="false">
      <c r="B659" s="7" t="str">
        <f aca="false">IF(A659="","",IFERROR(MATCH(A659,Lists!$A$2:$A$37,0),""))</f>
        <v/>
      </c>
    </row>
    <row r="660" customFormat="false" ht="15" hidden="false" customHeight="false" outlineLevel="0" collapsed="false">
      <c r="B660" s="7" t="str">
        <f aca="false">IF(A660="","",IFERROR(MATCH(A660,Lists!$A$2:$A$37,0),""))</f>
        <v/>
      </c>
    </row>
    <row r="661" customFormat="false" ht="15" hidden="false" customHeight="false" outlineLevel="0" collapsed="false">
      <c r="B661" s="7" t="str">
        <f aca="false">IF(A661="","",IFERROR(MATCH(A661,Lists!$A$2:$A$37,0),""))</f>
        <v/>
      </c>
    </row>
    <row r="662" customFormat="false" ht="15" hidden="false" customHeight="false" outlineLevel="0" collapsed="false">
      <c r="B662" s="7" t="str">
        <f aca="false">IF(A662="","",IFERROR(MATCH(A662,Lists!$A$2:$A$37,0),""))</f>
        <v/>
      </c>
    </row>
    <row r="663" customFormat="false" ht="15" hidden="false" customHeight="false" outlineLevel="0" collapsed="false">
      <c r="B663" s="7" t="str">
        <f aca="false">IF(A663="","",IFERROR(MATCH(A663,Lists!$A$2:$A$37,0),""))</f>
        <v/>
      </c>
    </row>
    <row r="664" customFormat="false" ht="15" hidden="false" customHeight="false" outlineLevel="0" collapsed="false">
      <c r="B664" s="7" t="str">
        <f aca="false">IF(A664="","",IFERROR(MATCH(A664,Lists!$A$2:$A$37,0),""))</f>
        <v/>
      </c>
    </row>
    <row r="665" customFormat="false" ht="15" hidden="false" customHeight="false" outlineLevel="0" collapsed="false">
      <c r="B665" s="7" t="str">
        <f aca="false">IF(A665="","",IFERROR(MATCH(A665,Lists!$A$2:$A$37,0),""))</f>
        <v/>
      </c>
    </row>
    <row r="666" customFormat="false" ht="15" hidden="false" customHeight="false" outlineLevel="0" collapsed="false">
      <c r="B666" s="7" t="str">
        <f aca="false">IF(A666="","",IFERROR(MATCH(A666,Lists!$A$2:$A$37,0),""))</f>
        <v/>
      </c>
    </row>
    <row r="667" customFormat="false" ht="15" hidden="false" customHeight="false" outlineLevel="0" collapsed="false">
      <c r="B667" s="7" t="str">
        <f aca="false">IF(A667="","",IFERROR(MATCH(A667,Lists!$A$2:$A$37,0),""))</f>
        <v/>
      </c>
    </row>
    <row r="668" customFormat="false" ht="15" hidden="false" customHeight="false" outlineLevel="0" collapsed="false">
      <c r="B668" s="7" t="str">
        <f aca="false">IF(A668="","",IFERROR(MATCH(A668,Lists!$A$2:$A$37,0),""))</f>
        <v/>
      </c>
    </row>
    <row r="669" customFormat="false" ht="15" hidden="false" customHeight="false" outlineLevel="0" collapsed="false">
      <c r="B669" s="7" t="str">
        <f aca="false">IF(A669="","",IFERROR(MATCH(A669,Lists!$A$2:$A$37,0),""))</f>
        <v/>
      </c>
    </row>
    <row r="670" customFormat="false" ht="15" hidden="false" customHeight="false" outlineLevel="0" collapsed="false">
      <c r="B670" s="7" t="str">
        <f aca="false">IF(A670="","",IFERROR(MATCH(A670,Lists!$A$2:$A$37,0),""))</f>
        <v/>
      </c>
    </row>
    <row r="671" customFormat="false" ht="15" hidden="false" customHeight="false" outlineLevel="0" collapsed="false">
      <c r="B671" s="7" t="str">
        <f aca="false">IF(A671="","",IFERROR(MATCH(A671,Lists!$A$2:$A$37,0),""))</f>
        <v/>
      </c>
    </row>
    <row r="672" customFormat="false" ht="15" hidden="false" customHeight="false" outlineLevel="0" collapsed="false">
      <c r="B672" s="7" t="str">
        <f aca="false">IF(A672="","",IFERROR(MATCH(A672,Lists!$A$2:$A$37,0),""))</f>
        <v/>
      </c>
    </row>
    <row r="673" customFormat="false" ht="15" hidden="false" customHeight="false" outlineLevel="0" collapsed="false">
      <c r="B673" s="7" t="str">
        <f aca="false">IF(A673="","",IFERROR(MATCH(A673,Lists!$A$2:$A$37,0),""))</f>
        <v/>
      </c>
    </row>
    <row r="674" customFormat="false" ht="15" hidden="false" customHeight="false" outlineLevel="0" collapsed="false">
      <c r="B674" s="7" t="str">
        <f aca="false">IF(A674="","",IFERROR(MATCH(A674,Lists!$A$2:$A$37,0),""))</f>
        <v/>
      </c>
    </row>
    <row r="675" customFormat="false" ht="15" hidden="false" customHeight="false" outlineLevel="0" collapsed="false">
      <c r="B675" s="7" t="str">
        <f aca="false">IF(A675="","",IFERROR(MATCH(A675,Lists!$A$2:$A$37,0),""))</f>
        <v/>
      </c>
    </row>
    <row r="676" customFormat="false" ht="15" hidden="false" customHeight="false" outlineLevel="0" collapsed="false">
      <c r="B676" s="7" t="str">
        <f aca="false">IF(A676="","",IFERROR(MATCH(A676,Lists!$A$2:$A$37,0),""))</f>
        <v/>
      </c>
    </row>
    <row r="677" customFormat="false" ht="15" hidden="false" customHeight="false" outlineLevel="0" collapsed="false">
      <c r="B677" s="7" t="str">
        <f aca="false">IF(A677="","",IFERROR(MATCH(A677,Lists!$A$2:$A$37,0),""))</f>
        <v/>
      </c>
    </row>
    <row r="678" customFormat="false" ht="15" hidden="false" customHeight="false" outlineLevel="0" collapsed="false">
      <c r="B678" s="7" t="str">
        <f aca="false">IF(A678="","",IFERROR(MATCH(A678,Lists!$A$2:$A$37,0),""))</f>
        <v/>
      </c>
    </row>
    <row r="679" customFormat="false" ht="15" hidden="false" customHeight="false" outlineLevel="0" collapsed="false">
      <c r="B679" s="7" t="str">
        <f aca="false">IF(A679="","",IFERROR(MATCH(A679,Lists!$A$2:$A$37,0),""))</f>
        <v/>
      </c>
    </row>
    <row r="680" customFormat="false" ht="15" hidden="false" customHeight="false" outlineLevel="0" collapsed="false">
      <c r="B680" s="7" t="str">
        <f aca="false">IF(A680="","",IFERROR(MATCH(A680,Lists!$A$2:$A$37,0),""))</f>
        <v/>
      </c>
    </row>
    <row r="681" customFormat="false" ht="15" hidden="false" customHeight="false" outlineLevel="0" collapsed="false">
      <c r="B681" s="7" t="str">
        <f aca="false">IF(A681="","",IFERROR(MATCH(A681,Lists!$A$2:$A$37,0),""))</f>
        <v/>
      </c>
    </row>
    <row r="682" customFormat="false" ht="15" hidden="false" customHeight="false" outlineLevel="0" collapsed="false">
      <c r="B682" s="7" t="str">
        <f aca="false">IF(A682="","",IFERROR(MATCH(A682,Lists!$A$2:$A$37,0),""))</f>
        <v/>
      </c>
    </row>
    <row r="683" customFormat="false" ht="15" hidden="false" customHeight="false" outlineLevel="0" collapsed="false">
      <c r="B683" s="7" t="str">
        <f aca="false">IF(A683="","",IFERROR(MATCH(A683,Lists!$A$2:$A$37,0),""))</f>
        <v/>
      </c>
    </row>
    <row r="684" customFormat="false" ht="15" hidden="false" customHeight="false" outlineLevel="0" collapsed="false">
      <c r="B684" s="7" t="str">
        <f aca="false">IF(A684="","",IFERROR(MATCH(A684,Lists!$A$2:$A$37,0),""))</f>
        <v/>
      </c>
    </row>
    <row r="685" customFormat="false" ht="15" hidden="false" customHeight="false" outlineLevel="0" collapsed="false">
      <c r="B685" s="7" t="str">
        <f aca="false">IF(A685="","",IFERROR(MATCH(A685,Lists!$A$2:$A$37,0),""))</f>
        <v/>
      </c>
    </row>
    <row r="686" customFormat="false" ht="15" hidden="false" customHeight="false" outlineLevel="0" collapsed="false">
      <c r="B686" s="7" t="str">
        <f aca="false">IF(A686="","",IFERROR(MATCH(A686,Lists!$A$2:$A$37,0),""))</f>
        <v/>
      </c>
    </row>
    <row r="687" customFormat="false" ht="15" hidden="false" customHeight="false" outlineLevel="0" collapsed="false">
      <c r="B687" s="7" t="str">
        <f aca="false">IF(A687="","",IFERROR(MATCH(A687,Lists!$A$2:$A$37,0),""))</f>
        <v/>
      </c>
    </row>
    <row r="688" customFormat="false" ht="15" hidden="false" customHeight="false" outlineLevel="0" collapsed="false">
      <c r="B688" s="7" t="str">
        <f aca="false">IF(A688="","",IFERROR(MATCH(A688,Lists!$A$2:$A$37,0),""))</f>
        <v/>
      </c>
    </row>
    <row r="689" customFormat="false" ht="15" hidden="false" customHeight="false" outlineLevel="0" collapsed="false">
      <c r="B689" s="7" t="str">
        <f aca="false">IF(A689="","",IFERROR(MATCH(A689,Lists!$A$2:$A$37,0),""))</f>
        <v/>
      </c>
    </row>
    <row r="690" customFormat="false" ht="15" hidden="false" customHeight="false" outlineLevel="0" collapsed="false">
      <c r="B690" s="7" t="str">
        <f aca="false">IF(A690="","",IFERROR(MATCH(A690,Lists!$A$2:$A$37,0),""))</f>
        <v/>
      </c>
    </row>
    <row r="691" customFormat="false" ht="15" hidden="false" customHeight="false" outlineLevel="0" collapsed="false">
      <c r="B691" s="7" t="str">
        <f aca="false">IF(A691="","",IFERROR(MATCH(A691,Lists!$A$2:$A$37,0),""))</f>
        <v/>
      </c>
    </row>
    <row r="692" customFormat="false" ht="15" hidden="false" customHeight="false" outlineLevel="0" collapsed="false">
      <c r="B692" s="7" t="str">
        <f aca="false">IF(A692="","",IFERROR(MATCH(A692,Lists!$A$2:$A$37,0),""))</f>
        <v/>
      </c>
    </row>
    <row r="693" customFormat="false" ht="15" hidden="false" customHeight="false" outlineLevel="0" collapsed="false">
      <c r="B693" s="7" t="str">
        <f aca="false">IF(A693="","",IFERROR(MATCH(A693,Lists!$A$2:$A$37,0),""))</f>
        <v/>
      </c>
    </row>
    <row r="694" customFormat="false" ht="15" hidden="false" customHeight="false" outlineLevel="0" collapsed="false">
      <c r="B694" s="7" t="str">
        <f aca="false">IF(A694="","",IFERROR(MATCH(A694,Lists!$A$2:$A$37,0),""))</f>
        <v/>
      </c>
    </row>
    <row r="695" customFormat="false" ht="15" hidden="false" customHeight="false" outlineLevel="0" collapsed="false">
      <c r="B695" s="7" t="str">
        <f aca="false">IF(A695="","",IFERROR(MATCH(A695,Lists!$A$2:$A$37,0),""))</f>
        <v/>
      </c>
    </row>
    <row r="696" customFormat="false" ht="15" hidden="false" customHeight="false" outlineLevel="0" collapsed="false">
      <c r="B696" s="7" t="str">
        <f aca="false">IF(A696="","",IFERROR(MATCH(A696,Lists!$A$2:$A$37,0),""))</f>
        <v/>
      </c>
    </row>
    <row r="697" customFormat="false" ht="15" hidden="false" customHeight="false" outlineLevel="0" collapsed="false">
      <c r="B697" s="7" t="str">
        <f aca="false">IF(A697="","",IFERROR(MATCH(A697,Lists!$A$2:$A$37,0),""))</f>
        <v/>
      </c>
    </row>
    <row r="698" customFormat="false" ht="15" hidden="false" customHeight="false" outlineLevel="0" collapsed="false">
      <c r="B698" s="7" t="str">
        <f aca="false">IF(A698="","",IFERROR(MATCH(A698,Lists!$A$2:$A$37,0),""))</f>
        <v/>
      </c>
    </row>
    <row r="699" customFormat="false" ht="15" hidden="false" customHeight="false" outlineLevel="0" collapsed="false">
      <c r="B699" s="7" t="str">
        <f aca="false">IF(A699="","",IFERROR(MATCH(A699,Lists!$A$2:$A$37,0),""))</f>
        <v/>
      </c>
    </row>
    <row r="700" customFormat="false" ht="15" hidden="false" customHeight="false" outlineLevel="0" collapsed="false">
      <c r="B700" s="7" t="str">
        <f aca="false">IF(A700="","",IFERROR(MATCH(A700,Lists!$A$2:$A$37,0),""))</f>
        <v/>
      </c>
    </row>
    <row r="701" customFormat="false" ht="15" hidden="false" customHeight="false" outlineLevel="0" collapsed="false">
      <c r="B701" s="7" t="str">
        <f aca="false">IF(A701="","",IFERROR(MATCH(A701,Lists!$A$2:$A$37,0),""))</f>
        <v/>
      </c>
    </row>
    <row r="702" customFormat="false" ht="15" hidden="false" customHeight="false" outlineLevel="0" collapsed="false">
      <c r="B702" s="7" t="str">
        <f aca="false">IF(A702="","",IFERROR(MATCH(A702,Lists!$A$2:$A$37,0),""))</f>
        <v/>
      </c>
    </row>
    <row r="703" customFormat="false" ht="15" hidden="false" customHeight="false" outlineLevel="0" collapsed="false">
      <c r="B703" s="7" t="str">
        <f aca="false">IF(A703="","",IFERROR(MATCH(A703,Lists!$A$2:$A$37,0),""))</f>
        <v/>
      </c>
    </row>
    <row r="704" customFormat="false" ht="15" hidden="false" customHeight="false" outlineLevel="0" collapsed="false">
      <c r="B704" s="7" t="str">
        <f aca="false">IF(A704="","",IFERROR(MATCH(A704,Lists!$A$2:$A$37,0),""))</f>
        <v/>
      </c>
    </row>
    <row r="705" customFormat="false" ht="15" hidden="false" customHeight="false" outlineLevel="0" collapsed="false">
      <c r="B705" s="7" t="str">
        <f aca="false">IF(A705="","",IFERROR(MATCH(A705,Lists!$A$2:$A$37,0),""))</f>
        <v/>
      </c>
    </row>
    <row r="706" customFormat="false" ht="15" hidden="false" customHeight="false" outlineLevel="0" collapsed="false">
      <c r="B706" s="7" t="str">
        <f aca="false">IF(A706="","",IFERROR(MATCH(A706,Lists!$A$2:$A$37,0),""))</f>
        <v/>
      </c>
    </row>
    <row r="707" customFormat="false" ht="15" hidden="false" customHeight="false" outlineLevel="0" collapsed="false">
      <c r="B707" s="7" t="str">
        <f aca="false">IF(A707="","",IFERROR(MATCH(A707,Lists!$A$2:$A$37,0),""))</f>
        <v/>
      </c>
    </row>
    <row r="708" customFormat="false" ht="15" hidden="false" customHeight="false" outlineLevel="0" collapsed="false">
      <c r="B708" s="7" t="str">
        <f aca="false">IF(A708="","",IFERROR(MATCH(A708,Lists!$A$2:$A$37,0),""))</f>
        <v/>
      </c>
    </row>
    <row r="709" customFormat="false" ht="15" hidden="false" customHeight="false" outlineLevel="0" collapsed="false">
      <c r="B709" s="7" t="str">
        <f aca="false">IF(A709="","",IFERROR(MATCH(A709,Lists!$A$2:$A$37,0),""))</f>
        <v/>
      </c>
    </row>
    <row r="710" customFormat="false" ht="15" hidden="false" customHeight="false" outlineLevel="0" collapsed="false">
      <c r="B710" s="7" t="str">
        <f aca="false">IF(A710="","",IFERROR(MATCH(A710,Lists!$A$2:$A$37,0),""))</f>
        <v/>
      </c>
    </row>
    <row r="711" customFormat="false" ht="15" hidden="false" customHeight="false" outlineLevel="0" collapsed="false">
      <c r="B711" s="7" t="str">
        <f aca="false">IF(A711="","",IFERROR(MATCH(A711,Lists!$A$2:$A$37,0),""))</f>
        <v/>
      </c>
    </row>
    <row r="712" customFormat="false" ht="15" hidden="false" customHeight="false" outlineLevel="0" collapsed="false">
      <c r="B712" s="7" t="str">
        <f aca="false">IF(A712="","",IFERROR(MATCH(A712,Lists!$A$2:$A$37,0),""))</f>
        <v/>
      </c>
    </row>
    <row r="713" customFormat="false" ht="15" hidden="false" customHeight="false" outlineLevel="0" collapsed="false">
      <c r="B713" s="7" t="str">
        <f aca="false">IF(A713="","",IFERROR(MATCH(A713,Lists!$A$2:$A$37,0),""))</f>
        <v/>
      </c>
    </row>
    <row r="714" customFormat="false" ht="15" hidden="false" customHeight="false" outlineLevel="0" collapsed="false">
      <c r="B714" s="7" t="str">
        <f aca="false">IF(A714="","",IFERROR(MATCH(A714,Lists!$A$2:$A$37,0),""))</f>
        <v/>
      </c>
    </row>
    <row r="715" customFormat="false" ht="15" hidden="false" customHeight="false" outlineLevel="0" collapsed="false">
      <c r="B715" s="7" t="str">
        <f aca="false">IF(A715="","",IFERROR(MATCH(A715,Lists!$A$2:$A$37,0),""))</f>
        <v/>
      </c>
    </row>
    <row r="716" customFormat="false" ht="15" hidden="false" customHeight="false" outlineLevel="0" collapsed="false">
      <c r="B716" s="7" t="str">
        <f aca="false">IF(A716="","",IFERROR(MATCH(A716,Lists!$A$2:$A$37,0),""))</f>
        <v/>
      </c>
    </row>
    <row r="717" customFormat="false" ht="15" hidden="false" customHeight="false" outlineLevel="0" collapsed="false">
      <c r="B717" s="7" t="str">
        <f aca="false">IF(A717="","",IFERROR(MATCH(A717,Lists!$A$2:$A$37,0),""))</f>
        <v/>
      </c>
    </row>
    <row r="718" customFormat="false" ht="15" hidden="false" customHeight="false" outlineLevel="0" collapsed="false">
      <c r="B718" s="7" t="str">
        <f aca="false">IF(A718="","",IFERROR(MATCH(A718,Lists!$A$2:$A$37,0),""))</f>
        <v/>
      </c>
    </row>
    <row r="719" customFormat="false" ht="15" hidden="false" customHeight="false" outlineLevel="0" collapsed="false">
      <c r="B719" s="7" t="str">
        <f aca="false">IF(A719="","",IFERROR(MATCH(A719,Lists!$A$2:$A$37,0),""))</f>
        <v/>
      </c>
    </row>
    <row r="720" customFormat="false" ht="15" hidden="false" customHeight="false" outlineLevel="0" collapsed="false">
      <c r="B720" s="7" t="str">
        <f aca="false">IF(A720="","",IFERROR(MATCH(A720,Lists!$A$2:$A$37,0),""))</f>
        <v/>
      </c>
    </row>
    <row r="721" customFormat="false" ht="15" hidden="false" customHeight="false" outlineLevel="0" collapsed="false">
      <c r="B721" s="7" t="str">
        <f aca="false">IF(A721="","",IFERROR(MATCH(A721,Lists!$A$2:$A$37,0),""))</f>
        <v/>
      </c>
    </row>
    <row r="722" customFormat="false" ht="15" hidden="false" customHeight="false" outlineLevel="0" collapsed="false">
      <c r="B722" s="7" t="str">
        <f aca="false">IF(A722="","",IFERROR(MATCH(A722,Lists!$A$2:$A$37,0),""))</f>
        <v/>
      </c>
    </row>
    <row r="723" customFormat="false" ht="15" hidden="false" customHeight="false" outlineLevel="0" collapsed="false">
      <c r="B723" s="7" t="str">
        <f aca="false">IF(A723="","",IFERROR(MATCH(A723,Lists!$A$2:$A$37,0),""))</f>
        <v/>
      </c>
    </row>
    <row r="724" customFormat="false" ht="15" hidden="false" customHeight="false" outlineLevel="0" collapsed="false">
      <c r="B724" s="7" t="str">
        <f aca="false">IF(A724="","",IFERROR(MATCH(A724,Lists!$A$2:$A$37,0),""))</f>
        <v/>
      </c>
    </row>
    <row r="725" customFormat="false" ht="15" hidden="false" customHeight="false" outlineLevel="0" collapsed="false">
      <c r="B725" s="7" t="str">
        <f aca="false">IF(A725="","",IFERROR(MATCH(A725,Lists!$A$2:$A$37,0),""))</f>
        <v/>
      </c>
    </row>
    <row r="726" customFormat="false" ht="15" hidden="false" customHeight="false" outlineLevel="0" collapsed="false">
      <c r="B726" s="7" t="str">
        <f aca="false">IF(A726="","",IFERROR(MATCH(A726,Lists!$A$2:$A$37,0),""))</f>
        <v/>
      </c>
    </row>
    <row r="727" customFormat="false" ht="15" hidden="false" customHeight="false" outlineLevel="0" collapsed="false">
      <c r="B727" s="7" t="str">
        <f aca="false">IF(A727="","",IFERROR(MATCH(A727,Lists!$A$2:$A$37,0),""))</f>
        <v/>
      </c>
    </row>
    <row r="728" customFormat="false" ht="15" hidden="false" customHeight="false" outlineLevel="0" collapsed="false">
      <c r="B728" s="7" t="str">
        <f aca="false">IF(A728="","",IFERROR(MATCH(A728,Lists!$A$2:$A$37,0),""))</f>
        <v/>
      </c>
    </row>
    <row r="729" customFormat="false" ht="15" hidden="false" customHeight="false" outlineLevel="0" collapsed="false">
      <c r="B729" s="7" t="str">
        <f aca="false">IF(A729="","",IFERROR(MATCH(A729,Lists!$A$2:$A$37,0),""))</f>
        <v/>
      </c>
    </row>
    <row r="730" customFormat="false" ht="15" hidden="false" customHeight="false" outlineLevel="0" collapsed="false">
      <c r="B730" s="7" t="str">
        <f aca="false">IF(A730="","",IFERROR(MATCH(A730,Lists!$A$2:$A$37,0),""))</f>
        <v/>
      </c>
    </row>
    <row r="731" customFormat="false" ht="15" hidden="false" customHeight="false" outlineLevel="0" collapsed="false">
      <c r="B731" s="7" t="str">
        <f aca="false">IF(A731="","",IFERROR(MATCH(A731,Lists!$A$2:$A$37,0),""))</f>
        <v/>
      </c>
    </row>
    <row r="732" customFormat="false" ht="15" hidden="false" customHeight="false" outlineLevel="0" collapsed="false">
      <c r="B732" s="7" t="str">
        <f aca="false">IF(A732="","",IFERROR(MATCH(A732,Lists!$A$2:$A$37,0),""))</f>
        <v/>
      </c>
    </row>
    <row r="733" customFormat="false" ht="15" hidden="false" customHeight="false" outlineLevel="0" collapsed="false">
      <c r="B733" s="7" t="str">
        <f aca="false">IF(A733="","",IFERROR(MATCH(A733,Lists!$A$2:$A$37,0),""))</f>
        <v/>
      </c>
    </row>
    <row r="734" customFormat="false" ht="15" hidden="false" customHeight="false" outlineLevel="0" collapsed="false">
      <c r="B734" s="7" t="str">
        <f aca="false">IF(A734="","",IFERROR(MATCH(A734,Lists!$A$2:$A$37,0),""))</f>
        <v/>
      </c>
    </row>
    <row r="735" customFormat="false" ht="15" hidden="false" customHeight="false" outlineLevel="0" collapsed="false">
      <c r="B735" s="7" t="str">
        <f aca="false">IF(A735="","",IFERROR(MATCH(A735,Lists!$A$2:$A$37,0),""))</f>
        <v/>
      </c>
    </row>
    <row r="736" customFormat="false" ht="15" hidden="false" customHeight="false" outlineLevel="0" collapsed="false">
      <c r="B736" s="7" t="str">
        <f aca="false">IF(A736="","",IFERROR(MATCH(A736,Lists!$A$2:$A$37,0),""))</f>
        <v/>
      </c>
    </row>
    <row r="737" customFormat="false" ht="15" hidden="false" customHeight="false" outlineLevel="0" collapsed="false">
      <c r="B737" s="7" t="str">
        <f aca="false">IF(A737="","",IFERROR(MATCH(A737,Lists!$A$2:$A$37,0),""))</f>
        <v/>
      </c>
    </row>
    <row r="738" customFormat="false" ht="15" hidden="false" customHeight="false" outlineLevel="0" collapsed="false">
      <c r="B738" s="7" t="str">
        <f aca="false">IF(A738="","",IFERROR(MATCH(A738,Lists!$A$2:$A$37,0),""))</f>
        <v/>
      </c>
    </row>
    <row r="739" customFormat="false" ht="15" hidden="false" customHeight="false" outlineLevel="0" collapsed="false">
      <c r="B739" s="7" t="str">
        <f aca="false">IF(A739="","",IFERROR(MATCH(A739,Lists!$A$2:$A$37,0),""))</f>
        <v/>
      </c>
    </row>
    <row r="740" customFormat="false" ht="15" hidden="false" customHeight="false" outlineLevel="0" collapsed="false">
      <c r="B740" s="7" t="str">
        <f aca="false">IF(A740="","",IFERROR(MATCH(A740,Lists!$A$2:$A$37,0),""))</f>
        <v/>
      </c>
    </row>
    <row r="741" customFormat="false" ht="15" hidden="false" customHeight="false" outlineLevel="0" collapsed="false">
      <c r="B741" s="7" t="str">
        <f aca="false">IF(A741="","",IFERROR(MATCH(A741,Lists!$A$2:$A$37,0),""))</f>
        <v/>
      </c>
    </row>
    <row r="742" customFormat="false" ht="15" hidden="false" customHeight="false" outlineLevel="0" collapsed="false">
      <c r="B742" s="7" t="str">
        <f aca="false">IF(A742="","",IFERROR(MATCH(A742,Lists!$A$2:$A$37,0),""))</f>
        <v/>
      </c>
    </row>
    <row r="743" customFormat="false" ht="15" hidden="false" customHeight="false" outlineLevel="0" collapsed="false">
      <c r="B743" s="7" t="str">
        <f aca="false">IF(A743="","",IFERROR(MATCH(A743,Lists!$A$2:$A$37,0),""))</f>
        <v/>
      </c>
    </row>
    <row r="744" customFormat="false" ht="15" hidden="false" customHeight="false" outlineLevel="0" collapsed="false">
      <c r="B744" s="7" t="str">
        <f aca="false">IF(A744="","",IFERROR(MATCH(A744,Lists!$A$2:$A$37,0),""))</f>
        <v/>
      </c>
    </row>
    <row r="745" customFormat="false" ht="15" hidden="false" customHeight="false" outlineLevel="0" collapsed="false">
      <c r="B745" s="7" t="str">
        <f aca="false">IF(A745="","",IFERROR(MATCH(A745,Lists!$A$2:$A$37,0),""))</f>
        <v/>
      </c>
    </row>
    <row r="746" customFormat="false" ht="15" hidden="false" customHeight="false" outlineLevel="0" collapsed="false">
      <c r="B746" s="7" t="str">
        <f aca="false">IF(A746="","",IFERROR(MATCH(A746,Lists!$A$2:$A$37,0),""))</f>
        <v/>
      </c>
    </row>
    <row r="747" customFormat="false" ht="15" hidden="false" customHeight="false" outlineLevel="0" collapsed="false">
      <c r="B747" s="7" t="str">
        <f aca="false">IF(A747="","",IFERROR(MATCH(A747,Lists!$A$2:$A$37,0),""))</f>
        <v/>
      </c>
    </row>
    <row r="748" customFormat="false" ht="15" hidden="false" customHeight="false" outlineLevel="0" collapsed="false">
      <c r="B748" s="7" t="str">
        <f aca="false">IF(A748="","",IFERROR(MATCH(A748,Lists!$A$2:$A$37,0),""))</f>
        <v/>
      </c>
    </row>
    <row r="749" customFormat="false" ht="15" hidden="false" customHeight="false" outlineLevel="0" collapsed="false">
      <c r="B749" s="7" t="str">
        <f aca="false">IF(A749="","",IFERROR(MATCH(A749,Lists!$A$2:$A$37,0),""))</f>
        <v/>
      </c>
    </row>
    <row r="750" customFormat="false" ht="15" hidden="false" customHeight="false" outlineLevel="0" collapsed="false">
      <c r="B750" s="7" t="str">
        <f aca="false">IF(A750="","",IFERROR(MATCH(A750,Lists!$A$2:$A$37,0),""))</f>
        <v/>
      </c>
    </row>
    <row r="751" customFormat="false" ht="15" hidden="false" customHeight="false" outlineLevel="0" collapsed="false">
      <c r="B751" s="7" t="str">
        <f aca="false">IF(A751="","",IFERROR(MATCH(A751,Lists!$A$2:$A$37,0),""))</f>
        <v/>
      </c>
    </row>
    <row r="752" customFormat="false" ht="15" hidden="false" customHeight="false" outlineLevel="0" collapsed="false">
      <c r="B752" s="7" t="str">
        <f aca="false">IF(A752="","",IFERROR(MATCH(A752,Lists!$A$2:$A$37,0),""))</f>
        <v/>
      </c>
    </row>
    <row r="753" customFormat="false" ht="15" hidden="false" customHeight="false" outlineLevel="0" collapsed="false">
      <c r="B753" s="7" t="str">
        <f aca="false">IF(A753="","",IFERROR(MATCH(A753,Lists!$A$2:$A$37,0),""))</f>
        <v/>
      </c>
    </row>
    <row r="754" customFormat="false" ht="15" hidden="false" customHeight="false" outlineLevel="0" collapsed="false">
      <c r="B754" s="7" t="str">
        <f aca="false">IF(A754="","",IFERROR(MATCH(A754,Lists!$A$2:$A$37,0),""))</f>
        <v/>
      </c>
    </row>
    <row r="755" customFormat="false" ht="15" hidden="false" customHeight="false" outlineLevel="0" collapsed="false">
      <c r="B755" s="7" t="str">
        <f aca="false">IF(A755="","",IFERROR(MATCH(A755,Lists!$A$2:$A$37,0),""))</f>
        <v/>
      </c>
    </row>
    <row r="756" customFormat="false" ht="15" hidden="false" customHeight="false" outlineLevel="0" collapsed="false">
      <c r="B756" s="7" t="str">
        <f aca="false">IF(A756="","",IFERROR(MATCH(A756,Lists!$A$2:$A$37,0),""))</f>
        <v/>
      </c>
    </row>
    <row r="757" customFormat="false" ht="15" hidden="false" customHeight="false" outlineLevel="0" collapsed="false">
      <c r="B757" s="7" t="str">
        <f aca="false">IF(A757="","",IFERROR(MATCH(A757,Lists!$A$2:$A$37,0),""))</f>
        <v/>
      </c>
    </row>
    <row r="758" customFormat="false" ht="15" hidden="false" customHeight="false" outlineLevel="0" collapsed="false">
      <c r="B758" s="7" t="str">
        <f aca="false">IF(A758="","",IFERROR(MATCH(A758,Lists!$A$2:$A$37,0),""))</f>
        <v/>
      </c>
    </row>
    <row r="759" customFormat="false" ht="15" hidden="false" customHeight="false" outlineLevel="0" collapsed="false">
      <c r="B759" s="7" t="str">
        <f aca="false">IF(A759="","",IFERROR(MATCH(A759,Lists!$A$2:$A$37,0),""))</f>
        <v/>
      </c>
    </row>
    <row r="760" customFormat="false" ht="15" hidden="false" customHeight="false" outlineLevel="0" collapsed="false">
      <c r="B760" s="7" t="str">
        <f aca="false">IF(A760="","",IFERROR(MATCH(A760,Lists!$A$2:$A$37,0),""))</f>
        <v/>
      </c>
    </row>
    <row r="761" customFormat="false" ht="15" hidden="false" customHeight="false" outlineLevel="0" collapsed="false">
      <c r="B761" s="7" t="str">
        <f aca="false">IF(A761="","",IFERROR(MATCH(A761,Lists!$A$2:$A$37,0),""))</f>
        <v/>
      </c>
    </row>
    <row r="762" customFormat="false" ht="15" hidden="false" customHeight="false" outlineLevel="0" collapsed="false">
      <c r="B762" s="7" t="str">
        <f aca="false">IF(A762="","",IFERROR(MATCH(A762,Lists!$A$2:$A$37,0),""))</f>
        <v/>
      </c>
    </row>
    <row r="763" customFormat="false" ht="15" hidden="false" customHeight="false" outlineLevel="0" collapsed="false">
      <c r="B763" s="7" t="str">
        <f aca="false">IF(A763="","",IFERROR(MATCH(A763,Lists!$A$2:$A$37,0),""))</f>
        <v/>
      </c>
    </row>
    <row r="764" customFormat="false" ht="15" hidden="false" customHeight="false" outlineLevel="0" collapsed="false">
      <c r="B764" s="7" t="str">
        <f aca="false">IF(A764="","",IFERROR(MATCH(A764,Lists!$A$2:$A$37,0),""))</f>
        <v/>
      </c>
    </row>
    <row r="765" customFormat="false" ht="15" hidden="false" customHeight="false" outlineLevel="0" collapsed="false">
      <c r="B765" s="7" t="str">
        <f aca="false">IF(A765="","",IFERROR(MATCH(A765,Lists!$A$2:$A$37,0),""))</f>
        <v/>
      </c>
    </row>
    <row r="766" customFormat="false" ht="15" hidden="false" customHeight="false" outlineLevel="0" collapsed="false">
      <c r="B766" s="7" t="str">
        <f aca="false">IF(A766="","",IFERROR(MATCH(A766,Lists!$A$2:$A$37,0),""))</f>
        <v/>
      </c>
    </row>
    <row r="767" customFormat="false" ht="15" hidden="false" customHeight="false" outlineLevel="0" collapsed="false">
      <c r="B767" s="7" t="str">
        <f aca="false">IF(A767="","",IFERROR(MATCH(A767,Lists!$A$2:$A$37,0),""))</f>
        <v/>
      </c>
    </row>
    <row r="768" customFormat="false" ht="15" hidden="false" customHeight="false" outlineLevel="0" collapsed="false">
      <c r="B768" s="7" t="str">
        <f aca="false">IF(A768="","",IFERROR(MATCH(A768,Lists!$A$2:$A$37,0),""))</f>
        <v/>
      </c>
    </row>
    <row r="769" customFormat="false" ht="15" hidden="false" customHeight="false" outlineLevel="0" collapsed="false">
      <c r="B769" s="7" t="str">
        <f aca="false">IF(A769="","",IFERROR(MATCH(A769,Lists!$A$2:$A$37,0),""))</f>
        <v/>
      </c>
    </row>
    <row r="770" customFormat="false" ht="15" hidden="false" customHeight="false" outlineLevel="0" collapsed="false">
      <c r="B770" s="7" t="str">
        <f aca="false">IF(A770="","",IFERROR(MATCH(A770,Lists!$A$2:$A$37,0),""))</f>
        <v/>
      </c>
    </row>
    <row r="771" customFormat="false" ht="15" hidden="false" customHeight="false" outlineLevel="0" collapsed="false">
      <c r="B771" s="7" t="str">
        <f aca="false">IF(A771="","",IFERROR(MATCH(A771,Lists!$A$2:$A$37,0),""))</f>
        <v/>
      </c>
    </row>
    <row r="772" customFormat="false" ht="15" hidden="false" customHeight="false" outlineLevel="0" collapsed="false">
      <c r="B772" s="7" t="str">
        <f aca="false">IF(A772="","",IFERROR(MATCH(A772,Lists!$A$2:$A$37,0),""))</f>
        <v/>
      </c>
    </row>
    <row r="773" customFormat="false" ht="15" hidden="false" customHeight="false" outlineLevel="0" collapsed="false">
      <c r="B773" s="7" t="str">
        <f aca="false">IF(A773="","",IFERROR(MATCH(A773,Lists!$A$2:$A$37,0),""))</f>
        <v/>
      </c>
    </row>
    <row r="774" customFormat="false" ht="15" hidden="false" customHeight="false" outlineLevel="0" collapsed="false">
      <c r="B774" s="7" t="str">
        <f aca="false">IF(A774="","",IFERROR(MATCH(A774,Lists!$A$2:$A$37,0),""))</f>
        <v/>
      </c>
    </row>
    <row r="775" customFormat="false" ht="15" hidden="false" customHeight="false" outlineLevel="0" collapsed="false">
      <c r="B775" s="7" t="str">
        <f aca="false">IF(A775="","",IFERROR(MATCH(A775,Lists!$A$2:$A$37,0),""))</f>
        <v/>
      </c>
    </row>
    <row r="776" customFormat="false" ht="15" hidden="false" customHeight="false" outlineLevel="0" collapsed="false">
      <c r="B776" s="7" t="str">
        <f aca="false">IF(A776="","",IFERROR(MATCH(A776,Lists!$A$2:$A$37,0),""))</f>
        <v/>
      </c>
    </row>
    <row r="777" customFormat="false" ht="15" hidden="false" customHeight="false" outlineLevel="0" collapsed="false">
      <c r="B777" s="7" t="str">
        <f aca="false">IF(A777="","",IFERROR(MATCH(A777,Lists!$A$2:$A$37,0),""))</f>
        <v/>
      </c>
    </row>
    <row r="778" customFormat="false" ht="15" hidden="false" customHeight="false" outlineLevel="0" collapsed="false">
      <c r="B778" s="7" t="str">
        <f aca="false">IF(A778="","",IFERROR(MATCH(A778,Lists!$A$2:$A$37,0),""))</f>
        <v/>
      </c>
    </row>
    <row r="779" customFormat="false" ht="15" hidden="false" customHeight="false" outlineLevel="0" collapsed="false">
      <c r="B779" s="7" t="str">
        <f aca="false">IF(A779="","",IFERROR(MATCH(A779,Lists!$A$2:$A$37,0),""))</f>
        <v/>
      </c>
    </row>
    <row r="780" customFormat="false" ht="15" hidden="false" customHeight="false" outlineLevel="0" collapsed="false">
      <c r="B780" s="7" t="str">
        <f aca="false">IF(A780="","",IFERROR(MATCH(A780,Lists!$A$2:$A$37,0),""))</f>
        <v/>
      </c>
    </row>
    <row r="781" customFormat="false" ht="15" hidden="false" customHeight="false" outlineLevel="0" collapsed="false">
      <c r="B781" s="7" t="str">
        <f aca="false">IF(A781="","",IFERROR(MATCH(A781,Lists!$A$2:$A$37,0),""))</f>
        <v/>
      </c>
    </row>
    <row r="782" customFormat="false" ht="15" hidden="false" customHeight="false" outlineLevel="0" collapsed="false">
      <c r="B782" s="7" t="str">
        <f aca="false">IF(A782="","",IFERROR(MATCH(A782,Lists!$A$2:$A$37,0),""))</f>
        <v/>
      </c>
    </row>
    <row r="783" customFormat="false" ht="15" hidden="false" customHeight="false" outlineLevel="0" collapsed="false">
      <c r="B783" s="7" t="str">
        <f aca="false">IF(A783="","",IFERROR(MATCH(A783,Lists!$A$2:$A$37,0),""))</f>
        <v/>
      </c>
    </row>
    <row r="784" customFormat="false" ht="15" hidden="false" customHeight="false" outlineLevel="0" collapsed="false">
      <c r="B784" s="7" t="str">
        <f aca="false">IF(A784="","",IFERROR(MATCH(A784,Lists!$A$2:$A$37,0),""))</f>
        <v/>
      </c>
    </row>
    <row r="785" customFormat="false" ht="15" hidden="false" customHeight="false" outlineLevel="0" collapsed="false">
      <c r="B785" s="7" t="str">
        <f aca="false">IF(A785="","",IFERROR(MATCH(A785,Lists!$A$2:$A$37,0),""))</f>
        <v/>
      </c>
    </row>
    <row r="786" customFormat="false" ht="15" hidden="false" customHeight="false" outlineLevel="0" collapsed="false">
      <c r="B786" s="7" t="str">
        <f aca="false">IF(A786="","",IFERROR(MATCH(A786,Lists!$A$2:$A$37,0),""))</f>
        <v/>
      </c>
    </row>
    <row r="787" customFormat="false" ht="15" hidden="false" customHeight="false" outlineLevel="0" collapsed="false">
      <c r="B787" s="7" t="str">
        <f aca="false">IF(A787="","",IFERROR(MATCH(A787,Lists!$A$2:$A$37,0),""))</f>
        <v/>
      </c>
    </row>
    <row r="788" customFormat="false" ht="15" hidden="false" customHeight="false" outlineLevel="0" collapsed="false">
      <c r="B788" s="7" t="str">
        <f aca="false">IF(A788="","",IFERROR(MATCH(A788,Lists!$A$2:$A$37,0),""))</f>
        <v/>
      </c>
    </row>
    <row r="789" customFormat="false" ht="15" hidden="false" customHeight="false" outlineLevel="0" collapsed="false">
      <c r="B789" s="7" t="str">
        <f aca="false">IF(A789="","",IFERROR(MATCH(A789,Lists!$A$2:$A$37,0),""))</f>
        <v/>
      </c>
    </row>
    <row r="790" customFormat="false" ht="15" hidden="false" customHeight="false" outlineLevel="0" collapsed="false">
      <c r="B790" s="7" t="str">
        <f aca="false">IF(A790="","",IFERROR(MATCH(A790,Lists!$A$2:$A$37,0),""))</f>
        <v/>
      </c>
    </row>
    <row r="791" customFormat="false" ht="15" hidden="false" customHeight="false" outlineLevel="0" collapsed="false">
      <c r="B791" s="7" t="str">
        <f aca="false">IF(A791="","",IFERROR(MATCH(A791,Lists!$A$2:$A$37,0),""))</f>
        <v/>
      </c>
    </row>
    <row r="792" customFormat="false" ht="15" hidden="false" customHeight="false" outlineLevel="0" collapsed="false">
      <c r="B792" s="7" t="str">
        <f aca="false">IF(A792="","",IFERROR(MATCH(A792,Lists!$A$2:$A$37,0),""))</f>
        <v/>
      </c>
    </row>
    <row r="793" customFormat="false" ht="15" hidden="false" customHeight="false" outlineLevel="0" collapsed="false">
      <c r="B793" s="7" t="str">
        <f aca="false">IF(A793="","",IFERROR(MATCH(A793,Lists!$A$2:$A$37,0),""))</f>
        <v/>
      </c>
    </row>
    <row r="794" customFormat="false" ht="15" hidden="false" customHeight="false" outlineLevel="0" collapsed="false">
      <c r="B794" s="7" t="str">
        <f aca="false">IF(A794="","",IFERROR(MATCH(A794,Lists!$A$2:$A$37,0),""))</f>
        <v/>
      </c>
    </row>
    <row r="795" customFormat="false" ht="15" hidden="false" customHeight="false" outlineLevel="0" collapsed="false">
      <c r="B795" s="7" t="str">
        <f aca="false">IF(A795="","",IFERROR(MATCH(A795,Lists!$A$2:$A$37,0),""))</f>
        <v/>
      </c>
    </row>
    <row r="796" customFormat="false" ht="15" hidden="false" customHeight="false" outlineLevel="0" collapsed="false">
      <c r="B796" s="7" t="str">
        <f aca="false">IF(A796="","",IFERROR(MATCH(A796,Lists!$A$2:$A$37,0),""))</f>
        <v/>
      </c>
    </row>
    <row r="797" customFormat="false" ht="15" hidden="false" customHeight="false" outlineLevel="0" collapsed="false">
      <c r="B797" s="7" t="str">
        <f aca="false">IF(A797="","",IFERROR(MATCH(A797,Lists!$A$2:$A$37,0),""))</f>
        <v/>
      </c>
    </row>
    <row r="798" customFormat="false" ht="15" hidden="false" customHeight="false" outlineLevel="0" collapsed="false">
      <c r="B798" s="7" t="str">
        <f aca="false">IF(A798="","",IFERROR(MATCH(A798,Lists!$A$2:$A$37,0),""))</f>
        <v/>
      </c>
    </row>
    <row r="799" customFormat="false" ht="15" hidden="false" customHeight="false" outlineLevel="0" collapsed="false">
      <c r="B799" s="7" t="str">
        <f aca="false">IF(A799="","",IFERROR(MATCH(A799,Lists!$A$2:$A$37,0),""))</f>
        <v/>
      </c>
    </row>
    <row r="800" customFormat="false" ht="15" hidden="false" customHeight="false" outlineLevel="0" collapsed="false">
      <c r="B800" s="7" t="str">
        <f aca="false">IF(A800="","",IFERROR(MATCH(A800,Lists!$A$2:$A$37,0),""))</f>
        <v/>
      </c>
    </row>
    <row r="801" customFormat="false" ht="15" hidden="false" customHeight="false" outlineLevel="0" collapsed="false">
      <c r="B801" s="7" t="str">
        <f aca="false">IF(A801="","",IFERROR(MATCH(A801,Lists!$A$2:$A$37,0),""))</f>
        <v/>
      </c>
    </row>
    <row r="802" customFormat="false" ht="15" hidden="false" customHeight="false" outlineLevel="0" collapsed="false">
      <c r="B802" s="7" t="str">
        <f aca="false">IF(A802="","",IFERROR(MATCH(A802,Lists!$A$2:$A$37,0),""))</f>
        <v/>
      </c>
    </row>
    <row r="803" customFormat="false" ht="15" hidden="false" customHeight="false" outlineLevel="0" collapsed="false">
      <c r="B803" s="7" t="str">
        <f aca="false">IF(A803="","",IFERROR(MATCH(A803,Lists!$A$2:$A$37,0),""))</f>
        <v/>
      </c>
    </row>
    <row r="804" customFormat="false" ht="15" hidden="false" customHeight="false" outlineLevel="0" collapsed="false">
      <c r="B804" s="7" t="str">
        <f aca="false">IF(A804="","",IFERROR(MATCH(A804,Lists!$A$2:$A$37,0),""))</f>
        <v/>
      </c>
    </row>
    <row r="805" customFormat="false" ht="15" hidden="false" customHeight="false" outlineLevel="0" collapsed="false">
      <c r="B805" s="7" t="str">
        <f aca="false">IF(A805="","",IFERROR(MATCH(A805,Lists!$A$2:$A$37,0),""))</f>
        <v/>
      </c>
    </row>
    <row r="806" customFormat="false" ht="15" hidden="false" customHeight="false" outlineLevel="0" collapsed="false">
      <c r="B806" s="7" t="str">
        <f aca="false">IF(A806="","",IFERROR(MATCH(A806,Lists!$A$2:$A$37,0),""))</f>
        <v/>
      </c>
    </row>
    <row r="807" customFormat="false" ht="15" hidden="false" customHeight="false" outlineLevel="0" collapsed="false">
      <c r="B807" s="7" t="str">
        <f aca="false">IF(A807="","",IFERROR(MATCH(A807,Lists!$A$2:$A$37,0),""))</f>
        <v/>
      </c>
    </row>
    <row r="808" customFormat="false" ht="15" hidden="false" customHeight="false" outlineLevel="0" collapsed="false">
      <c r="B808" s="7" t="str">
        <f aca="false">IF(A808="","",IFERROR(MATCH(A808,Lists!$A$2:$A$37,0),""))</f>
        <v/>
      </c>
    </row>
    <row r="809" customFormat="false" ht="15" hidden="false" customHeight="false" outlineLevel="0" collapsed="false">
      <c r="B809" s="7" t="str">
        <f aca="false">IF(A809="","",IFERROR(MATCH(A809,Lists!$A$2:$A$37,0),""))</f>
        <v/>
      </c>
    </row>
    <row r="810" customFormat="false" ht="15" hidden="false" customHeight="false" outlineLevel="0" collapsed="false">
      <c r="B810" s="7" t="str">
        <f aca="false">IF(A810="","",IFERROR(MATCH(A810,Lists!$A$2:$A$37,0),""))</f>
        <v/>
      </c>
    </row>
    <row r="811" customFormat="false" ht="15" hidden="false" customHeight="false" outlineLevel="0" collapsed="false">
      <c r="B811" s="7" t="str">
        <f aca="false">IF(A811="","",IFERROR(MATCH(A811,Lists!$A$2:$A$37,0),""))</f>
        <v/>
      </c>
    </row>
    <row r="812" customFormat="false" ht="15" hidden="false" customHeight="false" outlineLevel="0" collapsed="false">
      <c r="B812" s="7" t="str">
        <f aca="false">IF(A812="","",IFERROR(MATCH(A812,Lists!$A$2:$A$37,0),""))</f>
        <v/>
      </c>
    </row>
    <row r="813" customFormat="false" ht="15" hidden="false" customHeight="false" outlineLevel="0" collapsed="false">
      <c r="B813" s="7" t="str">
        <f aca="false">IF(A813="","",IFERROR(MATCH(A813,Lists!$A$2:$A$37,0),""))</f>
        <v/>
      </c>
    </row>
    <row r="814" customFormat="false" ht="15" hidden="false" customHeight="false" outlineLevel="0" collapsed="false">
      <c r="B814" s="7" t="str">
        <f aca="false">IF(A814="","",IFERROR(MATCH(A814,Lists!$A$2:$A$37,0),""))</f>
        <v/>
      </c>
    </row>
    <row r="815" customFormat="false" ht="15" hidden="false" customHeight="false" outlineLevel="0" collapsed="false">
      <c r="B815" s="7" t="str">
        <f aca="false">IF(A815="","",IFERROR(MATCH(A815,Lists!$A$2:$A$37,0),""))</f>
        <v/>
      </c>
    </row>
    <row r="816" customFormat="false" ht="15" hidden="false" customHeight="false" outlineLevel="0" collapsed="false">
      <c r="B816" s="7" t="str">
        <f aca="false">IF(A816="","",IFERROR(MATCH(A816,Lists!$A$2:$A$37,0),""))</f>
        <v/>
      </c>
    </row>
    <row r="817" customFormat="false" ht="15" hidden="false" customHeight="false" outlineLevel="0" collapsed="false">
      <c r="B817" s="7" t="str">
        <f aca="false">IF(A817="","",IFERROR(MATCH(A817,Lists!$A$2:$A$37,0),""))</f>
        <v/>
      </c>
    </row>
    <row r="818" customFormat="false" ht="15" hidden="false" customHeight="false" outlineLevel="0" collapsed="false">
      <c r="B818" s="7" t="str">
        <f aca="false">IF(A818="","",IFERROR(MATCH(A818,Lists!$A$2:$A$37,0),""))</f>
        <v/>
      </c>
    </row>
    <row r="819" customFormat="false" ht="15" hidden="false" customHeight="false" outlineLevel="0" collapsed="false">
      <c r="B819" s="7" t="str">
        <f aca="false">IF(A819="","",IFERROR(MATCH(A819,Lists!$A$2:$A$37,0),""))</f>
        <v/>
      </c>
    </row>
    <row r="820" customFormat="false" ht="15" hidden="false" customHeight="false" outlineLevel="0" collapsed="false">
      <c r="B820" s="7" t="str">
        <f aca="false">IF(A820="","",IFERROR(MATCH(A820,Lists!$A$2:$A$37,0),""))</f>
        <v/>
      </c>
    </row>
    <row r="821" customFormat="false" ht="15" hidden="false" customHeight="false" outlineLevel="0" collapsed="false">
      <c r="B821" s="7" t="str">
        <f aca="false">IF(A821="","",IFERROR(MATCH(A821,Lists!$A$2:$A$37,0),""))</f>
        <v/>
      </c>
    </row>
    <row r="822" customFormat="false" ht="15" hidden="false" customHeight="false" outlineLevel="0" collapsed="false">
      <c r="B822" s="7" t="str">
        <f aca="false">IF(A822="","",IFERROR(MATCH(A822,Lists!$A$2:$A$37,0),""))</f>
        <v/>
      </c>
    </row>
    <row r="823" customFormat="false" ht="15" hidden="false" customHeight="false" outlineLevel="0" collapsed="false">
      <c r="B823" s="7" t="str">
        <f aca="false">IF(A823="","",IFERROR(MATCH(A823,Lists!$A$2:$A$37,0),""))</f>
        <v/>
      </c>
    </row>
    <row r="824" customFormat="false" ht="15" hidden="false" customHeight="false" outlineLevel="0" collapsed="false">
      <c r="B824" s="7" t="str">
        <f aca="false">IF(A824="","",IFERROR(MATCH(A824,Lists!$A$2:$A$37,0),""))</f>
        <v/>
      </c>
    </row>
    <row r="825" customFormat="false" ht="15" hidden="false" customHeight="false" outlineLevel="0" collapsed="false">
      <c r="B825" s="7" t="str">
        <f aca="false">IF(A825="","",IFERROR(MATCH(A825,Lists!$A$2:$A$37,0),""))</f>
        <v/>
      </c>
    </row>
    <row r="826" customFormat="false" ht="15" hidden="false" customHeight="false" outlineLevel="0" collapsed="false">
      <c r="B826" s="7" t="str">
        <f aca="false">IF(A826="","",IFERROR(MATCH(A826,Lists!$A$2:$A$37,0),""))</f>
        <v/>
      </c>
    </row>
    <row r="827" customFormat="false" ht="15" hidden="false" customHeight="false" outlineLevel="0" collapsed="false">
      <c r="B827" s="7" t="str">
        <f aca="false">IF(A827="","",IFERROR(MATCH(A827,Lists!$A$2:$A$37,0),""))</f>
        <v/>
      </c>
    </row>
    <row r="828" customFormat="false" ht="15" hidden="false" customHeight="false" outlineLevel="0" collapsed="false">
      <c r="B828" s="7" t="str">
        <f aca="false">IF(A828="","",IFERROR(MATCH(A828,Lists!$A$2:$A$37,0),""))</f>
        <v/>
      </c>
    </row>
    <row r="829" customFormat="false" ht="15" hidden="false" customHeight="false" outlineLevel="0" collapsed="false">
      <c r="B829" s="7" t="str">
        <f aca="false">IF(A829="","",IFERROR(MATCH(A829,Lists!$A$2:$A$37,0),""))</f>
        <v/>
      </c>
    </row>
    <row r="830" customFormat="false" ht="15" hidden="false" customHeight="false" outlineLevel="0" collapsed="false">
      <c r="B830" s="7" t="str">
        <f aca="false">IF(A830="","",IFERROR(MATCH(A830,Lists!$A$2:$A$37,0),""))</f>
        <v/>
      </c>
    </row>
    <row r="831" customFormat="false" ht="15" hidden="false" customHeight="false" outlineLevel="0" collapsed="false">
      <c r="B831" s="7" t="str">
        <f aca="false">IF(A831="","",IFERROR(MATCH(A831,Lists!$A$2:$A$37,0),""))</f>
        <v/>
      </c>
    </row>
    <row r="832" customFormat="false" ht="15" hidden="false" customHeight="false" outlineLevel="0" collapsed="false">
      <c r="B832" s="7" t="str">
        <f aca="false">IF(A832="","",IFERROR(MATCH(A832,Lists!$A$2:$A$37,0),""))</f>
        <v/>
      </c>
    </row>
    <row r="833" customFormat="false" ht="15" hidden="false" customHeight="false" outlineLevel="0" collapsed="false">
      <c r="B833" s="7" t="str">
        <f aca="false">IF(A833="","",IFERROR(MATCH(A833,Lists!$A$2:$A$37,0),""))</f>
        <v/>
      </c>
    </row>
    <row r="834" customFormat="false" ht="15" hidden="false" customHeight="false" outlineLevel="0" collapsed="false">
      <c r="B834" s="7" t="str">
        <f aca="false">IF(A834="","",IFERROR(MATCH(A834,Lists!$A$2:$A$37,0),""))</f>
        <v/>
      </c>
    </row>
    <row r="835" customFormat="false" ht="15" hidden="false" customHeight="false" outlineLevel="0" collapsed="false">
      <c r="B835" s="7" t="str">
        <f aca="false">IF(A835="","",IFERROR(MATCH(A835,Lists!$A$2:$A$37,0),""))</f>
        <v/>
      </c>
    </row>
    <row r="836" customFormat="false" ht="15" hidden="false" customHeight="false" outlineLevel="0" collapsed="false">
      <c r="B836" s="7" t="str">
        <f aca="false">IF(A836="","",IFERROR(MATCH(A836,Lists!$A$2:$A$37,0),""))</f>
        <v/>
      </c>
    </row>
    <row r="837" customFormat="false" ht="15" hidden="false" customHeight="false" outlineLevel="0" collapsed="false">
      <c r="B837" s="7" t="str">
        <f aca="false">IF(A837="","",IFERROR(MATCH(A837,Lists!$A$2:$A$37,0),""))</f>
        <v/>
      </c>
    </row>
    <row r="838" customFormat="false" ht="15" hidden="false" customHeight="false" outlineLevel="0" collapsed="false">
      <c r="B838" s="7" t="str">
        <f aca="false">IF(A838="","",IFERROR(MATCH(A838,Lists!$A$2:$A$37,0),""))</f>
        <v/>
      </c>
    </row>
    <row r="839" customFormat="false" ht="15" hidden="false" customHeight="false" outlineLevel="0" collapsed="false">
      <c r="B839" s="7" t="str">
        <f aca="false">IF(A839="","",IFERROR(MATCH(A839,Lists!$A$2:$A$37,0),""))</f>
        <v/>
      </c>
    </row>
    <row r="840" customFormat="false" ht="15" hidden="false" customHeight="false" outlineLevel="0" collapsed="false">
      <c r="B840" s="7" t="str">
        <f aca="false">IF(A840="","",IFERROR(MATCH(A840,Lists!$A$2:$A$37,0),""))</f>
        <v/>
      </c>
    </row>
    <row r="841" customFormat="false" ht="15" hidden="false" customHeight="false" outlineLevel="0" collapsed="false">
      <c r="B841" s="7" t="str">
        <f aca="false">IF(A841="","",IFERROR(MATCH(A841,Lists!$A$2:$A$37,0),""))</f>
        <v/>
      </c>
    </row>
    <row r="842" customFormat="false" ht="15" hidden="false" customHeight="false" outlineLevel="0" collapsed="false">
      <c r="B842" s="7" t="str">
        <f aca="false">IF(A842="","",IFERROR(MATCH(A842,Lists!$A$2:$A$37,0),""))</f>
        <v/>
      </c>
    </row>
    <row r="843" customFormat="false" ht="15" hidden="false" customHeight="false" outlineLevel="0" collapsed="false">
      <c r="B843" s="7" t="str">
        <f aca="false">IF(A843="","",IFERROR(MATCH(A843,Lists!$A$2:$A$37,0),""))</f>
        <v/>
      </c>
    </row>
    <row r="844" customFormat="false" ht="15" hidden="false" customHeight="false" outlineLevel="0" collapsed="false">
      <c r="B844" s="7" t="str">
        <f aca="false">IF(A844="","",IFERROR(MATCH(A844,Lists!$A$2:$A$37,0),""))</f>
        <v/>
      </c>
    </row>
    <row r="845" customFormat="false" ht="15" hidden="false" customHeight="false" outlineLevel="0" collapsed="false">
      <c r="B845" s="7" t="str">
        <f aca="false">IF(A845="","",IFERROR(MATCH(A845,Lists!$A$2:$A$37,0),""))</f>
        <v/>
      </c>
    </row>
    <row r="846" customFormat="false" ht="15" hidden="false" customHeight="false" outlineLevel="0" collapsed="false">
      <c r="B846" s="7" t="str">
        <f aca="false">IF(A846="","",IFERROR(MATCH(A846,Lists!$A$2:$A$37,0),""))</f>
        <v/>
      </c>
    </row>
    <row r="847" customFormat="false" ht="15" hidden="false" customHeight="false" outlineLevel="0" collapsed="false">
      <c r="B847" s="7" t="str">
        <f aca="false">IF(A847="","",IFERROR(MATCH(A847,Lists!$A$2:$A$37,0),""))</f>
        <v/>
      </c>
    </row>
    <row r="848" customFormat="false" ht="15" hidden="false" customHeight="false" outlineLevel="0" collapsed="false">
      <c r="B848" s="7" t="str">
        <f aca="false">IF(A848="","",IFERROR(MATCH(A848,Lists!$A$2:$A$37,0),""))</f>
        <v/>
      </c>
    </row>
    <row r="849" customFormat="false" ht="15" hidden="false" customHeight="false" outlineLevel="0" collapsed="false">
      <c r="B849" s="7" t="str">
        <f aca="false">IF(A849="","",IFERROR(MATCH(A849,Lists!$A$2:$A$37,0),""))</f>
        <v/>
      </c>
    </row>
    <row r="850" customFormat="false" ht="15" hidden="false" customHeight="false" outlineLevel="0" collapsed="false">
      <c r="B850" s="7" t="str">
        <f aca="false">IF(A850="","",IFERROR(MATCH(A850,Lists!$A$2:$A$37,0),""))</f>
        <v/>
      </c>
    </row>
    <row r="851" customFormat="false" ht="15" hidden="false" customHeight="false" outlineLevel="0" collapsed="false">
      <c r="B851" s="7" t="str">
        <f aca="false">IF(A851="","",IFERROR(MATCH(A851,Lists!$A$2:$A$37,0),""))</f>
        <v/>
      </c>
    </row>
    <row r="852" customFormat="false" ht="15" hidden="false" customHeight="false" outlineLevel="0" collapsed="false">
      <c r="B852" s="7" t="str">
        <f aca="false">IF(A852="","",IFERROR(MATCH(A852,Lists!$A$2:$A$37,0),""))</f>
        <v/>
      </c>
    </row>
    <row r="853" customFormat="false" ht="15" hidden="false" customHeight="false" outlineLevel="0" collapsed="false">
      <c r="B853" s="7" t="str">
        <f aca="false">IF(A853="","",IFERROR(MATCH(A853,Lists!$A$2:$A$37,0),""))</f>
        <v/>
      </c>
    </row>
    <row r="854" customFormat="false" ht="15" hidden="false" customHeight="false" outlineLevel="0" collapsed="false">
      <c r="B854" s="7" t="str">
        <f aca="false">IF(A854="","",IFERROR(MATCH(A854,Lists!$A$2:$A$37,0),""))</f>
        <v/>
      </c>
    </row>
    <row r="855" customFormat="false" ht="15" hidden="false" customHeight="false" outlineLevel="0" collapsed="false">
      <c r="B855" s="7" t="str">
        <f aca="false">IF(A855="","",IFERROR(MATCH(A855,Lists!$A$2:$A$37,0),""))</f>
        <v/>
      </c>
    </row>
    <row r="856" customFormat="false" ht="15" hidden="false" customHeight="false" outlineLevel="0" collapsed="false">
      <c r="B856" s="7" t="str">
        <f aca="false">IF(A856="","",IFERROR(MATCH(A856,Lists!$A$2:$A$37,0),""))</f>
        <v/>
      </c>
    </row>
    <row r="857" customFormat="false" ht="15" hidden="false" customHeight="false" outlineLevel="0" collapsed="false">
      <c r="B857" s="7" t="str">
        <f aca="false">IF(A857="","",IFERROR(MATCH(A857,Lists!$A$2:$A$37,0),""))</f>
        <v/>
      </c>
    </row>
    <row r="858" customFormat="false" ht="15" hidden="false" customHeight="false" outlineLevel="0" collapsed="false">
      <c r="B858" s="7" t="str">
        <f aca="false">IF(A858="","",IFERROR(MATCH(A858,Lists!$A$2:$A$37,0),""))</f>
        <v/>
      </c>
    </row>
    <row r="859" customFormat="false" ht="15" hidden="false" customHeight="false" outlineLevel="0" collapsed="false">
      <c r="B859" s="7" t="str">
        <f aca="false">IF(A859="","",IFERROR(MATCH(A859,Lists!$A$2:$A$37,0),""))</f>
        <v/>
      </c>
    </row>
    <row r="860" customFormat="false" ht="15" hidden="false" customHeight="false" outlineLevel="0" collapsed="false">
      <c r="B860" s="7" t="str">
        <f aca="false">IF(A860="","",IFERROR(MATCH(A860,Lists!$A$2:$A$37,0),""))</f>
        <v/>
      </c>
    </row>
    <row r="861" customFormat="false" ht="15" hidden="false" customHeight="false" outlineLevel="0" collapsed="false">
      <c r="B861" s="7" t="str">
        <f aca="false">IF(A861="","",IFERROR(MATCH(A861,Lists!$A$2:$A$37,0),""))</f>
        <v/>
      </c>
    </row>
    <row r="862" customFormat="false" ht="15" hidden="false" customHeight="false" outlineLevel="0" collapsed="false">
      <c r="B862" s="7" t="str">
        <f aca="false">IF(A862="","",IFERROR(MATCH(A862,Lists!$A$2:$A$37,0),""))</f>
        <v/>
      </c>
    </row>
    <row r="863" customFormat="false" ht="15" hidden="false" customHeight="false" outlineLevel="0" collapsed="false">
      <c r="B863" s="7" t="str">
        <f aca="false">IF(A863="","",IFERROR(MATCH(A863,Lists!$A$2:$A$37,0),""))</f>
        <v/>
      </c>
    </row>
    <row r="864" customFormat="false" ht="15" hidden="false" customHeight="false" outlineLevel="0" collapsed="false">
      <c r="B864" s="7" t="str">
        <f aca="false">IF(A864="","",IFERROR(MATCH(A864,Lists!$A$2:$A$37,0),""))</f>
        <v/>
      </c>
    </row>
    <row r="865" customFormat="false" ht="15" hidden="false" customHeight="false" outlineLevel="0" collapsed="false">
      <c r="B865" s="7" t="str">
        <f aca="false">IF(A865="","",IFERROR(MATCH(A865,Lists!$A$2:$A$37,0),""))</f>
        <v/>
      </c>
    </row>
    <row r="866" customFormat="false" ht="15" hidden="false" customHeight="false" outlineLevel="0" collapsed="false">
      <c r="B866" s="7" t="str">
        <f aca="false">IF(A866="","",IFERROR(MATCH(A866,Lists!$A$2:$A$37,0),""))</f>
        <v/>
      </c>
    </row>
    <row r="867" customFormat="false" ht="15" hidden="false" customHeight="false" outlineLevel="0" collapsed="false">
      <c r="B867" s="7" t="str">
        <f aca="false">IF(A867="","",IFERROR(MATCH(A867,Lists!$A$2:$A$37,0),""))</f>
        <v/>
      </c>
    </row>
    <row r="868" customFormat="false" ht="15" hidden="false" customHeight="false" outlineLevel="0" collapsed="false">
      <c r="B868" s="7" t="str">
        <f aca="false">IF(A868="","",IFERROR(MATCH(A868,Lists!$A$2:$A$37,0),""))</f>
        <v/>
      </c>
    </row>
    <row r="869" customFormat="false" ht="15" hidden="false" customHeight="false" outlineLevel="0" collapsed="false">
      <c r="B869" s="7" t="str">
        <f aca="false">IF(A869="","",IFERROR(MATCH(A869,Lists!$A$2:$A$37,0),""))</f>
        <v/>
      </c>
    </row>
    <row r="870" customFormat="false" ht="15" hidden="false" customHeight="false" outlineLevel="0" collapsed="false">
      <c r="B870" s="7" t="str">
        <f aca="false">IF(A870="","",IFERROR(MATCH(A870,Lists!$A$2:$A$37,0),""))</f>
        <v/>
      </c>
    </row>
    <row r="871" customFormat="false" ht="15" hidden="false" customHeight="false" outlineLevel="0" collapsed="false">
      <c r="B871" s="7" t="str">
        <f aca="false">IF(A871="","",IFERROR(MATCH(A871,Lists!$A$2:$A$37,0),""))</f>
        <v/>
      </c>
    </row>
    <row r="872" customFormat="false" ht="15" hidden="false" customHeight="false" outlineLevel="0" collapsed="false">
      <c r="B872" s="7" t="str">
        <f aca="false">IF(A872="","",IFERROR(MATCH(A872,Lists!$A$2:$A$37,0),""))</f>
        <v/>
      </c>
    </row>
    <row r="873" customFormat="false" ht="15" hidden="false" customHeight="false" outlineLevel="0" collapsed="false">
      <c r="B873" s="7" t="str">
        <f aca="false">IF(A873="","",IFERROR(MATCH(A873,Lists!$A$2:$A$37,0),""))</f>
        <v/>
      </c>
    </row>
    <row r="874" customFormat="false" ht="15" hidden="false" customHeight="false" outlineLevel="0" collapsed="false">
      <c r="B874" s="7" t="str">
        <f aca="false">IF(A874="","",IFERROR(MATCH(A874,Lists!$A$2:$A$37,0),""))</f>
        <v/>
      </c>
    </row>
    <row r="875" customFormat="false" ht="15" hidden="false" customHeight="false" outlineLevel="0" collapsed="false">
      <c r="B875" s="7" t="str">
        <f aca="false">IF(A875="","",IFERROR(MATCH(A875,Lists!$A$2:$A$37,0),""))</f>
        <v/>
      </c>
    </row>
    <row r="876" customFormat="false" ht="15" hidden="false" customHeight="false" outlineLevel="0" collapsed="false">
      <c r="B876" s="7" t="str">
        <f aca="false">IF(A876="","",IFERROR(MATCH(A876,Lists!$A$2:$A$37,0),""))</f>
        <v/>
      </c>
    </row>
    <row r="877" customFormat="false" ht="15" hidden="false" customHeight="false" outlineLevel="0" collapsed="false">
      <c r="B877" s="7" t="str">
        <f aca="false">IF(A877="","",IFERROR(MATCH(A877,Lists!$A$2:$A$37,0),""))</f>
        <v/>
      </c>
    </row>
    <row r="878" customFormat="false" ht="15" hidden="false" customHeight="false" outlineLevel="0" collapsed="false">
      <c r="B878" s="7" t="str">
        <f aca="false">IF(A878="","",IFERROR(MATCH(A878,Lists!$A$2:$A$37,0),""))</f>
        <v/>
      </c>
    </row>
    <row r="879" customFormat="false" ht="15" hidden="false" customHeight="false" outlineLevel="0" collapsed="false">
      <c r="B879" s="7" t="str">
        <f aca="false">IF(A879="","",IFERROR(MATCH(A879,Lists!$A$2:$A$37,0),""))</f>
        <v/>
      </c>
    </row>
    <row r="880" customFormat="false" ht="15" hidden="false" customHeight="false" outlineLevel="0" collapsed="false">
      <c r="B880" s="7" t="str">
        <f aca="false">IF(A880="","",IFERROR(MATCH(A880,Lists!$A$2:$A$37,0),""))</f>
        <v/>
      </c>
    </row>
    <row r="881" customFormat="false" ht="15" hidden="false" customHeight="false" outlineLevel="0" collapsed="false">
      <c r="B881" s="7" t="str">
        <f aca="false">IF(A881="","",IFERROR(MATCH(A881,Lists!$A$2:$A$37,0),""))</f>
        <v/>
      </c>
    </row>
    <row r="882" customFormat="false" ht="15" hidden="false" customHeight="false" outlineLevel="0" collapsed="false">
      <c r="B882" s="7" t="str">
        <f aca="false">IF(A882="","",IFERROR(MATCH(A882,Lists!$A$2:$A$37,0),""))</f>
        <v/>
      </c>
    </row>
    <row r="883" customFormat="false" ht="15" hidden="false" customHeight="false" outlineLevel="0" collapsed="false">
      <c r="B883" s="7" t="str">
        <f aca="false">IF(A883="","",IFERROR(MATCH(A883,Lists!$A$2:$A$37,0),""))</f>
        <v/>
      </c>
    </row>
    <row r="884" customFormat="false" ht="15" hidden="false" customHeight="false" outlineLevel="0" collapsed="false">
      <c r="B884" s="7" t="str">
        <f aca="false">IF(A884="","",IFERROR(MATCH(A884,Lists!$A$2:$A$37,0),""))</f>
        <v/>
      </c>
    </row>
    <row r="885" customFormat="false" ht="15" hidden="false" customHeight="false" outlineLevel="0" collapsed="false">
      <c r="B885" s="7" t="str">
        <f aca="false">IF(A885="","",IFERROR(MATCH(A885,Lists!$A$2:$A$37,0),""))</f>
        <v/>
      </c>
    </row>
    <row r="886" customFormat="false" ht="15" hidden="false" customHeight="false" outlineLevel="0" collapsed="false">
      <c r="B886" s="7" t="str">
        <f aca="false">IF(A886="","",IFERROR(MATCH(A886,Lists!$A$2:$A$37,0),""))</f>
        <v/>
      </c>
    </row>
    <row r="887" customFormat="false" ht="15" hidden="false" customHeight="false" outlineLevel="0" collapsed="false">
      <c r="B887" s="7" t="str">
        <f aca="false">IF(A887="","",IFERROR(MATCH(A887,Lists!$A$2:$A$37,0),""))</f>
        <v/>
      </c>
    </row>
    <row r="888" customFormat="false" ht="15" hidden="false" customHeight="false" outlineLevel="0" collapsed="false">
      <c r="B888" s="7" t="str">
        <f aca="false">IF(A888="","",IFERROR(MATCH(A888,Lists!$A$2:$A$37,0),""))</f>
        <v/>
      </c>
    </row>
    <row r="889" customFormat="false" ht="15" hidden="false" customHeight="false" outlineLevel="0" collapsed="false">
      <c r="B889" s="7" t="str">
        <f aca="false">IF(A889="","",IFERROR(MATCH(A889,Lists!$A$2:$A$37,0),""))</f>
        <v/>
      </c>
    </row>
    <row r="890" customFormat="false" ht="15" hidden="false" customHeight="false" outlineLevel="0" collapsed="false">
      <c r="B890" s="7" t="str">
        <f aca="false">IF(A890="","",IFERROR(MATCH(A890,Lists!$A$2:$A$37,0),""))</f>
        <v/>
      </c>
    </row>
    <row r="891" customFormat="false" ht="15" hidden="false" customHeight="false" outlineLevel="0" collapsed="false">
      <c r="B891" s="7" t="str">
        <f aca="false">IF(A891="","",IFERROR(MATCH(A891,Lists!$A$2:$A$37,0),""))</f>
        <v/>
      </c>
    </row>
    <row r="892" customFormat="false" ht="15" hidden="false" customHeight="false" outlineLevel="0" collapsed="false">
      <c r="B892" s="7" t="str">
        <f aca="false">IF(A892="","",IFERROR(MATCH(A892,Lists!$A$2:$A$37,0),""))</f>
        <v/>
      </c>
    </row>
    <row r="893" customFormat="false" ht="15" hidden="false" customHeight="false" outlineLevel="0" collapsed="false">
      <c r="B893" s="7" t="str">
        <f aca="false">IF(A893="","",IFERROR(MATCH(A893,Lists!$A$2:$A$37,0),""))</f>
        <v/>
      </c>
    </row>
    <row r="894" customFormat="false" ht="15" hidden="false" customHeight="false" outlineLevel="0" collapsed="false">
      <c r="B894" s="7" t="str">
        <f aca="false">IF(A894="","",IFERROR(MATCH(A894,Lists!$A$2:$A$37,0),""))</f>
        <v/>
      </c>
    </row>
    <row r="895" customFormat="false" ht="15" hidden="false" customHeight="false" outlineLevel="0" collapsed="false">
      <c r="B895" s="7" t="str">
        <f aca="false">IF(A895="","",IFERROR(MATCH(A895,Lists!$A$2:$A$37,0),""))</f>
        <v/>
      </c>
    </row>
    <row r="896" customFormat="false" ht="15" hidden="false" customHeight="false" outlineLevel="0" collapsed="false">
      <c r="B896" s="7" t="str">
        <f aca="false">IF(A896="","",IFERROR(MATCH(A896,Lists!$A$2:$A$37,0),""))</f>
        <v/>
      </c>
    </row>
    <row r="897" customFormat="false" ht="15" hidden="false" customHeight="false" outlineLevel="0" collapsed="false">
      <c r="B897" s="7" t="str">
        <f aca="false">IF(A897="","",IFERROR(MATCH(A897,Lists!$A$2:$A$37,0),""))</f>
        <v/>
      </c>
    </row>
    <row r="898" customFormat="false" ht="15" hidden="false" customHeight="false" outlineLevel="0" collapsed="false">
      <c r="B898" s="7" t="str">
        <f aca="false">IF(A898="","",IFERROR(MATCH(A898,Lists!$A$2:$A$37,0),""))</f>
        <v/>
      </c>
    </row>
    <row r="899" customFormat="false" ht="15" hidden="false" customHeight="false" outlineLevel="0" collapsed="false">
      <c r="B899" s="7" t="str">
        <f aca="false">IF(A899="","",IFERROR(MATCH(A899,Lists!$A$2:$A$37,0),""))</f>
        <v/>
      </c>
    </row>
    <row r="900" customFormat="false" ht="15" hidden="false" customHeight="false" outlineLevel="0" collapsed="false">
      <c r="B900" s="7" t="str">
        <f aca="false">IF(A900="","",IFERROR(MATCH(A900,Lists!$A$2:$A$37,0),""))</f>
        <v/>
      </c>
    </row>
    <row r="901" customFormat="false" ht="15" hidden="false" customHeight="false" outlineLevel="0" collapsed="false">
      <c r="B901" s="7" t="str">
        <f aca="false">IF(A901="","",IFERROR(MATCH(A901,Lists!$A$2:$A$37,0),""))</f>
        <v/>
      </c>
    </row>
    <row r="902" customFormat="false" ht="15" hidden="false" customHeight="false" outlineLevel="0" collapsed="false">
      <c r="B902" s="7" t="str">
        <f aca="false">IF(A902="","",IFERROR(MATCH(A902,Lists!$A$2:$A$37,0),""))</f>
        <v/>
      </c>
    </row>
    <row r="903" customFormat="false" ht="15" hidden="false" customHeight="false" outlineLevel="0" collapsed="false">
      <c r="B903" s="7" t="str">
        <f aca="false">IF(A903="","",IFERROR(MATCH(A903,Lists!$A$2:$A$37,0),""))</f>
        <v/>
      </c>
    </row>
    <row r="904" customFormat="false" ht="15" hidden="false" customHeight="false" outlineLevel="0" collapsed="false">
      <c r="B904" s="7" t="str">
        <f aca="false">IF(A904="","",IFERROR(MATCH(A904,Lists!$A$2:$A$37,0),""))</f>
        <v/>
      </c>
    </row>
    <row r="905" customFormat="false" ht="15" hidden="false" customHeight="false" outlineLevel="0" collapsed="false">
      <c r="B905" s="7" t="str">
        <f aca="false">IF(A905="","",IFERROR(MATCH(A905,Lists!$A$2:$A$37,0),""))</f>
        <v/>
      </c>
    </row>
    <row r="906" customFormat="false" ht="15" hidden="false" customHeight="false" outlineLevel="0" collapsed="false">
      <c r="B906" s="7" t="str">
        <f aca="false">IF(A906="","",IFERROR(MATCH(A906,Lists!$A$2:$A$37,0),""))</f>
        <v/>
      </c>
    </row>
    <row r="907" customFormat="false" ht="15" hidden="false" customHeight="false" outlineLevel="0" collapsed="false">
      <c r="B907" s="7" t="str">
        <f aca="false">IF(A907="","",IFERROR(MATCH(A907,Lists!$A$2:$A$37,0),""))</f>
        <v/>
      </c>
    </row>
    <row r="908" customFormat="false" ht="15" hidden="false" customHeight="false" outlineLevel="0" collapsed="false">
      <c r="B908" s="7" t="str">
        <f aca="false">IF(A908="","",IFERROR(MATCH(A908,Lists!$A$2:$A$37,0),""))</f>
        <v/>
      </c>
    </row>
    <row r="909" customFormat="false" ht="15" hidden="false" customHeight="false" outlineLevel="0" collapsed="false">
      <c r="B909" s="7" t="str">
        <f aca="false">IF(A909="","",IFERROR(MATCH(A909,Lists!$A$2:$A$37,0),""))</f>
        <v/>
      </c>
    </row>
    <row r="910" customFormat="false" ht="15" hidden="false" customHeight="false" outlineLevel="0" collapsed="false">
      <c r="B910" s="7" t="str">
        <f aca="false">IF(A910="","",IFERROR(MATCH(A910,Lists!$A$2:$A$37,0),""))</f>
        <v/>
      </c>
    </row>
    <row r="911" customFormat="false" ht="15" hidden="false" customHeight="false" outlineLevel="0" collapsed="false">
      <c r="B911" s="7" t="str">
        <f aca="false">IF(A911="","",IFERROR(MATCH(A911,Lists!$A$2:$A$37,0),""))</f>
        <v/>
      </c>
    </row>
    <row r="912" customFormat="false" ht="15" hidden="false" customHeight="false" outlineLevel="0" collapsed="false">
      <c r="B912" s="7" t="str">
        <f aca="false">IF(A912="","",IFERROR(MATCH(A912,Lists!$A$2:$A$37,0),""))</f>
        <v/>
      </c>
    </row>
    <row r="913" customFormat="false" ht="15" hidden="false" customHeight="false" outlineLevel="0" collapsed="false">
      <c r="B913" s="7" t="str">
        <f aca="false">IF(A913="","",IFERROR(MATCH(A913,Lists!$A$2:$A$37,0),""))</f>
        <v/>
      </c>
    </row>
    <row r="914" customFormat="false" ht="15" hidden="false" customHeight="false" outlineLevel="0" collapsed="false">
      <c r="B914" s="7" t="str">
        <f aca="false">IF(A914="","",IFERROR(MATCH(A914,Lists!$A$2:$A$37,0),""))</f>
        <v/>
      </c>
    </row>
    <row r="915" customFormat="false" ht="15" hidden="false" customHeight="false" outlineLevel="0" collapsed="false">
      <c r="B915" s="7" t="str">
        <f aca="false">IF(A915="","",IFERROR(MATCH(A915,Lists!$A$2:$A$37,0),""))</f>
        <v/>
      </c>
    </row>
    <row r="916" customFormat="false" ht="15" hidden="false" customHeight="false" outlineLevel="0" collapsed="false">
      <c r="B916" s="7" t="str">
        <f aca="false">IF(A916="","",IFERROR(MATCH(A916,Lists!$A$2:$A$37,0),""))</f>
        <v/>
      </c>
    </row>
    <row r="917" customFormat="false" ht="15" hidden="false" customHeight="false" outlineLevel="0" collapsed="false">
      <c r="B917" s="7" t="str">
        <f aca="false">IF(A917="","",IFERROR(MATCH(A917,Lists!$A$2:$A$37,0),""))</f>
        <v/>
      </c>
    </row>
    <row r="918" customFormat="false" ht="15" hidden="false" customHeight="false" outlineLevel="0" collapsed="false">
      <c r="B918" s="7" t="str">
        <f aca="false">IF(A918="","",IFERROR(MATCH(A918,Lists!$A$2:$A$37,0),""))</f>
        <v/>
      </c>
    </row>
    <row r="919" customFormat="false" ht="15" hidden="false" customHeight="false" outlineLevel="0" collapsed="false">
      <c r="B919" s="7" t="str">
        <f aca="false">IF(A919="","",IFERROR(MATCH(A919,Lists!$A$2:$A$37,0),""))</f>
        <v/>
      </c>
    </row>
    <row r="920" customFormat="false" ht="15" hidden="false" customHeight="false" outlineLevel="0" collapsed="false">
      <c r="B920" s="7" t="str">
        <f aca="false">IF(A920="","",IFERROR(MATCH(A920,Lists!$A$2:$A$37,0),""))</f>
        <v/>
      </c>
    </row>
    <row r="921" customFormat="false" ht="15" hidden="false" customHeight="false" outlineLevel="0" collapsed="false">
      <c r="B921" s="7" t="str">
        <f aca="false">IF(A921="","",IFERROR(MATCH(A921,Lists!$A$2:$A$37,0),""))</f>
        <v/>
      </c>
    </row>
    <row r="922" customFormat="false" ht="15" hidden="false" customHeight="false" outlineLevel="0" collapsed="false">
      <c r="B922" s="7" t="str">
        <f aca="false">IF(A922="","",IFERROR(MATCH(A922,Lists!$A$2:$A$37,0),""))</f>
        <v/>
      </c>
    </row>
    <row r="923" customFormat="false" ht="15" hidden="false" customHeight="false" outlineLevel="0" collapsed="false">
      <c r="B923" s="7" t="str">
        <f aca="false">IF(A923="","",IFERROR(MATCH(A923,Lists!$A$2:$A$37,0),""))</f>
        <v/>
      </c>
    </row>
    <row r="924" customFormat="false" ht="15" hidden="false" customHeight="false" outlineLevel="0" collapsed="false">
      <c r="B924" s="7" t="str">
        <f aca="false">IF(A924="","",IFERROR(MATCH(A924,Lists!$A$2:$A$37,0),""))</f>
        <v/>
      </c>
    </row>
    <row r="925" customFormat="false" ht="15" hidden="false" customHeight="false" outlineLevel="0" collapsed="false">
      <c r="B925" s="7" t="str">
        <f aca="false">IF(A925="","",IFERROR(MATCH(A925,Lists!$A$2:$A$37,0),""))</f>
        <v/>
      </c>
    </row>
    <row r="926" customFormat="false" ht="15" hidden="false" customHeight="false" outlineLevel="0" collapsed="false">
      <c r="B926" s="7" t="str">
        <f aca="false">IF(A926="","",IFERROR(MATCH(A926,Lists!$A$2:$A$37,0),""))</f>
        <v/>
      </c>
    </row>
    <row r="927" customFormat="false" ht="15" hidden="false" customHeight="false" outlineLevel="0" collapsed="false">
      <c r="B927" s="7" t="str">
        <f aca="false">IF(A927="","",IFERROR(MATCH(A927,Lists!$A$2:$A$37,0),""))</f>
        <v/>
      </c>
    </row>
    <row r="928" customFormat="false" ht="15" hidden="false" customHeight="false" outlineLevel="0" collapsed="false">
      <c r="B928" s="7" t="str">
        <f aca="false">IF(A928="","",IFERROR(MATCH(A928,Lists!$A$2:$A$37,0),""))</f>
        <v/>
      </c>
    </row>
    <row r="929" customFormat="false" ht="15" hidden="false" customHeight="false" outlineLevel="0" collapsed="false">
      <c r="B929" s="7" t="str">
        <f aca="false">IF(A929="","",IFERROR(MATCH(A929,Lists!$A$2:$A$37,0),""))</f>
        <v/>
      </c>
    </row>
    <row r="930" customFormat="false" ht="15" hidden="false" customHeight="false" outlineLevel="0" collapsed="false">
      <c r="B930" s="7" t="str">
        <f aca="false">IF(A930="","",IFERROR(MATCH(A930,Lists!$A$2:$A$37,0),""))</f>
        <v/>
      </c>
    </row>
    <row r="931" customFormat="false" ht="15" hidden="false" customHeight="false" outlineLevel="0" collapsed="false">
      <c r="B931" s="7" t="str">
        <f aca="false">IF(A931="","",IFERROR(MATCH(A931,Lists!$A$2:$A$37,0),""))</f>
        <v/>
      </c>
    </row>
    <row r="932" customFormat="false" ht="15" hidden="false" customHeight="false" outlineLevel="0" collapsed="false">
      <c r="B932" s="7" t="str">
        <f aca="false">IF(A932="","",IFERROR(MATCH(A932,Lists!$A$2:$A$37,0),""))</f>
        <v/>
      </c>
    </row>
    <row r="933" customFormat="false" ht="15" hidden="false" customHeight="false" outlineLevel="0" collapsed="false">
      <c r="B933" s="7" t="str">
        <f aca="false">IF(A933="","",IFERROR(MATCH(A933,Lists!$A$2:$A$37,0),""))</f>
        <v/>
      </c>
    </row>
    <row r="934" customFormat="false" ht="15" hidden="false" customHeight="false" outlineLevel="0" collapsed="false">
      <c r="B934" s="7" t="str">
        <f aca="false">IF(A934="","",IFERROR(MATCH(A934,Lists!$A$2:$A$37,0),""))</f>
        <v/>
      </c>
    </row>
    <row r="935" customFormat="false" ht="15" hidden="false" customHeight="false" outlineLevel="0" collapsed="false">
      <c r="B935" s="7" t="str">
        <f aca="false">IF(A935="","",IFERROR(MATCH(A935,Lists!$A$2:$A$37,0),""))</f>
        <v/>
      </c>
    </row>
    <row r="936" customFormat="false" ht="15" hidden="false" customHeight="false" outlineLevel="0" collapsed="false">
      <c r="B936" s="7" t="str">
        <f aca="false">IF(A936="","",IFERROR(MATCH(A936,Lists!$A$2:$A$37,0),""))</f>
        <v/>
      </c>
    </row>
    <row r="937" customFormat="false" ht="15" hidden="false" customHeight="false" outlineLevel="0" collapsed="false">
      <c r="B937" s="7" t="str">
        <f aca="false">IF(A937="","",IFERROR(MATCH(A937,Lists!$A$2:$A$37,0),""))</f>
        <v/>
      </c>
    </row>
    <row r="938" customFormat="false" ht="15" hidden="false" customHeight="false" outlineLevel="0" collapsed="false">
      <c r="B938" s="7" t="str">
        <f aca="false">IF(A938="","",IFERROR(MATCH(A938,Lists!$A$2:$A$37,0),""))</f>
        <v/>
      </c>
    </row>
    <row r="939" customFormat="false" ht="15" hidden="false" customHeight="false" outlineLevel="0" collapsed="false">
      <c r="B939" s="7" t="str">
        <f aca="false">IF(A939="","",IFERROR(MATCH(A939,Lists!$A$2:$A$37,0),""))</f>
        <v/>
      </c>
    </row>
    <row r="940" customFormat="false" ht="15" hidden="false" customHeight="false" outlineLevel="0" collapsed="false">
      <c r="B940" s="7" t="str">
        <f aca="false">IF(A940="","",IFERROR(MATCH(A940,Lists!$A$2:$A$37,0),""))</f>
        <v/>
      </c>
    </row>
    <row r="941" customFormat="false" ht="15" hidden="false" customHeight="false" outlineLevel="0" collapsed="false">
      <c r="B941" s="7" t="str">
        <f aca="false">IF(A941="","",IFERROR(MATCH(A941,Lists!$A$2:$A$37,0),""))</f>
        <v/>
      </c>
    </row>
    <row r="942" customFormat="false" ht="15" hidden="false" customHeight="false" outlineLevel="0" collapsed="false">
      <c r="B942" s="7" t="str">
        <f aca="false">IF(A942="","",IFERROR(MATCH(A942,Lists!$A$2:$A$37,0),""))</f>
        <v/>
      </c>
    </row>
    <row r="943" customFormat="false" ht="15" hidden="false" customHeight="false" outlineLevel="0" collapsed="false">
      <c r="B943" s="7" t="str">
        <f aca="false">IF(A943="","",IFERROR(MATCH(A943,Lists!$A$2:$A$37,0),""))</f>
        <v/>
      </c>
    </row>
    <row r="944" customFormat="false" ht="15" hidden="false" customHeight="false" outlineLevel="0" collapsed="false">
      <c r="B944" s="7" t="str">
        <f aca="false">IF(A944="","",IFERROR(MATCH(A944,Lists!$A$2:$A$37,0),""))</f>
        <v/>
      </c>
    </row>
    <row r="945" customFormat="false" ht="15" hidden="false" customHeight="false" outlineLevel="0" collapsed="false">
      <c r="B945" s="7" t="str">
        <f aca="false">IF(A945="","",IFERROR(MATCH(A945,Lists!$A$2:$A$37,0),""))</f>
        <v/>
      </c>
    </row>
    <row r="946" customFormat="false" ht="15" hidden="false" customHeight="false" outlineLevel="0" collapsed="false">
      <c r="B946" s="7" t="str">
        <f aca="false">IF(A946="","",IFERROR(MATCH(A946,Lists!$A$2:$A$37,0),""))</f>
        <v/>
      </c>
    </row>
    <row r="947" customFormat="false" ht="15" hidden="false" customHeight="false" outlineLevel="0" collapsed="false">
      <c r="B947" s="7" t="str">
        <f aca="false">IF(A947="","",IFERROR(MATCH(A947,Lists!$A$2:$A$37,0),""))</f>
        <v/>
      </c>
    </row>
    <row r="948" customFormat="false" ht="15" hidden="false" customHeight="false" outlineLevel="0" collapsed="false">
      <c r="B948" s="7" t="str">
        <f aca="false">IF(A948="","",IFERROR(MATCH(A948,Lists!$A$2:$A$37,0),""))</f>
        <v/>
      </c>
    </row>
    <row r="949" customFormat="false" ht="15" hidden="false" customHeight="false" outlineLevel="0" collapsed="false">
      <c r="B949" s="7" t="str">
        <f aca="false">IF(A949="","",IFERROR(MATCH(A949,Lists!$A$2:$A$37,0),""))</f>
        <v/>
      </c>
    </row>
    <row r="950" customFormat="false" ht="15" hidden="false" customHeight="false" outlineLevel="0" collapsed="false">
      <c r="B950" s="7" t="str">
        <f aca="false">IF(A950="","",IFERROR(MATCH(A950,Lists!$A$2:$A$37,0),""))</f>
        <v/>
      </c>
    </row>
    <row r="951" customFormat="false" ht="15" hidden="false" customHeight="false" outlineLevel="0" collapsed="false">
      <c r="B951" s="7" t="str">
        <f aca="false">IF(A951="","",IFERROR(MATCH(A951,Lists!$A$2:$A$37,0),""))</f>
        <v/>
      </c>
    </row>
    <row r="952" customFormat="false" ht="15" hidden="false" customHeight="false" outlineLevel="0" collapsed="false">
      <c r="B952" s="7" t="str">
        <f aca="false">IF(A952="","",IFERROR(MATCH(A952,Lists!$A$2:$A$37,0),""))</f>
        <v/>
      </c>
    </row>
    <row r="953" customFormat="false" ht="15" hidden="false" customHeight="false" outlineLevel="0" collapsed="false">
      <c r="B953" s="7" t="str">
        <f aca="false">IF(A953="","",IFERROR(MATCH(A953,Lists!$A$2:$A$37,0),""))</f>
        <v/>
      </c>
    </row>
    <row r="954" customFormat="false" ht="15" hidden="false" customHeight="false" outlineLevel="0" collapsed="false">
      <c r="B954" s="7" t="str">
        <f aca="false">IF(A954="","",IFERROR(MATCH(A954,Lists!$A$2:$A$37,0),""))</f>
        <v/>
      </c>
    </row>
    <row r="955" customFormat="false" ht="15" hidden="false" customHeight="false" outlineLevel="0" collapsed="false">
      <c r="B955" s="7" t="str">
        <f aca="false">IF(A955="","",IFERROR(MATCH(A955,Lists!$A$2:$A$37,0),""))</f>
        <v/>
      </c>
    </row>
    <row r="956" customFormat="false" ht="15" hidden="false" customHeight="false" outlineLevel="0" collapsed="false">
      <c r="B956" s="7" t="str">
        <f aca="false">IF(A956="","",IFERROR(MATCH(A956,Lists!$A$2:$A$37,0),""))</f>
        <v/>
      </c>
    </row>
    <row r="957" customFormat="false" ht="15" hidden="false" customHeight="false" outlineLevel="0" collapsed="false">
      <c r="B957" s="7" t="str">
        <f aca="false">IF(A957="","",IFERROR(MATCH(A957,Lists!$A$2:$A$37,0),""))</f>
        <v/>
      </c>
    </row>
    <row r="958" customFormat="false" ht="15" hidden="false" customHeight="false" outlineLevel="0" collapsed="false">
      <c r="B958" s="7" t="str">
        <f aca="false">IF(A958="","",IFERROR(MATCH(A958,Lists!$A$2:$A$37,0),""))</f>
        <v/>
      </c>
    </row>
    <row r="959" customFormat="false" ht="15" hidden="false" customHeight="false" outlineLevel="0" collapsed="false">
      <c r="B959" s="7" t="str">
        <f aca="false">IF(A959="","",IFERROR(MATCH(A959,Lists!$A$2:$A$37,0),""))</f>
        <v/>
      </c>
    </row>
    <row r="960" customFormat="false" ht="15" hidden="false" customHeight="false" outlineLevel="0" collapsed="false">
      <c r="B960" s="7" t="str">
        <f aca="false">IF(A960="","",IFERROR(MATCH(A960,Lists!$A$2:$A$37,0),""))</f>
        <v/>
      </c>
    </row>
    <row r="961" customFormat="false" ht="15" hidden="false" customHeight="false" outlineLevel="0" collapsed="false">
      <c r="B961" s="7" t="str">
        <f aca="false">IF(A961="","",IFERROR(MATCH(A961,Lists!$A$2:$A$37,0),""))</f>
        <v/>
      </c>
    </row>
    <row r="962" customFormat="false" ht="15" hidden="false" customHeight="false" outlineLevel="0" collapsed="false">
      <c r="B962" s="7" t="str">
        <f aca="false">IF(A962="","",IFERROR(MATCH(A962,Lists!$A$2:$A$37,0),""))</f>
        <v/>
      </c>
    </row>
    <row r="963" customFormat="false" ht="15" hidden="false" customHeight="false" outlineLevel="0" collapsed="false">
      <c r="B963" s="7" t="str">
        <f aca="false">IF(A963="","",IFERROR(MATCH(A963,Lists!$A$2:$A$37,0),""))</f>
        <v/>
      </c>
    </row>
    <row r="964" customFormat="false" ht="15" hidden="false" customHeight="false" outlineLevel="0" collapsed="false">
      <c r="B964" s="7" t="str">
        <f aca="false">IF(A964="","",IFERROR(MATCH(A964,Lists!$A$2:$A$37,0),""))</f>
        <v/>
      </c>
    </row>
    <row r="965" customFormat="false" ht="15" hidden="false" customHeight="false" outlineLevel="0" collapsed="false">
      <c r="B965" s="7" t="str">
        <f aca="false">IF(A965="","",IFERROR(MATCH(A965,Lists!$A$2:$A$37,0),""))</f>
        <v/>
      </c>
    </row>
    <row r="966" customFormat="false" ht="15" hidden="false" customHeight="false" outlineLevel="0" collapsed="false">
      <c r="B966" s="7" t="str">
        <f aca="false">IF(A966="","",IFERROR(MATCH(A966,Lists!$A$2:$A$37,0),""))</f>
        <v/>
      </c>
    </row>
    <row r="967" customFormat="false" ht="15" hidden="false" customHeight="false" outlineLevel="0" collapsed="false">
      <c r="B967" s="7" t="str">
        <f aca="false">IF(A967="","",IFERROR(MATCH(A967,Lists!$A$2:$A$37,0),""))</f>
        <v/>
      </c>
    </row>
    <row r="968" customFormat="false" ht="15" hidden="false" customHeight="false" outlineLevel="0" collapsed="false">
      <c r="B968" s="7" t="str">
        <f aca="false">IF(A968="","",IFERROR(MATCH(A968,Lists!$A$2:$A$37,0),""))</f>
        <v/>
      </c>
    </row>
    <row r="969" customFormat="false" ht="15" hidden="false" customHeight="false" outlineLevel="0" collapsed="false">
      <c r="B969" s="7" t="str">
        <f aca="false">IF(A969="","",IFERROR(MATCH(A969,Lists!$A$2:$A$37,0),""))</f>
        <v/>
      </c>
    </row>
    <row r="970" customFormat="false" ht="15" hidden="false" customHeight="false" outlineLevel="0" collapsed="false">
      <c r="B970" s="7" t="str">
        <f aca="false">IF(A970="","",IFERROR(MATCH(A970,Lists!$A$2:$A$37,0),""))</f>
        <v/>
      </c>
    </row>
    <row r="971" customFormat="false" ht="15" hidden="false" customHeight="false" outlineLevel="0" collapsed="false">
      <c r="B971" s="7" t="str">
        <f aca="false">IF(A971="","",IFERROR(MATCH(A971,Lists!$A$2:$A$37,0),""))</f>
        <v/>
      </c>
    </row>
    <row r="972" customFormat="false" ht="15" hidden="false" customHeight="false" outlineLevel="0" collapsed="false">
      <c r="B972" s="7" t="str">
        <f aca="false">IF(A972="","",IFERROR(MATCH(A972,Lists!$A$2:$A$37,0),""))</f>
        <v/>
      </c>
    </row>
    <row r="973" customFormat="false" ht="15" hidden="false" customHeight="false" outlineLevel="0" collapsed="false">
      <c r="B973" s="7" t="str">
        <f aca="false">IF(A973="","",IFERROR(MATCH(A973,Lists!$A$2:$A$37,0),""))</f>
        <v/>
      </c>
    </row>
    <row r="974" customFormat="false" ht="15" hidden="false" customHeight="false" outlineLevel="0" collapsed="false">
      <c r="B974" s="7" t="str">
        <f aca="false">IF(A974="","",IFERROR(MATCH(A974,Lists!$A$2:$A$37,0),""))</f>
        <v/>
      </c>
    </row>
    <row r="975" customFormat="false" ht="15" hidden="false" customHeight="false" outlineLevel="0" collapsed="false">
      <c r="B975" s="7" t="str">
        <f aca="false">IF(A975="","",IFERROR(MATCH(A975,Lists!$A$2:$A$37,0),""))</f>
        <v/>
      </c>
    </row>
    <row r="976" customFormat="false" ht="15" hidden="false" customHeight="false" outlineLevel="0" collapsed="false">
      <c r="B976" s="7" t="str">
        <f aca="false">IF(A976="","",IFERROR(MATCH(A976,Lists!$A$2:$A$37,0),""))</f>
        <v/>
      </c>
    </row>
    <row r="977" customFormat="false" ht="15" hidden="false" customHeight="false" outlineLevel="0" collapsed="false">
      <c r="B977" s="7" t="str">
        <f aca="false">IF(A977="","",IFERROR(MATCH(A977,Lists!$A$2:$A$37,0),""))</f>
        <v/>
      </c>
    </row>
    <row r="978" customFormat="false" ht="15" hidden="false" customHeight="false" outlineLevel="0" collapsed="false">
      <c r="B978" s="7" t="str">
        <f aca="false">IF(A978="","",IFERROR(MATCH(A978,Lists!$A$2:$A$37,0),""))</f>
        <v/>
      </c>
    </row>
    <row r="979" customFormat="false" ht="15" hidden="false" customHeight="false" outlineLevel="0" collapsed="false">
      <c r="B979" s="7" t="str">
        <f aca="false">IF(A979="","",IFERROR(MATCH(A979,Lists!$A$2:$A$37,0),""))</f>
        <v/>
      </c>
    </row>
    <row r="980" customFormat="false" ht="15" hidden="false" customHeight="false" outlineLevel="0" collapsed="false">
      <c r="B980" s="7" t="str">
        <f aca="false">IF(A980="","",IFERROR(MATCH(A980,Lists!$A$2:$A$37,0),""))</f>
        <v/>
      </c>
    </row>
    <row r="981" customFormat="false" ht="15" hidden="false" customHeight="false" outlineLevel="0" collapsed="false">
      <c r="B981" s="7" t="str">
        <f aca="false">IF(A981="","",IFERROR(MATCH(A981,Lists!$A$2:$A$37,0),""))</f>
        <v/>
      </c>
    </row>
    <row r="982" customFormat="false" ht="15" hidden="false" customHeight="false" outlineLevel="0" collapsed="false">
      <c r="B982" s="7" t="str">
        <f aca="false">IF(A982="","",IFERROR(MATCH(A982,Lists!$A$2:$A$37,0),""))</f>
        <v/>
      </c>
    </row>
    <row r="983" customFormat="false" ht="15" hidden="false" customHeight="false" outlineLevel="0" collapsed="false">
      <c r="B983" s="7" t="str">
        <f aca="false">IF(A983="","",IFERROR(MATCH(A983,Lists!$A$2:$A$37,0),""))</f>
        <v/>
      </c>
    </row>
    <row r="984" customFormat="false" ht="15" hidden="false" customHeight="false" outlineLevel="0" collapsed="false">
      <c r="B984" s="7" t="str">
        <f aca="false">IF(A984="","",IFERROR(MATCH(A984,Lists!$A$2:$A$37,0),""))</f>
        <v/>
      </c>
    </row>
    <row r="985" customFormat="false" ht="15" hidden="false" customHeight="false" outlineLevel="0" collapsed="false">
      <c r="B985" s="7" t="str">
        <f aca="false">IF(A985="","",IFERROR(MATCH(A985,Lists!$A$2:$A$37,0),""))</f>
        <v/>
      </c>
    </row>
    <row r="986" customFormat="false" ht="15" hidden="false" customHeight="false" outlineLevel="0" collapsed="false">
      <c r="B986" s="7" t="str">
        <f aca="false">IF(A986="","",IFERROR(MATCH(A986,Lists!$A$2:$A$37,0),""))</f>
        <v/>
      </c>
    </row>
    <row r="987" customFormat="false" ht="15" hidden="false" customHeight="false" outlineLevel="0" collapsed="false">
      <c r="B987" s="7" t="str">
        <f aca="false">IF(A987="","",IFERROR(MATCH(A987,Lists!$A$2:$A$37,0),""))</f>
        <v/>
      </c>
    </row>
    <row r="988" customFormat="false" ht="15" hidden="false" customHeight="false" outlineLevel="0" collapsed="false">
      <c r="B988" s="7" t="str">
        <f aca="false">IF(A988="","",IFERROR(MATCH(A988,Lists!$A$2:$A$37,0),""))</f>
        <v/>
      </c>
    </row>
    <row r="989" customFormat="false" ht="15" hidden="false" customHeight="false" outlineLevel="0" collapsed="false">
      <c r="B989" s="7" t="str">
        <f aca="false">IF(A989="","",IFERROR(MATCH(A989,Lists!$A$2:$A$37,0),""))</f>
        <v/>
      </c>
    </row>
    <row r="990" customFormat="false" ht="15" hidden="false" customHeight="false" outlineLevel="0" collapsed="false">
      <c r="B990" s="7" t="str">
        <f aca="false">IF(A990="","",IFERROR(MATCH(A990,Lists!$A$2:$A$37,0),""))</f>
        <v/>
      </c>
    </row>
    <row r="991" customFormat="false" ht="15" hidden="false" customHeight="false" outlineLevel="0" collapsed="false">
      <c r="B991" s="7" t="str">
        <f aca="false">IF(A991="","",IFERROR(MATCH(A991,Lists!$A$2:$A$37,0),""))</f>
        <v/>
      </c>
    </row>
    <row r="992" customFormat="false" ht="15" hidden="false" customHeight="false" outlineLevel="0" collapsed="false">
      <c r="B992" s="7" t="str">
        <f aca="false">IF(A992="","",IFERROR(MATCH(A992,Lists!$A$2:$A$37,0),""))</f>
        <v/>
      </c>
    </row>
    <row r="993" customFormat="false" ht="15" hidden="false" customHeight="false" outlineLevel="0" collapsed="false">
      <c r="B993" s="7" t="str">
        <f aca="false">IF(A993="","",IFERROR(MATCH(A993,Lists!$A$2:$A$37,0),""))</f>
        <v/>
      </c>
    </row>
    <row r="994" customFormat="false" ht="15" hidden="false" customHeight="false" outlineLevel="0" collapsed="false">
      <c r="B994" s="7" t="str">
        <f aca="false">IF(A994="","",IFERROR(MATCH(A994,Lists!$A$2:$A$37,0),""))</f>
        <v/>
      </c>
    </row>
    <row r="995" customFormat="false" ht="15" hidden="false" customHeight="false" outlineLevel="0" collapsed="false">
      <c r="B995" s="7" t="str">
        <f aca="false">IF(A995="","",IFERROR(MATCH(A995,Lists!$A$2:$A$37,0),""))</f>
        <v/>
      </c>
    </row>
    <row r="996" customFormat="false" ht="15" hidden="false" customHeight="false" outlineLevel="0" collapsed="false">
      <c r="B996" s="7" t="str">
        <f aca="false">IF(A996="","",IFERROR(MATCH(A996,Lists!$A$2:$A$37,0),""))</f>
        <v/>
      </c>
    </row>
    <row r="997" customFormat="false" ht="15" hidden="false" customHeight="false" outlineLevel="0" collapsed="false">
      <c r="B997" s="7" t="str">
        <f aca="false">IF(A997="","",IFERROR(MATCH(A997,Lists!$A$2:$A$37,0),""))</f>
        <v/>
      </c>
    </row>
    <row r="998" customFormat="false" ht="15" hidden="false" customHeight="false" outlineLevel="0" collapsed="false">
      <c r="B998" s="7" t="str">
        <f aca="false">IF(A998="","",IFERROR(MATCH(A998,Lists!$A$2:$A$37,0),""))</f>
        <v/>
      </c>
    </row>
    <row r="999" customFormat="false" ht="15" hidden="false" customHeight="false" outlineLevel="0" collapsed="false">
      <c r="B999" s="7" t="str">
        <f aca="false">IF(A999="","",IFERROR(MATCH(A999,Lists!$A$2:$A$37,0),""))</f>
        <v/>
      </c>
    </row>
    <row r="1000" customFormat="false" ht="15" hidden="false" customHeight="false" outlineLevel="0" collapsed="false">
      <c r="B1000" s="7" t="str">
        <f aca="false">IF(A1000="","",IFERROR(MATCH(A1000,Lists!$A$2:$A$37,0),""))</f>
        <v/>
      </c>
    </row>
    <row r="1001" customFormat="false" ht="15" hidden="false" customHeight="false" outlineLevel="0" collapsed="false">
      <c r="B1001" s="7" t="str">
        <f aca="false">IF(A1001="","",IFERROR(MATCH(A1001,Lists!$A$2:$A$37,0),""))</f>
        <v/>
      </c>
    </row>
    <row r="1002" customFormat="false" ht="15" hidden="false" customHeight="false" outlineLevel="0" collapsed="false">
      <c r="B1002" s="7" t="str">
        <f aca="false">IF(A1002="","",IFERROR(MATCH(A1002,Lists!$A$2:$A$37,0),""))</f>
        <v/>
      </c>
    </row>
    <row r="1003" customFormat="false" ht="15" hidden="false" customHeight="false" outlineLevel="0" collapsed="false">
      <c r="B1003" s="7" t="str">
        <f aca="false">IF(A1003="","",IFERROR(MATCH(A1003,Lists!$A$2:$A$37,0),""))</f>
        <v/>
      </c>
    </row>
    <row r="1004" customFormat="false" ht="15" hidden="false" customHeight="false" outlineLevel="0" collapsed="false">
      <c r="B1004" s="7" t="str">
        <f aca="false">IF(A1004="","",IFERROR(MATCH(A1004,Lists!$A$2:$A$37,0),""))</f>
        <v/>
      </c>
    </row>
    <row r="1005" customFormat="false" ht="15" hidden="false" customHeight="false" outlineLevel="0" collapsed="false">
      <c r="B1005" s="7" t="str">
        <f aca="false">IF(A1005="","",IFERROR(MATCH(A1005,Lists!$A$2:$A$37,0),""))</f>
        <v/>
      </c>
    </row>
    <row r="1006" customFormat="false" ht="15" hidden="false" customHeight="false" outlineLevel="0" collapsed="false">
      <c r="B1006" s="7" t="str">
        <f aca="false">IF(A1006="","",IFERROR(MATCH(A1006,Lists!$A$2:$A$37,0),""))</f>
        <v/>
      </c>
    </row>
    <row r="1007" customFormat="false" ht="15" hidden="false" customHeight="false" outlineLevel="0" collapsed="false">
      <c r="B1007" s="7" t="str">
        <f aca="false">IF(A1007="","",IFERROR(MATCH(A1007,Lists!$A$2:$A$37,0),""))</f>
        <v/>
      </c>
    </row>
    <row r="1008" customFormat="false" ht="15" hidden="false" customHeight="false" outlineLevel="0" collapsed="false">
      <c r="B1008" s="7" t="str">
        <f aca="false">IF(A1008="","",IFERROR(MATCH(A1008,Lists!$A$2:$A$37,0),""))</f>
        <v/>
      </c>
    </row>
    <row r="1009" customFormat="false" ht="15" hidden="false" customHeight="false" outlineLevel="0" collapsed="false">
      <c r="B1009" s="7" t="str">
        <f aca="false">IF(A1009="","",IFERROR(MATCH(A1009,Lists!$A$2:$A$37,0),""))</f>
        <v/>
      </c>
    </row>
    <row r="1010" customFormat="false" ht="15" hidden="false" customHeight="false" outlineLevel="0" collapsed="false">
      <c r="B1010" s="7" t="str">
        <f aca="false">IF(A1010="","",IFERROR(MATCH(A1010,Lists!$A$2:$A$37,0),""))</f>
        <v/>
      </c>
    </row>
    <row r="1011" customFormat="false" ht="15" hidden="false" customHeight="false" outlineLevel="0" collapsed="false">
      <c r="B1011" s="7" t="str">
        <f aca="false">IF(A1011="","",IFERROR(MATCH(A1011,Lists!$A$2:$A$37,0),""))</f>
        <v/>
      </c>
    </row>
    <row r="1012" customFormat="false" ht="15" hidden="false" customHeight="false" outlineLevel="0" collapsed="false">
      <c r="B1012" s="7" t="str">
        <f aca="false">IF(A1012="","",IFERROR(MATCH(A1012,Lists!$A$2:$A$37,0),""))</f>
        <v/>
      </c>
    </row>
    <row r="1013" customFormat="false" ht="15" hidden="false" customHeight="false" outlineLevel="0" collapsed="false">
      <c r="B1013" s="7" t="str">
        <f aca="false">IF(A1013="","",IFERROR(MATCH(A1013,Lists!$A$2:$A$37,0),""))</f>
        <v/>
      </c>
    </row>
    <row r="1014" customFormat="false" ht="15" hidden="false" customHeight="false" outlineLevel="0" collapsed="false">
      <c r="B1014" s="7" t="str">
        <f aca="false">IF(A1014="","",IFERROR(MATCH(A1014,Lists!$A$2:$A$37,0),""))</f>
        <v/>
      </c>
    </row>
    <row r="1015" customFormat="false" ht="15" hidden="false" customHeight="false" outlineLevel="0" collapsed="false">
      <c r="B1015" s="7" t="str">
        <f aca="false">IF(A1015="","",IFERROR(MATCH(A1015,Lists!$A$2:$A$37,0),""))</f>
        <v/>
      </c>
    </row>
    <row r="1016" customFormat="false" ht="15" hidden="false" customHeight="false" outlineLevel="0" collapsed="false">
      <c r="B1016" s="7" t="str">
        <f aca="false">IF(A1016="","",IFERROR(MATCH(A1016,Lists!$A$2:$A$37,0),""))</f>
        <v/>
      </c>
    </row>
    <row r="1017" customFormat="false" ht="15" hidden="false" customHeight="false" outlineLevel="0" collapsed="false">
      <c r="B1017" s="7" t="str">
        <f aca="false">IF(A1017="","",IFERROR(MATCH(A1017,Lists!$A$2:$A$37,0),""))</f>
        <v/>
      </c>
    </row>
    <row r="1018" customFormat="false" ht="15" hidden="false" customHeight="false" outlineLevel="0" collapsed="false">
      <c r="B1018" s="7" t="str">
        <f aca="false">IF(A1018="","",IFERROR(MATCH(A1018,Lists!$A$2:$A$37,0),""))</f>
        <v/>
      </c>
    </row>
    <row r="1019" customFormat="false" ht="15" hidden="false" customHeight="false" outlineLevel="0" collapsed="false">
      <c r="B1019" s="7" t="str">
        <f aca="false">IF(A1019="","",IFERROR(MATCH(A1019,Lists!$A$2:$A$37,0),""))</f>
        <v/>
      </c>
    </row>
    <row r="1020" customFormat="false" ht="15" hidden="false" customHeight="false" outlineLevel="0" collapsed="false">
      <c r="B1020" s="7" t="str">
        <f aca="false">IF(A1020="","",IFERROR(MATCH(A1020,Lists!$A$2:$A$37,0),""))</f>
        <v/>
      </c>
    </row>
    <row r="1021" customFormat="false" ht="15" hidden="false" customHeight="false" outlineLevel="0" collapsed="false">
      <c r="B1021" s="7" t="str">
        <f aca="false">IF(A1021="","",IFERROR(MATCH(A1021,Lists!$A$2:$A$37,0),""))</f>
        <v/>
      </c>
    </row>
    <row r="1022" customFormat="false" ht="15" hidden="false" customHeight="false" outlineLevel="0" collapsed="false">
      <c r="B1022" s="7" t="str">
        <f aca="false">IF(A1022="","",IFERROR(MATCH(A1022,Lists!$A$2:$A$37,0),""))</f>
        <v/>
      </c>
    </row>
    <row r="1023" customFormat="false" ht="15" hidden="false" customHeight="false" outlineLevel="0" collapsed="false">
      <c r="B1023" s="7" t="str">
        <f aca="false">IF(A1023="","",IFERROR(MATCH(A1023,Lists!$A$2:$A$37,0),""))</f>
        <v/>
      </c>
    </row>
    <row r="1024" customFormat="false" ht="15" hidden="false" customHeight="false" outlineLevel="0" collapsed="false">
      <c r="B1024" s="7" t="str">
        <f aca="false">IF(A1024="","",IFERROR(MATCH(A1024,Lists!$A$2:$A$37,0),""))</f>
        <v/>
      </c>
    </row>
    <row r="1025" customFormat="false" ht="15" hidden="false" customHeight="false" outlineLevel="0" collapsed="false">
      <c r="B1025" s="7" t="str">
        <f aca="false">IF(A1025="","",IFERROR(MATCH(A1025,Lists!$A$2:$A$37,0),""))</f>
        <v/>
      </c>
    </row>
    <row r="1026" customFormat="false" ht="15" hidden="false" customHeight="false" outlineLevel="0" collapsed="false">
      <c r="B1026" s="7" t="str">
        <f aca="false">IF(A1026="","",IFERROR(MATCH(A1026,Lists!$A$2:$A$37,0),""))</f>
        <v/>
      </c>
    </row>
    <row r="1027" customFormat="false" ht="15" hidden="false" customHeight="false" outlineLevel="0" collapsed="false">
      <c r="B1027" s="7" t="str">
        <f aca="false">IF(A1027="","",IFERROR(MATCH(A1027,Lists!$A$2:$A$37,0),""))</f>
        <v/>
      </c>
    </row>
    <row r="1028" customFormat="false" ht="15" hidden="false" customHeight="false" outlineLevel="0" collapsed="false">
      <c r="B1028" s="7" t="str">
        <f aca="false">IF(A1028="","",IFERROR(MATCH(A1028,Lists!$A$2:$A$37,0),""))</f>
        <v/>
      </c>
    </row>
    <row r="1029" customFormat="false" ht="15" hidden="false" customHeight="false" outlineLevel="0" collapsed="false">
      <c r="B1029" s="7" t="str">
        <f aca="false">IF(A1029="","",IFERROR(MATCH(A1029,Lists!$A$2:$A$37,0),""))</f>
        <v/>
      </c>
    </row>
    <row r="1030" customFormat="false" ht="15" hidden="false" customHeight="false" outlineLevel="0" collapsed="false">
      <c r="B1030" s="7" t="str">
        <f aca="false">IF(A1030="","",IFERROR(MATCH(A1030,Lists!$A$2:$A$37,0),""))</f>
        <v/>
      </c>
    </row>
    <row r="1031" customFormat="false" ht="15" hidden="false" customHeight="false" outlineLevel="0" collapsed="false">
      <c r="B1031" s="7" t="str">
        <f aca="false">IF(A1031="","",IFERROR(MATCH(A1031,Lists!$A$2:$A$37,0),""))</f>
        <v/>
      </c>
    </row>
    <row r="1032" customFormat="false" ht="15" hidden="false" customHeight="false" outlineLevel="0" collapsed="false">
      <c r="B1032" s="7" t="str">
        <f aca="false">IF(A1032="","",IFERROR(MATCH(A1032,Lists!$A$2:$A$37,0),""))</f>
        <v/>
      </c>
    </row>
    <row r="1033" customFormat="false" ht="15" hidden="false" customHeight="false" outlineLevel="0" collapsed="false">
      <c r="B1033" s="7" t="str">
        <f aca="false">IF(A1033="","",IFERROR(MATCH(A1033,Lists!$A$2:$A$37,0),""))</f>
        <v/>
      </c>
    </row>
    <row r="1034" customFormat="false" ht="15" hidden="false" customHeight="false" outlineLevel="0" collapsed="false">
      <c r="B1034" s="7" t="str">
        <f aca="false">IF(A1034="","",IFERROR(MATCH(A1034,Lists!$A$2:$A$37,0),""))</f>
        <v/>
      </c>
    </row>
    <row r="1035" customFormat="false" ht="15" hidden="false" customHeight="false" outlineLevel="0" collapsed="false">
      <c r="B1035" s="7" t="str">
        <f aca="false">IF(A1035="","",IFERROR(MATCH(A1035,Lists!$A$2:$A$37,0),""))</f>
        <v/>
      </c>
    </row>
    <row r="1036" customFormat="false" ht="15" hidden="false" customHeight="false" outlineLevel="0" collapsed="false">
      <c r="B1036" s="7" t="str">
        <f aca="false">IF(A1036="","",IFERROR(MATCH(A1036,Lists!$A$2:$A$37,0),""))</f>
        <v/>
      </c>
    </row>
    <row r="1037" customFormat="false" ht="15" hidden="false" customHeight="false" outlineLevel="0" collapsed="false">
      <c r="B1037" s="7" t="str">
        <f aca="false">IF(A1037="","",IFERROR(MATCH(A1037,Lists!$A$2:$A$37,0),""))</f>
        <v/>
      </c>
    </row>
    <row r="1038" customFormat="false" ht="15" hidden="false" customHeight="false" outlineLevel="0" collapsed="false">
      <c r="B1038" s="7" t="str">
        <f aca="false">IF(A1038="","",IFERROR(MATCH(A1038,Lists!$A$2:$A$37,0),""))</f>
        <v/>
      </c>
    </row>
    <row r="1039" customFormat="false" ht="15" hidden="false" customHeight="false" outlineLevel="0" collapsed="false">
      <c r="B1039" s="7" t="str">
        <f aca="false">IF(A1039="","",IFERROR(MATCH(A1039,Lists!$A$2:$A$37,0),""))</f>
        <v/>
      </c>
    </row>
    <row r="1040" customFormat="false" ht="15" hidden="false" customHeight="false" outlineLevel="0" collapsed="false">
      <c r="B1040" s="7" t="str">
        <f aca="false">IF(A1040="","",IFERROR(MATCH(A1040,Lists!$A$2:$A$37,0),""))</f>
        <v/>
      </c>
    </row>
    <row r="1041" customFormat="false" ht="15" hidden="false" customHeight="false" outlineLevel="0" collapsed="false">
      <c r="B1041" s="7" t="str">
        <f aca="false">IF(A1041="","",IFERROR(MATCH(A1041,Lists!$A$2:$A$37,0),""))</f>
        <v/>
      </c>
    </row>
    <row r="1042" customFormat="false" ht="15" hidden="false" customHeight="false" outlineLevel="0" collapsed="false">
      <c r="B1042" s="7" t="str">
        <f aca="false">IF(A1042="","",IFERROR(MATCH(A1042,Lists!$A$2:$A$37,0),""))</f>
        <v/>
      </c>
    </row>
    <row r="1043" customFormat="false" ht="15" hidden="false" customHeight="false" outlineLevel="0" collapsed="false">
      <c r="B1043" s="7" t="str">
        <f aca="false">IF(A1043="","",IFERROR(MATCH(A1043,Lists!$A$2:$A$37,0),""))</f>
        <v/>
      </c>
    </row>
    <row r="1044" customFormat="false" ht="15" hidden="false" customHeight="false" outlineLevel="0" collapsed="false">
      <c r="B1044" s="7" t="str">
        <f aca="false">IF(A1044="","",IFERROR(MATCH(A1044,Lists!$A$2:$A$37,0),""))</f>
        <v/>
      </c>
    </row>
    <row r="1045" customFormat="false" ht="15" hidden="false" customHeight="false" outlineLevel="0" collapsed="false">
      <c r="B1045" s="7" t="str">
        <f aca="false">IF(A1045="","",IFERROR(MATCH(A1045,Lists!$A$2:$A$37,0),""))</f>
        <v/>
      </c>
    </row>
    <row r="1046" customFormat="false" ht="15" hidden="false" customHeight="false" outlineLevel="0" collapsed="false">
      <c r="B1046" s="7" t="str">
        <f aca="false">IF(A1046="","",IFERROR(MATCH(A1046,Lists!$A$2:$A$37,0),""))</f>
        <v/>
      </c>
    </row>
    <row r="1047" customFormat="false" ht="15" hidden="false" customHeight="false" outlineLevel="0" collapsed="false">
      <c r="B1047" s="7" t="str">
        <f aca="false">IF(A1047="","",IFERROR(MATCH(A1047,Lists!$A$2:$A$37,0),""))</f>
        <v/>
      </c>
    </row>
    <row r="1048" customFormat="false" ht="15" hidden="false" customHeight="false" outlineLevel="0" collapsed="false">
      <c r="B1048" s="7" t="str">
        <f aca="false">IF(A1048="","",IFERROR(MATCH(A1048,Lists!$A$2:$A$37,0),""))</f>
        <v/>
      </c>
    </row>
    <row r="1049" customFormat="false" ht="15" hidden="false" customHeight="false" outlineLevel="0" collapsed="false">
      <c r="B1049" s="7" t="str">
        <f aca="false">IF(A1049="","",IFERROR(MATCH(A1049,Lists!$A$2:$A$37,0),""))</f>
        <v/>
      </c>
    </row>
    <row r="1050" customFormat="false" ht="15" hidden="false" customHeight="false" outlineLevel="0" collapsed="false">
      <c r="B1050" s="7" t="str">
        <f aca="false">IF(A1050="","",IFERROR(MATCH(A1050,Lists!$A$2:$A$37,0),""))</f>
        <v/>
      </c>
    </row>
    <row r="1051" customFormat="false" ht="15" hidden="false" customHeight="false" outlineLevel="0" collapsed="false">
      <c r="B1051" s="7" t="str">
        <f aca="false">IF(A1051="","",IFERROR(MATCH(A1051,Lists!$A$2:$A$37,0),""))</f>
        <v/>
      </c>
    </row>
    <row r="1052" customFormat="false" ht="15" hidden="false" customHeight="false" outlineLevel="0" collapsed="false">
      <c r="B1052" s="7" t="str">
        <f aca="false">IF(A1052="","",IFERROR(MATCH(A1052,Lists!$A$2:$A$37,0),""))</f>
        <v/>
      </c>
    </row>
    <row r="1053" customFormat="false" ht="15" hidden="false" customHeight="false" outlineLevel="0" collapsed="false">
      <c r="B1053" s="7" t="str">
        <f aca="false">IF(A1053="","",IFERROR(MATCH(A1053,Lists!$A$2:$A$37,0),""))</f>
        <v/>
      </c>
    </row>
    <row r="1054" customFormat="false" ht="15" hidden="false" customHeight="false" outlineLevel="0" collapsed="false">
      <c r="B1054" s="7" t="str">
        <f aca="false">IF(A1054="","",IFERROR(MATCH(A1054,Lists!$A$2:$A$37,0),""))</f>
        <v/>
      </c>
    </row>
    <row r="1055" customFormat="false" ht="15" hidden="false" customHeight="false" outlineLevel="0" collapsed="false">
      <c r="B1055" s="7" t="str">
        <f aca="false">IF(A1055="","",IFERROR(MATCH(A1055,Lists!$A$2:$A$37,0),""))</f>
        <v/>
      </c>
    </row>
    <row r="1056" customFormat="false" ht="15" hidden="false" customHeight="false" outlineLevel="0" collapsed="false">
      <c r="B1056" s="7" t="str">
        <f aca="false">IF(A1056="","",IFERROR(MATCH(A1056,Lists!$A$2:$A$37,0),""))</f>
        <v/>
      </c>
    </row>
    <row r="1057" customFormat="false" ht="15" hidden="false" customHeight="false" outlineLevel="0" collapsed="false">
      <c r="B1057" s="7" t="str">
        <f aca="false">IF(A1057="","",IFERROR(MATCH(A1057,Lists!$A$2:$A$37,0),""))</f>
        <v/>
      </c>
    </row>
    <row r="1058" customFormat="false" ht="15" hidden="false" customHeight="false" outlineLevel="0" collapsed="false">
      <c r="B1058" s="7" t="str">
        <f aca="false">IF(A1058="","",IFERROR(MATCH(A1058,Lists!$A$2:$A$37,0),""))</f>
        <v/>
      </c>
    </row>
    <row r="1059" customFormat="false" ht="15" hidden="false" customHeight="false" outlineLevel="0" collapsed="false">
      <c r="B1059" s="7" t="str">
        <f aca="false">IF(A1059="","",IFERROR(MATCH(A1059,Lists!$A$2:$A$37,0),""))</f>
        <v/>
      </c>
    </row>
    <row r="1060" customFormat="false" ht="15" hidden="false" customHeight="false" outlineLevel="0" collapsed="false">
      <c r="B1060" s="7" t="str">
        <f aca="false">IF(A1060="","",IFERROR(MATCH(A1060,Lists!$A$2:$A$37,0),""))</f>
        <v/>
      </c>
    </row>
    <row r="1061" customFormat="false" ht="15" hidden="false" customHeight="false" outlineLevel="0" collapsed="false">
      <c r="B1061" s="7" t="str">
        <f aca="false">IF(A1061="","",IFERROR(MATCH(A1061,Lists!$A$2:$A$37,0),""))</f>
        <v/>
      </c>
    </row>
    <row r="1062" customFormat="false" ht="15" hidden="false" customHeight="false" outlineLevel="0" collapsed="false">
      <c r="B1062" s="7" t="str">
        <f aca="false">IF(A1062="","",IFERROR(MATCH(A1062,Lists!$A$2:$A$37,0),""))</f>
        <v/>
      </c>
    </row>
    <row r="1063" customFormat="false" ht="15" hidden="false" customHeight="false" outlineLevel="0" collapsed="false">
      <c r="B1063" s="7" t="str">
        <f aca="false">IF(A1063="","",IFERROR(MATCH(A1063,Lists!$A$2:$A$37,0),""))</f>
        <v/>
      </c>
    </row>
    <row r="1064" customFormat="false" ht="15" hidden="false" customHeight="false" outlineLevel="0" collapsed="false">
      <c r="B1064" s="7" t="str">
        <f aca="false">IF(A1064="","",IFERROR(MATCH(A1064,Lists!$A$2:$A$37,0),""))</f>
        <v/>
      </c>
    </row>
    <row r="1065" customFormat="false" ht="15" hidden="false" customHeight="false" outlineLevel="0" collapsed="false">
      <c r="B1065" s="7" t="str">
        <f aca="false">IF(A1065="","",IFERROR(MATCH(A1065,Lists!$A$2:$A$37,0),""))</f>
        <v/>
      </c>
    </row>
    <row r="1066" customFormat="false" ht="15" hidden="false" customHeight="false" outlineLevel="0" collapsed="false">
      <c r="B1066" s="7" t="str">
        <f aca="false">IF(A1066="","",IFERROR(MATCH(A1066,Lists!$A$2:$A$37,0),""))</f>
        <v/>
      </c>
    </row>
    <row r="1067" customFormat="false" ht="15" hidden="false" customHeight="false" outlineLevel="0" collapsed="false">
      <c r="B1067" s="7" t="str">
        <f aca="false">IF(A1067="","",IFERROR(MATCH(A1067,Lists!$A$2:$A$37,0),""))</f>
        <v/>
      </c>
    </row>
    <row r="1068" customFormat="false" ht="15" hidden="false" customHeight="false" outlineLevel="0" collapsed="false">
      <c r="B1068" s="7" t="str">
        <f aca="false">IF(A1068="","",IFERROR(MATCH(A1068,Lists!$A$2:$A$37,0),""))</f>
        <v/>
      </c>
    </row>
    <row r="1069" customFormat="false" ht="15" hidden="false" customHeight="false" outlineLevel="0" collapsed="false">
      <c r="B1069" s="7" t="str">
        <f aca="false">IF(A1069="","",IFERROR(MATCH(A1069,Lists!$A$2:$A$37,0),""))</f>
        <v/>
      </c>
    </row>
    <row r="1070" customFormat="false" ht="15" hidden="false" customHeight="false" outlineLevel="0" collapsed="false">
      <c r="B1070" s="7" t="str">
        <f aca="false">IF(A1070="","",IFERROR(MATCH(A1070,Lists!$A$2:$A$37,0),""))</f>
        <v/>
      </c>
    </row>
    <row r="1071" customFormat="false" ht="15" hidden="false" customHeight="false" outlineLevel="0" collapsed="false">
      <c r="B1071" s="7" t="str">
        <f aca="false">IF(A1071="","",IFERROR(MATCH(A1071,Lists!$A$2:$A$37,0),""))</f>
        <v/>
      </c>
    </row>
    <row r="1072" customFormat="false" ht="15" hidden="false" customHeight="false" outlineLevel="0" collapsed="false">
      <c r="B1072" s="7" t="str">
        <f aca="false">IF(A1072="","",IFERROR(MATCH(A1072,Lists!$A$2:$A$37,0),""))</f>
        <v/>
      </c>
    </row>
    <row r="1073" customFormat="false" ht="15" hidden="false" customHeight="false" outlineLevel="0" collapsed="false">
      <c r="B1073" s="7" t="str">
        <f aca="false">IF(A1073="","",IFERROR(MATCH(A1073,Lists!$A$2:$A$37,0),""))</f>
        <v/>
      </c>
    </row>
    <row r="1074" customFormat="false" ht="15" hidden="false" customHeight="false" outlineLevel="0" collapsed="false">
      <c r="B1074" s="7" t="str">
        <f aca="false">IF(A1074="","",IFERROR(MATCH(A1074,Lists!$A$2:$A$37,0),""))</f>
        <v/>
      </c>
    </row>
    <row r="1075" customFormat="false" ht="15" hidden="false" customHeight="false" outlineLevel="0" collapsed="false">
      <c r="B1075" s="7" t="str">
        <f aca="false">IF(A1075="","",IFERROR(MATCH(A1075,Lists!$A$2:$A$37,0),""))</f>
        <v/>
      </c>
    </row>
    <row r="1076" customFormat="false" ht="15" hidden="false" customHeight="false" outlineLevel="0" collapsed="false">
      <c r="B1076" s="7" t="str">
        <f aca="false">IF(A1076="","",IFERROR(MATCH(A1076,Lists!$A$2:$A$37,0),""))</f>
        <v/>
      </c>
    </row>
    <row r="1077" customFormat="false" ht="15" hidden="false" customHeight="false" outlineLevel="0" collapsed="false">
      <c r="B1077" s="7" t="str">
        <f aca="false">IF(A1077="","",IFERROR(MATCH(A1077,Lists!$A$2:$A$37,0),""))</f>
        <v/>
      </c>
    </row>
    <row r="1078" customFormat="false" ht="15" hidden="false" customHeight="false" outlineLevel="0" collapsed="false">
      <c r="B1078" s="7" t="str">
        <f aca="false">IF(A1078="","",IFERROR(MATCH(A1078,Lists!$A$2:$A$37,0),""))</f>
        <v/>
      </c>
    </row>
    <row r="1079" customFormat="false" ht="15" hidden="false" customHeight="false" outlineLevel="0" collapsed="false">
      <c r="B1079" s="7" t="str">
        <f aca="false">IF(A1079="","",IFERROR(MATCH(A1079,Lists!$A$2:$A$37,0),""))</f>
        <v/>
      </c>
    </row>
    <row r="1080" customFormat="false" ht="15" hidden="false" customHeight="false" outlineLevel="0" collapsed="false">
      <c r="B1080" s="7" t="str">
        <f aca="false">IF(A1080="","",IFERROR(MATCH(A1080,Lists!$A$2:$A$37,0),""))</f>
        <v/>
      </c>
    </row>
    <row r="1081" customFormat="false" ht="15" hidden="false" customHeight="false" outlineLevel="0" collapsed="false">
      <c r="B1081" s="7" t="str">
        <f aca="false">IF(A1081="","",IFERROR(MATCH(A1081,Lists!$A$2:$A$37,0),""))</f>
        <v/>
      </c>
    </row>
    <row r="1082" customFormat="false" ht="15" hidden="false" customHeight="false" outlineLevel="0" collapsed="false">
      <c r="B1082" s="7" t="str">
        <f aca="false">IF(A1082="","",IFERROR(MATCH(A1082,Lists!$A$2:$A$37,0),""))</f>
        <v/>
      </c>
    </row>
    <row r="1083" customFormat="false" ht="15" hidden="false" customHeight="false" outlineLevel="0" collapsed="false">
      <c r="B1083" s="7" t="str">
        <f aca="false">IF(A1083="","",IFERROR(MATCH(A1083,Lists!$A$2:$A$37,0),""))</f>
        <v/>
      </c>
    </row>
    <row r="1084" customFormat="false" ht="15" hidden="false" customHeight="false" outlineLevel="0" collapsed="false">
      <c r="B1084" s="7" t="str">
        <f aca="false">IF(A1084="","",IFERROR(MATCH(A1084,Lists!$A$2:$A$37,0),""))</f>
        <v/>
      </c>
    </row>
    <row r="1085" customFormat="false" ht="15" hidden="false" customHeight="false" outlineLevel="0" collapsed="false">
      <c r="B1085" s="7" t="str">
        <f aca="false">IF(A1085="","",IFERROR(MATCH(A1085,Lists!$A$2:$A$37,0),""))</f>
        <v/>
      </c>
    </row>
    <row r="1086" customFormat="false" ht="15" hidden="false" customHeight="false" outlineLevel="0" collapsed="false">
      <c r="B1086" s="7" t="str">
        <f aca="false">IF(A1086="","",IFERROR(MATCH(A1086,Lists!$A$2:$A$37,0),""))</f>
        <v/>
      </c>
    </row>
    <row r="1087" customFormat="false" ht="15" hidden="false" customHeight="false" outlineLevel="0" collapsed="false">
      <c r="B1087" s="7" t="str">
        <f aca="false">IF(A1087="","",IFERROR(MATCH(A1087,Lists!$A$2:$A$37,0),""))</f>
        <v/>
      </c>
    </row>
    <row r="1088" customFormat="false" ht="15" hidden="false" customHeight="false" outlineLevel="0" collapsed="false">
      <c r="B1088" s="7" t="str">
        <f aca="false">IF(A1088="","",IFERROR(MATCH(A1088,Lists!$A$2:$A$37,0),""))</f>
        <v/>
      </c>
    </row>
    <row r="1089" customFormat="false" ht="15" hidden="false" customHeight="false" outlineLevel="0" collapsed="false">
      <c r="B1089" s="7" t="str">
        <f aca="false">IF(A1089="","",IFERROR(MATCH(A1089,Lists!$A$2:$A$37,0),""))</f>
        <v/>
      </c>
    </row>
    <row r="1090" customFormat="false" ht="15" hidden="false" customHeight="false" outlineLevel="0" collapsed="false">
      <c r="B1090" s="7" t="str">
        <f aca="false">IF(A1090="","",IFERROR(MATCH(A1090,Lists!$A$2:$A$37,0),""))</f>
        <v/>
      </c>
    </row>
    <row r="1091" customFormat="false" ht="15" hidden="false" customHeight="false" outlineLevel="0" collapsed="false">
      <c r="B1091" s="7" t="str">
        <f aca="false">IF(A1091="","",IFERROR(MATCH(A1091,Lists!$A$2:$A$37,0),""))</f>
        <v/>
      </c>
    </row>
    <row r="1092" customFormat="false" ht="15" hidden="false" customHeight="false" outlineLevel="0" collapsed="false">
      <c r="B1092" s="7" t="str">
        <f aca="false">IF(A1092="","",IFERROR(MATCH(A1092,Lists!$A$2:$A$37,0),""))</f>
        <v/>
      </c>
    </row>
    <row r="1093" customFormat="false" ht="15" hidden="false" customHeight="false" outlineLevel="0" collapsed="false">
      <c r="B1093" s="7" t="str">
        <f aca="false">IF(A1093="","",IFERROR(MATCH(A1093,Lists!$A$2:$A$37,0),""))</f>
        <v/>
      </c>
    </row>
    <row r="1094" customFormat="false" ht="15" hidden="false" customHeight="false" outlineLevel="0" collapsed="false">
      <c r="B1094" s="7" t="str">
        <f aca="false">IF(A1094="","",IFERROR(MATCH(A1094,Lists!$A$2:$A$37,0),""))</f>
        <v/>
      </c>
    </row>
    <row r="1095" customFormat="false" ht="15" hidden="false" customHeight="false" outlineLevel="0" collapsed="false">
      <c r="B1095" s="7" t="str">
        <f aca="false">IF(A1095="","",IFERROR(MATCH(A1095,Lists!$A$2:$A$37,0),""))</f>
        <v/>
      </c>
    </row>
    <row r="1096" customFormat="false" ht="15" hidden="false" customHeight="false" outlineLevel="0" collapsed="false">
      <c r="B1096" s="7" t="str">
        <f aca="false">IF(A1096="","",IFERROR(MATCH(A1096,Lists!$A$2:$A$37,0),""))</f>
        <v/>
      </c>
    </row>
    <row r="1097" customFormat="false" ht="15" hidden="false" customHeight="false" outlineLevel="0" collapsed="false">
      <c r="B1097" s="7" t="str">
        <f aca="false">IF(A1097="","",IFERROR(MATCH(A1097,Lists!$A$2:$A$37,0),""))</f>
        <v/>
      </c>
    </row>
    <row r="1098" customFormat="false" ht="15" hidden="false" customHeight="false" outlineLevel="0" collapsed="false">
      <c r="B1098" s="7" t="str">
        <f aca="false">IF(A1098="","",IFERROR(MATCH(A1098,Lists!$A$2:$A$37,0),""))</f>
        <v/>
      </c>
    </row>
    <row r="1099" customFormat="false" ht="15" hidden="false" customHeight="false" outlineLevel="0" collapsed="false">
      <c r="B1099" s="7" t="str">
        <f aca="false">IF(A1099="","",IFERROR(MATCH(A1099,Lists!$A$2:$A$37,0),""))</f>
        <v/>
      </c>
    </row>
    <row r="1100" customFormat="false" ht="15" hidden="false" customHeight="false" outlineLevel="0" collapsed="false">
      <c r="B1100" s="7" t="str">
        <f aca="false">IF(A1100="","",IFERROR(MATCH(A1100,Lists!$A$2:$A$37,0),""))</f>
        <v/>
      </c>
    </row>
    <row r="1101" customFormat="false" ht="15" hidden="false" customHeight="false" outlineLevel="0" collapsed="false">
      <c r="B1101" s="7" t="str">
        <f aca="false">IF(A1101="","",IFERROR(MATCH(A1101,Lists!$A$2:$A$37,0),""))</f>
        <v/>
      </c>
    </row>
    <row r="1102" customFormat="false" ht="15" hidden="false" customHeight="false" outlineLevel="0" collapsed="false">
      <c r="B1102" s="7" t="str">
        <f aca="false">IF(A1102="","",IFERROR(MATCH(A1102,Lists!$A$2:$A$37,0),""))</f>
        <v/>
      </c>
    </row>
    <row r="1103" customFormat="false" ht="15" hidden="false" customHeight="false" outlineLevel="0" collapsed="false">
      <c r="B1103" s="7" t="str">
        <f aca="false">IF(A1103="","",IFERROR(MATCH(A1103,Lists!$A$2:$A$37,0),""))</f>
        <v/>
      </c>
    </row>
    <row r="1104" customFormat="false" ht="15" hidden="false" customHeight="false" outlineLevel="0" collapsed="false">
      <c r="B1104" s="7" t="str">
        <f aca="false">IF(A1104="","",IFERROR(MATCH(A1104,Lists!$A$2:$A$37,0),""))</f>
        <v/>
      </c>
    </row>
    <row r="1105" customFormat="false" ht="15" hidden="false" customHeight="false" outlineLevel="0" collapsed="false">
      <c r="B1105" s="7" t="str">
        <f aca="false">IF(A1105="","",IFERROR(MATCH(A1105,Lists!$A$2:$A$37,0),""))</f>
        <v/>
      </c>
    </row>
    <row r="1106" customFormat="false" ht="15" hidden="false" customHeight="false" outlineLevel="0" collapsed="false">
      <c r="B1106" s="7" t="str">
        <f aca="false">IF(A1106="","",IFERROR(MATCH(A1106,Lists!$A$2:$A$37,0),""))</f>
        <v/>
      </c>
    </row>
    <row r="1107" customFormat="false" ht="15" hidden="false" customHeight="false" outlineLevel="0" collapsed="false">
      <c r="B1107" s="7" t="str">
        <f aca="false">IF(A1107="","",IFERROR(MATCH(A1107,Lists!$A$2:$A$37,0),""))</f>
        <v/>
      </c>
    </row>
    <row r="1108" customFormat="false" ht="15" hidden="false" customHeight="false" outlineLevel="0" collapsed="false">
      <c r="B1108" s="7" t="str">
        <f aca="false">IF(A1108="","",IFERROR(MATCH(A1108,Lists!$A$2:$A$37,0),""))</f>
        <v/>
      </c>
    </row>
    <row r="1109" customFormat="false" ht="15" hidden="false" customHeight="false" outlineLevel="0" collapsed="false">
      <c r="B1109" s="7" t="str">
        <f aca="false">IF(A1109="","",IFERROR(MATCH(A1109,Lists!$A$2:$A$37,0),""))</f>
        <v/>
      </c>
    </row>
    <row r="1110" customFormat="false" ht="15" hidden="false" customHeight="false" outlineLevel="0" collapsed="false">
      <c r="B1110" s="7" t="str">
        <f aca="false">IF(A1110="","",IFERROR(MATCH(A1110,Lists!$A$2:$A$37,0),""))</f>
        <v/>
      </c>
    </row>
    <row r="1111" customFormat="false" ht="15" hidden="false" customHeight="false" outlineLevel="0" collapsed="false">
      <c r="B1111" s="7" t="str">
        <f aca="false">IF(A1111="","",IFERROR(MATCH(A1111,Lists!$A$2:$A$37,0),""))</f>
        <v/>
      </c>
    </row>
    <row r="1112" customFormat="false" ht="15" hidden="false" customHeight="false" outlineLevel="0" collapsed="false">
      <c r="B1112" s="7" t="str">
        <f aca="false">IF(A1112="","",IFERROR(MATCH(A1112,Lists!$A$2:$A$37,0),""))</f>
        <v/>
      </c>
    </row>
    <row r="1113" customFormat="false" ht="15" hidden="false" customHeight="false" outlineLevel="0" collapsed="false">
      <c r="B1113" s="7" t="str">
        <f aca="false">IF(A1113="","",IFERROR(MATCH(A1113,Lists!$A$2:$A$37,0),""))</f>
        <v/>
      </c>
    </row>
    <row r="1114" customFormat="false" ht="15" hidden="false" customHeight="false" outlineLevel="0" collapsed="false">
      <c r="B1114" s="7" t="str">
        <f aca="false">IF(A1114="","",IFERROR(MATCH(A1114,Lists!$A$2:$A$37,0),""))</f>
        <v/>
      </c>
    </row>
    <row r="1115" customFormat="false" ht="15" hidden="false" customHeight="false" outlineLevel="0" collapsed="false">
      <c r="B1115" s="7" t="str">
        <f aca="false">IF(A1115="","",IFERROR(MATCH(A1115,Lists!$A$2:$A$37,0),""))</f>
        <v/>
      </c>
    </row>
    <row r="1116" customFormat="false" ht="15" hidden="false" customHeight="false" outlineLevel="0" collapsed="false">
      <c r="B1116" s="7" t="str">
        <f aca="false">IF(A1116="","",IFERROR(MATCH(A1116,Lists!$A$2:$A$37,0),""))</f>
        <v/>
      </c>
    </row>
    <row r="1117" customFormat="false" ht="15" hidden="false" customHeight="false" outlineLevel="0" collapsed="false">
      <c r="B1117" s="7" t="str">
        <f aca="false">IF(A1117="","",IFERROR(MATCH(A1117,Lists!$A$2:$A$37,0),""))</f>
        <v/>
      </c>
    </row>
    <row r="1118" customFormat="false" ht="15" hidden="false" customHeight="false" outlineLevel="0" collapsed="false">
      <c r="B1118" s="7" t="str">
        <f aca="false">IF(A1118="","",IFERROR(MATCH(A1118,Lists!$A$2:$A$37,0),""))</f>
        <v/>
      </c>
    </row>
    <row r="1119" customFormat="false" ht="15" hidden="false" customHeight="false" outlineLevel="0" collapsed="false">
      <c r="B1119" s="7" t="str">
        <f aca="false">IF(A1119="","",IFERROR(MATCH(A1119,Lists!$A$2:$A$37,0),""))</f>
        <v/>
      </c>
    </row>
    <row r="1120" customFormat="false" ht="15" hidden="false" customHeight="false" outlineLevel="0" collapsed="false">
      <c r="B1120" s="7" t="str">
        <f aca="false">IF(A1120="","",IFERROR(MATCH(A1120,Lists!$A$2:$A$37,0),""))</f>
        <v/>
      </c>
    </row>
    <row r="1121" customFormat="false" ht="15" hidden="false" customHeight="false" outlineLevel="0" collapsed="false">
      <c r="B1121" s="7" t="str">
        <f aca="false">IF(A1121="","",IFERROR(MATCH(A1121,Lists!$A$2:$A$37,0),""))</f>
        <v/>
      </c>
    </row>
    <row r="1122" customFormat="false" ht="15" hidden="false" customHeight="false" outlineLevel="0" collapsed="false">
      <c r="B1122" s="7" t="str">
        <f aca="false">IF(A1122="","",IFERROR(MATCH(A1122,Lists!$A$2:$A$37,0),""))</f>
        <v/>
      </c>
    </row>
    <row r="1123" customFormat="false" ht="15" hidden="false" customHeight="false" outlineLevel="0" collapsed="false">
      <c r="B1123" s="7" t="str">
        <f aca="false">IF(A1123="","",IFERROR(MATCH(A1123,Lists!$A$2:$A$37,0),""))</f>
        <v/>
      </c>
    </row>
    <row r="1124" customFormat="false" ht="15" hidden="false" customHeight="false" outlineLevel="0" collapsed="false">
      <c r="B1124" s="7" t="str">
        <f aca="false">IF(A1124="","",IFERROR(MATCH(A1124,Lists!$A$2:$A$37,0),""))</f>
        <v/>
      </c>
    </row>
    <row r="1125" customFormat="false" ht="15" hidden="false" customHeight="false" outlineLevel="0" collapsed="false">
      <c r="B1125" s="7" t="str">
        <f aca="false">IF(A1125="","",IFERROR(MATCH(A1125,Lists!$A$2:$A$37,0),""))</f>
        <v/>
      </c>
    </row>
    <row r="1126" customFormat="false" ht="15" hidden="false" customHeight="false" outlineLevel="0" collapsed="false">
      <c r="B1126" s="7" t="str">
        <f aca="false">IF(A1126="","",IFERROR(MATCH(A1126,Lists!$A$2:$A$37,0),""))</f>
        <v/>
      </c>
    </row>
    <row r="1127" customFormat="false" ht="15" hidden="false" customHeight="false" outlineLevel="0" collapsed="false">
      <c r="B1127" s="7" t="str">
        <f aca="false">IF(A1127="","",IFERROR(MATCH(A1127,Lists!$A$2:$A$37,0),""))</f>
        <v/>
      </c>
    </row>
    <row r="1128" customFormat="false" ht="15" hidden="false" customHeight="false" outlineLevel="0" collapsed="false">
      <c r="B1128" s="7" t="str">
        <f aca="false">IF(A1128="","",IFERROR(MATCH(A1128,Lists!$A$2:$A$37,0),""))</f>
        <v/>
      </c>
    </row>
    <row r="1129" customFormat="false" ht="15" hidden="false" customHeight="false" outlineLevel="0" collapsed="false">
      <c r="B1129" s="7" t="str">
        <f aca="false">IF(A1129="","",IFERROR(MATCH(A1129,Lists!$A$2:$A$37,0),""))</f>
        <v/>
      </c>
    </row>
    <row r="1130" customFormat="false" ht="15" hidden="false" customHeight="false" outlineLevel="0" collapsed="false">
      <c r="B1130" s="7" t="str">
        <f aca="false">IF(A1130="","",IFERROR(MATCH(A1130,Lists!$A$2:$A$37,0),""))</f>
        <v/>
      </c>
    </row>
    <row r="1131" customFormat="false" ht="15" hidden="false" customHeight="false" outlineLevel="0" collapsed="false">
      <c r="B1131" s="7" t="str">
        <f aca="false">IF(A1131="","",IFERROR(MATCH(A1131,Lists!$A$2:$A$37,0),""))</f>
        <v/>
      </c>
    </row>
    <row r="1132" customFormat="false" ht="15" hidden="false" customHeight="false" outlineLevel="0" collapsed="false">
      <c r="B1132" s="7" t="str">
        <f aca="false">IF(A1132="","",IFERROR(MATCH(A1132,Lists!$A$2:$A$37,0),""))</f>
        <v/>
      </c>
    </row>
    <row r="1133" customFormat="false" ht="15" hidden="false" customHeight="false" outlineLevel="0" collapsed="false">
      <c r="B1133" s="7" t="str">
        <f aca="false">IF(A1133="","",IFERROR(MATCH(A1133,Lists!$A$2:$A$37,0),""))</f>
        <v/>
      </c>
    </row>
    <row r="1134" customFormat="false" ht="15" hidden="false" customHeight="false" outlineLevel="0" collapsed="false">
      <c r="B1134" s="7" t="str">
        <f aca="false">IF(A1134="","",IFERROR(MATCH(A1134,Lists!$A$2:$A$37,0),""))</f>
        <v/>
      </c>
    </row>
    <row r="1135" customFormat="false" ht="15" hidden="false" customHeight="false" outlineLevel="0" collapsed="false">
      <c r="B1135" s="7" t="str">
        <f aca="false">IF(A1135="","",IFERROR(MATCH(A1135,Lists!$A$2:$A$37,0),""))</f>
        <v/>
      </c>
    </row>
    <row r="1136" customFormat="false" ht="15" hidden="false" customHeight="false" outlineLevel="0" collapsed="false">
      <c r="B1136" s="7" t="str">
        <f aca="false">IF(A1136="","",IFERROR(MATCH(A1136,Lists!$A$2:$A$37,0),""))</f>
        <v/>
      </c>
    </row>
    <row r="1137" customFormat="false" ht="15" hidden="false" customHeight="false" outlineLevel="0" collapsed="false">
      <c r="B1137" s="7" t="str">
        <f aca="false">IF(A1137="","",IFERROR(MATCH(A1137,Lists!$A$2:$A$37,0),""))</f>
        <v/>
      </c>
    </row>
    <row r="1138" customFormat="false" ht="15" hidden="false" customHeight="false" outlineLevel="0" collapsed="false">
      <c r="B1138" s="7" t="str">
        <f aca="false">IF(A1138="","",IFERROR(MATCH(A1138,Lists!$A$2:$A$37,0),""))</f>
        <v/>
      </c>
    </row>
    <row r="1139" customFormat="false" ht="15" hidden="false" customHeight="false" outlineLevel="0" collapsed="false">
      <c r="B1139" s="7" t="str">
        <f aca="false">IF(A1139="","",IFERROR(MATCH(A1139,Lists!$A$2:$A$37,0),""))</f>
        <v/>
      </c>
    </row>
    <row r="1140" customFormat="false" ht="15" hidden="false" customHeight="false" outlineLevel="0" collapsed="false">
      <c r="B1140" s="7" t="str">
        <f aca="false">IF(A1140="","",IFERROR(MATCH(A1140,Lists!$A$2:$A$37,0),""))</f>
        <v/>
      </c>
    </row>
    <row r="1141" customFormat="false" ht="15" hidden="false" customHeight="false" outlineLevel="0" collapsed="false">
      <c r="B1141" s="7" t="str">
        <f aca="false">IF(A1141="","",IFERROR(MATCH(A1141,Lists!$A$2:$A$37,0),""))</f>
        <v/>
      </c>
    </row>
    <row r="1142" customFormat="false" ht="15" hidden="false" customHeight="false" outlineLevel="0" collapsed="false">
      <c r="B1142" s="7" t="str">
        <f aca="false">IF(A1142="","",IFERROR(MATCH(A1142,Lists!$A$2:$A$37,0),""))</f>
        <v/>
      </c>
    </row>
    <row r="1143" customFormat="false" ht="15" hidden="false" customHeight="false" outlineLevel="0" collapsed="false">
      <c r="B1143" s="7" t="str">
        <f aca="false">IF(A1143="","",IFERROR(MATCH(A1143,Lists!$A$2:$A$37,0),""))</f>
        <v/>
      </c>
    </row>
    <row r="1144" customFormat="false" ht="15" hidden="false" customHeight="false" outlineLevel="0" collapsed="false">
      <c r="B1144" s="7" t="str">
        <f aca="false">IF(A1144="","",IFERROR(MATCH(A1144,Lists!$A$2:$A$37,0),""))</f>
        <v/>
      </c>
    </row>
    <row r="1145" customFormat="false" ht="15" hidden="false" customHeight="false" outlineLevel="0" collapsed="false">
      <c r="B1145" s="7" t="str">
        <f aca="false">IF(A1145="","",IFERROR(MATCH(A1145,Lists!$A$2:$A$37,0),""))</f>
        <v/>
      </c>
    </row>
    <row r="1146" customFormat="false" ht="15" hidden="false" customHeight="false" outlineLevel="0" collapsed="false">
      <c r="B1146" s="7" t="str">
        <f aca="false">IF(A1146="","",IFERROR(MATCH(A1146,Lists!$A$2:$A$37,0),""))</f>
        <v/>
      </c>
    </row>
    <row r="1147" customFormat="false" ht="15" hidden="false" customHeight="false" outlineLevel="0" collapsed="false">
      <c r="B1147" s="7" t="str">
        <f aca="false">IF(A1147="","",IFERROR(MATCH(A1147,Lists!$A$2:$A$37,0),""))</f>
        <v/>
      </c>
    </row>
    <row r="1148" customFormat="false" ht="15" hidden="false" customHeight="false" outlineLevel="0" collapsed="false">
      <c r="B1148" s="7" t="str">
        <f aca="false">IF(A1148="","",IFERROR(MATCH(A1148,Lists!$A$2:$A$37,0),""))</f>
        <v/>
      </c>
    </row>
    <row r="1149" customFormat="false" ht="15" hidden="false" customHeight="false" outlineLevel="0" collapsed="false">
      <c r="B1149" s="7" t="str">
        <f aca="false">IF(A1149="","",IFERROR(MATCH(A1149,Lists!$A$2:$A$37,0),""))</f>
        <v/>
      </c>
    </row>
    <row r="1150" customFormat="false" ht="15" hidden="false" customHeight="false" outlineLevel="0" collapsed="false">
      <c r="B1150" s="7" t="str">
        <f aca="false">IF(A1150="","",IFERROR(MATCH(A1150,Lists!$A$2:$A$37,0),""))</f>
        <v/>
      </c>
    </row>
    <row r="1151" customFormat="false" ht="15" hidden="false" customHeight="false" outlineLevel="0" collapsed="false">
      <c r="B1151" s="7" t="str">
        <f aca="false">IF(A1151="","",IFERROR(MATCH(A1151,Lists!$A$2:$A$37,0),""))</f>
        <v/>
      </c>
    </row>
    <row r="1152" customFormat="false" ht="15" hidden="false" customHeight="false" outlineLevel="0" collapsed="false">
      <c r="B1152" s="7" t="str">
        <f aca="false">IF(A1152="","",IFERROR(MATCH(A1152,Lists!$A$2:$A$37,0),""))</f>
        <v/>
      </c>
    </row>
    <row r="1153" customFormat="false" ht="15" hidden="false" customHeight="false" outlineLevel="0" collapsed="false">
      <c r="B1153" s="7" t="str">
        <f aca="false">IF(A1153="","",IFERROR(MATCH(A1153,Lists!$A$2:$A$37,0),""))</f>
        <v/>
      </c>
    </row>
    <row r="1154" customFormat="false" ht="15" hidden="false" customHeight="false" outlineLevel="0" collapsed="false">
      <c r="B1154" s="7" t="str">
        <f aca="false">IF(A1154="","",IFERROR(MATCH(A1154,Lists!$A$2:$A$37,0),""))</f>
        <v/>
      </c>
    </row>
    <row r="1155" customFormat="false" ht="15" hidden="false" customHeight="false" outlineLevel="0" collapsed="false">
      <c r="B1155" s="7" t="str">
        <f aca="false">IF(A1155="","",IFERROR(MATCH(A1155,Lists!$A$2:$A$37,0),""))</f>
        <v/>
      </c>
    </row>
    <row r="1156" customFormat="false" ht="15" hidden="false" customHeight="false" outlineLevel="0" collapsed="false">
      <c r="B1156" s="7" t="str">
        <f aca="false">IF(A1156="","",IFERROR(MATCH(A1156,Lists!$A$2:$A$37,0),""))</f>
        <v/>
      </c>
    </row>
    <row r="1157" customFormat="false" ht="15" hidden="false" customHeight="false" outlineLevel="0" collapsed="false">
      <c r="B1157" s="7" t="str">
        <f aca="false">IF(A1157="","",IFERROR(MATCH(A1157,Lists!$A$2:$A$37,0),""))</f>
        <v/>
      </c>
    </row>
    <row r="1158" customFormat="false" ht="15" hidden="false" customHeight="false" outlineLevel="0" collapsed="false">
      <c r="B1158" s="7" t="str">
        <f aca="false">IF(A1158="","",IFERROR(MATCH(A1158,Lists!$A$2:$A$37,0),""))</f>
        <v/>
      </c>
    </row>
    <row r="1159" customFormat="false" ht="15" hidden="false" customHeight="false" outlineLevel="0" collapsed="false">
      <c r="B1159" s="7" t="str">
        <f aca="false">IF(A1159="","",IFERROR(MATCH(A1159,Lists!$A$2:$A$37,0),""))</f>
        <v/>
      </c>
    </row>
    <row r="1160" customFormat="false" ht="15" hidden="false" customHeight="false" outlineLevel="0" collapsed="false">
      <c r="B1160" s="7" t="str">
        <f aca="false">IF(A1160="","",IFERROR(MATCH(A1160,Lists!$A$2:$A$37,0),""))</f>
        <v/>
      </c>
    </row>
    <row r="1161" customFormat="false" ht="15" hidden="false" customHeight="false" outlineLevel="0" collapsed="false">
      <c r="B1161" s="7" t="str">
        <f aca="false">IF(A1161="","",IFERROR(MATCH(A1161,Lists!$A$2:$A$37,0),""))</f>
        <v/>
      </c>
    </row>
    <row r="1162" customFormat="false" ht="15" hidden="false" customHeight="false" outlineLevel="0" collapsed="false">
      <c r="B1162" s="7" t="str">
        <f aca="false">IF(A1162="","",IFERROR(MATCH(A1162,Lists!$A$2:$A$37,0),""))</f>
        <v/>
      </c>
    </row>
    <row r="1163" customFormat="false" ht="15" hidden="false" customHeight="false" outlineLevel="0" collapsed="false">
      <c r="B1163" s="7" t="str">
        <f aca="false">IF(A1163="","",IFERROR(MATCH(A1163,Lists!$A$2:$A$37,0),""))</f>
        <v/>
      </c>
    </row>
    <row r="1164" customFormat="false" ht="15" hidden="false" customHeight="false" outlineLevel="0" collapsed="false">
      <c r="B1164" s="7" t="str">
        <f aca="false">IF(A1164="","",IFERROR(MATCH(A1164,Lists!$A$2:$A$37,0),""))</f>
        <v/>
      </c>
    </row>
    <row r="1165" customFormat="false" ht="15" hidden="false" customHeight="false" outlineLevel="0" collapsed="false">
      <c r="B1165" s="7" t="str">
        <f aca="false">IF(A1165="","",IFERROR(MATCH(A1165,Lists!$A$2:$A$37,0),""))</f>
        <v/>
      </c>
    </row>
    <row r="1166" customFormat="false" ht="15" hidden="false" customHeight="false" outlineLevel="0" collapsed="false">
      <c r="B1166" s="7" t="str">
        <f aca="false">IF(A1166="","",IFERROR(MATCH(A1166,Lists!$A$2:$A$37,0),""))</f>
        <v/>
      </c>
    </row>
    <row r="1167" customFormat="false" ht="15" hidden="false" customHeight="false" outlineLevel="0" collapsed="false">
      <c r="B1167" s="7" t="str">
        <f aca="false">IF(A1167="","",IFERROR(MATCH(A1167,Lists!$A$2:$A$37,0),""))</f>
        <v/>
      </c>
    </row>
    <row r="1168" customFormat="false" ht="15" hidden="false" customHeight="false" outlineLevel="0" collapsed="false">
      <c r="B1168" s="7" t="str">
        <f aca="false">IF(A1168="","",IFERROR(MATCH(A1168,Lists!$A$2:$A$37,0),""))</f>
        <v/>
      </c>
    </row>
    <row r="1169" customFormat="false" ht="15" hidden="false" customHeight="false" outlineLevel="0" collapsed="false">
      <c r="B1169" s="7" t="str">
        <f aca="false">IF(A1169="","",IFERROR(MATCH(A1169,Lists!$A$2:$A$37,0),""))</f>
        <v/>
      </c>
    </row>
    <row r="1170" customFormat="false" ht="15" hidden="false" customHeight="false" outlineLevel="0" collapsed="false">
      <c r="B1170" s="7" t="str">
        <f aca="false">IF(A1170="","",IFERROR(MATCH(A1170,Lists!$A$2:$A$37,0),""))</f>
        <v/>
      </c>
    </row>
    <row r="1171" customFormat="false" ht="15" hidden="false" customHeight="false" outlineLevel="0" collapsed="false">
      <c r="B1171" s="7" t="str">
        <f aca="false">IF(A1171="","",IFERROR(MATCH(A1171,Lists!$A$2:$A$37,0),""))</f>
        <v/>
      </c>
    </row>
    <row r="1172" customFormat="false" ht="15" hidden="false" customHeight="false" outlineLevel="0" collapsed="false">
      <c r="B1172" s="7" t="str">
        <f aca="false">IF(A1172="","",IFERROR(MATCH(A1172,Lists!$A$2:$A$37,0),""))</f>
        <v/>
      </c>
    </row>
    <row r="1173" customFormat="false" ht="15" hidden="false" customHeight="false" outlineLevel="0" collapsed="false">
      <c r="B1173" s="7" t="str">
        <f aca="false">IF(A1173="","",IFERROR(MATCH(A1173,Lists!$A$2:$A$37,0),""))</f>
        <v/>
      </c>
    </row>
    <row r="1174" customFormat="false" ht="15" hidden="false" customHeight="false" outlineLevel="0" collapsed="false">
      <c r="B1174" s="7" t="str">
        <f aca="false">IF(A1174="","",IFERROR(MATCH(A1174,Lists!$A$2:$A$37,0),""))</f>
        <v/>
      </c>
    </row>
    <row r="1175" customFormat="false" ht="15" hidden="false" customHeight="false" outlineLevel="0" collapsed="false">
      <c r="B1175" s="7" t="str">
        <f aca="false">IF(A1175="","",IFERROR(MATCH(A1175,Lists!$A$2:$A$37,0),""))</f>
        <v/>
      </c>
    </row>
    <row r="1176" customFormat="false" ht="15" hidden="false" customHeight="false" outlineLevel="0" collapsed="false">
      <c r="B1176" s="7" t="str">
        <f aca="false">IF(A1176="","",IFERROR(MATCH(A1176,Lists!$A$2:$A$37,0),""))</f>
        <v/>
      </c>
    </row>
    <row r="1177" customFormat="false" ht="15" hidden="false" customHeight="false" outlineLevel="0" collapsed="false">
      <c r="B1177" s="7" t="str">
        <f aca="false">IF(A1177="","",IFERROR(MATCH(A1177,Lists!$A$2:$A$37,0),""))</f>
        <v/>
      </c>
    </row>
    <row r="1178" customFormat="false" ht="15" hidden="false" customHeight="false" outlineLevel="0" collapsed="false">
      <c r="B1178" s="7" t="str">
        <f aca="false">IF(A1178="","",IFERROR(MATCH(A1178,Lists!$A$2:$A$37,0),""))</f>
        <v/>
      </c>
    </row>
    <row r="1179" customFormat="false" ht="15" hidden="false" customHeight="false" outlineLevel="0" collapsed="false">
      <c r="B1179" s="7" t="str">
        <f aca="false">IF(A1179="","",IFERROR(MATCH(A1179,Lists!$A$2:$A$37,0),""))</f>
        <v/>
      </c>
    </row>
    <row r="1180" customFormat="false" ht="15" hidden="false" customHeight="false" outlineLevel="0" collapsed="false">
      <c r="B1180" s="7" t="str">
        <f aca="false">IF(A1180="","",IFERROR(MATCH(A1180,Lists!$A$2:$A$37,0),""))</f>
        <v/>
      </c>
    </row>
    <row r="1181" customFormat="false" ht="15" hidden="false" customHeight="false" outlineLevel="0" collapsed="false">
      <c r="B1181" s="7" t="str">
        <f aca="false">IF(A1181="","",IFERROR(MATCH(A1181,Lists!$A$2:$A$37,0),""))</f>
        <v/>
      </c>
    </row>
    <row r="1182" customFormat="false" ht="15" hidden="false" customHeight="false" outlineLevel="0" collapsed="false">
      <c r="B1182" s="7" t="str">
        <f aca="false">IF(A1182="","",IFERROR(MATCH(A1182,Lists!$A$2:$A$37,0),""))</f>
        <v/>
      </c>
    </row>
    <row r="1183" customFormat="false" ht="15" hidden="false" customHeight="false" outlineLevel="0" collapsed="false">
      <c r="B1183" s="7" t="str">
        <f aca="false">IF(A1183="","",IFERROR(MATCH(A1183,Lists!$A$2:$A$37,0),""))</f>
        <v/>
      </c>
    </row>
    <row r="1184" customFormat="false" ht="15" hidden="false" customHeight="false" outlineLevel="0" collapsed="false">
      <c r="B1184" s="7" t="str">
        <f aca="false">IF(A1184="","",IFERROR(MATCH(A1184,Lists!$A$2:$A$37,0),""))</f>
        <v/>
      </c>
    </row>
    <row r="1185" customFormat="false" ht="15" hidden="false" customHeight="false" outlineLevel="0" collapsed="false">
      <c r="B1185" s="7" t="str">
        <f aca="false">IF(A1185="","",IFERROR(MATCH(A1185,Lists!$A$2:$A$37,0),""))</f>
        <v/>
      </c>
    </row>
    <row r="1186" customFormat="false" ht="15" hidden="false" customHeight="false" outlineLevel="0" collapsed="false">
      <c r="B1186" s="7" t="str">
        <f aca="false">IF(A1186="","",IFERROR(MATCH(A1186,Lists!$A$2:$A$37,0),""))</f>
        <v/>
      </c>
    </row>
    <row r="1187" customFormat="false" ht="15" hidden="false" customHeight="false" outlineLevel="0" collapsed="false">
      <c r="B1187" s="7" t="str">
        <f aca="false">IF(A1187="","",IFERROR(MATCH(A1187,Lists!$A$2:$A$37,0),""))</f>
        <v/>
      </c>
    </row>
    <row r="1188" customFormat="false" ht="15" hidden="false" customHeight="false" outlineLevel="0" collapsed="false">
      <c r="B1188" s="7" t="str">
        <f aca="false">IF(A1188="","",IFERROR(MATCH(A1188,Lists!$A$2:$A$37,0),""))</f>
        <v/>
      </c>
    </row>
    <row r="1189" customFormat="false" ht="15" hidden="false" customHeight="false" outlineLevel="0" collapsed="false">
      <c r="B1189" s="7" t="str">
        <f aca="false">IF(A1189="","",IFERROR(MATCH(A1189,Lists!$A$2:$A$37,0),""))</f>
        <v/>
      </c>
    </row>
    <row r="1190" customFormat="false" ht="15" hidden="false" customHeight="false" outlineLevel="0" collapsed="false">
      <c r="B1190" s="7" t="str">
        <f aca="false">IF(A1190="","",IFERROR(MATCH(A1190,Lists!$A$2:$A$37,0),""))</f>
        <v/>
      </c>
    </row>
    <row r="1191" customFormat="false" ht="15" hidden="false" customHeight="false" outlineLevel="0" collapsed="false">
      <c r="B1191" s="7" t="str">
        <f aca="false">IF(A1191="","",IFERROR(MATCH(A1191,Lists!$A$2:$A$37,0),""))</f>
        <v/>
      </c>
    </row>
    <row r="1192" customFormat="false" ht="15" hidden="false" customHeight="false" outlineLevel="0" collapsed="false">
      <c r="B1192" s="7" t="str">
        <f aca="false">IF(A1192="","",IFERROR(MATCH(A1192,Lists!$A$2:$A$37,0),""))</f>
        <v/>
      </c>
    </row>
    <row r="1193" customFormat="false" ht="15" hidden="false" customHeight="false" outlineLevel="0" collapsed="false">
      <c r="B1193" s="7" t="str">
        <f aca="false">IF(A1193="","",IFERROR(MATCH(A1193,Lists!$A$2:$A$37,0),""))</f>
        <v/>
      </c>
    </row>
    <row r="1194" customFormat="false" ht="15" hidden="false" customHeight="false" outlineLevel="0" collapsed="false">
      <c r="B1194" s="7" t="str">
        <f aca="false">IF(A1194="","",IFERROR(MATCH(A1194,Lists!$A$2:$A$37,0),""))</f>
        <v/>
      </c>
    </row>
    <row r="1195" customFormat="false" ht="15" hidden="false" customHeight="false" outlineLevel="0" collapsed="false">
      <c r="B1195" s="7" t="str">
        <f aca="false">IF(A1195="","",IFERROR(MATCH(A1195,Lists!$A$2:$A$37,0),""))</f>
        <v/>
      </c>
    </row>
    <row r="1196" customFormat="false" ht="15" hidden="false" customHeight="false" outlineLevel="0" collapsed="false">
      <c r="B1196" s="7" t="str">
        <f aca="false">IF(A1196="","",IFERROR(MATCH(A1196,Lists!$A$2:$A$37,0),""))</f>
        <v/>
      </c>
    </row>
    <row r="1197" customFormat="false" ht="15" hidden="false" customHeight="false" outlineLevel="0" collapsed="false">
      <c r="B1197" s="7" t="str">
        <f aca="false">IF(A1197="","",IFERROR(MATCH(A1197,Lists!$A$2:$A$37,0),""))</f>
        <v/>
      </c>
    </row>
    <row r="1198" customFormat="false" ht="15" hidden="false" customHeight="false" outlineLevel="0" collapsed="false">
      <c r="B1198" s="7" t="str">
        <f aca="false">IF(A1198="","",IFERROR(MATCH(A1198,Lists!$A$2:$A$37,0),""))</f>
        <v/>
      </c>
    </row>
    <row r="1199" customFormat="false" ht="15" hidden="false" customHeight="false" outlineLevel="0" collapsed="false">
      <c r="B1199" s="7" t="str">
        <f aca="false">IF(A1199="","",IFERROR(MATCH(A1199,Lists!$A$2:$A$37,0),""))</f>
        <v/>
      </c>
    </row>
    <row r="1200" customFormat="false" ht="15" hidden="false" customHeight="false" outlineLevel="0" collapsed="false">
      <c r="B1200" s="7" t="str">
        <f aca="false">IF(A1200="","",IFERROR(MATCH(A1200,Lists!$A$2:$A$37,0),""))</f>
        <v/>
      </c>
    </row>
    <row r="1201" customFormat="false" ht="15" hidden="false" customHeight="false" outlineLevel="0" collapsed="false">
      <c r="B1201" s="7" t="str">
        <f aca="false">IF(A1201="","",IFERROR(MATCH(A1201,Lists!$A$2:$A$37,0),""))</f>
        <v/>
      </c>
    </row>
    <row r="1202" customFormat="false" ht="15" hidden="false" customHeight="false" outlineLevel="0" collapsed="false">
      <c r="B1202" s="7" t="str">
        <f aca="false">IF(A1202="","",IFERROR(MATCH(A1202,Lists!$A$2:$A$37,0),""))</f>
        <v/>
      </c>
    </row>
    <row r="1203" customFormat="false" ht="15" hidden="false" customHeight="false" outlineLevel="0" collapsed="false">
      <c r="B1203" s="7" t="str">
        <f aca="false">IF(A1203="","",IFERROR(MATCH(A1203,Lists!$A$2:$A$37,0),""))</f>
        <v/>
      </c>
    </row>
    <row r="1204" customFormat="false" ht="15" hidden="false" customHeight="false" outlineLevel="0" collapsed="false">
      <c r="B1204" s="7" t="str">
        <f aca="false">IF(A1204="","",IFERROR(MATCH(A1204,Lists!$A$2:$A$37,0),""))</f>
        <v/>
      </c>
    </row>
    <row r="1205" customFormat="false" ht="15" hidden="false" customHeight="false" outlineLevel="0" collapsed="false">
      <c r="B1205" s="7" t="str">
        <f aca="false">IF(A1205="","",IFERROR(MATCH(A1205,Lists!$A$2:$A$37,0),""))</f>
        <v/>
      </c>
    </row>
    <row r="1206" customFormat="false" ht="15" hidden="false" customHeight="false" outlineLevel="0" collapsed="false">
      <c r="B1206" s="7" t="str">
        <f aca="false">IF(A1206="","",IFERROR(MATCH(A1206,Lists!$A$2:$A$37,0),""))</f>
        <v/>
      </c>
    </row>
    <row r="1207" customFormat="false" ht="15" hidden="false" customHeight="false" outlineLevel="0" collapsed="false">
      <c r="B1207" s="7" t="str">
        <f aca="false">IF(A1207="","",IFERROR(MATCH(A1207,Lists!$A$2:$A$37,0),""))</f>
        <v/>
      </c>
    </row>
    <row r="1208" customFormat="false" ht="15" hidden="false" customHeight="false" outlineLevel="0" collapsed="false">
      <c r="B1208" s="7" t="str">
        <f aca="false">IF(A1208="","",IFERROR(MATCH(A1208,Lists!$A$2:$A$37,0),""))</f>
        <v/>
      </c>
    </row>
    <row r="1209" customFormat="false" ht="15" hidden="false" customHeight="false" outlineLevel="0" collapsed="false">
      <c r="B1209" s="7" t="str">
        <f aca="false">IF(A1209="","",IFERROR(MATCH(A1209,Lists!$A$2:$A$37,0),""))</f>
        <v/>
      </c>
    </row>
    <row r="1210" customFormat="false" ht="15" hidden="false" customHeight="false" outlineLevel="0" collapsed="false">
      <c r="B1210" s="7" t="str">
        <f aca="false">IF(A1210="","",IFERROR(MATCH(A1210,Lists!$A$2:$A$37,0),""))</f>
        <v/>
      </c>
    </row>
    <row r="1211" customFormat="false" ht="15" hidden="false" customHeight="false" outlineLevel="0" collapsed="false">
      <c r="B1211" s="7" t="str">
        <f aca="false">IF(A1211="","",IFERROR(MATCH(A1211,Lists!$A$2:$A$37,0),""))</f>
        <v/>
      </c>
    </row>
    <row r="1212" customFormat="false" ht="15" hidden="false" customHeight="false" outlineLevel="0" collapsed="false">
      <c r="B1212" s="7" t="str">
        <f aca="false">IF(A1212="","",IFERROR(MATCH(A1212,Lists!$A$2:$A$37,0),""))</f>
        <v/>
      </c>
    </row>
    <row r="1213" customFormat="false" ht="15" hidden="false" customHeight="false" outlineLevel="0" collapsed="false">
      <c r="B1213" s="7" t="str">
        <f aca="false">IF(A1213="","",IFERROR(MATCH(A1213,Lists!$A$2:$A$37,0),""))</f>
        <v/>
      </c>
    </row>
    <row r="1214" customFormat="false" ht="15" hidden="false" customHeight="false" outlineLevel="0" collapsed="false">
      <c r="B1214" s="7" t="str">
        <f aca="false">IF(A1214="","",IFERROR(MATCH(A1214,Lists!$A$2:$A$37,0),""))</f>
        <v/>
      </c>
    </row>
    <row r="1215" customFormat="false" ht="15" hidden="false" customHeight="false" outlineLevel="0" collapsed="false">
      <c r="B1215" s="7" t="str">
        <f aca="false">IF(A1215="","",IFERROR(MATCH(A1215,Lists!$A$2:$A$37,0),""))</f>
        <v/>
      </c>
    </row>
    <row r="1216" customFormat="false" ht="15" hidden="false" customHeight="false" outlineLevel="0" collapsed="false">
      <c r="B1216" s="7" t="str">
        <f aca="false">IF(A1216="","",IFERROR(MATCH(A1216,Lists!$A$2:$A$37,0),""))</f>
        <v/>
      </c>
    </row>
    <row r="1217" customFormat="false" ht="15" hidden="false" customHeight="false" outlineLevel="0" collapsed="false">
      <c r="B1217" s="7" t="str">
        <f aca="false">IF(A1217="","",IFERROR(MATCH(A1217,Lists!$A$2:$A$37,0),""))</f>
        <v/>
      </c>
    </row>
    <row r="1218" customFormat="false" ht="15" hidden="false" customHeight="false" outlineLevel="0" collapsed="false">
      <c r="B1218" s="7" t="str">
        <f aca="false">IF(A1218="","",IFERROR(MATCH(A1218,Lists!$A$2:$A$37,0),""))</f>
        <v/>
      </c>
    </row>
    <row r="1219" customFormat="false" ht="15" hidden="false" customHeight="false" outlineLevel="0" collapsed="false">
      <c r="B1219" s="7" t="str">
        <f aca="false">IF(A1219="","",IFERROR(MATCH(A1219,Lists!$A$2:$A$37,0),""))</f>
        <v/>
      </c>
    </row>
    <row r="1220" customFormat="false" ht="15" hidden="false" customHeight="false" outlineLevel="0" collapsed="false">
      <c r="B1220" s="7" t="str">
        <f aca="false">IF(A1220="","",IFERROR(MATCH(A1220,Lists!$A$2:$A$37,0),""))</f>
        <v/>
      </c>
    </row>
    <row r="1221" customFormat="false" ht="15" hidden="false" customHeight="false" outlineLevel="0" collapsed="false">
      <c r="B1221" s="7" t="str">
        <f aca="false">IF(A1221="","",IFERROR(MATCH(A1221,Lists!$A$2:$A$37,0),""))</f>
        <v/>
      </c>
    </row>
    <row r="1222" customFormat="false" ht="15" hidden="false" customHeight="false" outlineLevel="0" collapsed="false">
      <c r="B1222" s="7" t="str">
        <f aca="false">IF(A1222="","",IFERROR(MATCH(A1222,Lists!$A$2:$A$37,0),""))</f>
        <v/>
      </c>
    </row>
    <row r="1223" customFormat="false" ht="15" hidden="false" customHeight="false" outlineLevel="0" collapsed="false">
      <c r="B1223" s="7" t="str">
        <f aca="false">IF(A1223="","",IFERROR(MATCH(A1223,Lists!$A$2:$A$37,0),""))</f>
        <v/>
      </c>
    </row>
    <row r="1224" customFormat="false" ht="15" hidden="false" customHeight="false" outlineLevel="0" collapsed="false">
      <c r="B1224" s="7" t="str">
        <f aca="false">IF(A1224="","",IFERROR(MATCH(A1224,Lists!$A$2:$A$37,0),""))</f>
        <v/>
      </c>
    </row>
    <row r="1225" customFormat="false" ht="15" hidden="false" customHeight="false" outlineLevel="0" collapsed="false">
      <c r="B1225" s="7" t="str">
        <f aca="false">IF(A1225="","",IFERROR(MATCH(A1225,Lists!$A$2:$A$37,0),""))</f>
        <v/>
      </c>
    </row>
    <row r="1226" customFormat="false" ht="15" hidden="false" customHeight="false" outlineLevel="0" collapsed="false">
      <c r="B1226" s="7" t="str">
        <f aca="false">IF(A1226="","",IFERROR(MATCH(A1226,Lists!$A$2:$A$37,0),""))</f>
        <v/>
      </c>
    </row>
    <row r="1227" customFormat="false" ht="15" hidden="false" customHeight="false" outlineLevel="0" collapsed="false">
      <c r="B1227" s="7" t="str">
        <f aca="false">IF(A1227="","",IFERROR(MATCH(A1227,Lists!$A$2:$A$37,0),""))</f>
        <v/>
      </c>
    </row>
    <row r="1228" customFormat="false" ht="15" hidden="false" customHeight="false" outlineLevel="0" collapsed="false">
      <c r="B1228" s="7" t="str">
        <f aca="false">IF(A1228="","",IFERROR(MATCH(A1228,Lists!$A$2:$A$37,0),""))</f>
        <v/>
      </c>
    </row>
    <row r="1229" customFormat="false" ht="15" hidden="false" customHeight="false" outlineLevel="0" collapsed="false">
      <c r="B1229" s="7" t="str">
        <f aca="false">IF(A1229="","",IFERROR(MATCH(A1229,Lists!$A$2:$A$37,0),""))</f>
        <v/>
      </c>
    </row>
    <row r="1230" customFormat="false" ht="15" hidden="false" customHeight="false" outlineLevel="0" collapsed="false">
      <c r="B1230" s="7" t="str">
        <f aca="false">IF(A1230="","",IFERROR(MATCH(A1230,Lists!$A$2:$A$37,0),""))</f>
        <v/>
      </c>
    </row>
    <row r="1231" customFormat="false" ht="15" hidden="false" customHeight="false" outlineLevel="0" collapsed="false">
      <c r="B1231" s="7" t="str">
        <f aca="false">IF(A1231="","",IFERROR(MATCH(A1231,Lists!$A$2:$A$37,0),""))</f>
        <v/>
      </c>
    </row>
    <row r="1232" customFormat="false" ht="15" hidden="false" customHeight="false" outlineLevel="0" collapsed="false">
      <c r="B1232" s="7" t="str">
        <f aca="false">IF(A1232="","",IFERROR(MATCH(A1232,Lists!$A$2:$A$37,0),""))</f>
        <v/>
      </c>
    </row>
    <row r="1233" customFormat="false" ht="15" hidden="false" customHeight="false" outlineLevel="0" collapsed="false">
      <c r="B1233" s="7" t="str">
        <f aca="false">IF(A1233="","",IFERROR(MATCH(A1233,Lists!$A$2:$A$37,0),""))</f>
        <v/>
      </c>
    </row>
    <row r="1234" customFormat="false" ht="15" hidden="false" customHeight="false" outlineLevel="0" collapsed="false">
      <c r="B1234" s="7" t="str">
        <f aca="false">IF(A1234="","",IFERROR(MATCH(A1234,Lists!$A$2:$A$37,0),""))</f>
        <v/>
      </c>
    </row>
    <row r="1235" customFormat="false" ht="15" hidden="false" customHeight="false" outlineLevel="0" collapsed="false">
      <c r="B1235" s="7" t="str">
        <f aca="false">IF(A1235="","",IFERROR(MATCH(A1235,Lists!$A$2:$A$37,0),""))</f>
        <v/>
      </c>
    </row>
    <row r="1236" customFormat="false" ht="15" hidden="false" customHeight="false" outlineLevel="0" collapsed="false">
      <c r="B1236" s="7" t="str">
        <f aca="false">IF(A1236="","",IFERROR(MATCH(A1236,Lists!$A$2:$A$37,0),""))</f>
        <v/>
      </c>
    </row>
    <row r="1237" customFormat="false" ht="15" hidden="false" customHeight="false" outlineLevel="0" collapsed="false">
      <c r="B1237" s="7" t="str">
        <f aca="false">IF(A1237="","",IFERROR(MATCH(A1237,Lists!$A$2:$A$37,0),""))</f>
        <v/>
      </c>
    </row>
    <row r="1238" customFormat="false" ht="15" hidden="false" customHeight="false" outlineLevel="0" collapsed="false">
      <c r="B1238" s="7" t="str">
        <f aca="false">IF(A1238="","",IFERROR(MATCH(A1238,Lists!$A$2:$A$37,0),""))</f>
        <v/>
      </c>
    </row>
    <row r="1239" customFormat="false" ht="15" hidden="false" customHeight="false" outlineLevel="0" collapsed="false">
      <c r="B1239" s="7" t="str">
        <f aca="false">IF(A1239="","",IFERROR(MATCH(A1239,Lists!$A$2:$A$37,0),""))</f>
        <v/>
      </c>
    </row>
    <row r="1240" customFormat="false" ht="15" hidden="false" customHeight="false" outlineLevel="0" collapsed="false">
      <c r="B1240" s="7" t="str">
        <f aca="false">IF(A1240="","",IFERROR(MATCH(A1240,Lists!$A$2:$A$37,0),""))</f>
        <v/>
      </c>
    </row>
    <row r="1241" customFormat="false" ht="15" hidden="false" customHeight="false" outlineLevel="0" collapsed="false">
      <c r="B1241" s="7" t="str">
        <f aca="false">IF(A1241="","",IFERROR(MATCH(A1241,Lists!$A$2:$A$37,0),""))</f>
        <v/>
      </c>
    </row>
    <row r="1242" customFormat="false" ht="15" hidden="false" customHeight="false" outlineLevel="0" collapsed="false">
      <c r="B1242" s="7" t="str">
        <f aca="false">IF(A1242="","",IFERROR(MATCH(A1242,Lists!$A$2:$A$37,0),""))</f>
        <v/>
      </c>
    </row>
    <row r="1243" customFormat="false" ht="15" hidden="false" customHeight="false" outlineLevel="0" collapsed="false">
      <c r="B1243" s="7" t="str">
        <f aca="false">IF(A1243="","",IFERROR(MATCH(A1243,Lists!$A$2:$A$37,0),""))</f>
        <v/>
      </c>
    </row>
    <row r="1244" customFormat="false" ht="15" hidden="false" customHeight="false" outlineLevel="0" collapsed="false">
      <c r="B1244" s="7" t="str">
        <f aca="false">IF(A1244="","",IFERROR(MATCH(A1244,Lists!$A$2:$A$37,0),""))</f>
        <v/>
      </c>
    </row>
    <row r="1245" customFormat="false" ht="15" hidden="false" customHeight="false" outlineLevel="0" collapsed="false">
      <c r="B1245" s="7" t="str">
        <f aca="false">IF(A1245="","",IFERROR(MATCH(A1245,Lists!$A$2:$A$37,0),""))</f>
        <v/>
      </c>
    </row>
    <row r="1246" customFormat="false" ht="15" hidden="false" customHeight="false" outlineLevel="0" collapsed="false">
      <c r="B1246" s="7" t="str">
        <f aca="false">IF(A1246="","",IFERROR(MATCH(A1246,Lists!$A$2:$A$37,0),""))</f>
        <v/>
      </c>
    </row>
    <row r="1247" customFormat="false" ht="15" hidden="false" customHeight="false" outlineLevel="0" collapsed="false">
      <c r="B1247" s="7" t="str">
        <f aca="false">IF(A1247="","",IFERROR(MATCH(A1247,Lists!$A$2:$A$37,0),""))</f>
        <v/>
      </c>
    </row>
    <row r="1248" customFormat="false" ht="15" hidden="false" customHeight="false" outlineLevel="0" collapsed="false">
      <c r="B1248" s="7" t="str">
        <f aca="false">IF(A1248="","",IFERROR(MATCH(A1248,Lists!$A$2:$A$37,0),""))</f>
        <v/>
      </c>
    </row>
    <row r="1249" customFormat="false" ht="15" hidden="false" customHeight="false" outlineLevel="0" collapsed="false">
      <c r="B1249" s="7" t="str">
        <f aca="false">IF(A1249="","",IFERROR(MATCH(A1249,Lists!$A$2:$A$37,0),""))</f>
        <v/>
      </c>
    </row>
    <row r="1250" customFormat="false" ht="15" hidden="false" customHeight="false" outlineLevel="0" collapsed="false">
      <c r="B1250" s="7" t="str">
        <f aca="false">IF(A1250="","",IFERROR(MATCH(A1250,Lists!$A$2:$A$37,0),""))</f>
        <v/>
      </c>
    </row>
    <row r="1251" customFormat="false" ht="15" hidden="false" customHeight="false" outlineLevel="0" collapsed="false">
      <c r="B1251" s="7" t="str">
        <f aca="false">IF(A1251="","",IFERROR(MATCH(A1251,Lists!$A$2:$A$37,0),""))</f>
        <v/>
      </c>
    </row>
    <row r="1252" customFormat="false" ht="15" hidden="false" customHeight="false" outlineLevel="0" collapsed="false">
      <c r="B1252" s="7" t="str">
        <f aca="false">IF(A1252="","",IFERROR(MATCH(A1252,Lists!$A$2:$A$37,0),""))</f>
        <v/>
      </c>
    </row>
    <row r="1253" customFormat="false" ht="15" hidden="false" customHeight="false" outlineLevel="0" collapsed="false">
      <c r="B1253" s="7" t="str">
        <f aca="false">IF(A1253="","",IFERROR(MATCH(A1253,Lists!$A$2:$A$37,0),""))</f>
        <v/>
      </c>
    </row>
    <row r="1254" customFormat="false" ht="15" hidden="false" customHeight="false" outlineLevel="0" collapsed="false">
      <c r="B1254" s="7" t="str">
        <f aca="false">IF(A1254="","",IFERROR(MATCH(A1254,Lists!$A$2:$A$37,0),""))</f>
        <v/>
      </c>
    </row>
    <row r="1255" customFormat="false" ht="15" hidden="false" customHeight="false" outlineLevel="0" collapsed="false">
      <c r="B1255" s="7" t="str">
        <f aca="false">IF(A1255="","",IFERROR(MATCH(A1255,Lists!$A$2:$A$37,0),""))</f>
        <v/>
      </c>
    </row>
    <row r="1256" customFormat="false" ht="15" hidden="false" customHeight="false" outlineLevel="0" collapsed="false">
      <c r="B1256" s="7" t="str">
        <f aca="false">IF(A1256="","",IFERROR(MATCH(A1256,Lists!$A$2:$A$37,0),""))</f>
        <v/>
      </c>
    </row>
    <row r="1257" customFormat="false" ht="15" hidden="false" customHeight="false" outlineLevel="0" collapsed="false">
      <c r="B1257" s="7" t="str">
        <f aca="false">IF(A1257="","",IFERROR(MATCH(A1257,Lists!$A$2:$A$37,0),""))</f>
        <v/>
      </c>
    </row>
    <row r="1258" customFormat="false" ht="15" hidden="false" customHeight="false" outlineLevel="0" collapsed="false">
      <c r="B1258" s="7" t="str">
        <f aca="false">IF(A1258="","",IFERROR(MATCH(A1258,Lists!$A$2:$A$37,0),""))</f>
        <v/>
      </c>
    </row>
    <row r="1259" customFormat="false" ht="15" hidden="false" customHeight="false" outlineLevel="0" collapsed="false">
      <c r="B1259" s="7" t="str">
        <f aca="false">IF(A1259="","",IFERROR(MATCH(A1259,Lists!$A$2:$A$37,0),""))</f>
        <v/>
      </c>
    </row>
    <row r="1260" customFormat="false" ht="15" hidden="false" customHeight="false" outlineLevel="0" collapsed="false">
      <c r="B1260" s="7" t="str">
        <f aca="false">IF(A1260="","",IFERROR(MATCH(A1260,Lists!$A$2:$A$37,0),""))</f>
        <v/>
      </c>
    </row>
    <row r="1261" customFormat="false" ht="15" hidden="false" customHeight="false" outlineLevel="0" collapsed="false">
      <c r="B1261" s="7" t="str">
        <f aca="false">IF(A1261="","",IFERROR(MATCH(A1261,Lists!$A$2:$A$37,0),""))</f>
        <v/>
      </c>
    </row>
    <row r="1262" customFormat="false" ht="15" hidden="false" customHeight="false" outlineLevel="0" collapsed="false">
      <c r="B1262" s="7" t="str">
        <f aca="false">IF(A1262="","",IFERROR(MATCH(A1262,Lists!$A$2:$A$37,0),""))</f>
        <v/>
      </c>
    </row>
    <row r="1263" customFormat="false" ht="15" hidden="false" customHeight="false" outlineLevel="0" collapsed="false">
      <c r="B1263" s="7" t="str">
        <f aca="false">IF(A1263="","",IFERROR(MATCH(A1263,Lists!$A$2:$A$37,0),""))</f>
        <v/>
      </c>
    </row>
    <row r="1264" customFormat="false" ht="15" hidden="false" customHeight="false" outlineLevel="0" collapsed="false">
      <c r="B1264" s="7" t="str">
        <f aca="false">IF(A1264="","",IFERROR(MATCH(A1264,Lists!$A$2:$A$37,0),""))</f>
        <v/>
      </c>
    </row>
    <row r="1265" customFormat="false" ht="15" hidden="false" customHeight="false" outlineLevel="0" collapsed="false">
      <c r="B1265" s="7" t="str">
        <f aca="false">IF(A1265="","",IFERROR(MATCH(A1265,Lists!$A$2:$A$37,0),""))</f>
        <v/>
      </c>
    </row>
    <row r="1266" customFormat="false" ht="15" hidden="false" customHeight="false" outlineLevel="0" collapsed="false">
      <c r="B1266" s="7" t="str">
        <f aca="false">IF(A1266="","",IFERROR(MATCH(A1266,Lists!$A$2:$A$37,0),""))</f>
        <v/>
      </c>
    </row>
    <row r="1267" customFormat="false" ht="15" hidden="false" customHeight="false" outlineLevel="0" collapsed="false">
      <c r="B1267" s="7" t="str">
        <f aca="false">IF(A1267="","",IFERROR(MATCH(A1267,Lists!$A$2:$A$37,0),""))</f>
        <v/>
      </c>
    </row>
    <row r="1268" customFormat="false" ht="15" hidden="false" customHeight="false" outlineLevel="0" collapsed="false">
      <c r="B1268" s="7" t="str">
        <f aca="false">IF(A1268="","",IFERROR(MATCH(A1268,Lists!$A$2:$A$37,0),""))</f>
        <v/>
      </c>
    </row>
    <row r="1269" customFormat="false" ht="15" hidden="false" customHeight="false" outlineLevel="0" collapsed="false">
      <c r="B1269" s="7" t="str">
        <f aca="false">IF(A1269="","",IFERROR(MATCH(A1269,Lists!$A$2:$A$37,0),""))</f>
        <v/>
      </c>
    </row>
    <row r="1270" customFormat="false" ht="15" hidden="false" customHeight="false" outlineLevel="0" collapsed="false">
      <c r="B1270" s="7" t="str">
        <f aca="false">IF(A1270="","",IFERROR(MATCH(A1270,Lists!$A$2:$A$37,0),""))</f>
        <v/>
      </c>
    </row>
    <row r="1271" customFormat="false" ht="15" hidden="false" customHeight="false" outlineLevel="0" collapsed="false">
      <c r="B1271" s="7" t="str">
        <f aca="false">IF(A1271="","",IFERROR(MATCH(A1271,Lists!$A$2:$A$37,0),""))</f>
        <v/>
      </c>
    </row>
    <row r="1272" customFormat="false" ht="15" hidden="false" customHeight="false" outlineLevel="0" collapsed="false">
      <c r="B1272" s="7" t="str">
        <f aca="false">IF(A1272="","",IFERROR(MATCH(A1272,Lists!$A$2:$A$37,0),""))</f>
        <v/>
      </c>
    </row>
    <row r="1273" customFormat="false" ht="15" hidden="false" customHeight="false" outlineLevel="0" collapsed="false">
      <c r="B1273" s="7" t="str">
        <f aca="false">IF(A1273="","",IFERROR(MATCH(A1273,Lists!$A$2:$A$37,0),""))</f>
        <v/>
      </c>
    </row>
    <row r="1274" customFormat="false" ht="15" hidden="false" customHeight="false" outlineLevel="0" collapsed="false">
      <c r="B1274" s="7" t="str">
        <f aca="false">IF(A1274="","",IFERROR(MATCH(A1274,Lists!$A$2:$A$37,0),""))</f>
        <v/>
      </c>
    </row>
    <row r="1275" customFormat="false" ht="15" hidden="false" customHeight="false" outlineLevel="0" collapsed="false">
      <c r="B1275" s="7" t="str">
        <f aca="false">IF(A1275="","",IFERROR(MATCH(A1275,Lists!$A$2:$A$37,0),""))</f>
        <v/>
      </c>
    </row>
    <row r="1276" customFormat="false" ht="15" hidden="false" customHeight="false" outlineLevel="0" collapsed="false">
      <c r="B1276" s="7" t="str">
        <f aca="false">IF(A1276="","",IFERROR(MATCH(A1276,Lists!$A$2:$A$37,0),""))</f>
        <v/>
      </c>
    </row>
    <row r="1277" customFormat="false" ht="15" hidden="false" customHeight="false" outlineLevel="0" collapsed="false">
      <c r="B1277" s="7" t="str">
        <f aca="false">IF(A1277="","",IFERROR(MATCH(A1277,Lists!$A$2:$A$37,0),""))</f>
        <v/>
      </c>
    </row>
    <row r="1278" customFormat="false" ht="15" hidden="false" customHeight="false" outlineLevel="0" collapsed="false">
      <c r="B1278" s="7" t="str">
        <f aca="false">IF(A1278="","",IFERROR(MATCH(A1278,Lists!$A$2:$A$37,0),""))</f>
        <v/>
      </c>
    </row>
    <row r="1279" customFormat="false" ht="15" hidden="false" customHeight="false" outlineLevel="0" collapsed="false">
      <c r="B1279" s="7" t="str">
        <f aca="false">IF(A1279="","",IFERROR(MATCH(A1279,Lists!$A$2:$A$37,0),""))</f>
        <v/>
      </c>
    </row>
    <row r="1280" customFormat="false" ht="15" hidden="false" customHeight="false" outlineLevel="0" collapsed="false">
      <c r="B1280" s="7" t="str">
        <f aca="false">IF(A1280="","",IFERROR(MATCH(A1280,Lists!$A$2:$A$37,0),""))</f>
        <v/>
      </c>
    </row>
    <row r="1281" customFormat="false" ht="15" hidden="false" customHeight="false" outlineLevel="0" collapsed="false">
      <c r="B1281" s="7" t="str">
        <f aca="false">IF(A1281="","",IFERROR(MATCH(A1281,Lists!$A$2:$A$37,0),""))</f>
        <v/>
      </c>
    </row>
    <row r="1282" customFormat="false" ht="15" hidden="false" customHeight="false" outlineLevel="0" collapsed="false">
      <c r="B1282" s="7" t="str">
        <f aca="false">IF(A1282="","",IFERROR(MATCH(A1282,Lists!$A$2:$A$37,0),""))</f>
        <v/>
      </c>
    </row>
    <row r="1283" customFormat="false" ht="15" hidden="false" customHeight="false" outlineLevel="0" collapsed="false">
      <c r="B1283" s="7" t="str">
        <f aca="false">IF(A1283="","",IFERROR(MATCH(A1283,Lists!$A$2:$A$37,0),""))</f>
        <v/>
      </c>
    </row>
    <row r="1284" customFormat="false" ht="15" hidden="false" customHeight="false" outlineLevel="0" collapsed="false">
      <c r="B1284" s="7" t="str">
        <f aca="false">IF(A1284="","",IFERROR(MATCH(A1284,Lists!$A$2:$A$37,0),""))</f>
        <v/>
      </c>
    </row>
    <row r="1285" customFormat="false" ht="15" hidden="false" customHeight="false" outlineLevel="0" collapsed="false">
      <c r="B1285" s="7" t="str">
        <f aca="false">IF(A1285="","",IFERROR(MATCH(A1285,Lists!$A$2:$A$37,0),""))</f>
        <v/>
      </c>
    </row>
    <row r="1286" customFormat="false" ht="15" hidden="false" customHeight="false" outlineLevel="0" collapsed="false">
      <c r="B1286" s="7" t="str">
        <f aca="false">IF(A1286="","",IFERROR(MATCH(A1286,Lists!$A$2:$A$37,0),""))</f>
        <v/>
      </c>
    </row>
    <row r="1287" customFormat="false" ht="15" hidden="false" customHeight="false" outlineLevel="0" collapsed="false">
      <c r="B1287" s="7" t="str">
        <f aca="false">IF(A1287="","",IFERROR(MATCH(A1287,Lists!$A$2:$A$37,0),""))</f>
        <v/>
      </c>
    </row>
    <row r="1288" customFormat="false" ht="15" hidden="false" customHeight="false" outlineLevel="0" collapsed="false">
      <c r="B1288" s="7" t="str">
        <f aca="false">IF(A1288="","",IFERROR(MATCH(A1288,Lists!$A$2:$A$37,0),""))</f>
        <v/>
      </c>
    </row>
    <row r="1289" customFormat="false" ht="15" hidden="false" customHeight="false" outlineLevel="0" collapsed="false">
      <c r="B1289" s="7" t="str">
        <f aca="false">IF(A1289="","",IFERROR(MATCH(A1289,Lists!$A$2:$A$37,0),""))</f>
        <v/>
      </c>
    </row>
    <row r="1290" customFormat="false" ht="15" hidden="false" customHeight="false" outlineLevel="0" collapsed="false">
      <c r="B1290" s="7" t="str">
        <f aca="false">IF(A1290="","",IFERROR(MATCH(A1290,Lists!$A$2:$A$37,0),""))</f>
        <v/>
      </c>
    </row>
    <row r="1291" customFormat="false" ht="15" hidden="false" customHeight="false" outlineLevel="0" collapsed="false">
      <c r="B1291" s="7" t="str">
        <f aca="false">IF(A1291="","",IFERROR(MATCH(A1291,Lists!$A$2:$A$37,0),""))</f>
        <v/>
      </c>
    </row>
    <row r="1292" customFormat="false" ht="15" hidden="false" customHeight="false" outlineLevel="0" collapsed="false">
      <c r="B1292" s="7" t="str">
        <f aca="false">IF(A1292="","",IFERROR(MATCH(A1292,Lists!$A$2:$A$37,0),""))</f>
        <v/>
      </c>
    </row>
    <row r="1293" customFormat="false" ht="15" hidden="false" customHeight="false" outlineLevel="0" collapsed="false">
      <c r="B1293" s="7" t="str">
        <f aca="false">IF(A1293="","",IFERROR(MATCH(A1293,Lists!$A$2:$A$37,0),""))</f>
        <v/>
      </c>
    </row>
    <row r="1294" customFormat="false" ht="15" hidden="false" customHeight="false" outlineLevel="0" collapsed="false">
      <c r="B1294" s="7" t="str">
        <f aca="false">IF(A1294="","",IFERROR(MATCH(A1294,Lists!$A$2:$A$37,0),""))</f>
        <v/>
      </c>
    </row>
    <row r="1295" customFormat="false" ht="15" hidden="false" customHeight="false" outlineLevel="0" collapsed="false">
      <c r="B1295" s="7" t="str">
        <f aca="false">IF(A1295="","",IFERROR(MATCH(A1295,Lists!$A$2:$A$37,0),""))</f>
        <v/>
      </c>
    </row>
    <row r="1296" customFormat="false" ht="15" hidden="false" customHeight="false" outlineLevel="0" collapsed="false">
      <c r="B1296" s="7" t="str">
        <f aca="false">IF(A1296="","",IFERROR(MATCH(A1296,Lists!$A$2:$A$37,0),""))</f>
        <v/>
      </c>
    </row>
    <row r="1297" customFormat="false" ht="15" hidden="false" customHeight="false" outlineLevel="0" collapsed="false">
      <c r="B1297" s="7" t="str">
        <f aca="false">IF(A1297="","",IFERROR(MATCH(A1297,Lists!$A$2:$A$37,0),""))</f>
        <v/>
      </c>
    </row>
    <row r="1298" customFormat="false" ht="15" hidden="false" customHeight="false" outlineLevel="0" collapsed="false">
      <c r="B1298" s="7" t="str">
        <f aca="false">IF(A1298="","",IFERROR(MATCH(A1298,Lists!$A$2:$A$37,0),""))</f>
        <v/>
      </c>
    </row>
    <row r="1299" customFormat="false" ht="15" hidden="false" customHeight="false" outlineLevel="0" collapsed="false">
      <c r="B1299" s="7" t="str">
        <f aca="false">IF(A1299="","",IFERROR(MATCH(A1299,Lists!$A$2:$A$37,0),""))</f>
        <v/>
      </c>
    </row>
    <row r="1300" customFormat="false" ht="15" hidden="false" customHeight="false" outlineLevel="0" collapsed="false">
      <c r="B1300" s="7" t="str">
        <f aca="false">IF(A1300="","",IFERROR(MATCH(A1300,Lists!$A$2:$A$37,0),""))</f>
        <v/>
      </c>
    </row>
    <row r="1301" customFormat="false" ht="15" hidden="false" customHeight="false" outlineLevel="0" collapsed="false">
      <c r="B1301" s="7" t="str">
        <f aca="false">IF(A1301="","",IFERROR(MATCH(A1301,Lists!$A$2:$A$37,0),""))</f>
        <v/>
      </c>
    </row>
    <row r="1302" customFormat="false" ht="15" hidden="false" customHeight="false" outlineLevel="0" collapsed="false">
      <c r="B1302" s="7" t="str">
        <f aca="false">IF(A1302="","",IFERROR(MATCH(A1302,Lists!$A$2:$A$37,0),""))</f>
        <v/>
      </c>
    </row>
    <row r="1303" customFormat="false" ht="15" hidden="false" customHeight="false" outlineLevel="0" collapsed="false">
      <c r="B1303" s="7" t="str">
        <f aca="false">IF(A1303="","",IFERROR(MATCH(A1303,Lists!$A$2:$A$37,0),""))</f>
        <v/>
      </c>
    </row>
    <row r="1304" customFormat="false" ht="15" hidden="false" customHeight="false" outlineLevel="0" collapsed="false">
      <c r="B1304" s="7" t="str">
        <f aca="false">IF(A1304="","",IFERROR(MATCH(A1304,Lists!$A$2:$A$37,0),""))</f>
        <v/>
      </c>
    </row>
    <row r="1305" customFormat="false" ht="15" hidden="false" customHeight="false" outlineLevel="0" collapsed="false">
      <c r="B1305" s="7" t="str">
        <f aca="false">IF(A1305="","",IFERROR(MATCH(A1305,Lists!$A$2:$A$37,0),""))</f>
        <v/>
      </c>
    </row>
    <row r="1306" customFormat="false" ht="15" hidden="false" customHeight="false" outlineLevel="0" collapsed="false">
      <c r="B1306" s="7" t="str">
        <f aca="false">IF(A1306="","",IFERROR(MATCH(A1306,Lists!$A$2:$A$37,0),""))</f>
        <v/>
      </c>
    </row>
    <row r="1307" customFormat="false" ht="15" hidden="false" customHeight="false" outlineLevel="0" collapsed="false">
      <c r="B1307" s="7" t="str">
        <f aca="false">IF(A1307="","",IFERROR(MATCH(A1307,Lists!$A$2:$A$37,0),""))</f>
        <v/>
      </c>
    </row>
    <row r="1308" customFormat="false" ht="15" hidden="false" customHeight="false" outlineLevel="0" collapsed="false">
      <c r="B1308" s="7" t="str">
        <f aca="false">IF(A1308="","",IFERROR(MATCH(A1308,Lists!$A$2:$A$37,0),""))</f>
        <v/>
      </c>
    </row>
    <row r="1309" customFormat="false" ht="15" hidden="false" customHeight="false" outlineLevel="0" collapsed="false">
      <c r="B1309" s="7" t="str">
        <f aca="false">IF(A1309="","",IFERROR(MATCH(A1309,Lists!$A$2:$A$37,0),""))</f>
        <v/>
      </c>
    </row>
    <row r="1310" customFormat="false" ht="15" hidden="false" customHeight="false" outlineLevel="0" collapsed="false">
      <c r="B1310" s="7" t="str">
        <f aca="false">IF(A1310="","",IFERROR(MATCH(A1310,Lists!$A$2:$A$37,0),""))</f>
        <v/>
      </c>
    </row>
    <row r="1311" customFormat="false" ht="15" hidden="false" customHeight="false" outlineLevel="0" collapsed="false">
      <c r="B1311" s="7" t="str">
        <f aca="false">IF(A1311="","",IFERROR(MATCH(A1311,Lists!$A$2:$A$37,0),""))</f>
        <v/>
      </c>
    </row>
    <row r="1312" customFormat="false" ht="15" hidden="false" customHeight="false" outlineLevel="0" collapsed="false">
      <c r="B1312" s="7" t="str">
        <f aca="false">IF(A1312="","",IFERROR(MATCH(A1312,Lists!$A$2:$A$37,0),""))</f>
        <v/>
      </c>
    </row>
    <row r="1313" customFormat="false" ht="15" hidden="false" customHeight="false" outlineLevel="0" collapsed="false">
      <c r="B1313" s="7" t="str">
        <f aca="false">IF(A1313="","",IFERROR(MATCH(A1313,Lists!$A$2:$A$37,0),""))</f>
        <v/>
      </c>
    </row>
    <row r="1314" customFormat="false" ht="15" hidden="false" customHeight="false" outlineLevel="0" collapsed="false">
      <c r="B1314" s="7" t="str">
        <f aca="false">IF(A1314="","",IFERROR(MATCH(A1314,Lists!$A$2:$A$37,0),""))</f>
        <v/>
      </c>
    </row>
    <row r="1315" customFormat="false" ht="15" hidden="false" customHeight="false" outlineLevel="0" collapsed="false">
      <c r="B1315" s="7" t="str">
        <f aca="false">IF(A1315="","",IFERROR(MATCH(A1315,Lists!$A$2:$A$37,0),""))</f>
        <v/>
      </c>
    </row>
    <row r="1316" customFormat="false" ht="15" hidden="false" customHeight="false" outlineLevel="0" collapsed="false">
      <c r="B1316" s="7" t="str">
        <f aca="false">IF(A1316="","",IFERROR(MATCH(A1316,Lists!$A$2:$A$37,0),""))</f>
        <v/>
      </c>
    </row>
    <row r="1317" customFormat="false" ht="15" hidden="false" customHeight="false" outlineLevel="0" collapsed="false">
      <c r="B1317" s="7" t="str">
        <f aca="false">IF(A1317="","",IFERROR(MATCH(A1317,Lists!$A$2:$A$37,0),""))</f>
        <v/>
      </c>
    </row>
    <row r="1318" customFormat="false" ht="15" hidden="false" customHeight="false" outlineLevel="0" collapsed="false">
      <c r="B1318" s="7" t="str">
        <f aca="false">IF(A1318="","",IFERROR(MATCH(A1318,Lists!$A$2:$A$37,0),""))</f>
        <v/>
      </c>
    </row>
    <row r="1319" customFormat="false" ht="15" hidden="false" customHeight="false" outlineLevel="0" collapsed="false">
      <c r="B1319" s="7" t="str">
        <f aca="false">IF(A1319="","",IFERROR(MATCH(A1319,Lists!$A$2:$A$37,0),""))</f>
        <v/>
      </c>
    </row>
    <row r="1320" customFormat="false" ht="15" hidden="false" customHeight="false" outlineLevel="0" collapsed="false">
      <c r="B1320" s="7" t="str">
        <f aca="false">IF(A1320="","",IFERROR(MATCH(A1320,Lists!$A$2:$A$37,0),""))</f>
        <v/>
      </c>
    </row>
    <row r="1321" customFormat="false" ht="15" hidden="false" customHeight="false" outlineLevel="0" collapsed="false">
      <c r="B1321" s="7" t="str">
        <f aca="false">IF(A1321="","",IFERROR(MATCH(A1321,Lists!$A$2:$A$37,0),""))</f>
        <v/>
      </c>
    </row>
    <row r="1322" customFormat="false" ht="15" hidden="false" customHeight="false" outlineLevel="0" collapsed="false">
      <c r="B1322" s="7" t="str">
        <f aca="false">IF(A1322="","",IFERROR(MATCH(A1322,Lists!$A$2:$A$37,0),""))</f>
        <v/>
      </c>
    </row>
    <row r="1323" customFormat="false" ht="15" hidden="false" customHeight="false" outlineLevel="0" collapsed="false">
      <c r="B1323" s="7" t="str">
        <f aca="false">IF(A1323="","",IFERROR(MATCH(A1323,Lists!$A$2:$A$37,0),""))</f>
        <v/>
      </c>
    </row>
    <row r="1324" customFormat="false" ht="15" hidden="false" customHeight="false" outlineLevel="0" collapsed="false">
      <c r="B1324" s="7" t="str">
        <f aca="false">IF(A1324="","",IFERROR(MATCH(A1324,Lists!$A$2:$A$37,0),""))</f>
        <v/>
      </c>
    </row>
    <row r="1325" customFormat="false" ht="15" hidden="false" customHeight="false" outlineLevel="0" collapsed="false">
      <c r="B1325" s="7" t="str">
        <f aca="false">IF(A1325="","",IFERROR(MATCH(A1325,Lists!$A$2:$A$37,0),""))</f>
        <v/>
      </c>
    </row>
    <row r="1326" customFormat="false" ht="15" hidden="false" customHeight="false" outlineLevel="0" collapsed="false">
      <c r="B1326" s="7" t="str">
        <f aca="false">IF(A1326="","",IFERROR(MATCH(A1326,Lists!$A$2:$A$37,0),""))</f>
        <v/>
      </c>
    </row>
    <row r="1327" customFormat="false" ht="15" hidden="false" customHeight="false" outlineLevel="0" collapsed="false">
      <c r="B1327" s="7" t="str">
        <f aca="false">IF(A1327="","",IFERROR(MATCH(A1327,Lists!$A$2:$A$37,0),""))</f>
        <v/>
      </c>
    </row>
    <row r="1328" customFormat="false" ht="15" hidden="false" customHeight="false" outlineLevel="0" collapsed="false">
      <c r="B1328" s="7" t="str">
        <f aca="false">IF(A1328="","",IFERROR(MATCH(A1328,Lists!$A$2:$A$37,0),""))</f>
        <v/>
      </c>
    </row>
    <row r="1329" customFormat="false" ht="15" hidden="false" customHeight="false" outlineLevel="0" collapsed="false">
      <c r="B1329" s="7" t="str">
        <f aca="false">IF(A1329="","",IFERROR(MATCH(A1329,Lists!$A$2:$A$37,0),""))</f>
        <v/>
      </c>
    </row>
    <row r="1330" customFormat="false" ht="15" hidden="false" customHeight="false" outlineLevel="0" collapsed="false">
      <c r="B1330" s="7" t="str">
        <f aca="false">IF(A1330="","",IFERROR(MATCH(A1330,Lists!$A$2:$A$37,0),""))</f>
        <v/>
      </c>
    </row>
    <row r="1331" customFormat="false" ht="15" hidden="false" customHeight="false" outlineLevel="0" collapsed="false">
      <c r="B1331" s="7" t="str">
        <f aca="false">IF(A1331="","",IFERROR(MATCH(A1331,Lists!$A$2:$A$37,0),""))</f>
        <v/>
      </c>
    </row>
    <row r="1332" customFormat="false" ht="15" hidden="false" customHeight="false" outlineLevel="0" collapsed="false">
      <c r="B1332" s="7" t="str">
        <f aca="false">IF(A1332="","",IFERROR(MATCH(A1332,Lists!$A$2:$A$37,0),""))</f>
        <v/>
      </c>
    </row>
    <row r="1333" customFormat="false" ht="15" hidden="false" customHeight="false" outlineLevel="0" collapsed="false">
      <c r="B1333" s="7" t="str">
        <f aca="false">IF(A1333="","",IFERROR(MATCH(A1333,Lists!$A$2:$A$37,0),""))</f>
        <v/>
      </c>
    </row>
    <row r="1334" customFormat="false" ht="15" hidden="false" customHeight="false" outlineLevel="0" collapsed="false">
      <c r="B1334" s="7" t="str">
        <f aca="false">IF(A1334="","",IFERROR(MATCH(A1334,Lists!$A$2:$A$37,0),""))</f>
        <v/>
      </c>
    </row>
    <row r="1335" customFormat="false" ht="15" hidden="false" customHeight="false" outlineLevel="0" collapsed="false">
      <c r="B1335" s="7" t="str">
        <f aca="false">IF(A1335="","",IFERROR(MATCH(A1335,Lists!$A$2:$A$37,0),""))</f>
        <v/>
      </c>
    </row>
    <row r="1336" customFormat="false" ht="15" hidden="false" customHeight="false" outlineLevel="0" collapsed="false">
      <c r="B1336" s="7" t="str">
        <f aca="false">IF(A1336="","",IFERROR(MATCH(A1336,Lists!$A$2:$A$37,0),""))</f>
        <v/>
      </c>
    </row>
    <row r="1337" customFormat="false" ht="15" hidden="false" customHeight="false" outlineLevel="0" collapsed="false">
      <c r="B1337" s="7" t="str">
        <f aca="false">IF(A1337="","",IFERROR(MATCH(A1337,Lists!$A$2:$A$37,0),""))</f>
        <v/>
      </c>
    </row>
    <row r="1338" customFormat="false" ht="15" hidden="false" customHeight="false" outlineLevel="0" collapsed="false">
      <c r="B1338" s="7" t="str">
        <f aca="false">IF(A1338="","",IFERROR(MATCH(A1338,Lists!$A$2:$A$37,0),""))</f>
        <v/>
      </c>
    </row>
    <row r="1339" customFormat="false" ht="15" hidden="false" customHeight="false" outlineLevel="0" collapsed="false">
      <c r="B1339" s="7" t="str">
        <f aca="false">IF(A1339="","",IFERROR(MATCH(A1339,Lists!$A$2:$A$37,0),""))</f>
        <v/>
      </c>
    </row>
    <row r="1340" customFormat="false" ht="15" hidden="false" customHeight="false" outlineLevel="0" collapsed="false">
      <c r="B1340" s="7" t="str">
        <f aca="false">IF(A1340="","",IFERROR(MATCH(A1340,Lists!$A$2:$A$37,0),""))</f>
        <v/>
      </c>
    </row>
    <row r="1341" customFormat="false" ht="15" hidden="false" customHeight="false" outlineLevel="0" collapsed="false">
      <c r="B1341" s="7" t="str">
        <f aca="false">IF(A1341="","",IFERROR(MATCH(A1341,Lists!$A$2:$A$37,0),""))</f>
        <v/>
      </c>
    </row>
    <row r="1342" customFormat="false" ht="15" hidden="false" customHeight="false" outlineLevel="0" collapsed="false">
      <c r="B1342" s="7" t="str">
        <f aca="false">IF(A1342="","",IFERROR(MATCH(A1342,Lists!$A$2:$A$37,0),""))</f>
        <v/>
      </c>
    </row>
    <row r="1343" customFormat="false" ht="15" hidden="false" customHeight="false" outlineLevel="0" collapsed="false">
      <c r="B1343" s="7" t="str">
        <f aca="false">IF(A1343="","",IFERROR(MATCH(A1343,Lists!$A$2:$A$37,0),""))</f>
        <v/>
      </c>
    </row>
    <row r="1344" customFormat="false" ht="15" hidden="false" customHeight="false" outlineLevel="0" collapsed="false">
      <c r="B1344" s="7" t="str">
        <f aca="false">IF(A1344="","",IFERROR(MATCH(A1344,Lists!$A$2:$A$37,0),""))</f>
        <v/>
      </c>
    </row>
    <row r="1345" customFormat="false" ht="15" hidden="false" customHeight="false" outlineLevel="0" collapsed="false">
      <c r="B1345" s="7" t="str">
        <f aca="false">IF(A1345="","",IFERROR(MATCH(A1345,Lists!$A$2:$A$37,0),""))</f>
        <v/>
      </c>
    </row>
    <row r="1346" customFormat="false" ht="15" hidden="false" customHeight="false" outlineLevel="0" collapsed="false">
      <c r="B1346" s="7" t="str">
        <f aca="false">IF(A1346="","",IFERROR(MATCH(A1346,Lists!$A$2:$A$37,0),""))</f>
        <v/>
      </c>
    </row>
    <row r="1347" customFormat="false" ht="15" hidden="false" customHeight="false" outlineLevel="0" collapsed="false">
      <c r="B1347" s="7" t="str">
        <f aca="false">IF(A1347="","",IFERROR(MATCH(A1347,Lists!$A$2:$A$37,0),""))</f>
        <v/>
      </c>
    </row>
    <row r="1348" customFormat="false" ht="15" hidden="false" customHeight="false" outlineLevel="0" collapsed="false">
      <c r="B1348" s="7" t="str">
        <f aca="false">IF(A1348="","",IFERROR(MATCH(A1348,Lists!$A$2:$A$37,0),""))</f>
        <v/>
      </c>
    </row>
    <row r="1349" customFormat="false" ht="15" hidden="false" customHeight="false" outlineLevel="0" collapsed="false">
      <c r="B1349" s="7" t="str">
        <f aca="false">IF(A1349="","",IFERROR(MATCH(A1349,Lists!$A$2:$A$37,0),""))</f>
        <v/>
      </c>
    </row>
    <row r="1350" customFormat="false" ht="15" hidden="false" customHeight="false" outlineLevel="0" collapsed="false">
      <c r="B1350" s="7" t="str">
        <f aca="false">IF(A1350="","",IFERROR(MATCH(A1350,Lists!$A$2:$A$37,0),""))</f>
        <v/>
      </c>
    </row>
    <row r="1351" customFormat="false" ht="15" hidden="false" customHeight="false" outlineLevel="0" collapsed="false">
      <c r="B1351" s="7" t="str">
        <f aca="false">IF(A1351="","",IFERROR(MATCH(A1351,Lists!$A$2:$A$37,0),""))</f>
        <v/>
      </c>
    </row>
    <row r="1352" customFormat="false" ht="15" hidden="false" customHeight="false" outlineLevel="0" collapsed="false">
      <c r="B1352" s="7" t="str">
        <f aca="false">IF(A1352="","",IFERROR(MATCH(A1352,Lists!$A$2:$A$37,0),""))</f>
        <v/>
      </c>
    </row>
    <row r="1353" customFormat="false" ht="15" hidden="false" customHeight="false" outlineLevel="0" collapsed="false">
      <c r="B1353" s="7" t="str">
        <f aca="false">IF(A1353="","",IFERROR(MATCH(A1353,Lists!$A$2:$A$37,0),""))</f>
        <v/>
      </c>
    </row>
    <row r="1354" customFormat="false" ht="15" hidden="false" customHeight="false" outlineLevel="0" collapsed="false">
      <c r="B1354" s="7" t="str">
        <f aca="false">IF(A1354="","",IFERROR(MATCH(A1354,Lists!$A$2:$A$37,0),""))</f>
        <v/>
      </c>
    </row>
    <row r="1355" customFormat="false" ht="15" hidden="false" customHeight="false" outlineLevel="0" collapsed="false">
      <c r="B1355" s="7" t="str">
        <f aca="false">IF(A1355="","",IFERROR(MATCH(A1355,Lists!$A$2:$A$37,0),""))</f>
        <v/>
      </c>
    </row>
    <row r="1356" customFormat="false" ht="15" hidden="false" customHeight="false" outlineLevel="0" collapsed="false">
      <c r="B1356" s="7" t="str">
        <f aca="false">IF(A1356="","",IFERROR(MATCH(A1356,Lists!$A$2:$A$37,0),""))</f>
        <v/>
      </c>
    </row>
    <row r="1357" customFormat="false" ht="15" hidden="false" customHeight="false" outlineLevel="0" collapsed="false">
      <c r="B1357" s="7" t="str">
        <f aca="false">IF(A1357="","",IFERROR(MATCH(A1357,Lists!$A$2:$A$37,0),""))</f>
        <v/>
      </c>
    </row>
    <row r="1358" customFormat="false" ht="15" hidden="false" customHeight="false" outlineLevel="0" collapsed="false">
      <c r="B1358" s="7" t="str">
        <f aca="false">IF(A1358="","",IFERROR(MATCH(A1358,Lists!$A$2:$A$37,0),""))</f>
        <v/>
      </c>
    </row>
    <row r="1359" customFormat="false" ht="15" hidden="false" customHeight="false" outlineLevel="0" collapsed="false">
      <c r="B1359" s="7" t="str">
        <f aca="false">IF(A1359="","",IFERROR(MATCH(A1359,Lists!$A$2:$A$37,0),""))</f>
        <v/>
      </c>
    </row>
    <row r="1360" customFormat="false" ht="15" hidden="false" customHeight="false" outlineLevel="0" collapsed="false">
      <c r="B1360" s="7" t="str">
        <f aca="false">IF(A1360="","",IFERROR(MATCH(A1360,Lists!$A$2:$A$37,0),""))</f>
        <v/>
      </c>
    </row>
    <row r="1361" customFormat="false" ht="15" hidden="false" customHeight="false" outlineLevel="0" collapsed="false">
      <c r="B1361" s="7" t="str">
        <f aca="false">IF(A1361="","",IFERROR(MATCH(A1361,Lists!$A$2:$A$37,0),""))</f>
        <v/>
      </c>
    </row>
    <row r="1362" customFormat="false" ht="15" hidden="false" customHeight="false" outlineLevel="0" collapsed="false">
      <c r="B1362" s="7" t="str">
        <f aca="false">IF(A1362="","",IFERROR(MATCH(A1362,Lists!$A$2:$A$37,0),""))</f>
        <v/>
      </c>
    </row>
    <row r="1363" customFormat="false" ht="15" hidden="false" customHeight="false" outlineLevel="0" collapsed="false">
      <c r="B1363" s="7" t="str">
        <f aca="false">IF(A1363="","",IFERROR(MATCH(A1363,Lists!$A$2:$A$37,0),""))</f>
        <v/>
      </c>
    </row>
    <row r="1364" customFormat="false" ht="15" hidden="false" customHeight="false" outlineLevel="0" collapsed="false">
      <c r="B1364" s="7" t="str">
        <f aca="false">IF(A1364="","",IFERROR(MATCH(A1364,Lists!$A$2:$A$37,0),""))</f>
        <v/>
      </c>
    </row>
    <row r="1365" customFormat="false" ht="15" hidden="false" customHeight="false" outlineLevel="0" collapsed="false">
      <c r="B1365" s="7" t="str">
        <f aca="false">IF(A1365="","",IFERROR(MATCH(A1365,Lists!$A$2:$A$37,0),""))</f>
        <v/>
      </c>
    </row>
    <row r="1366" customFormat="false" ht="15" hidden="false" customHeight="false" outlineLevel="0" collapsed="false">
      <c r="B1366" s="7" t="str">
        <f aca="false">IF(A1366="","",IFERROR(MATCH(A1366,Lists!$A$2:$A$37,0),""))</f>
        <v/>
      </c>
    </row>
    <row r="1367" customFormat="false" ht="15" hidden="false" customHeight="false" outlineLevel="0" collapsed="false">
      <c r="B1367" s="7" t="str">
        <f aca="false">IF(A1367="","",IFERROR(MATCH(A1367,Lists!$A$2:$A$37,0),""))</f>
        <v/>
      </c>
    </row>
    <row r="1368" customFormat="false" ht="15" hidden="false" customHeight="false" outlineLevel="0" collapsed="false">
      <c r="B1368" s="7" t="str">
        <f aca="false">IF(A1368="","",IFERROR(MATCH(A1368,Lists!$A$2:$A$37,0),""))</f>
        <v/>
      </c>
    </row>
    <row r="1369" customFormat="false" ht="15" hidden="false" customHeight="false" outlineLevel="0" collapsed="false">
      <c r="B1369" s="7" t="str">
        <f aca="false">IF(A1369="","",IFERROR(MATCH(A1369,Lists!$A$2:$A$37,0),""))</f>
        <v/>
      </c>
    </row>
    <row r="1370" customFormat="false" ht="15" hidden="false" customHeight="false" outlineLevel="0" collapsed="false">
      <c r="B1370" s="7" t="str">
        <f aca="false">IF(A1370="","",IFERROR(MATCH(A1370,Lists!$A$2:$A$37,0),""))</f>
        <v/>
      </c>
    </row>
    <row r="1371" customFormat="false" ht="15" hidden="false" customHeight="false" outlineLevel="0" collapsed="false">
      <c r="B1371" s="7" t="str">
        <f aca="false">IF(A1371="","",IFERROR(MATCH(A1371,Lists!$A$2:$A$37,0),""))</f>
        <v/>
      </c>
    </row>
    <row r="1372" customFormat="false" ht="15" hidden="false" customHeight="false" outlineLevel="0" collapsed="false">
      <c r="B1372" s="7" t="str">
        <f aca="false">IF(A1372="","",IFERROR(MATCH(A1372,Lists!$A$2:$A$37,0),""))</f>
        <v/>
      </c>
    </row>
    <row r="1373" customFormat="false" ht="15" hidden="false" customHeight="false" outlineLevel="0" collapsed="false">
      <c r="B1373" s="7" t="str">
        <f aca="false">IF(A1373="","",IFERROR(MATCH(A1373,Lists!$A$2:$A$37,0),""))</f>
        <v/>
      </c>
    </row>
    <row r="1374" customFormat="false" ht="15" hidden="false" customHeight="false" outlineLevel="0" collapsed="false">
      <c r="B1374" s="7" t="str">
        <f aca="false">IF(A1374="","",IFERROR(MATCH(A1374,Lists!$A$2:$A$37,0),""))</f>
        <v/>
      </c>
    </row>
    <row r="1375" customFormat="false" ht="15" hidden="false" customHeight="false" outlineLevel="0" collapsed="false">
      <c r="B1375" s="7" t="str">
        <f aca="false">IF(A1375="","",IFERROR(MATCH(A1375,Lists!$A$2:$A$37,0),""))</f>
        <v/>
      </c>
    </row>
    <row r="1376" customFormat="false" ht="15" hidden="false" customHeight="false" outlineLevel="0" collapsed="false">
      <c r="B1376" s="7" t="str">
        <f aca="false">IF(A1376="","",IFERROR(MATCH(A1376,Lists!$A$2:$A$37,0),""))</f>
        <v/>
      </c>
    </row>
    <row r="1377" customFormat="false" ht="15" hidden="false" customHeight="false" outlineLevel="0" collapsed="false">
      <c r="B1377" s="7" t="str">
        <f aca="false">IF(A1377="","",IFERROR(MATCH(A1377,Lists!$A$2:$A$37,0),""))</f>
        <v/>
      </c>
    </row>
    <row r="1378" customFormat="false" ht="15" hidden="false" customHeight="false" outlineLevel="0" collapsed="false">
      <c r="B1378" s="7" t="str">
        <f aca="false">IF(A1378="","",IFERROR(MATCH(A1378,Lists!$A$2:$A$37,0),""))</f>
        <v/>
      </c>
    </row>
    <row r="1379" customFormat="false" ht="15" hidden="false" customHeight="false" outlineLevel="0" collapsed="false">
      <c r="B1379" s="7" t="str">
        <f aca="false">IF(A1379="","",IFERROR(MATCH(A1379,Lists!$A$2:$A$37,0),""))</f>
        <v/>
      </c>
    </row>
    <row r="1380" customFormat="false" ht="15" hidden="false" customHeight="false" outlineLevel="0" collapsed="false">
      <c r="B1380" s="7" t="str">
        <f aca="false">IF(A1380="","",IFERROR(MATCH(A1380,Lists!$A$2:$A$37,0),""))</f>
        <v/>
      </c>
    </row>
    <row r="1381" customFormat="false" ht="15" hidden="false" customHeight="false" outlineLevel="0" collapsed="false">
      <c r="B1381" s="7" t="str">
        <f aca="false">IF(A1381="","",IFERROR(MATCH(A1381,Lists!$A$2:$A$37,0),""))</f>
        <v/>
      </c>
    </row>
    <row r="1382" customFormat="false" ht="15" hidden="false" customHeight="false" outlineLevel="0" collapsed="false">
      <c r="B1382" s="7" t="str">
        <f aca="false">IF(A1382="","",IFERROR(MATCH(A1382,Lists!$A$2:$A$37,0),""))</f>
        <v/>
      </c>
    </row>
    <row r="1383" customFormat="false" ht="15" hidden="false" customHeight="false" outlineLevel="0" collapsed="false">
      <c r="B1383" s="7" t="str">
        <f aca="false">IF(A1383="","",IFERROR(MATCH(A1383,Lists!$A$2:$A$37,0),""))</f>
        <v/>
      </c>
    </row>
    <row r="1384" customFormat="false" ht="15" hidden="false" customHeight="false" outlineLevel="0" collapsed="false">
      <c r="B1384" s="7" t="str">
        <f aca="false">IF(A1384="","",IFERROR(MATCH(A1384,Lists!$A$2:$A$37,0),""))</f>
        <v/>
      </c>
    </row>
    <row r="1385" customFormat="false" ht="15" hidden="false" customHeight="false" outlineLevel="0" collapsed="false">
      <c r="B1385" s="7" t="str">
        <f aca="false">IF(A1385="","",IFERROR(MATCH(A1385,Lists!$A$2:$A$37,0),""))</f>
        <v/>
      </c>
    </row>
    <row r="1386" customFormat="false" ht="15" hidden="false" customHeight="false" outlineLevel="0" collapsed="false">
      <c r="B1386" s="7" t="str">
        <f aca="false">IF(A1386="","",IFERROR(MATCH(A1386,Lists!$A$2:$A$37,0),""))</f>
        <v/>
      </c>
    </row>
    <row r="1387" customFormat="false" ht="15" hidden="false" customHeight="false" outlineLevel="0" collapsed="false">
      <c r="B1387" s="7" t="str">
        <f aca="false">IF(A1387="","",IFERROR(MATCH(A1387,Lists!$A$2:$A$37,0),""))</f>
        <v/>
      </c>
    </row>
    <row r="1388" customFormat="false" ht="15" hidden="false" customHeight="false" outlineLevel="0" collapsed="false">
      <c r="B1388" s="7" t="str">
        <f aca="false">IF(A1388="","",IFERROR(MATCH(A1388,Lists!$A$2:$A$37,0),""))</f>
        <v/>
      </c>
    </row>
    <row r="1389" customFormat="false" ht="15" hidden="false" customHeight="false" outlineLevel="0" collapsed="false">
      <c r="B1389" s="7" t="str">
        <f aca="false">IF(A1389="","",IFERROR(MATCH(A1389,Lists!$A$2:$A$37,0),""))</f>
        <v/>
      </c>
    </row>
    <row r="1390" customFormat="false" ht="15" hidden="false" customHeight="false" outlineLevel="0" collapsed="false">
      <c r="B1390" s="7" t="str">
        <f aca="false">IF(A1390="","",IFERROR(MATCH(A1390,Lists!$A$2:$A$37,0),""))</f>
        <v/>
      </c>
    </row>
    <row r="1391" customFormat="false" ht="15" hidden="false" customHeight="false" outlineLevel="0" collapsed="false">
      <c r="B1391" s="7" t="str">
        <f aca="false">IF(A1391="","",IFERROR(MATCH(A1391,Lists!$A$2:$A$37,0),""))</f>
        <v/>
      </c>
    </row>
    <row r="1392" customFormat="false" ht="15" hidden="false" customHeight="false" outlineLevel="0" collapsed="false">
      <c r="B1392" s="7" t="str">
        <f aca="false">IF(A1392="","",IFERROR(MATCH(A1392,Lists!$A$2:$A$37,0),""))</f>
        <v/>
      </c>
    </row>
    <row r="1393" customFormat="false" ht="15" hidden="false" customHeight="false" outlineLevel="0" collapsed="false">
      <c r="B1393" s="7" t="str">
        <f aca="false">IF(A1393="","",IFERROR(MATCH(A1393,Lists!$A$2:$A$37,0),""))</f>
        <v/>
      </c>
    </row>
    <row r="1394" customFormat="false" ht="15" hidden="false" customHeight="false" outlineLevel="0" collapsed="false">
      <c r="B1394" s="7" t="str">
        <f aca="false">IF(A1394="","",IFERROR(MATCH(A1394,Lists!$A$2:$A$37,0),""))</f>
        <v/>
      </c>
    </row>
    <row r="1395" customFormat="false" ht="15" hidden="false" customHeight="false" outlineLevel="0" collapsed="false">
      <c r="B1395" s="7" t="str">
        <f aca="false">IF(A1395="","",IFERROR(MATCH(A1395,Lists!$A$2:$A$37,0),""))</f>
        <v/>
      </c>
    </row>
    <row r="1396" customFormat="false" ht="15" hidden="false" customHeight="false" outlineLevel="0" collapsed="false">
      <c r="B1396" s="7" t="str">
        <f aca="false">IF(A1396="","",IFERROR(MATCH(A1396,Lists!$A$2:$A$37,0),""))</f>
        <v/>
      </c>
    </row>
    <row r="1397" customFormat="false" ht="15" hidden="false" customHeight="false" outlineLevel="0" collapsed="false">
      <c r="B1397" s="7" t="str">
        <f aca="false">IF(A1397="","",IFERROR(MATCH(A1397,Lists!$A$2:$A$37,0),""))</f>
        <v/>
      </c>
    </row>
    <row r="1398" customFormat="false" ht="15" hidden="false" customHeight="false" outlineLevel="0" collapsed="false">
      <c r="B1398" s="7" t="str">
        <f aca="false">IF(A1398="","",IFERROR(MATCH(A1398,Lists!$A$2:$A$37,0),""))</f>
        <v/>
      </c>
    </row>
    <row r="1399" customFormat="false" ht="15" hidden="false" customHeight="false" outlineLevel="0" collapsed="false">
      <c r="B1399" s="7" t="str">
        <f aca="false">IF(A1399="","",IFERROR(MATCH(A1399,Lists!$A$2:$A$37,0),""))</f>
        <v/>
      </c>
    </row>
    <row r="1400" customFormat="false" ht="15" hidden="false" customHeight="false" outlineLevel="0" collapsed="false">
      <c r="B1400" s="7" t="str">
        <f aca="false">IF(A1400="","",IFERROR(MATCH(A1400,Lists!$A$2:$A$37,0),""))</f>
        <v/>
      </c>
    </row>
    <row r="1401" customFormat="false" ht="15" hidden="false" customHeight="false" outlineLevel="0" collapsed="false">
      <c r="B1401" s="7" t="str">
        <f aca="false">IF(A1401="","",IFERROR(MATCH(A1401,Lists!$A$2:$A$37,0),""))</f>
        <v/>
      </c>
    </row>
    <row r="1402" customFormat="false" ht="15" hidden="false" customHeight="false" outlineLevel="0" collapsed="false">
      <c r="B1402" s="7" t="str">
        <f aca="false">IF(A1402="","",IFERROR(MATCH(A1402,Lists!$A$2:$A$37,0),""))</f>
        <v/>
      </c>
    </row>
    <row r="1403" customFormat="false" ht="15" hidden="false" customHeight="false" outlineLevel="0" collapsed="false">
      <c r="B1403" s="7" t="str">
        <f aca="false">IF(A1403="","",IFERROR(MATCH(A1403,Lists!$A$2:$A$37,0),""))</f>
        <v/>
      </c>
    </row>
    <row r="1404" customFormat="false" ht="15" hidden="false" customHeight="false" outlineLevel="0" collapsed="false">
      <c r="B1404" s="7" t="str">
        <f aca="false">IF(A1404="","",IFERROR(MATCH(A1404,Lists!$A$2:$A$37,0),""))</f>
        <v/>
      </c>
    </row>
    <row r="1405" customFormat="false" ht="15" hidden="false" customHeight="false" outlineLevel="0" collapsed="false">
      <c r="B1405" s="7" t="str">
        <f aca="false">IF(A1405="","",IFERROR(MATCH(A1405,Lists!$A$2:$A$37,0),""))</f>
        <v/>
      </c>
    </row>
    <row r="1406" customFormat="false" ht="15" hidden="false" customHeight="false" outlineLevel="0" collapsed="false">
      <c r="B1406" s="7" t="str">
        <f aca="false">IF(A1406="","",IFERROR(MATCH(A1406,Lists!$A$2:$A$37,0),""))</f>
        <v/>
      </c>
    </row>
    <row r="1407" customFormat="false" ht="15" hidden="false" customHeight="false" outlineLevel="0" collapsed="false">
      <c r="B1407" s="7" t="str">
        <f aca="false">IF(A1407="","",IFERROR(MATCH(A1407,Lists!$A$2:$A$37,0),""))</f>
        <v/>
      </c>
    </row>
    <row r="1408" customFormat="false" ht="15" hidden="false" customHeight="false" outlineLevel="0" collapsed="false">
      <c r="B1408" s="7" t="str">
        <f aca="false">IF(A1408="","",IFERROR(MATCH(A1408,Lists!$A$2:$A$37,0),""))</f>
        <v/>
      </c>
    </row>
    <row r="1409" customFormat="false" ht="15" hidden="false" customHeight="false" outlineLevel="0" collapsed="false">
      <c r="B1409" s="7" t="str">
        <f aca="false">IF(A1409="","",IFERROR(MATCH(A1409,Lists!$A$2:$A$37,0),""))</f>
        <v/>
      </c>
    </row>
    <row r="1410" customFormat="false" ht="15" hidden="false" customHeight="false" outlineLevel="0" collapsed="false">
      <c r="B1410" s="7" t="str">
        <f aca="false">IF(A1410="","",IFERROR(MATCH(A1410,Lists!$A$2:$A$37,0),""))</f>
        <v/>
      </c>
    </row>
    <row r="1411" customFormat="false" ht="15" hidden="false" customHeight="false" outlineLevel="0" collapsed="false">
      <c r="B1411" s="7" t="str">
        <f aca="false">IF(A1411="","",IFERROR(MATCH(A1411,Lists!$A$2:$A$37,0),""))</f>
        <v/>
      </c>
    </row>
    <row r="1412" customFormat="false" ht="15" hidden="false" customHeight="false" outlineLevel="0" collapsed="false">
      <c r="B1412" s="7" t="str">
        <f aca="false">IF(A1412="","",IFERROR(MATCH(A1412,Lists!$A$2:$A$37,0),""))</f>
        <v/>
      </c>
    </row>
    <row r="1413" customFormat="false" ht="15" hidden="false" customHeight="false" outlineLevel="0" collapsed="false">
      <c r="B1413" s="7" t="str">
        <f aca="false">IF(A1413="","",IFERROR(MATCH(A1413,Lists!$A$2:$A$37,0),""))</f>
        <v/>
      </c>
    </row>
    <row r="1414" customFormat="false" ht="15" hidden="false" customHeight="false" outlineLevel="0" collapsed="false">
      <c r="B1414" s="7" t="str">
        <f aca="false">IF(A1414="","",IFERROR(MATCH(A1414,Lists!$A$2:$A$37,0),""))</f>
        <v/>
      </c>
    </row>
    <row r="1415" customFormat="false" ht="15" hidden="false" customHeight="false" outlineLevel="0" collapsed="false">
      <c r="B1415" s="7" t="str">
        <f aca="false">IF(A1415="","",IFERROR(MATCH(A1415,Lists!$A$2:$A$37,0),""))</f>
        <v/>
      </c>
    </row>
    <row r="1416" customFormat="false" ht="15" hidden="false" customHeight="false" outlineLevel="0" collapsed="false">
      <c r="B1416" s="7" t="str">
        <f aca="false">IF(A1416="","",IFERROR(MATCH(A1416,Lists!$A$2:$A$37,0),""))</f>
        <v/>
      </c>
    </row>
    <row r="1417" customFormat="false" ht="15" hidden="false" customHeight="false" outlineLevel="0" collapsed="false">
      <c r="B1417" s="7" t="str">
        <f aca="false">IF(A1417="","",IFERROR(MATCH(A1417,Lists!$A$2:$A$37,0),""))</f>
        <v/>
      </c>
    </row>
    <row r="1418" customFormat="false" ht="15" hidden="false" customHeight="false" outlineLevel="0" collapsed="false">
      <c r="B1418" s="7" t="str">
        <f aca="false">IF(A1418="","",IFERROR(MATCH(A1418,Lists!$A$2:$A$37,0),""))</f>
        <v/>
      </c>
    </row>
    <row r="1419" customFormat="false" ht="15" hidden="false" customHeight="false" outlineLevel="0" collapsed="false">
      <c r="B1419" s="7" t="str">
        <f aca="false">IF(A1419="","",IFERROR(MATCH(A1419,Lists!$A$2:$A$37,0),""))</f>
        <v/>
      </c>
    </row>
    <row r="1420" customFormat="false" ht="15" hidden="false" customHeight="false" outlineLevel="0" collapsed="false">
      <c r="B1420" s="7" t="str">
        <f aca="false">IF(A1420="","",IFERROR(MATCH(A1420,Lists!$A$2:$A$37,0),""))</f>
        <v/>
      </c>
    </row>
    <row r="1421" customFormat="false" ht="15" hidden="false" customHeight="false" outlineLevel="0" collapsed="false">
      <c r="B1421" s="7" t="str">
        <f aca="false">IF(A1421="","",IFERROR(MATCH(A1421,Lists!$A$2:$A$37,0),""))</f>
        <v/>
      </c>
    </row>
    <row r="1422" customFormat="false" ht="15" hidden="false" customHeight="false" outlineLevel="0" collapsed="false">
      <c r="B1422" s="7" t="str">
        <f aca="false">IF(A1422="","",IFERROR(MATCH(A1422,Lists!$A$2:$A$37,0),""))</f>
        <v/>
      </c>
    </row>
    <row r="1423" customFormat="false" ht="15" hidden="false" customHeight="false" outlineLevel="0" collapsed="false">
      <c r="B1423" s="7" t="str">
        <f aca="false">IF(A1423="","",IFERROR(MATCH(A1423,Lists!$A$2:$A$37,0),""))</f>
        <v/>
      </c>
    </row>
    <row r="1424" customFormat="false" ht="15" hidden="false" customHeight="false" outlineLevel="0" collapsed="false">
      <c r="B1424" s="7" t="str">
        <f aca="false">IF(A1424="","",IFERROR(MATCH(A1424,Lists!$A$2:$A$37,0),""))</f>
        <v/>
      </c>
    </row>
    <row r="1425" customFormat="false" ht="15" hidden="false" customHeight="false" outlineLevel="0" collapsed="false">
      <c r="B1425" s="7" t="str">
        <f aca="false">IF(A1425="","",IFERROR(MATCH(A1425,Lists!$A$2:$A$37,0),""))</f>
        <v/>
      </c>
    </row>
    <row r="1426" customFormat="false" ht="15" hidden="false" customHeight="false" outlineLevel="0" collapsed="false">
      <c r="B1426" s="7" t="str">
        <f aca="false">IF(A1426="","",IFERROR(MATCH(A1426,Lists!$A$2:$A$37,0),""))</f>
        <v/>
      </c>
    </row>
    <row r="1427" customFormat="false" ht="15" hidden="false" customHeight="false" outlineLevel="0" collapsed="false">
      <c r="B1427" s="7" t="str">
        <f aca="false">IF(A1427="","",IFERROR(MATCH(A1427,Lists!$A$2:$A$37,0),""))</f>
        <v/>
      </c>
    </row>
    <row r="1428" customFormat="false" ht="15" hidden="false" customHeight="false" outlineLevel="0" collapsed="false">
      <c r="B1428" s="7" t="str">
        <f aca="false">IF(A1428="","",IFERROR(MATCH(A1428,Lists!$A$2:$A$37,0),""))</f>
        <v/>
      </c>
    </row>
    <row r="1429" customFormat="false" ht="15" hidden="false" customHeight="false" outlineLevel="0" collapsed="false">
      <c r="B1429" s="7" t="str">
        <f aca="false">IF(A1429="","",IFERROR(MATCH(A1429,Lists!$A$2:$A$37,0),""))</f>
        <v/>
      </c>
    </row>
    <row r="1430" customFormat="false" ht="15" hidden="false" customHeight="false" outlineLevel="0" collapsed="false">
      <c r="B1430" s="7" t="str">
        <f aca="false">IF(A1430="","",IFERROR(MATCH(A1430,Lists!$A$2:$A$37,0),""))</f>
        <v/>
      </c>
    </row>
    <row r="1431" customFormat="false" ht="15" hidden="false" customHeight="false" outlineLevel="0" collapsed="false">
      <c r="B1431" s="7" t="str">
        <f aca="false">IF(A1431="","",IFERROR(MATCH(A1431,Lists!$A$2:$A$37,0),""))</f>
        <v/>
      </c>
    </row>
    <row r="1432" customFormat="false" ht="15" hidden="false" customHeight="false" outlineLevel="0" collapsed="false">
      <c r="B1432" s="7" t="str">
        <f aca="false">IF(A1432="","",IFERROR(MATCH(A1432,Lists!$A$2:$A$37,0),""))</f>
        <v/>
      </c>
    </row>
    <row r="1433" customFormat="false" ht="15" hidden="false" customHeight="false" outlineLevel="0" collapsed="false">
      <c r="B1433" s="7" t="str">
        <f aca="false">IF(A1433="","",IFERROR(MATCH(A1433,Lists!$A$2:$A$37,0),""))</f>
        <v/>
      </c>
    </row>
    <row r="1434" customFormat="false" ht="15" hidden="false" customHeight="false" outlineLevel="0" collapsed="false">
      <c r="B1434" s="7" t="str">
        <f aca="false">IF(A1434="","",IFERROR(MATCH(A1434,Lists!$A$2:$A$37,0),""))</f>
        <v/>
      </c>
    </row>
    <row r="1435" customFormat="false" ht="15" hidden="false" customHeight="false" outlineLevel="0" collapsed="false">
      <c r="B1435" s="7" t="str">
        <f aca="false">IF(A1435="","",IFERROR(MATCH(A1435,Lists!$A$2:$A$37,0),""))</f>
        <v/>
      </c>
    </row>
    <row r="1436" customFormat="false" ht="15" hidden="false" customHeight="false" outlineLevel="0" collapsed="false">
      <c r="B1436" s="7" t="str">
        <f aca="false">IF(A1436="","",IFERROR(MATCH(A1436,Lists!$A$2:$A$37,0),""))</f>
        <v/>
      </c>
    </row>
    <row r="1437" customFormat="false" ht="15" hidden="false" customHeight="false" outlineLevel="0" collapsed="false">
      <c r="B1437" s="7" t="str">
        <f aca="false">IF(A1437="","",IFERROR(MATCH(A1437,Lists!$A$2:$A$37,0),""))</f>
        <v/>
      </c>
    </row>
    <row r="1438" customFormat="false" ht="15" hidden="false" customHeight="false" outlineLevel="0" collapsed="false">
      <c r="B1438" s="7" t="str">
        <f aca="false">IF(A1438="","",IFERROR(MATCH(A1438,Lists!$A$2:$A$37,0),""))</f>
        <v/>
      </c>
    </row>
    <row r="1439" customFormat="false" ht="15" hidden="false" customHeight="false" outlineLevel="0" collapsed="false">
      <c r="B1439" s="7" t="str">
        <f aca="false">IF(A1439="","",IFERROR(MATCH(A1439,Lists!$A$2:$A$37,0),""))</f>
        <v/>
      </c>
    </row>
    <row r="1440" customFormat="false" ht="15" hidden="false" customHeight="false" outlineLevel="0" collapsed="false">
      <c r="B1440" s="7" t="str">
        <f aca="false">IF(A1440="","",IFERROR(MATCH(A1440,Lists!$A$2:$A$37,0),""))</f>
        <v/>
      </c>
    </row>
    <row r="1441" customFormat="false" ht="15" hidden="false" customHeight="false" outlineLevel="0" collapsed="false">
      <c r="B1441" s="7" t="str">
        <f aca="false">IF(A1441="","",IFERROR(MATCH(A1441,Lists!$A$2:$A$37,0),""))</f>
        <v/>
      </c>
    </row>
    <row r="1442" customFormat="false" ht="15" hidden="false" customHeight="false" outlineLevel="0" collapsed="false">
      <c r="B1442" s="7" t="str">
        <f aca="false">IF(A1442="","",IFERROR(MATCH(A1442,Lists!$A$2:$A$37,0),""))</f>
        <v/>
      </c>
    </row>
    <row r="1443" customFormat="false" ht="15" hidden="false" customHeight="false" outlineLevel="0" collapsed="false">
      <c r="B1443" s="7" t="str">
        <f aca="false">IF(A1443="","",IFERROR(MATCH(A1443,Lists!$A$2:$A$37,0),""))</f>
        <v/>
      </c>
    </row>
    <row r="1444" customFormat="false" ht="15" hidden="false" customHeight="false" outlineLevel="0" collapsed="false">
      <c r="B1444" s="7" t="str">
        <f aca="false">IF(A1444="","",IFERROR(MATCH(A1444,Lists!$A$2:$A$37,0),""))</f>
        <v/>
      </c>
    </row>
    <row r="1445" customFormat="false" ht="15" hidden="false" customHeight="false" outlineLevel="0" collapsed="false">
      <c r="B1445" s="7" t="str">
        <f aca="false">IF(A1445="","",IFERROR(MATCH(A1445,Lists!$A$2:$A$37,0),""))</f>
        <v/>
      </c>
    </row>
    <row r="1446" customFormat="false" ht="15" hidden="false" customHeight="false" outlineLevel="0" collapsed="false">
      <c r="B1446" s="7" t="str">
        <f aca="false">IF(A1446="","",IFERROR(MATCH(A1446,Lists!$A$2:$A$37,0),""))</f>
        <v/>
      </c>
    </row>
    <row r="1447" customFormat="false" ht="15" hidden="false" customHeight="false" outlineLevel="0" collapsed="false">
      <c r="B1447" s="7" t="str">
        <f aca="false">IF(A1447="","",IFERROR(MATCH(A1447,Lists!$A$2:$A$37,0),""))</f>
        <v/>
      </c>
    </row>
    <row r="1448" customFormat="false" ht="15" hidden="false" customHeight="false" outlineLevel="0" collapsed="false">
      <c r="B1448" s="7" t="str">
        <f aca="false">IF(A1448="","",IFERROR(MATCH(A1448,Lists!$A$2:$A$37,0),""))</f>
        <v/>
      </c>
    </row>
    <row r="1449" customFormat="false" ht="15" hidden="false" customHeight="false" outlineLevel="0" collapsed="false">
      <c r="B1449" s="7" t="str">
        <f aca="false">IF(A1449="","",IFERROR(MATCH(A1449,Lists!$A$2:$A$37,0),""))</f>
        <v/>
      </c>
    </row>
    <row r="1450" customFormat="false" ht="15" hidden="false" customHeight="false" outlineLevel="0" collapsed="false">
      <c r="B1450" s="7" t="str">
        <f aca="false">IF(A1450="","",IFERROR(MATCH(A1450,Lists!$A$2:$A$37,0),""))</f>
        <v/>
      </c>
    </row>
    <row r="1451" customFormat="false" ht="15" hidden="false" customHeight="false" outlineLevel="0" collapsed="false">
      <c r="B1451" s="7" t="str">
        <f aca="false">IF(A1451="","",IFERROR(MATCH(A1451,Lists!$A$2:$A$37,0),""))</f>
        <v/>
      </c>
    </row>
    <row r="1452" customFormat="false" ht="15" hidden="false" customHeight="false" outlineLevel="0" collapsed="false">
      <c r="B1452" s="7" t="str">
        <f aca="false">IF(A1452="","",IFERROR(MATCH(A1452,Lists!$A$2:$A$37,0),""))</f>
        <v/>
      </c>
    </row>
    <row r="1453" customFormat="false" ht="15" hidden="false" customHeight="false" outlineLevel="0" collapsed="false">
      <c r="B1453" s="7" t="str">
        <f aca="false">IF(A1453="","",IFERROR(MATCH(A1453,Lists!$A$2:$A$37,0),""))</f>
        <v/>
      </c>
    </row>
    <row r="1454" customFormat="false" ht="15" hidden="false" customHeight="false" outlineLevel="0" collapsed="false">
      <c r="B1454" s="7" t="str">
        <f aca="false">IF(A1454="","",IFERROR(MATCH(A1454,Lists!$A$2:$A$37,0),""))</f>
        <v/>
      </c>
    </row>
    <row r="1455" customFormat="false" ht="15" hidden="false" customHeight="false" outlineLevel="0" collapsed="false">
      <c r="B1455" s="7" t="str">
        <f aca="false">IF(A1455="","",IFERROR(MATCH(A1455,Lists!$A$2:$A$37,0),""))</f>
        <v/>
      </c>
    </row>
    <row r="1456" customFormat="false" ht="15" hidden="false" customHeight="false" outlineLevel="0" collapsed="false">
      <c r="B1456" s="7" t="str">
        <f aca="false">IF(A1456="","",IFERROR(MATCH(A1456,Lists!$A$2:$A$37,0),""))</f>
        <v/>
      </c>
    </row>
    <row r="1457" customFormat="false" ht="15" hidden="false" customHeight="false" outlineLevel="0" collapsed="false">
      <c r="B1457" s="7" t="str">
        <f aca="false">IF(A1457="","",IFERROR(MATCH(A1457,Lists!$A$2:$A$37,0),""))</f>
        <v/>
      </c>
    </row>
    <row r="1458" customFormat="false" ht="15" hidden="false" customHeight="false" outlineLevel="0" collapsed="false">
      <c r="B1458" s="7" t="str">
        <f aca="false">IF(A1458="","",IFERROR(MATCH(A1458,Lists!$A$2:$A$37,0),""))</f>
        <v/>
      </c>
    </row>
    <row r="1459" customFormat="false" ht="15" hidden="false" customHeight="false" outlineLevel="0" collapsed="false">
      <c r="B1459" s="7" t="str">
        <f aca="false">IF(A1459="","",IFERROR(MATCH(A1459,Lists!$A$2:$A$37,0),""))</f>
        <v/>
      </c>
    </row>
    <row r="1460" customFormat="false" ht="15" hidden="false" customHeight="false" outlineLevel="0" collapsed="false">
      <c r="B1460" s="7" t="str">
        <f aca="false">IF(A1460="","",IFERROR(MATCH(A1460,Lists!$A$2:$A$37,0),""))</f>
        <v/>
      </c>
    </row>
    <row r="1461" customFormat="false" ht="15" hidden="false" customHeight="false" outlineLevel="0" collapsed="false">
      <c r="B1461" s="7" t="str">
        <f aca="false">IF(A1461="","",IFERROR(MATCH(A1461,Lists!$A$2:$A$37,0),""))</f>
        <v/>
      </c>
    </row>
    <row r="1462" customFormat="false" ht="15" hidden="false" customHeight="false" outlineLevel="0" collapsed="false">
      <c r="B1462" s="7" t="str">
        <f aca="false">IF(A1462="","",IFERROR(MATCH(A1462,Lists!$A$2:$A$37,0),""))</f>
        <v/>
      </c>
    </row>
    <row r="1463" customFormat="false" ht="15" hidden="false" customHeight="false" outlineLevel="0" collapsed="false">
      <c r="B1463" s="7" t="str">
        <f aca="false">IF(A1463="","",IFERROR(MATCH(A1463,Lists!$A$2:$A$37,0),""))</f>
        <v/>
      </c>
    </row>
    <row r="1464" customFormat="false" ht="15" hidden="false" customHeight="false" outlineLevel="0" collapsed="false">
      <c r="B1464" s="7" t="str">
        <f aca="false">IF(A1464="","",IFERROR(MATCH(A1464,Lists!$A$2:$A$37,0),""))</f>
        <v/>
      </c>
    </row>
    <row r="1465" customFormat="false" ht="15" hidden="false" customHeight="false" outlineLevel="0" collapsed="false">
      <c r="B1465" s="7" t="str">
        <f aca="false">IF(A1465="","",IFERROR(MATCH(A1465,Lists!$A$2:$A$37,0),""))</f>
        <v/>
      </c>
    </row>
    <row r="1466" customFormat="false" ht="15" hidden="false" customHeight="false" outlineLevel="0" collapsed="false">
      <c r="B1466" s="7" t="str">
        <f aca="false">IF(A1466="","",IFERROR(MATCH(A1466,Lists!$A$2:$A$37,0),""))</f>
        <v/>
      </c>
    </row>
    <row r="1467" customFormat="false" ht="15" hidden="false" customHeight="false" outlineLevel="0" collapsed="false">
      <c r="B1467" s="7" t="str">
        <f aca="false">IF(A1467="","",IFERROR(MATCH(A1467,Lists!$A$2:$A$37,0),""))</f>
        <v/>
      </c>
    </row>
    <row r="1468" customFormat="false" ht="15" hidden="false" customHeight="false" outlineLevel="0" collapsed="false">
      <c r="B1468" s="7" t="str">
        <f aca="false">IF(A1468="","",IFERROR(MATCH(A1468,Lists!$A$2:$A$37,0),""))</f>
        <v/>
      </c>
    </row>
    <row r="1469" customFormat="false" ht="15" hidden="false" customHeight="false" outlineLevel="0" collapsed="false">
      <c r="B1469" s="7" t="str">
        <f aca="false">IF(A1469="","",IFERROR(MATCH(A1469,Lists!$A$2:$A$37,0),""))</f>
        <v/>
      </c>
    </row>
    <row r="1470" customFormat="false" ht="15" hidden="false" customHeight="false" outlineLevel="0" collapsed="false">
      <c r="B1470" s="7" t="str">
        <f aca="false">IF(A1470="","",IFERROR(MATCH(A1470,Lists!$A$2:$A$37,0),""))</f>
        <v/>
      </c>
    </row>
    <row r="1471" customFormat="false" ht="15" hidden="false" customHeight="false" outlineLevel="0" collapsed="false">
      <c r="B1471" s="7" t="str">
        <f aca="false">IF(A1471="","",IFERROR(MATCH(A1471,Lists!$A$2:$A$37,0),""))</f>
        <v/>
      </c>
    </row>
    <row r="1472" customFormat="false" ht="15" hidden="false" customHeight="false" outlineLevel="0" collapsed="false">
      <c r="B1472" s="7" t="str">
        <f aca="false">IF(A1472="","",IFERROR(MATCH(A1472,Lists!$A$2:$A$37,0),""))</f>
        <v/>
      </c>
    </row>
    <row r="1473" customFormat="false" ht="15" hidden="false" customHeight="false" outlineLevel="0" collapsed="false">
      <c r="B1473" s="7" t="str">
        <f aca="false">IF(A1473="","",IFERROR(MATCH(A1473,Lists!$A$2:$A$37,0),""))</f>
        <v/>
      </c>
    </row>
    <row r="1474" customFormat="false" ht="15" hidden="false" customHeight="false" outlineLevel="0" collapsed="false">
      <c r="B1474" s="7" t="str">
        <f aca="false">IF(A1474="","",IFERROR(MATCH(A1474,Lists!$A$2:$A$37,0),""))</f>
        <v/>
      </c>
    </row>
    <row r="1475" customFormat="false" ht="15" hidden="false" customHeight="false" outlineLevel="0" collapsed="false">
      <c r="B1475" s="7" t="str">
        <f aca="false">IF(A1475="","",IFERROR(MATCH(A1475,Lists!$A$2:$A$37,0),""))</f>
        <v/>
      </c>
    </row>
    <row r="1476" customFormat="false" ht="15" hidden="false" customHeight="false" outlineLevel="0" collapsed="false">
      <c r="B1476" s="7" t="str">
        <f aca="false">IF(A1476="","",IFERROR(MATCH(A1476,Lists!$A$2:$A$37,0),""))</f>
        <v/>
      </c>
    </row>
    <row r="1477" customFormat="false" ht="15" hidden="false" customHeight="false" outlineLevel="0" collapsed="false">
      <c r="B1477" s="7" t="str">
        <f aca="false">IF(A1477="","",IFERROR(MATCH(A1477,Lists!$A$2:$A$37,0),""))</f>
        <v/>
      </c>
    </row>
    <row r="1478" customFormat="false" ht="15" hidden="false" customHeight="false" outlineLevel="0" collapsed="false">
      <c r="B1478" s="7" t="str">
        <f aca="false">IF(A1478="","",IFERROR(MATCH(A1478,Lists!$A$2:$A$37,0),""))</f>
        <v/>
      </c>
    </row>
    <row r="1479" customFormat="false" ht="15" hidden="false" customHeight="false" outlineLevel="0" collapsed="false">
      <c r="B1479" s="7" t="str">
        <f aca="false">IF(A1479="","",IFERROR(MATCH(A1479,Lists!$A$2:$A$37,0),""))</f>
        <v/>
      </c>
    </row>
    <row r="1480" customFormat="false" ht="15" hidden="false" customHeight="false" outlineLevel="0" collapsed="false">
      <c r="B1480" s="7" t="str">
        <f aca="false">IF(A1480="","",IFERROR(MATCH(A1480,Lists!$A$2:$A$37,0),""))</f>
        <v/>
      </c>
    </row>
    <row r="1481" customFormat="false" ht="15" hidden="false" customHeight="false" outlineLevel="0" collapsed="false">
      <c r="B1481" s="7" t="str">
        <f aca="false">IF(A1481="","",IFERROR(MATCH(A1481,Lists!$A$2:$A$37,0),""))</f>
        <v/>
      </c>
    </row>
    <row r="1482" customFormat="false" ht="15" hidden="false" customHeight="false" outlineLevel="0" collapsed="false">
      <c r="B1482" s="7" t="str">
        <f aca="false">IF(A1482="","",IFERROR(MATCH(A1482,Lists!$A$2:$A$37,0),""))</f>
        <v/>
      </c>
    </row>
    <row r="1483" customFormat="false" ht="15" hidden="false" customHeight="false" outlineLevel="0" collapsed="false">
      <c r="B1483" s="7" t="str">
        <f aca="false">IF(A1483="","",IFERROR(MATCH(A1483,Lists!$A$2:$A$37,0),""))</f>
        <v/>
      </c>
    </row>
    <row r="1484" customFormat="false" ht="15" hidden="false" customHeight="false" outlineLevel="0" collapsed="false">
      <c r="B1484" s="7" t="str">
        <f aca="false">IF(A1484="","",IFERROR(MATCH(A1484,Lists!$A$2:$A$37,0),""))</f>
        <v/>
      </c>
    </row>
    <row r="1485" customFormat="false" ht="15" hidden="false" customHeight="false" outlineLevel="0" collapsed="false">
      <c r="B1485" s="7" t="str">
        <f aca="false">IF(A1485="","",IFERROR(MATCH(A1485,Lists!$A$2:$A$37,0),""))</f>
        <v/>
      </c>
    </row>
    <row r="1486" customFormat="false" ht="15" hidden="false" customHeight="false" outlineLevel="0" collapsed="false">
      <c r="B1486" s="7" t="str">
        <f aca="false">IF(A1486="","",IFERROR(MATCH(A1486,Lists!$A$2:$A$37,0),""))</f>
        <v/>
      </c>
    </row>
    <row r="1487" customFormat="false" ht="15" hidden="false" customHeight="false" outlineLevel="0" collapsed="false">
      <c r="B1487" s="7" t="str">
        <f aca="false">IF(A1487="","",IFERROR(MATCH(A1487,Lists!$A$2:$A$37,0),""))</f>
        <v/>
      </c>
    </row>
    <row r="1488" customFormat="false" ht="15" hidden="false" customHeight="false" outlineLevel="0" collapsed="false">
      <c r="B1488" s="7" t="str">
        <f aca="false">IF(A1488="","",IFERROR(MATCH(A1488,Lists!$A$2:$A$37,0),""))</f>
        <v/>
      </c>
    </row>
    <row r="1489" customFormat="false" ht="15" hidden="false" customHeight="false" outlineLevel="0" collapsed="false">
      <c r="B1489" s="7" t="str">
        <f aca="false">IF(A1489="","",IFERROR(MATCH(A1489,Lists!$A$2:$A$37,0),""))</f>
        <v/>
      </c>
    </row>
    <row r="1490" customFormat="false" ht="15" hidden="false" customHeight="false" outlineLevel="0" collapsed="false">
      <c r="B1490" s="7" t="str">
        <f aca="false">IF(A1490="","",IFERROR(MATCH(A1490,Lists!$A$2:$A$37,0),""))</f>
        <v/>
      </c>
    </row>
    <row r="1491" customFormat="false" ht="15" hidden="false" customHeight="false" outlineLevel="0" collapsed="false">
      <c r="B1491" s="7" t="str">
        <f aca="false">IF(A1491="","",IFERROR(MATCH(A1491,Lists!$A$2:$A$37,0),""))</f>
        <v/>
      </c>
    </row>
    <row r="1492" customFormat="false" ht="15" hidden="false" customHeight="false" outlineLevel="0" collapsed="false">
      <c r="B1492" s="7" t="str">
        <f aca="false">IF(A1492="","",IFERROR(MATCH(A1492,Lists!$A$2:$A$37,0),""))</f>
        <v/>
      </c>
    </row>
    <row r="1493" customFormat="false" ht="15" hidden="false" customHeight="false" outlineLevel="0" collapsed="false">
      <c r="B1493" s="7" t="str">
        <f aca="false">IF(A1493="","",IFERROR(MATCH(A1493,Lists!$A$2:$A$37,0),""))</f>
        <v/>
      </c>
    </row>
    <row r="1494" customFormat="false" ht="15" hidden="false" customHeight="false" outlineLevel="0" collapsed="false">
      <c r="B1494" s="7" t="str">
        <f aca="false">IF(A1494="","",IFERROR(MATCH(A1494,Lists!$A$2:$A$37,0),""))</f>
        <v/>
      </c>
    </row>
    <row r="1495" customFormat="false" ht="15" hidden="false" customHeight="false" outlineLevel="0" collapsed="false">
      <c r="B1495" s="7" t="str">
        <f aca="false">IF(A1495="","",IFERROR(MATCH(A1495,Lists!$A$2:$A$37,0),""))</f>
        <v/>
      </c>
    </row>
    <row r="1496" customFormat="false" ht="15" hidden="false" customHeight="false" outlineLevel="0" collapsed="false">
      <c r="B1496" s="7" t="str">
        <f aca="false">IF(A1496="","",IFERROR(MATCH(A1496,Lists!$A$2:$A$37,0),""))</f>
        <v/>
      </c>
    </row>
    <row r="1497" customFormat="false" ht="15" hidden="false" customHeight="false" outlineLevel="0" collapsed="false">
      <c r="B1497" s="7" t="str">
        <f aca="false">IF(A1497="","",IFERROR(MATCH(A1497,Lists!$A$2:$A$37,0),""))</f>
        <v/>
      </c>
    </row>
    <row r="1498" customFormat="false" ht="15" hidden="false" customHeight="false" outlineLevel="0" collapsed="false">
      <c r="B1498" s="7" t="str">
        <f aca="false">IF(A1498="","",IFERROR(MATCH(A1498,Lists!$A$2:$A$37,0),""))</f>
        <v/>
      </c>
    </row>
    <row r="1499" customFormat="false" ht="15" hidden="false" customHeight="false" outlineLevel="0" collapsed="false">
      <c r="B1499" s="7" t="str">
        <f aca="false">IF(A1499="","",IFERROR(MATCH(A1499,Lists!$A$2:$A$37,0),""))</f>
        <v/>
      </c>
    </row>
    <row r="1500" customFormat="false" ht="15" hidden="false" customHeight="false" outlineLevel="0" collapsed="false">
      <c r="B1500" s="7" t="str">
        <f aca="false">IF(A1500="","",IFERROR(MATCH(A1500,Lists!$A$2:$A$37,0),""))</f>
        <v/>
      </c>
    </row>
    <row r="1501" customFormat="false" ht="15" hidden="false" customHeight="false" outlineLevel="0" collapsed="false">
      <c r="B1501" s="7" t="str">
        <f aca="false">IF(A1501="","",IFERROR(MATCH(A1501,Lists!$A$2:$A$37,0),""))</f>
        <v/>
      </c>
    </row>
    <row r="1502" customFormat="false" ht="15" hidden="false" customHeight="false" outlineLevel="0" collapsed="false">
      <c r="B1502" s="7" t="str">
        <f aca="false">IF(A1502="","",IFERROR(MATCH(A1502,Lists!$A$2:$A$37,0),""))</f>
        <v/>
      </c>
    </row>
    <row r="1503" customFormat="false" ht="15" hidden="false" customHeight="false" outlineLevel="0" collapsed="false">
      <c r="B1503" s="7" t="str">
        <f aca="false">IF(A1503="","",IFERROR(MATCH(A1503,Lists!$A$2:$A$37,0),""))</f>
        <v/>
      </c>
    </row>
    <row r="1504" customFormat="false" ht="15" hidden="false" customHeight="false" outlineLevel="0" collapsed="false">
      <c r="B1504" s="7" t="str">
        <f aca="false">IF(A1504="","",IFERROR(MATCH(A1504,Lists!$A$2:$A$37,0),""))</f>
        <v/>
      </c>
    </row>
    <row r="1505" customFormat="false" ht="15" hidden="false" customHeight="false" outlineLevel="0" collapsed="false">
      <c r="B1505" s="7" t="str">
        <f aca="false">IF(A1505="","",IFERROR(MATCH(A1505,Lists!$A$2:$A$37,0),""))</f>
        <v/>
      </c>
    </row>
    <row r="1506" customFormat="false" ht="15" hidden="false" customHeight="false" outlineLevel="0" collapsed="false">
      <c r="B1506" s="7" t="str">
        <f aca="false">IF(A1506="","",IFERROR(MATCH(A1506,Lists!$A$2:$A$37,0),""))</f>
        <v/>
      </c>
    </row>
    <row r="1507" customFormat="false" ht="15" hidden="false" customHeight="false" outlineLevel="0" collapsed="false">
      <c r="B1507" s="7" t="str">
        <f aca="false">IF(A1507="","",IFERROR(MATCH(A1507,Lists!$A$2:$A$37,0),""))</f>
        <v/>
      </c>
    </row>
    <row r="1508" customFormat="false" ht="15" hidden="false" customHeight="false" outlineLevel="0" collapsed="false">
      <c r="B1508" s="7" t="str">
        <f aca="false">IF(A1508="","",IFERROR(MATCH(A1508,Lists!$A$2:$A$37,0),""))</f>
        <v/>
      </c>
    </row>
    <row r="1509" customFormat="false" ht="15" hidden="false" customHeight="false" outlineLevel="0" collapsed="false">
      <c r="B1509" s="7" t="str">
        <f aca="false">IF(A1509="","",IFERROR(MATCH(A1509,Lists!$A$2:$A$37,0),""))</f>
        <v/>
      </c>
    </row>
    <row r="1510" customFormat="false" ht="15" hidden="false" customHeight="false" outlineLevel="0" collapsed="false">
      <c r="B1510" s="7" t="str">
        <f aca="false">IF(A1510="","",IFERROR(MATCH(A1510,Lists!$A$2:$A$37,0),""))</f>
        <v/>
      </c>
    </row>
    <row r="1511" customFormat="false" ht="15" hidden="false" customHeight="false" outlineLevel="0" collapsed="false">
      <c r="B1511" s="7" t="str">
        <f aca="false">IF(A1511="","",IFERROR(MATCH(A1511,Lists!$A$2:$A$37,0),""))</f>
        <v/>
      </c>
    </row>
    <row r="1512" customFormat="false" ht="15" hidden="false" customHeight="false" outlineLevel="0" collapsed="false">
      <c r="B1512" s="7" t="str">
        <f aca="false">IF(A1512="","",IFERROR(MATCH(A1512,Lists!$A$2:$A$37,0),""))</f>
        <v/>
      </c>
    </row>
    <row r="1513" customFormat="false" ht="15" hidden="false" customHeight="false" outlineLevel="0" collapsed="false">
      <c r="B1513" s="7" t="str">
        <f aca="false">IF(A1513="","",IFERROR(MATCH(A1513,Lists!$A$2:$A$37,0),""))</f>
        <v/>
      </c>
    </row>
    <row r="1514" customFormat="false" ht="15" hidden="false" customHeight="false" outlineLevel="0" collapsed="false">
      <c r="B1514" s="7" t="str">
        <f aca="false">IF(A1514="","",IFERROR(MATCH(A1514,Lists!$A$2:$A$37,0),""))</f>
        <v/>
      </c>
    </row>
    <row r="1515" customFormat="false" ht="15" hidden="false" customHeight="false" outlineLevel="0" collapsed="false">
      <c r="B1515" s="7" t="str">
        <f aca="false">IF(A1515="","",IFERROR(MATCH(A1515,Lists!$A$2:$A$37,0),""))</f>
        <v/>
      </c>
    </row>
    <row r="1516" customFormat="false" ht="15" hidden="false" customHeight="false" outlineLevel="0" collapsed="false">
      <c r="B1516" s="7" t="str">
        <f aca="false">IF(A1516="","",IFERROR(MATCH(A1516,Lists!$A$2:$A$37,0),""))</f>
        <v/>
      </c>
    </row>
    <row r="1517" customFormat="false" ht="15" hidden="false" customHeight="false" outlineLevel="0" collapsed="false">
      <c r="B1517" s="7" t="str">
        <f aca="false">IF(A1517="","",IFERROR(MATCH(A1517,Lists!$A$2:$A$37,0),""))</f>
        <v/>
      </c>
    </row>
    <row r="1518" customFormat="false" ht="15" hidden="false" customHeight="false" outlineLevel="0" collapsed="false">
      <c r="B1518" s="7" t="str">
        <f aca="false">IF(A1518="","",IFERROR(MATCH(A1518,Lists!$A$2:$A$37,0),""))</f>
        <v/>
      </c>
    </row>
    <row r="1519" customFormat="false" ht="15" hidden="false" customHeight="false" outlineLevel="0" collapsed="false">
      <c r="B1519" s="7" t="str">
        <f aca="false">IF(A1519="","",IFERROR(MATCH(A1519,Lists!$A$2:$A$37,0),""))</f>
        <v/>
      </c>
    </row>
    <row r="1520" customFormat="false" ht="15" hidden="false" customHeight="false" outlineLevel="0" collapsed="false">
      <c r="B1520" s="7" t="str">
        <f aca="false">IF(A1520="","",IFERROR(MATCH(A1520,Lists!$A$2:$A$37,0),""))</f>
        <v/>
      </c>
    </row>
    <row r="1521" customFormat="false" ht="15" hidden="false" customHeight="false" outlineLevel="0" collapsed="false">
      <c r="B1521" s="7" t="str">
        <f aca="false">IF(A1521="","",IFERROR(MATCH(A1521,Lists!$A$2:$A$37,0),""))</f>
        <v/>
      </c>
    </row>
    <row r="1522" customFormat="false" ht="15" hidden="false" customHeight="false" outlineLevel="0" collapsed="false">
      <c r="B1522" s="7" t="str">
        <f aca="false">IF(A1522="","",IFERROR(MATCH(A1522,Lists!$A$2:$A$37,0),""))</f>
        <v/>
      </c>
    </row>
    <row r="1523" customFormat="false" ht="15" hidden="false" customHeight="false" outlineLevel="0" collapsed="false">
      <c r="B1523" s="7" t="str">
        <f aca="false">IF(A1523="","",IFERROR(MATCH(A1523,Lists!$A$2:$A$37,0),""))</f>
        <v/>
      </c>
    </row>
    <row r="1524" customFormat="false" ht="15" hidden="false" customHeight="false" outlineLevel="0" collapsed="false">
      <c r="B1524" s="7" t="str">
        <f aca="false">IF(A1524="","",IFERROR(MATCH(A1524,Lists!$A$2:$A$37,0),""))</f>
        <v/>
      </c>
    </row>
    <row r="1525" customFormat="false" ht="15" hidden="false" customHeight="false" outlineLevel="0" collapsed="false">
      <c r="B1525" s="7" t="str">
        <f aca="false">IF(A1525="","",IFERROR(MATCH(A1525,Lists!$A$2:$A$37,0),""))</f>
        <v/>
      </c>
    </row>
    <row r="1526" customFormat="false" ht="15" hidden="false" customHeight="false" outlineLevel="0" collapsed="false">
      <c r="B1526" s="7" t="str">
        <f aca="false">IF(A1526="","",IFERROR(MATCH(A1526,Lists!$A$2:$A$37,0),""))</f>
        <v/>
      </c>
    </row>
    <row r="1527" customFormat="false" ht="15" hidden="false" customHeight="false" outlineLevel="0" collapsed="false">
      <c r="B1527" s="7" t="str">
        <f aca="false">IF(A1527="","",IFERROR(MATCH(A1527,Lists!$A$2:$A$37,0),""))</f>
        <v/>
      </c>
    </row>
    <row r="1528" customFormat="false" ht="15" hidden="false" customHeight="false" outlineLevel="0" collapsed="false">
      <c r="B1528" s="7" t="str">
        <f aca="false">IF(A1528="","",IFERROR(MATCH(A1528,Lists!$A$2:$A$37,0),""))</f>
        <v/>
      </c>
    </row>
    <row r="1529" customFormat="false" ht="15" hidden="false" customHeight="false" outlineLevel="0" collapsed="false">
      <c r="B1529" s="7" t="str">
        <f aca="false">IF(A1529="","",IFERROR(MATCH(A1529,Lists!$A$2:$A$37,0),""))</f>
        <v/>
      </c>
    </row>
    <row r="1530" customFormat="false" ht="15" hidden="false" customHeight="false" outlineLevel="0" collapsed="false">
      <c r="B1530" s="7" t="str">
        <f aca="false">IF(A1530="","",IFERROR(MATCH(A1530,Lists!$A$2:$A$37,0),""))</f>
        <v/>
      </c>
    </row>
    <row r="1531" customFormat="false" ht="15" hidden="false" customHeight="false" outlineLevel="0" collapsed="false">
      <c r="B1531" s="7" t="str">
        <f aca="false">IF(A1531="","",IFERROR(MATCH(A1531,Lists!$A$2:$A$37,0),""))</f>
        <v/>
      </c>
    </row>
    <row r="1532" customFormat="false" ht="15" hidden="false" customHeight="false" outlineLevel="0" collapsed="false">
      <c r="B1532" s="7" t="str">
        <f aca="false">IF(A1532="","",IFERROR(MATCH(A1532,Lists!$A$2:$A$37,0),""))</f>
        <v/>
      </c>
    </row>
    <row r="1533" customFormat="false" ht="15" hidden="false" customHeight="false" outlineLevel="0" collapsed="false">
      <c r="B1533" s="7" t="str">
        <f aca="false">IF(A1533="","",IFERROR(MATCH(A1533,Lists!$A$2:$A$37,0),""))</f>
        <v/>
      </c>
    </row>
    <row r="1534" customFormat="false" ht="15" hidden="false" customHeight="false" outlineLevel="0" collapsed="false">
      <c r="B1534" s="7" t="str">
        <f aca="false">IF(A1534="","",IFERROR(MATCH(A1534,Lists!$A$2:$A$37,0),""))</f>
        <v/>
      </c>
    </row>
    <row r="1535" customFormat="false" ht="15" hidden="false" customHeight="false" outlineLevel="0" collapsed="false">
      <c r="B1535" s="7" t="str">
        <f aca="false">IF(A1535="","",IFERROR(MATCH(A1535,Lists!$A$2:$A$37,0),""))</f>
        <v/>
      </c>
    </row>
    <row r="1536" customFormat="false" ht="15" hidden="false" customHeight="false" outlineLevel="0" collapsed="false">
      <c r="B1536" s="7" t="str">
        <f aca="false">IF(A1536="","",IFERROR(MATCH(A1536,Lists!$A$2:$A$37,0),""))</f>
        <v/>
      </c>
    </row>
    <row r="1537" customFormat="false" ht="15" hidden="false" customHeight="false" outlineLevel="0" collapsed="false">
      <c r="B1537" s="7" t="str">
        <f aca="false">IF(A1537="","",IFERROR(MATCH(A1537,Lists!$A$2:$A$37,0),""))</f>
        <v/>
      </c>
    </row>
    <row r="1538" customFormat="false" ht="15" hidden="false" customHeight="false" outlineLevel="0" collapsed="false">
      <c r="B1538" s="7" t="str">
        <f aca="false">IF(A1538="","",IFERROR(MATCH(A1538,Lists!$A$2:$A$37,0),""))</f>
        <v/>
      </c>
    </row>
    <row r="1539" customFormat="false" ht="15" hidden="false" customHeight="false" outlineLevel="0" collapsed="false">
      <c r="B1539" s="7" t="str">
        <f aca="false">IF(A1539="","",IFERROR(MATCH(A1539,Lists!$A$2:$A$37,0),""))</f>
        <v/>
      </c>
    </row>
    <row r="1540" customFormat="false" ht="15" hidden="false" customHeight="false" outlineLevel="0" collapsed="false">
      <c r="B1540" s="7" t="str">
        <f aca="false">IF(A1540="","",IFERROR(MATCH(A1540,Lists!$A$2:$A$37,0),""))</f>
        <v/>
      </c>
    </row>
    <row r="1541" customFormat="false" ht="15" hidden="false" customHeight="false" outlineLevel="0" collapsed="false">
      <c r="B1541" s="7" t="str">
        <f aca="false">IF(A1541="","",IFERROR(MATCH(A1541,Lists!$A$2:$A$37,0),""))</f>
        <v/>
      </c>
    </row>
    <row r="1542" customFormat="false" ht="15" hidden="false" customHeight="false" outlineLevel="0" collapsed="false">
      <c r="B1542" s="7" t="str">
        <f aca="false">IF(A1542="","",IFERROR(MATCH(A1542,Lists!$A$2:$A$37,0),""))</f>
        <v/>
      </c>
    </row>
    <row r="1543" customFormat="false" ht="15" hidden="false" customHeight="false" outlineLevel="0" collapsed="false">
      <c r="B1543" s="7" t="str">
        <f aca="false">IF(A1543="","",IFERROR(MATCH(A1543,Lists!$A$2:$A$37,0),""))</f>
        <v/>
      </c>
    </row>
    <row r="1544" customFormat="false" ht="15" hidden="false" customHeight="false" outlineLevel="0" collapsed="false">
      <c r="B1544" s="7" t="str">
        <f aca="false">IF(A1544="","",IFERROR(MATCH(A1544,Lists!$A$2:$A$37,0),""))</f>
        <v/>
      </c>
    </row>
    <row r="1545" customFormat="false" ht="15" hidden="false" customHeight="false" outlineLevel="0" collapsed="false">
      <c r="B1545" s="7" t="str">
        <f aca="false">IF(A1545="","",IFERROR(MATCH(A1545,Lists!$A$2:$A$37,0),""))</f>
        <v/>
      </c>
    </row>
    <row r="1546" customFormat="false" ht="15" hidden="false" customHeight="false" outlineLevel="0" collapsed="false">
      <c r="B1546" s="7" t="str">
        <f aca="false">IF(A1546="","",IFERROR(MATCH(A1546,Lists!$A$2:$A$37,0),""))</f>
        <v/>
      </c>
    </row>
    <row r="1547" customFormat="false" ht="15" hidden="false" customHeight="false" outlineLevel="0" collapsed="false">
      <c r="B1547" s="7" t="str">
        <f aca="false">IF(A1547="","",IFERROR(MATCH(A1547,Lists!$A$2:$A$37,0),""))</f>
        <v/>
      </c>
    </row>
    <row r="1548" customFormat="false" ht="15" hidden="false" customHeight="false" outlineLevel="0" collapsed="false">
      <c r="B1548" s="7" t="str">
        <f aca="false">IF(A1548="","",IFERROR(MATCH(A1548,Lists!$A$2:$A$37,0),""))</f>
        <v/>
      </c>
    </row>
    <row r="1549" customFormat="false" ht="15" hidden="false" customHeight="false" outlineLevel="0" collapsed="false">
      <c r="B1549" s="7" t="str">
        <f aca="false">IF(A1549="","",IFERROR(MATCH(A1549,Lists!$A$2:$A$37,0),""))</f>
        <v/>
      </c>
    </row>
    <row r="1550" customFormat="false" ht="15" hidden="false" customHeight="false" outlineLevel="0" collapsed="false">
      <c r="B1550" s="7" t="str">
        <f aca="false">IF(A1550="","",IFERROR(MATCH(A1550,Lists!$A$2:$A$37,0),""))</f>
        <v/>
      </c>
    </row>
    <row r="1551" customFormat="false" ht="15" hidden="false" customHeight="false" outlineLevel="0" collapsed="false">
      <c r="B1551" s="7" t="str">
        <f aca="false">IF(A1551="","",IFERROR(MATCH(A1551,Lists!$A$2:$A$37,0),""))</f>
        <v/>
      </c>
    </row>
    <row r="1552" customFormat="false" ht="15" hidden="false" customHeight="false" outlineLevel="0" collapsed="false">
      <c r="B1552" s="7" t="str">
        <f aca="false">IF(A1552="","",IFERROR(MATCH(A1552,Lists!$A$2:$A$37,0),""))</f>
        <v/>
      </c>
    </row>
    <row r="1553" customFormat="false" ht="15" hidden="false" customHeight="false" outlineLevel="0" collapsed="false">
      <c r="B1553" s="7" t="str">
        <f aca="false">IF(A1553="","",IFERROR(MATCH(A1553,Lists!$A$2:$A$37,0),""))</f>
        <v/>
      </c>
    </row>
    <row r="1554" customFormat="false" ht="15" hidden="false" customHeight="false" outlineLevel="0" collapsed="false">
      <c r="B1554" s="7" t="str">
        <f aca="false">IF(A1554="","",IFERROR(MATCH(A1554,Lists!$A$2:$A$37,0),""))</f>
        <v/>
      </c>
    </row>
    <row r="1555" customFormat="false" ht="15" hidden="false" customHeight="false" outlineLevel="0" collapsed="false">
      <c r="B1555" s="7" t="str">
        <f aca="false">IF(A1555="","",IFERROR(MATCH(A1555,Lists!$A$2:$A$37,0),""))</f>
        <v/>
      </c>
    </row>
    <row r="1556" customFormat="false" ht="15" hidden="false" customHeight="false" outlineLevel="0" collapsed="false">
      <c r="B1556" s="7" t="str">
        <f aca="false">IF(A1556="","",IFERROR(MATCH(A1556,Lists!$A$2:$A$37,0),""))</f>
        <v/>
      </c>
    </row>
    <row r="1557" customFormat="false" ht="15" hidden="false" customHeight="false" outlineLevel="0" collapsed="false">
      <c r="B1557" s="7" t="str">
        <f aca="false">IF(A1557="","",IFERROR(MATCH(A1557,Lists!$A$2:$A$37,0),""))</f>
        <v/>
      </c>
    </row>
    <row r="1558" customFormat="false" ht="15" hidden="false" customHeight="false" outlineLevel="0" collapsed="false">
      <c r="B1558" s="7" t="str">
        <f aca="false">IF(A1558="","",IFERROR(MATCH(A1558,Lists!$A$2:$A$37,0),""))</f>
        <v/>
      </c>
    </row>
    <row r="1559" customFormat="false" ht="15" hidden="false" customHeight="false" outlineLevel="0" collapsed="false">
      <c r="B1559" s="7" t="str">
        <f aca="false">IF(A1559="","",IFERROR(MATCH(A1559,Lists!$A$2:$A$37,0),""))</f>
        <v/>
      </c>
    </row>
    <row r="1560" customFormat="false" ht="15" hidden="false" customHeight="false" outlineLevel="0" collapsed="false">
      <c r="B1560" s="7" t="str">
        <f aca="false">IF(A1560="","",IFERROR(MATCH(A1560,Lists!$A$2:$A$37,0),""))</f>
        <v/>
      </c>
    </row>
    <row r="1561" customFormat="false" ht="15" hidden="false" customHeight="false" outlineLevel="0" collapsed="false">
      <c r="B1561" s="7" t="str">
        <f aca="false">IF(A1561="","",IFERROR(MATCH(A1561,Lists!$A$2:$A$37,0),""))</f>
        <v/>
      </c>
    </row>
    <row r="1562" customFormat="false" ht="15" hidden="false" customHeight="false" outlineLevel="0" collapsed="false">
      <c r="B1562" s="7" t="str">
        <f aca="false">IF(A1562="","",IFERROR(MATCH(A1562,Lists!$A$2:$A$37,0),""))</f>
        <v/>
      </c>
    </row>
    <row r="1563" customFormat="false" ht="15" hidden="false" customHeight="false" outlineLevel="0" collapsed="false">
      <c r="B1563" s="7" t="str">
        <f aca="false">IF(A1563="","",IFERROR(MATCH(A1563,Lists!$A$2:$A$37,0),""))</f>
        <v/>
      </c>
    </row>
    <row r="1564" customFormat="false" ht="15" hidden="false" customHeight="false" outlineLevel="0" collapsed="false">
      <c r="B1564" s="7" t="str">
        <f aca="false">IF(A1564="","",IFERROR(MATCH(A1564,Lists!$A$2:$A$37,0),""))</f>
        <v/>
      </c>
    </row>
    <row r="1565" customFormat="false" ht="15" hidden="false" customHeight="false" outlineLevel="0" collapsed="false">
      <c r="B1565" s="7" t="str">
        <f aca="false">IF(A1565="","",IFERROR(MATCH(A1565,Lists!$A$2:$A$37,0),""))</f>
        <v/>
      </c>
    </row>
    <row r="1566" customFormat="false" ht="15" hidden="false" customHeight="false" outlineLevel="0" collapsed="false">
      <c r="B1566" s="7" t="str">
        <f aca="false">IF(A1566="","",IFERROR(MATCH(A1566,Lists!$A$2:$A$37,0),""))</f>
        <v/>
      </c>
    </row>
    <row r="1567" customFormat="false" ht="15" hidden="false" customHeight="false" outlineLevel="0" collapsed="false">
      <c r="B1567" s="7" t="str">
        <f aca="false">IF(A1567="","",IFERROR(MATCH(A1567,Lists!$A$2:$A$37,0),""))</f>
        <v/>
      </c>
    </row>
    <row r="1568" customFormat="false" ht="15" hidden="false" customHeight="false" outlineLevel="0" collapsed="false">
      <c r="B1568" s="7" t="str">
        <f aca="false">IF(A1568="","",IFERROR(MATCH(A1568,Lists!$A$2:$A$37,0),""))</f>
        <v/>
      </c>
    </row>
    <row r="1569" customFormat="false" ht="15" hidden="false" customHeight="false" outlineLevel="0" collapsed="false">
      <c r="B1569" s="7" t="str">
        <f aca="false">IF(A1569="","",IFERROR(MATCH(A1569,Lists!$A$2:$A$37,0),""))</f>
        <v/>
      </c>
    </row>
    <row r="1570" customFormat="false" ht="15" hidden="false" customHeight="false" outlineLevel="0" collapsed="false">
      <c r="B1570" s="7" t="str">
        <f aca="false">IF(A1570="","",IFERROR(MATCH(A1570,Lists!$A$2:$A$37,0),""))</f>
        <v/>
      </c>
    </row>
    <row r="1571" customFormat="false" ht="15" hidden="false" customHeight="false" outlineLevel="0" collapsed="false">
      <c r="B1571" s="7" t="str">
        <f aca="false">IF(A1571="","",IFERROR(MATCH(A1571,Lists!$A$2:$A$37,0),""))</f>
        <v/>
      </c>
    </row>
    <row r="1572" customFormat="false" ht="15" hidden="false" customHeight="false" outlineLevel="0" collapsed="false">
      <c r="B1572" s="7" t="str">
        <f aca="false">IF(A1572="","",IFERROR(MATCH(A1572,Lists!$A$2:$A$37,0),""))</f>
        <v/>
      </c>
    </row>
    <row r="1573" customFormat="false" ht="15" hidden="false" customHeight="false" outlineLevel="0" collapsed="false">
      <c r="B1573" s="7" t="str">
        <f aca="false">IF(A1573="","",IFERROR(MATCH(A1573,Lists!$A$2:$A$37,0),""))</f>
        <v/>
      </c>
    </row>
    <row r="1574" customFormat="false" ht="15" hidden="false" customHeight="false" outlineLevel="0" collapsed="false">
      <c r="B1574" s="7" t="str">
        <f aca="false">IF(A1574="","",IFERROR(MATCH(A1574,Lists!$A$2:$A$37,0),""))</f>
        <v/>
      </c>
    </row>
    <row r="1575" customFormat="false" ht="15" hidden="false" customHeight="false" outlineLevel="0" collapsed="false">
      <c r="B1575" s="7" t="str">
        <f aca="false">IF(A1575="","",IFERROR(MATCH(A1575,Lists!$A$2:$A$37,0),""))</f>
        <v/>
      </c>
    </row>
    <row r="1576" customFormat="false" ht="15" hidden="false" customHeight="false" outlineLevel="0" collapsed="false">
      <c r="B1576" s="7" t="str">
        <f aca="false">IF(A1576="","",IFERROR(MATCH(A1576,Lists!$A$2:$A$37,0),""))</f>
        <v/>
      </c>
    </row>
    <row r="1577" customFormat="false" ht="15" hidden="false" customHeight="false" outlineLevel="0" collapsed="false">
      <c r="B1577" s="7" t="str">
        <f aca="false">IF(A1577="","",IFERROR(MATCH(A1577,Lists!$A$2:$A$37,0),""))</f>
        <v/>
      </c>
    </row>
    <row r="1578" customFormat="false" ht="15" hidden="false" customHeight="false" outlineLevel="0" collapsed="false">
      <c r="B1578" s="7" t="str">
        <f aca="false">IF(A1578="","",IFERROR(MATCH(A1578,Lists!$A$2:$A$37,0),""))</f>
        <v/>
      </c>
    </row>
    <row r="1579" customFormat="false" ht="15" hidden="false" customHeight="false" outlineLevel="0" collapsed="false">
      <c r="B1579" s="7" t="str">
        <f aca="false">IF(A1579="","",IFERROR(MATCH(A1579,Lists!$A$2:$A$37,0),""))</f>
        <v/>
      </c>
    </row>
    <row r="1580" customFormat="false" ht="15" hidden="false" customHeight="false" outlineLevel="0" collapsed="false">
      <c r="B1580" s="7" t="str">
        <f aca="false">IF(A1580="","",IFERROR(MATCH(A1580,Lists!$A$2:$A$37,0),""))</f>
        <v/>
      </c>
    </row>
    <row r="1581" customFormat="false" ht="15" hidden="false" customHeight="false" outlineLevel="0" collapsed="false">
      <c r="B1581" s="7" t="str">
        <f aca="false">IF(A1581="","",IFERROR(MATCH(A1581,Lists!$A$2:$A$37,0),""))</f>
        <v/>
      </c>
    </row>
    <row r="1582" customFormat="false" ht="15" hidden="false" customHeight="false" outlineLevel="0" collapsed="false">
      <c r="B1582" s="7" t="str">
        <f aca="false">IF(A1582="","",IFERROR(MATCH(A1582,Lists!$A$2:$A$37,0),""))</f>
        <v/>
      </c>
    </row>
    <row r="1583" customFormat="false" ht="15" hidden="false" customHeight="false" outlineLevel="0" collapsed="false">
      <c r="B1583" s="7" t="str">
        <f aca="false">IF(A1583="","",IFERROR(MATCH(A1583,Lists!$A$2:$A$37,0),""))</f>
        <v/>
      </c>
    </row>
    <row r="1584" customFormat="false" ht="15" hidden="false" customHeight="false" outlineLevel="0" collapsed="false">
      <c r="B1584" s="7" t="str">
        <f aca="false">IF(A1584="","",IFERROR(MATCH(A1584,Lists!$A$2:$A$37,0),""))</f>
        <v/>
      </c>
    </row>
    <row r="1585" customFormat="false" ht="15" hidden="false" customHeight="false" outlineLevel="0" collapsed="false">
      <c r="B1585" s="7" t="str">
        <f aca="false">IF(A1585="","",IFERROR(MATCH(A1585,Lists!$A$2:$A$37,0),""))</f>
        <v/>
      </c>
    </row>
    <row r="1586" customFormat="false" ht="15" hidden="false" customHeight="false" outlineLevel="0" collapsed="false">
      <c r="B1586" s="7" t="str">
        <f aca="false">IF(A1586="","",IFERROR(MATCH(A1586,Lists!$A$2:$A$37,0),""))</f>
        <v/>
      </c>
    </row>
    <row r="1587" customFormat="false" ht="15" hidden="false" customHeight="false" outlineLevel="0" collapsed="false">
      <c r="B1587" s="7" t="str">
        <f aca="false">IF(A1587="","",IFERROR(MATCH(A1587,Lists!$A$2:$A$37,0),""))</f>
        <v/>
      </c>
    </row>
    <row r="1588" customFormat="false" ht="15" hidden="false" customHeight="false" outlineLevel="0" collapsed="false">
      <c r="B1588" s="7" t="str">
        <f aca="false">IF(A1588="","",IFERROR(MATCH(A1588,Lists!$A$2:$A$37,0),""))</f>
        <v/>
      </c>
    </row>
    <row r="1589" customFormat="false" ht="15" hidden="false" customHeight="false" outlineLevel="0" collapsed="false">
      <c r="B1589" s="7" t="str">
        <f aca="false">IF(A1589="","",IFERROR(MATCH(A1589,Lists!$A$2:$A$37,0),""))</f>
        <v/>
      </c>
    </row>
    <row r="1590" customFormat="false" ht="15" hidden="false" customHeight="false" outlineLevel="0" collapsed="false">
      <c r="B1590" s="7" t="str">
        <f aca="false">IF(A1590="","",IFERROR(MATCH(A1590,Lists!$A$2:$A$37,0),""))</f>
        <v/>
      </c>
    </row>
    <row r="1591" customFormat="false" ht="15" hidden="false" customHeight="false" outlineLevel="0" collapsed="false">
      <c r="B1591" s="7" t="str">
        <f aca="false">IF(A1591="","",IFERROR(MATCH(A1591,Lists!$A$2:$A$37,0),""))</f>
        <v/>
      </c>
    </row>
    <row r="1592" customFormat="false" ht="15" hidden="false" customHeight="false" outlineLevel="0" collapsed="false">
      <c r="B1592" s="7" t="str">
        <f aca="false">IF(A1592="","",IFERROR(MATCH(A1592,Lists!$A$2:$A$37,0),""))</f>
        <v/>
      </c>
    </row>
    <row r="1593" customFormat="false" ht="15" hidden="false" customHeight="false" outlineLevel="0" collapsed="false">
      <c r="B1593" s="7" t="str">
        <f aca="false">IF(A1593="","",IFERROR(MATCH(A1593,Lists!$A$2:$A$37,0),""))</f>
        <v/>
      </c>
    </row>
    <row r="1594" customFormat="false" ht="15" hidden="false" customHeight="false" outlineLevel="0" collapsed="false">
      <c r="B1594" s="7" t="str">
        <f aca="false">IF(A1594="","",IFERROR(MATCH(A1594,Lists!$A$2:$A$37,0),""))</f>
        <v/>
      </c>
    </row>
    <row r="1595" customFormat="false" ht="15" hidden="false" customHeight="false" outlineLevel="0" collapsed="false">
      <c r="B1595" s="7" t="str">
        <f aca="false">IF(A1595="","",IFERROR(MATCH(A1595,Lists!$A$2:$A$37,0),""))</f>
        <v/>
      </c>
    </row>
    <row r="1596" customFormat="false" ht="15" hidden="false" customHeight="false" outlineLevel="0" collapsed="false">
      <c r="B1596" s="7" t="str">
        <f aca="false">IF(A1596="","",IFERROR(MATCH(A1596,Lists!$A$2:$A$37,0),""))</f>
        <v/>
      </c>
    </row>
    <row r="1597" customFormat="false" ht="15" hidden="false" customHeight="false" outlineLevel="0" collapsed="false">
      <c r="B1597" s="7" t="str">
        <f aca="false">IF(A1597="","",IFERROR(MATCH(A1597,Lists!$A$2:$A$37,0),""))</f>
        <v/>
      </c>
    </row>
    <row r="1598" customFormat="false" ht="15" hidden="false" customHeight="false" outlineLevel="0" collapsed="false">
      <c r="B1598" s="7" t="str">
        <f aca="false">IF(A1598="","",IFERROR(MATCH(A1598,Lists!$A$2:$A$37,0),""))</f>
        <v/>
      </c>
    </row>
    <row r="1599" customFormat="false" ht="15" hidden="false" customHeight="false" outlineLevel="0" collapsed="false">
      <c r="B1599" s="7" t="str">
        <f aca="false">IF(A1599="","",IFERROR(MATCH(A1599,Lists!$A$2:$A$37,0),""))</f>
        <v/>
      </c>
    </row>
    <row r="1600" customFormat="false" ht="15" hidden="false" customHeight="false" outlineLevel="0" collapsed="false">
      <c r="B1600" s="7" t="str">
        <f aca="false">IF(A1600="","",IFERROR(MATCH(A1600,Lists!$A$2:$A$37,0),""))</f>
        <v/>
      </c>
    </row>
    <row r="1601" customFormat="false" ht="15" hidden="false" customHeight="false" outlineLevel="0" collapsed="false">
      <c r="B1601" s="7" t="str">
        <f aca="false">IF(A1601="","",IFERROR(MATCH(A1601,Lists!$A$2:$A$37,0),""))</f>
        <v/>
      </c>
    </row>
    <row r="1602" customFormat="false" ht="15" hidden="false" customHeight="false" outlineLevel="0" collapsed="false">
      <c r="B1602" s="7" t="str">
        <f aca="false">IF(A1602="","",IFERROR(MATCH(A1602,Lists!$A$2:$A$37,0),""))</f>
        <v/>
      </c>
    </row>
    <row r="1603" customFormat="false" ht="15" hidden="false" customHeight="false" outlineLevel="0" collapsed="false">
      <c r="B1603" s="7" t="str">
        <f aca="false">IF(A1603="","",IFERROR(MATCH(A1603,Lists!$A$2:$A$37,0),""))</f>
        <v/>
      </c>
    </row>
    <row r="1604" customFormat="false" ht="15" hidden="false" customHeight="false" outlineLevel="0" collapsed="false">
      <c r="B1604" s="7" t="str">
        <f aca="false">IF(A1604="","",IFERROR(MATCH(A1604,Lists!$A$2:$A$37,0),""))</f>
        <v/>
      </c>
    </row>
    <row r="1605" customFormat="false" ht="15" hidden="false" customHeight="false" outlineLevel="0" collapsed="false">
      <c r="B1605" s="7" t="str">
        <f aca="false">IF(A1605="","",IFERROR(MATCH(A1605,Lists!$A$2:$A$37,0),""))</f>
        <v/>
      </c>
    </row>
    <row r="1606" customFormat="false" ht="15" hidden="false" customHeight="false" outlineLevel="0" collapsed="false">
      <c r="B1606" s="7" t="str">
        <f aca="false">IF(A1606="","",IFERROR(MATCH(A1606,Lists!$A$2:$A$37,0),""))</f>
        <v/>
      </c>
    </row>
    <row r="1607" customFormat="false" ht="15" hidden="false" customHeight="false" outlineLevel="0" collapsed="false">
      <c r="B1607" s="7" t="str">
        <f aca="false">IF(A1607="","",IFERROR(MATCH(A1607,Lists!$A$2:$A$37,0),""))</f>
        <v/>
      </c>
    </row>
    <row r="1608" customFormat="false" ht="15" hidden="false" customHeight="false" outlineLevel="0" collapsed="false">
      <c r="B1608" s="7" t="str">
        <f aca="false">IF(A1608="","",IFERROR(MATCH(A1608,Lists!$A$2:$A$37,0),""))</f>
        <v/>
      </c>
    </row>
    <row r="1609" customFormat="false" ht="15" hidden="false" customHeight="false" outlineLevel="0" collapsed="false">
      <c r="B1609" s="7" t="str">
        <f aca="false">IF(A1609="","",IFERROR(MATCH(A1609,Lists!$A$2:$A$37,0),""))</f>
        <v/>
      </c>
    </row>
    <row r="1610" customFormat="false" ht="15" hidden="false" customHeight="false" outlineLevel="0" collapsed="false">
      <c r="B1610" s="7" t="str">
        <f aca="false">IF(A1610="","",IFERROR(MATCH(A1610,Lists!$A$2:$A$37,0),""))</f>
        <v/>
      </c>
    </row>
    <row r="1611" customFormat="false" ht="15" hidden="false" customHeight="false" outlineLevel="0" collapsed="false">
      <c r="B1611" s="7" t="str">
        <f aca="false">IF(A1611="","",IFERROR(MATCH(A1611,Lists!$A$2:$A$37,0),""))</f>
        <v/>
      </c>
    </row>
    <row r="1612" customFormat="false" ht="15" hidden="false" customHeight="false" outlineLevel="0" collapsed="false">
      <c r="B1612" s="7" t="str">
        <f aca="false">IF(A1612="","",IFERROR(MATCH(A1612,Lists!$A$2:$A$37,0),""))</f>
        <v/>
      </c>
    </row>
    <row r="1613" customFormat="false" ht="15" hidden="false" customHeight="false" outlineLevel="0" collapsed="false">
      <c r="B1613" s="7" t="str">
        <f aca="false">IF(A1613="","",IFERROR(MATCH(A1613,Lists!$A$2:$A$37,0),""))</f>
        <v/>
      </c>
    </row>
    <row r="1614" customFormat="false" ht="15" hidden="false" customHeight="false" outlineLevel="0" collapsed="false">
      <c r="B1614" s="7" t="str">
        <f aca="false">IF(A1614="","",IFERROR(MATCH(A1614,Lists!$A$2:$A$37,0),""))</f>
        <v/>
      </c>
    </row>
    <row r="1615" customFormat="false" ht="15" hidden="false" customHeight="false" outlineLevel="0" collapsed="false">
      <c r="B1615" s="7" t="str">
        <f aca="false">IF(A1615="","",IFERROR(MATCH(A1615,Lists!$A$2:$A$37,0),""))</f>
        <v/>
      </c>
    </row>
    <row r="1616" customFormat="false" ht="15" hidden="false" customHeight="false" outlineLevel="0" collapsed="false">
      <c r="B1616" s="7" t="str">
        <f aca="false">IF(A1616="","",IFERROR(MATCH(A1616,Lists!$A$2:$A$37,0),""))</f>
        <v/>
      </c>
    </row>
    <row r="1617" customFormat="false" ht="15" hidden="false" customHeight="false" outlineLevel="0" collapsed="false">
      <c r="B1617" s="7" t="str">
        <f aca="false">IF(A1617="","",IFERROR(MATCH(A1617,Lists!$A$2:$A$37,0),""))</f>
        <v/>
      </c>
    </row>
    <row r="1618" customFormat="false" ht="15" hidden="false" customHeight="false" outlineLevel="0" collapsed="false">
      <c r="B1618" s="7" t="str">
        <f aca="false">IF(A1618="","",IFERROR(MATCH(A1618,Lists!$A$2:$A$37,0),""))</f>
        <v/>
      </c>
    </row>
    <row r="1619" customFormat="false" ht="15" hidden="false" customHeight="false" outlineLevel="0" collapsed="false">
      <c r="B1619" s="7" t="str">
        <f aca="false">IF(A1619="","",IFERROR(MATCH(A1619,Lists!$A$2:$A$37,0),""))</f>
        <v/>
      </c>
    </row>
    <row r="1620" customFormat="false" ht="15" hidden="false" customHeight="false" outlineLevel="0" collapsed="false">
      <c r="B1620" s="7" t="str">
        <f aca="false">IF(A1620="","",IFERROR(MATCH(A1620,Lists!$A$2:$A$37,0),""))</f>
        <v/>
      </c>
    </row>
    <row r="1621" customFormat="false" ht="15" hidden="false" customHeight="false" outlineLevel="0" collapsed="false">
      <c r="B1621" s="7" t="str">
        <f aca="false">IF(A1621="","",IFERROR(MATCH(A1621,Lists!$A$2:$A$37,0),""))</f>
        <v/>
      </c>
    </row>
    <row r="1622" customFormat="false" ht="15" hidden="false" customHeight="false" outlineLevel="0" collapsed="false">
      <c r="B1622" s="7" t="str">
        <f aca="false">IF(A1622="","",IFERROR(MATCH(A1622,Lists!$A$2:$A$37,0),""))</f>
        <v/>
      </c>
    </row>
    <row r="1623" customFormat="false" ht="15" hidden="false" customHeight="false" outlineLevel="0" collapsed="false">
      <c r="B1623" s="7" t="str">
        <f aca="false">IF(A1623="","",IFERROR(MATCH(A1623,Lists!$A$2:$A$37,0),""))</f>
        <v/>
      </c>
    </row>
    <row r="1624" customFormat="false" ht="15" hidden="false" customHeight="false" outlineLevel="0" collapsed="false">
      <c r="B1624" s="7" t="str">
        <f aca="false">IF(A1624="","",IFERROR(MATCH(A1624,Lists!$A$2:$A$37,0),""))</f>
        <v/>
      </c>
    </row>
    <row r="1625" customFormat="false" ht="15" hidden="false" customHeight="false" outlineLevel="0" collapsed="false">
      <c r="B1625" s="7" t="str">
        <f aca="false">IF(A1625="","",IFERROR(MATCH(A1625,Lists!$A$2:$A$37,0),""))</f>
        <v/>
      </c>
    </row>
    <row r="1626" customFormat="false" ht="15" hidden="false" customHeight="false" outlineLevel="0" collapsed="false">
      <c r="B1626" s="7" t="str">
        <f aca="false">IF(A1626="","",IFERROR(MATCH(A1626,Lists!$A$2:$A$37,0),""))</f>
        <v/>
      </c>
    </row>
    <row r="1627" customFormat="false" ht="15" hidden="false" customHeight="false" outlineLevel="0" collapsed="false">
      <c r="B1627" s="7" t="str">
        <f aca="false">IF(A1627="","",IFERROR(MATCH(A1627,Lists!$A$2:$A$37,0),""))</f>
        <v/>
      </c>
    </row>
    <row r="1628" customFormat="false" ht="15" hidden="false" customHeight="false" outlineLevel="0" collapsed="false">
      <c r="B1628" s="7" t="str">
        <f aca="false">IF(A1628="","",IFERROR(MATCH(A1628,Lists!$A$2:$A$37,0),""))</f>
        <v/>
      </c>
    </row>
    <row r="1629" customFormat="false" ht="15" hidden="false" customHeight="false" outlineLevel="0" collapsed="false">
      <c r="B1629" s="7" t="str">
        <f aca="false">IF(A1629="","",IFERROR(MATCH(A1629,Lists!$A$2:$A$37,0),""))</f>
        <v/>
      </c>
    </row>
    <row r="1630" customFormat="false" ht="15" hidden="false" customHeight="false" outlineLevel="0" collapsed="false">
      <c r="B1630" s="7" t="str">
        <f aca="false">IF(A1630="","",IFERROR(MATCH(A1630,Lists!$A$2:$A$37,0),""))</f>
        <v/>
      </c>
    </row>
    <row r="1631" customFormat="false" ht="15" hidden="false" customHeight="false" outlineLevel="0" collapsed="false">
      <c r="B1631" s="7" t="str">
        <f aca="false">IF(A1631="","",IFERROR(MATCH(A1631,Lists!$A$2:$A$37,0),""))</f>
        <v/>
      </c>
    </row>
    <row r="1632" customFormat="false" ht="15" hidden="false" customHeight="false" outlineLevel="0" collapsed="false">
      <c r="B1632" s="7" t="str">
        <f aca="false">IF(A1632="","",IFERROR(MATCH(A1632,Lists!$A$2:$A$37,0),""))</f>
        <v/>
      </c>
    </row>
    <row r="1633" customFormat="false" ht="15" hidden="false" customHeight="false" outlineLevel="0" collapsed="false">
      <c r="B1633" s="7" t="str">
        <f aca="false">IF(A1633="","",IFERROR(MATCH(A1633,Lists!$A$2:$A$37,0),""))</f>
        <v/>
      </c>
    </row>
    <row r="1634" customFormat="false" ht="15" hidden="false" customHeight="false" outlineLevel="0" collapsed="false">
      <c r="B1634" s="7" t="str">
        <f aca="false">IF(A1634="","",IFERROR(MATCH(A1634,Lists!$A$2:$A$37,0),""))</f>
        <v/>
      </c>
    </row>
    <row r="1635" customFormat="false" ht="15" hidden="false" customHeight="false" outlineLevel="0" collapsed="false">
      <c r="B1635" s="7" t="str">
        <f aca="false">IF(A1635="","",IFERROR(MATCH(A1635,Lists!$A$2:$A$37,0),""))</f>
        <v/>
      </c>
    </row>
    <row r="1636" customFormat="false" ht="15" hidden="false" customHeight="false" outlineLevel="0" collapsed="false">
      <c r="B1636" s="7" t="str">
        <f aca="false">IF(A1636="","",IFERROR(MATCH(A1636,Lists!$A$2:$A$37,0),""))</f>
        <v/>
      </c>
    </row>
    <row r="1637" customFormat="false" ht="15" hidden="false" customHeight="false" outlineLevel="0" collapsed="false">
      <c r="B1637" s="7" t="str">
        <f aca="false">IF(A1637="","",IFERROR(MATCH(A1637,Lists!$A$2:$A$37,0),""))</f>
        <v/>
      </c>
    </row>
    <row r="1638" customFormat="false" ht="15" hidden="false" customHeight="false" outlineLevel="0" collapsed="false">
      <c r="B1638" s="7" t="str">
        <f aca="false">IF(A1638="","",IFERROR(MATCH(A1638,Lists!$A$2:$A$37,0),""))</f>
        <v/>
      </c>
    </row>
    <row r="1639" customFormat="false" ht="15" hidden="false" customHeight="false" outlineLevel="0" collapsed="false">
      <c r="B1639" s="7" t="str">
        <f aca="false">IF(A1639="","",IFERROR(MATCH(A1639,Lists!$A$2:$A$37,0),""))</f>
        <v/>
      </c>
    </row>
    <row r="1640" customFormat="false" ht="15" hidden="false" customHeight="false" outlineLevel="0" collapsed="false">
      <c r="B1640" s="7" t="str">
        <f aca="false">IF(A1640="","",IFERROR(MATCH(A1640,Lists!$A$2:$A$37,0),""))</f>
        <v/>
      </c>
    </row>
    <row r="1641" customFormat="false" ht="15" hidden="false" customHeight="false" outlineLevel="0" collapsed="false">
      <c r="B1641" s="7" t="str">
        <f aca="false">IF(A1641="","",IFERROR(MATCH(A1641,Lists!$A$2:$A$37,0),""))</f>
        <v/>
      </c>
    </row>
    <row r="1642" customFormat="false" ht="15" hidden="false" customHeight="false" outlineLevel="0" collapsed="false">
      <c r="B1642" s="7" t="str">
        <f aca="false">IF(A1642="","",IFERROR(MATCH(A1642,Lists!$A$2:$A$37,0),""))</f>
        <v/>
      </c>
    </row>
    <row r="1643" customFormat="false" ht="15" hidden="false" customHeight="false" outlineLevel="0" collapsed="false">
      <c r="B1643" s="7" t="str">
        <f aca="false">IF(A1643="","",IFERROR(MATCH(A1643,Lists!$A$2:$A$37,0),""))</f>
        <v/>
      </c>
    </row>
    <row r="1644" customFormat="false" ht="15" hidden="false" customHeight="false" outlineLevel="0" collapsed="false">
      <c r="B1644" s="7" t="str">
        <f aca="false">IF(A1644="","",IFERROR(MATCH(A1644,Lists!$A$2:$A$37,0),""))</f>
        <v/>
      </c>
    </row>
    <row r="1645" customFormat="false" ht="15" hidden="false" customHeight="false" outlineLevel="0" collapsed="false">
      <c r="B1645" s="7" t="str">
        <f aca="false">IF(A1645="","",IFERROR(MATCH(A1645,Lists!$A$2:$A$37,0),""))</f>
        <v/>
      </c>
    </row>
    <row r="1646" customFormat="false" ht="15" hidden="false" customHeight="false" outlineLevel="0" collapsed="false">
      <c r="B1646" s="7" t="str">
        <f aca="false">IF(A1646="","",IFERROR(MATCH(A1646,Lists!$A$2:$A$37,0),""))</f>
        <v/>
      </c>
    </row>
    <row r="1647" customFormat="false" ht="15" hidden="false" customHeight="false" outlineLevel="0" collapsed="false">
      <c r="B1647" s="7" t="str">
        <f aca="false">IF(A1647="","",IFERROR(MATCH(A1647,Lists!$A$2:$A$37,0),""))</f>
        <v/>
      </c>
    </row>
    <row r="1648" customFormat="false" ht="15" hidden="false" customHeight="false" outlineLevel="0" collapsed="false">
      <c r="B1648" s="7" t="str">
        <f aca="false">IF(A1648="","",IFERROR(MATCH(A1648,Lists!$A$2:$A$37,0),""))</f>
        <v/>
      </c>
    </row>
    <row r="1649" customFormat="false" ht="15" hidden="false" customHeight="false" outlineLevel="0" collapsed="false">
      <c r="B1649" s="7" t="str">
        <f aca="false">IF(A1649="","",IFERROR(MATCH(A1649,Lists!$A$2:$A$37,0),""))</f>
        <v/>
      </c>
    </row>
    <row r="1650" customFormat="false" ht="15" hidden="false" customHeight="false" outlineLevel="0" collapsed="false">
      <c r="B1650" s="7" t="str">
        <f aca="false">IF(A1650="","",IFERROR(MATCH(A1650,Lists!$A$2:$A$37,0),""))</f>
        <v/>
      </c>
    </row>
    <row r="1651" customFormat="false" ht="15" hidden="false" customHeight="false" outlineLevel="0" collapsed="false">
      <c r="B1651" s="7" t="str">
        <f aca="false">IF(A1651="","",IFERROR(MATCH(A1651,Lists!$A$2:$A$37,0),""))</f>
        <v/>
      </c>
    </row>
    <row r="1652" customFormat="false" ht="15" hidden="false" customHeight="false" outlineLevel="0" collapsed="false">
      <c r="B1652" s="7" t="str">
        <f aca="false">IF(A1652="","",IFERROR(MATCH(A1652,Lists!$A$2:$A$37,0),""))</f>
        <v/>
      </c>
    </row>
    <row r="1653" customFormat="false" ht="15" hidden="false" customHeight="false" outlineLevel="0" collapsed="false">
      <c r="B1653" s="7" t="str">
        <f aca="false">IF(A1653="","",IFERROR(MATCH(A1653,Lists!$A$2:$A$37,0),""))</f>
        <v/>
      </c>
    </row>
    <row r="1654" customFormat="false" ht="15" hidden="false" customHeight="false" outlineLevel="0" collapsed="false">
      <c r="B1654" s="7" t="str">
        <f aca="false">IF(A1654="","",IFERROR(MATCH(A1654,Lists!$A$2:$A$37,0),""))</f>
        <v/>
      </c>
    </row>
    <row r="1655" customFormat="false" ht="15" hidden="false" customHeight="false" outlineLevel="0" collapsed="false">
      <c r="B1655" s="7" t="str">
        <f aca="false">IF(A1655="","",IFERROR(MATCH(A1655,Lists!$A$2:$A$37,0),""))</f>
        <v/>
      </c>
    </row>
    <row r="1656" customFormat="false" ht="15" hidden="false" customHeight="false" outlineLevel="0" collapsed="false">
      <c r="B1656" s="7" t="str">
        <f aca="false">IF(A1656="","",IFERROR(MATCH(A1656,Lists!$A$2:$A$37,0),""))</f>
        <v/>
      </c>
    </row>
    <row r="1657" customFormat="false" ht="15" hidden="false" customHeight="false" outlineLevel="0" collapsed="false">
      <c r="B1657" s="7" t="str">
        <f aca="false">IF(A1657="","",IFERROR(MATCH(A1657,Lists!$A$2:$A$37,0),""))</f>
        <v/>
      </c>
    </row>
    <row r="1658" customFormat="false" ht="15" hidden="false" customHeight="false" outlineLevel="0" collapsed="false">
      <c r="B1658" s="7" t="str">
        <f aca="false">IF(A1658="","",IFERROR(MATCH(A1658,Lists!$A$2:$A$37,0),""))</f>
        <v/>
      </c>
    </row>
    <row r="1659" customFormat="false" ht="15" hidden="false" customHeight="false" outlineLevel="0" collapsed="false">
      <c r="B1659" s="7" t="str">
        <f aca="false">IF(A1659="","",IFERROR(MATCH(A1659,Lists!$A$2:$A$37,0),""))</f>
        <v/>
      </c>
    </row>
    <row r="1660" customFormat="false" ht="15" hidden="false" customHeight="false" outlineLevel="0" collapsed="false">
      <c r="B1660" s="7" t="str">
        <f aca="false">IF(A1660="","",IFERROR(MATCH(A1660,Lists!$A$2:$A$37,0),""))</f>
        <v/>
      </c>
    </row>
    <row r="1661" customFormat="false" ht="15" hidden="false" customHeight="false" outlineLevel="0" collapsed="false">
      <c r="B1661" s="7" t="str">
        <f aca="false">IF(A1661="","",IFERROR(MATCH(A1661,Lists!$A$2:$A$37,0),""))</f>
        <v/>
      </c>
    </row>
    <row r="1662" customFormat="false" ht="15" hidden="false" customHeight="false" outlineLevel="0" collapsed="false">
      <c r="B1662" s="7" t="str">
        <f aca="false">IF(A1662="","",IFERROR(MATCH(A1662,Lists!$A$2:$A$37,0),""))</f>
        <v/>
      </c>
    </row>
    <row r="1663" customFormat="false" ht="15" hidden="false" customHeight="false" outlineLevel="0" collapsed="false">
      <c r="B1663" s="7" t="str">
        <f aca="false">IF(A1663="","",IFERROR(MATCH(A1663,Lists!$A$2:$A$37,0),""))</f>
        <v/>
      </c>
    </row>
    <row r="1664" customFormat="false" ht="15" hidden="false" customHeight="false" outlineLevel="0" collapsed="false">
      <c r="B1664" s="7" t="str">
        <f aca="false">IF(A1664="","",IFERROR(MATCH(A1664,Lists!$A$2:$A$37,0),""))</f>
        <v/>
      </c>
    </row>
    <row r="1665" customFormat="false" ht="15" hidden="false" customHeight="false" outlineLevel="0" collapsed="false">
      <c r="B1665" s="7" t="str">
        <f aca="false">IF(A1665="","",IFERROR(MATCH(A1665,Lists!$A$2:$A$37,0),""))</f>
        <v/>
      </c>
    </row>
    <row r="1666" customFormat="false" ht="15" hidden="false" customHeight="false" outlineLevel="0" collapsed="false">
      <c r="B1666" s="7" t="str">
        <f aca="false">IF(A1666="","",IFERROR(MATCH(A1666,Lists!$A$2:$A$37,0),""))</f>
        <v/>
      </c>
    </row>
    <row r="1667" customFormat="false" ht="15" hidden="false" customHeight="false" outlineLevel="0" collapsed="false">
      <c r="B1667" s="7" t="str">
        <f aca="false">IF(A1667="","",IFERROR(MATCH(A1667,Lists!$A$2:$A$37,0),""))</f>
        <v/>
      </c>
    </row>
    <row r="1668" customFormat="false" ht="15" hidden="false" customHeight="false" outlineLevel="0" collapsed="false">
      <c r="B1668" s="7" t="str">
        <f aca="false">IF(A1668="","",IFERROR(MATCH(A1668,Lists!$A$2:$A$37,0),""))</f>
        <v/>
      </c>
    </row>
    <row r="1669" customFormat="false" ht="15" hidden="false" customHeight="false" outlineLevel="0" collapsed="false">
      <c r="B1669" s="7" t="str">
        <f aca="false">IF(A1669="","",IFERROR(MATCH(A1669,Lists!$A$2:$A$37,0),""))</f>
        <v/>
      </c>
    </row>
    <row r="1670" customFormat="false" ht="15" hidden="false" customHeight="false" outlineLevel="0" collapsed="false">
      <c r="B1670" s="7" t="str">
        <f aca="false">IF(A1670="","",IFERROR(MATCH(A1670,Lists!$A$2:$A$37,0),""))</f>
        <v/>
      </c>
    </row>
    <row r="1671" customFormat="false" ht="15" hidden="false" customHeight="false" outlineLevel="0" collapsed="false">
      <c r="B1671" s="7" t="str">
        <f aca="false">IF(A1671="","",IFERROR(MATCH(A1671,Lists!$A$2:$A$37,0),""))</f>
        <v/>
      </c>
    </row>
    <row r="1672" customFormat="false" ht="15" hidden="false" customHeight="false" outlineLevel="0" collapsed="false">
      <c r="B1672" s="7" t="str">
        <f aca="false">IF(A1672="","",IFERROR(MATCH(A1672,Lists!$A$2:$A$37,0),""))</f>
        <v/>
      </c>
    </row>
    <row r="1673" customFormat="false" ht="15" hidden="false" customHeight="false" outlineLevel="0" collapsed="false">
      <c r="B1673" s="7" t="str">
        <f aca="false">IF(A1673="","",IFERROR(MATCH(A1673,Lists!$A$2:$A$37,0),""))</f>
        <v/>
      </c>
    </row>
    <row r="1674" customFormat="false" ht="15" hidden="false" customHeight="false" outlineLevel="0" collapsed="false">
      <c r="B1674" s="7" t="str">
        <f aca="false">IF(A1674="","",IFERROR(MATCH(A1674,Lists!$A$2:$A$37,0),""))</f>
        <v/>
      </c>
    </row>
    <row r="1675" customFormat="false" ht="15" hidden="false" customHeight="false" outlineLevel="0" collapsed="false">
      <c r="B1675" s="7" t="str">
        <f aca="false">IF(A1675="","",IFERROR(MATCH(A1675,Lists!$A$2:$A$37,0),""))</f>
        <v/>
      </c>
    </row>
    <row r="1676" customFormat="false" ht="15" hidden="false" customHeight="false" outlineLevel="0" collapsed="false">
      <c r="B1676" s="7" t="str">
        <f aca="false">IF(A1676="","",IFERROR(MATCH(A1676,Lists!$A$2:$A$37,0),""))</f>
        <v/>
      </c>
    </row>
    <row r="1677" customFormat="false" ht="15" hidden="false" customHeight="false" outlineLevel="0" collapsed="false">
      <c r="B1677" s="7" t="str">
        <f aca="false">IF(A1677="","",IFERROR(MATCH(A1677,Lists!$A$2:$A$37,0),""))</f>
        <v/>
      </c>
    </row>
    <row r="1678" customFormat="false" ht="15" hidden="false" customHeight="false" outlineLevel="0" collapsed="false">
      <c r="B1678" s="7" t="str">
        <f aca="false">IF(A1678="","",IFERROR(MATCH(A1678,Lists!$A$2:$A$37,0),""))</f>
        <v/>
      </c>
    </row>
    <row r="1679" customFormat="false" ht="15" hidden="false" customHeight="false" outlineLevel="0" collapsed="false">
      <c r="B1679" s="7" t="str">
        <f aca="false">IF(A1679="","",IFERROR(MATCH(A1679,Lists!$A$2:$A$37,0),""))</f>
        <v/>
      </c>
    </row>
    <row r="1680" customFormat="false" ht="15" hidden="false" customHeight="false" outlineLevel="0" collapsed="false">
      <c r="B1680" s="7" t="str">
        <f aca="false">IF(A1680="","",IFERROR(MATCH(A1680,Lists!$A$2:$A$37,0),""))</f>
        <v/>
      </c>
    </row>
    <row r="1681" customFormat="false" ht="15" hidden="false" customHeight="false" outlineLevel="0" collapsed="false">
      <c r="B1681" s="7" t="str">
        <f aca="false">IF(A1681="","",IFERROR(MATCH(A1681,Lists!$A$2:$A$37,0),""))</f>
        <v/>
      </c>
    </row>
    <row r="1682" customFormat="false" ht="15" hidden="false" customHeight="false" outlineLevel="0" collapsed="false">
      <c r="B1682" s="7" t="str">
        <f aca="false">IF(A1682="","",IFERROR(MATCH(A1682,Lists!$A$2:$A$37,0),""))</f>
        <v/>
      </c>
    </row>
    <row r="1683" customFormat="false" ht="15" hidden="false" customHeight="false" outlineLevel="0" collapsed="false">
      <c r="B1683" s="7" t="str">
        <f aca="false">IF(A1683="","",IFERROR(MATCH(A1683,Lists!$A$2:$A$37,0),""))</f>
        <v/>
      </c>
    </row>
    <row r="1684" customFormat="false" ht="15" hidden="false" customHeight="false" outlineLevel="0" collapsed="false">
      <c r="B1684" s="7" t="str">
        <f aca="false">IF(A1684="","",IFERROR(MATCH(A1684,Lists!$A$2:$A$37,0),""))</f>
        <v/>
      </c>
    </row>
    <row r="1685" customFormat="false" ht="15" hidden="false" customHeight="false" outlineLevel="0" collapsed="false">
      <c r="B1685" s="7" t="str">
        <f aca="false">IF(A1685="","",IFERROR(MATCH(A1685,Lists!$A$2:$A$37,0),""))</f>
        <v/>
      </c>
    </row>
    <row r="1686" customFormat="false" ht="15" hidden="false" customHeight="false" outlineLevel="0" collapsed="false">
      <c r="B1686" s="7" t="str">
        <f aca="false">IF(A1686="","",IFERROR(MATCH(A1686,Lists!$A$2:$A$37,0),""))</f>
        <v/>
      </c>
    </row>
    <row r="1687" customFormat="false" ht="15" hidden="false" customHeight="false" outlineLevel="0" collapsed="false">
      <c r="B1687" s="7" t="str">
        <f aca="false">IF(A1687="","",IFERROR(MATCH(A1687,Lists!$A$2:$A$37,0),""))</f>
        <v/>
      </c>
    </row>
    <row r="1688" customFormat="false" ht="15" hidden="false" customHeight="false" outlineLevel="0" collapsed="false">
      <c r="B1688" s="7" t="str">
        <f aca="false">IF(A1688="","",IFERROR(MATCH(A1688,Lists!$A$2:$A$37,0),""))</f>
        <v/>
      </c>
    </row>
    <row r="1689" customFormat="false" ht="15" hidden="false" customHeight="false" outlineLevel="0" collapsed="false">
      <c r="B1689" s="7" t="str">
        <f aca="false">IF(A1689="","",IFERROR(MATCH(A1689,Lists!$A$2:$A$37,0),""))</f>
        <v/>
      </c>
    </row>
    <row r="1690" customFormat="false" ht="15" hidden="false" customHeight="false" outlineLevel="0" collapsed="false">
      <c r="B1690" s="7" t="str">
        <f aca="false">IF(A1690="","",IFERROR(MATCH(A1690,Lists!$A$2:$A$37,0),""))</f>
        <v/>
      </c>
    </row>
    <row r="1691" customFormat="false" ht="15" hidden="false" customHeight="false" outlineLevel="0" collapsed="false">
      <c r="B1691" s="7" t="str">
        <f aca="false">IF(A1691="","",IFERROR(MATCH(A1691,Lists!$A$2:$A$37,0),""))</f>
        <v/>
      </c>
    </row>
    <row r="1692" customFormat="false" ht="15" hidden="false" customHeight="false" outlineLevel="0" collapsed="false">
      <c r="B1692" s="7" t="str">
        <f aca="false">IF(A1692="","",IFERROR(MATCH(A1692,Lists!$A$2:$A$37,0),""))</f>
        <v/>
      </c>
    </row>
    <row r="1693" customFormat="false" ht="15" hidden="false" customHeight="false" outlineLevel="0" collapsed="false">
      <c r="B1693" s="7" t="str">
        <f aca="false">IF(A1693="","",IFERROR(MATCH(A1693,Lists!$A$2:$A$37,0),""))</f>
        <v/>
      </c>
    </row>
    <row r="1694" customFormat="false" ht="15" hidden="false" customHeight="false" outlineLevel="0" collapsed="false">
      <c r="B1694" s="7" t="str">
        <f aca="false">IF(A1694="","",IFERROR(MATCH(A1694,Lists!$A$2:$A$37,0),""))</f>
        <v/>
      </c>
    </row>
    <row r="1695" customFormat="false" ht="15" hidden="false" customHeight="false" outlineLevel="0" collapsed="false">
      <c r="B1695" s="7" t="str">
        <f aca="false">IF(A1695="","",IFERROR(MATCH(A1695,Lists!$A$2:$A$37,0),""))</f>
        <v/>
      </c>
    </row>
    <row r="1696" customFormat="false" ht="15" hidden="false" customHeight="false" outlineLevel="0" collapsed="false">
      <c r="B1696" s="7" t="str">
        <f aca="false">IF(A1696="","",IFERROR(MATCH(A1696,Lists!$A$2:$A$37,0),""))</f>
        <v/>
      </c>
    </row>
    <row r="1697" customFormat="false" ht="15" hidden="false" customHeight="false" outlineLevel="0" collapsed="false">
      <c r="B1697" s="7" t="str">
        <f aca="false">IF(A1697="","",IFERROR(MATCH(A1697,Lists!$A$2:$A$37,0),""))</f>
        <v/>
      </c>
    </row>
    <row r="1698" customFormat="false" ht="15" hidden="false" customHeight="false" outlineLevel="0" collapsed="false">
      <c r="B1698" s="7" t="str">
        <f aca="false">IF(A1698="","",IFERROR(MATCH(A1698,Lists!$A$2:$A$37,0),""))</f>
        <v/>
      </c>
    </row>
    <row r="1699" customFormat="false" ht="15" hidden="false" customHeight="false" outlineLevel="0" collapsed="false">
      <c r="B1699" s="7" t="str">
        <f aca="false">IF(A1699="","",IFERROR(MATCH(A1699,Lists!$A$2:$A$37,0),""))</f>
        <v/>
      </c>
    </row>
    <row r="1700" customFormat="false" ht="15" hidden="false" customHeight="false" outlineLevel="0" collapsed="false">
      <c r="B1700" s="7" t="str">
        <f aca="false">IF(A1700="","",IFERROR(MATCH(A1700,Lists!$A$2:$A$37,0),""))</f>
        <v/>
      </c>
    </row>
    <row r="1701" customFormat="false" ht="15" hidden="false" customHeight="false" outlineLevel="0" collapsed="false">
      <c r="B1701" s="7" t="str">
        <f aca="false">IF(A1701="","",IFERROR(MATCH(A1701,Lists!$A$2:$A$37,0),""))</f>
        <v/>
      </c>
    </row>
    <row r="1702" customFormat="false" ht="15" hidden="false" customHeight="false" outlineLevel="0" collapsed="false">
      <c r="B1702" s="7" t="str">
        <f aca="false">IF(A1702="","",IFERROR(MATCH(A1702,Lists!$A$2:$A$37,0),""))</f>
        <v/>
      </c>
    </row>
    <row r="1703" customFormat="false" ht="15" hidden="false" customHeight="false" outlineLevel="0" collapsed="false">
      <c r="B1703" s="7" t="str">
        <f aca="false">IF(A1703="","",IFERROR(MATCH(A1703,Lists!$A$2:$A$37,0),""))</f>
        <v/>
      </c>
    </row>
    <row r="1704" customFormat="false" ht="15" hidden="false" customHeight="false" outlineLevel="0" collapsed="false">
      <c r="B1704" s="7" t="str">
        <f aca="false">IF(A1704="","",IFERROR(MATCH(A1704,Lists!$A$2:$A$37,0),""))</f>
        <v/>
      </c>
    </row>
    <row r="1705" customFormat="false" ht="15" hidden="false" customHeight="false" outlineLevel="0" collapsed="false">
      <c r="B1705" s="7" t="str">
        <f aca="false">IF(A1705="","",IFERROR(MATCH(A1705,Lists!$A$2:$A$37,0),""))</f>
        <v/>
      </c>
    </row>
    <row r="1706" customFormat="false" ht="15" hidden="false" customHeight="false" outlineLevel="0" collapsed="false">
      <c r="B1706" s="7" t="str">
        <f aca="false">IF(A1706="","",IFERROR(MATCH(A1706,Lists!$A$2:$A$37,0),""))</f>
        <v/>
      </c>
    </row>
    <row r="1707" customFormat="false" ht="15" hidden="false" customHeight="false" outlineLevel="0" collapsed="false">
      <c r="B1707" s="7" t="str">
        <f aca="false">IF(A1707="","",IFERROR(MATCH(A1707,Lists!$A$2:$A$37,0),""))</f>
        <v/>
      </c>
    </row>
    <row r="1708" customFormat="false" ht="15" hidden="false" customHeight="false" outlineLevel="0" collapsed="false">
      <c r="B1708" s="7" t="str">
        <f aca="false">IF(A1708="","",IFERROR(MATCH(A1708,Lists!$A$2:$A$37,0),""))</f>
        <v/>
      </c>
    </row>
    <row r="1709" customFormat="false" ht="15" hidden="false" customHeight="false" outlineLevel="0" collapsed="false">
      <c r="B1709" s="7" t="str">
        <f aca="false">IF(A1709="","",IFERROR(MATCH(A1709,Lists!$A$2:$A$37,0),""))</f>
        <v/>
      </c>
    </row>
    <row r="1710" customFormat="false" ht="15" hidden="false" customHeight="false" outlineLevel="0" collapsed="false">
      <c r="B1710" s="7" t="str">
        <f aca="false">IF(A1710="","",IFERROR(MATCH(A1710,Lists!$A$2:$A$37,0),""))</f>
        <v/>
      </c>
    </row>
    <row r="1711" customFormat="false" ht="15" hidden="false" customHeight="false" outlineLevel="0" collapsed="false">
      <c r="B1711" s="7" t="str">
        <f aca="false">IF(A1711="","",IFERROR(MATCH(A1711,Lists!$A$2:$A$37,0),""))</f>
        <v/>
      </c>
    </row>
    <row r="1712" customFormat="false" ht="15" hidden="false" customHeight="false" outlineLevel="0" collapsed="false">
      <c r="B1712" s="7" t="str">
        <f aca="false">IF(A1712="","",IFERROR(MATCH(A1712,Lists!$A$2:$A$37,0),""))</f>
        <v/>
      </c>
    </row>
    <row r="1713" customFormat="false" ht="15" hidden="false" customHeight="false" outlineLevel="0" collapsed="false">
      <c r="B1713" s="7" t="str">
        <f aca="false">IF(A1713="","",IFERROR(MATCH(A1713,Lists!$A$2:$A$37,0),""))</f>
        <v/>
      </c>
    </row>
    <row r="1714" customFormat="false" ht="15" hidden="false" customHeight="false" outlineLevel="0" collapsed="false">
      <c r="B1714" s="7" t="str">
        <f aca="false">IF(A1714="","",IFERROR(MATCH(A1714,Lists!$A$2:$A$37,0),""))</f>
        <v/>
      </c>
    </row>
    <row r="1715" customFormat="false" ht="15" hidden="false" customHeight="false" outlineLevel="0" collapsed="false">
      <c r="B1715" s="7" t="str">
        <f aca="false">IF(A1715="","",IFERROR(MATCH(A1715,Lists!$A$2:$A$37,0),""))</f>
        <v/>
      </c>
    </row>
    <row r="1716" customFormat="false" ht="15" hidden="false" customHeight="false" outlineLevel="0" collapsed="false">
      <c r="B1716" s="7" t="str">
        <f aca="false">IF(A1716="","",IFERROR(MATCH(A1716,Lists!$A$2:$A$37,0),""))</f>
        <v/>
      </c>
    </row>
    <row r="1717" customFormat="false" ht="15" hidden="false" customHeight="false" outlineLevel="0" collapsed="false">
      <c r="B1717" s="7" t="str">
        <f aca="false">IF(A1717="","",IFERROR(MATCH(A1717,Lists!$A$2:$A$37,0),""))</f>
        <v/>
      </c>
    </row>
    <row r="1718" customFormat="false" ht="15" hidden="false" customHeight="false" outlineLevel="0" collapsed="false">
      <c r="B1718" s="7" t="str">
        <f aca="false">IF(A1718="","",IFERROR(MATCH(A1718,Lists!$A$2:$A$37,0),""))</f>
        <v/>
      </c>
    </row>
    <row r="1719" customFormat="false" ht="15" hidden="false" customHeight="false" outlineLevel="0" collapsed="false">
      <c r="B1719" s="7" t="str">
        <f aca="false">IF(A1719="","",IFERROR(MATCH(A1719,Lists!$A$2:$A$37,0),""))</f>
        <v/>
      </c>
    </row>
    <row r="1720" customFormat="false" ht="15" hidden="false" customHeight="false" outlineLevel="0" collapsed="false">
      <c r="B1720" s="7" t="str">
        <f aca="false">IF(A1720="","",IFERROR(MATCH(A1720,Lists!$A$2:$A$37,0),""))</f>
        <v/>
      </c>
    </row>
    <row r="1721" customFormat="false" ht="15" hidden="false" customHeight="false" outlineLevel="0" collapsed="false">
      <c r="B1721" s="7" t="str">
        <f aca="false">IF(A1721="","",IFERROR(MATCH(A1721,Lists!$A$2:$A$37,0),""))</f>
        <v/>
      </c>
    </row>
    <row r="1722" customFormat="false" ht="15" hidden="false" customHeight="false" outlineLevel="0" collapsed="false">
      <c r="B1722" s="7" t="str">
        <f aca="false">IF(A1722="","",IFERROR(MATCH(A1722,Lists!$A$2:$A$37,0),""))</f>
        <v/>
      </c>
    </row>
    <row r="1723" customFormat="false" ht="15" hidden="false" customHeight="false" outlineLevel="0" collapsed="false">
      <c r="B1723" s="7" t="str">
        <f aca="false">IF(A1723="","",IFERROR(MATCH(A1723,Lists!$A$2:$A$37,0),""))</f>
        <v/>
      </c>
    </row>
    <row r="1724" customFormat="false" ht="15" hidden="false" customHeight="false" outlineLevel="0" collapsed="false">
      <c r="B1724" s="7" t="str">
        <f aca="false">IF(A1724="","",IFERROR(MATCH(A1724,Lists!$A$2:$A$37,0),""))</f>
        <v/>
      </c>
    </row>
    <row r="1725" customFormat="false" ht="15" hidden="false" customHeight="false" outlineLevel="0" collapsed="false">
      <c r="B1725" s="7" t="str">
        <f aca="false">IF(A1725="","",IFERROR(MATCH(A1725,Lists!$A$2:$A$37,0),""))</f>
        <v/>
      </c>
    </row>
    <row r="1726" customFormat="false" ht="15" hidden="false" customHeight="false" outlineLevel="0" collapsed="false">
      <c r="B1726" s="7" t="str">
        <f aca="false">IF(A1726="","",IFERROR(MATCH(A1726,Lists!$A$2:$A$37,0),""))</f>
        <v/>
      </c>
    </row>
    <row r="1727" customFormat="false" ht="15" hidden="false" customHeight="false" outlineLevel="0" collapsed="false">
      <c r="B1727" s="7" t="str">
        <f aca="false">IF(A1727="","",IFERROR(MATCH(A1727,Lists!$A$2:$A$37,0),""))</f>
        <v/>
      </c>
    </row>
    <row r="1728" customFormat="false" ht="15" hidden="false" customHeight="false" outlineLevel="0" collapsed="false">
      <c r="B1728" s="7" t="str">
        <f aca="false">IF(A1728="","",IFERROR(MATCH(A1728,Lists!$A$2:$A$37,0),""))</f>
        <v/>
      </c>
    </row>
    <row r="1729" customFormat="false" ht="15" hidden="false" customHeight="false" outlineLevel="0" collapsed="false">
      <c r="B1729" s="7" t="str">
        <f aca="false">IF(A1729="","",IFERROR(MATCH(A1729,Lists!$A$2:$A$37,0),""))</f>
        <v/>
      </c>
    </row>
    <row r="1730" customFormat="false" ht="15" hidden="false" customHeight="false" outlineLevel="0" collapsed="false">
      <c r="B1730" s="7" t="str">
        <f aca="false">IF(A1730="","",IFERROR(MATCH(A1730,Lists!$A$2:$A$37,0),""))</f>
        <v/>
      </c>
    </row>
    <row r="1731" customFormat="false" ht="15" hidden="false" customHeight="false" outlineLevel="0" collapsed="false">
      <c r="B1731" s="7" t="str">
        <f aca="false">IF(A1731="","",IFERROR(MATCH(A1731,Lists!$A$2:$A$37,0),""))</f>
        <v/>
      </c>
    </row>
    <row r="1732" customFormat="false" ht="15" hidden="false" customHeight="false" outlineLevel="0" collapsed="false">
      <c r="B1732" s="7" t="str">
        <f aca="false">IF(A1732="","",IFERROR(MATCH(A1732,Lists!$A$2:$A$37,0),""))</f>
        <v/>
      </c>
    </row>
    <row r="1733" customFormat="false" ht="15" hidden="false" customHeight="false" outlineLevel="0" collapsed="false">
      <c r="B1733" s="7" t="str">
        <f aca="false">IF(A1733="","",IFERROR(MATCH(A1733,Lists!$A$2:$A$37,0),""))</f>
        <v/>
      </c>
    </row>
    <row r="1734" customFormat="false" ht="15" hidden="false" customHeight="false" outlineLevel="0" collapsed="false">
      <c r="B1734" s="7" t="str">
        <f aca="false">IF(A1734="","",IFERROR(MATCH(A1734,Lists!$A$2:$A$37,0),""))</f>
        <v/>
      </c>
    </row>
    <row r="1735" customFormat="false" ht="15" hidden="false" customHeight="false" outlineLevel="0" collapsed="false">
      <c r="B1735" s="7" t="str">
        <f aca="false">IF(A1735="","",IFERROR(MATCH(A1735,Lists!$A$2:$A$37,0),""))</f>
        <v/>
      </c>
    </row>
    <row r="1736" customFormat="false" ht="15" hidden="false" customHeight="false" outlineLevel="0" collapsed="false">
      <c r="B1736" s="7" t="str">
        <f aca="false">IF(A1736="","",IFERROR(MATCH(A1736,Lists!$A$2:$A$37,0),""))</f>
        <v/>
      </c>
    </row>
    <row r="1737" customFormat="false" ht="15" hidden="false" customHeight="false" outlineLevel="0" collapsed="false">
      <c r="B1737" s="7" t="str">
        <f aca="false">IF(A1737="","",IFERROR(MATCH(A1737,Lists!$A$2:$A$37,0),""))</f>
        <v/>
      </c>
    </row>
    <row r="1738" customFormat="false" ht="15" hidden="false" customHeight="false" outlineLevel="0" collapsed="false">
      <c r="B1738" s="7" t="str">
        <f aca="false">IF(A1738="","",IFERROR(MATCH(A1738,Lists!$A$2:$A$37,0),""))</f>
        <v/>
      </c>
    </row>
    <row r="1739" customFormat="false" ht="15" hidden="false" customHeight="false" outlineLevel="0" collapsed="false">
      <c r="B1739" s="7" t="str">
        <f aca="false">IF(A1739="","",IFERROR(MATCH(A1739,Lists!$A$2:$A$37,0),""))</f>
        <v/>
      </c>
    </row>
    <row r="1740" customFormat="false" ht="15" hidden="false" customHeight="false" outlineLevel="0" collapsed="false">
      <c r="B1740" s="7" t="str">
        <f aca="false">IF(A1740="","",IFERROR(MATCH(A1740,Lists!$A$2:$A$37,0),""))</f>
        <v/>
      </c>
    </row>
    <row r="1741" customFormat="false" ht="15" hidden="false" customHeight="false" outlineLevel="0" collapsed="false">
      <c r="B1741" s="7" t="str">
        <f aca="false">IF(A1741="","",IFERROR(MATCH(A1741,Lists!$A$2:$A$37,0),""))</f>
        <v/>
      </c>
    </row>
    <row r="1742" customFormat="false" ht="15" hidden="false" customHeight="false" outlineLevel="0" collapsed="false">
      <c r="B1742" s="7" t="str">
        <f aca="false">IF(A1742="","",IFERROR(MATCH(A1742,Lists!$A$2:$A$37,0),""))</f>
        <v/>
      </c>
    </row>
    <row r="1743" customFormat="false" ht="15" hidden="false" customHeight="false" outlineLevel="0" collapsed="false">
      <c r="B1743" s="7" t="str">
        <f aca="false">IF(A1743="","",IFERROR(MATCH(A1743,Lists!$A$2:$A$37,0),""))</f>
        <v/>
      </c>
    </row>
    <row r="1744" customFormat="false" ht="15" hidden="false" customHeight="false" outlineLevel="0" collapsed="false">
      <c r="B1744" s="7" t="str">
        <f aca="false">IF(A1744="","",IFERROR(MATCH(A1744,Lists!$A$2:$A$37,0),""))</f>
        <v/>
      </c>
    </row>
    <row r="1745" customFormat="false" ht="15" hidden="false" customHeight="false" outlineLevel="0" collapsed="false">
      <c r="B1745" s="7" t="str">
        <f aca="false">IF(A1745="","",IFERROR(MATCH(A1745,Lists!$A$2:$A$37,0),""))</f>
        <v/>
      </c>
    </row>
    <row r="1746" customFormat="false" ht="15" hidden="false" customHeight="false" outlineLevel="0" collapsed="false">
      <c r="B1746" s="7" t="str">
        <f aca="false">IF(A1746="","",IFERROR(MATCH(A1746,Lists!$A$2:$A$37,0),""))</f>
        <v/>
      </c>
    </row>
    <row r="1747" customFormat="false" ht="15" hidden="false" customHeight="false" outlineLevel="0" collapsed="false">
      <c r="B1747" s="7" t="str">
        <f aca="false">IF(A1747="","",IFERROR(MATCH(A1747,Lists!$A$2:$A$37,0),""))</f>
        <v/>
      </c>
    </row>
    <row r="1748" customFormat="false" ht="15" hidden="false" customHeight="false" outlineLevel="0" collapsed="false">
      <c r="B1748" s="7" t="str">
        <f aca="false">IF(A1748="","",IFERROR(MATCH(A1748,Lists!$A$2:$A$37,0),""))</f>
        <v/>
      </c>
    </row>
    <row r="1749" customFormat="false" ht="15" hidden="false" customHeight="false" outlineLevel="0" collapsed="false">
      <c r="B1749" s="7" t="str">
        <f aca="false">IF(A1749="","",IFERROR(MATCH(A1749,Lists!$A$2:$A$37,0),""))</f>
        <v/>
      </c>
    </row>
    <row r="1750" customFormat="false" ht="15" hidden="false" customHeight="false" outlineLevel="0" collapsed="false">
      <c r="B1750" s="7" t="str">
        <f aca="false">IF(A1750="","",IFERROR(MATCH(A1750,Lists!$A$2:$A$37,0),""))</f>
        <v/>
      </c>
    </row>
    <row r="1751" customFormat="false" ht="15" hidden="false" customHeight="false" outlineLevel="0" collapsed="false">
      <c r="B1751" s="7" t="str">
        <f aca="false">IF(A1751="","",IFERROR(MATCH(A1751,Lists!$A$2:$A$37,0),""))</f>
        <v/>
      </c>
    </row>
    <row r="1752" customFormat="false" ht="15" hidden="false" customHeight="false" outlineLevel="0" collapsed="false">
      <c r="B1752" s="7" t="str">
        <f aca="false">IF(A1752="","",IFERROR(MATCH(A1752,Lists!$A$2:$A$37,0),""))</f>
        <v/>
      </c>
    </row>
    <row r="1753" customFormat="false" ht="15" hidden="false" customHeight="false" outlineLevel="0" collapsed="false">
      <c r="B1753" s="7" t="str">
        <f aca="false">IF(A1753="","",IFERROR(MATCH(A1753,Lists!$A$2:$A$37,0),""))</f>
        <v/>
      </c>
    </row>
    <row r="1754" customFormat="false" ht="15" hidden="false" customHeight="false" outlineLevel="0" collapsed="false">
      <c r="B1754" s="7" t="str">
        <f aca="false">IF(A1754="","",IFERROR(MATCH(A1754,Lists!$A$2:$A$37,0),""))</f>
        <v/>
      </c>
    </row>
    <row r="1755" customFormat="false" ht="15" hidden="false" customHeight="false" outlineLevel="0" collapsed="false">
      <c r="B1755" s="7" t="str">
        <f aca="false">IF(A1755="","",IFERROR(MATCH(A1755,Lists!$A$2:$A$37,0),""))</f>
        <v/>
      </c>
    </row>
    <row r="1756" customFormat="false" ht="15" hidden="false" customHeight="false" outlineLevel="0" collapsed="false">
      <c r="B1756" s="7" t="str">
        <f aca="false">IF(A1756="","",IFERROR(MATCH(A1756,Lists!$A$2:$A$37,0),""))</f>
        <v/>
      </c>
    </row>
    <row r="1757" customFormat="false" ht="15" hidden="false" customHeight="false" outlineLevel="0" collapsed="false">
      <c r="B1757" s="7" t="str">
        <f aca="false">IF(A1757="","",IFERROR(MATCH(A1757,Lists!$A$2:$A$37,0),""))</f>
        <v/>
      </c>
    </row>
    <row r="1758" customFormat="false" ht="15" hidden="false" customHeight="false" outlineLevel="0" collapsed="false">
      <c r="B1758" s="7" t="str">
        <f aca="false">IF(A1758="","",IFERROR(MATCH(A1758,Lists!$A$2:$A$37,0),""))</f>
        <v/>
      </c>
    </row>
    <row r="1759" customFormat="false" ht="15" hidden="false" customHeight="false" outlineLevel="0" collapsed="false">
      <c r="B1759" s="7" t="str">
        <f aca="false">IF(A1759="","",IFERROR(MATCH(A1759,Lists!$A$2:$A$37,0),""))</f>
        <v/>
      </c>
    </row>
    <row r="1760" customFormat="false" ht="15" hidden="false" customHeight="false" outlineLevel="0" collapsed="false">
      <c r="B1760" s="7" t="str">
        <f aca="false">IF(A1760="","",IFERROR(MATCH(A1760,Lists!$A$2:$A$37,0),""))</f>
        <v/>
      </c>
    </row>
    <row r="1761" customFormat="false" ht="15" hidden="false" customHeight="false" outlineLevel="0" collapsed="false">
      <c r="B1761" s="7" t="str">
        <f aca="false">IF(A1761="","",IFERROR(MATCH(A1761,Lists!$A$2:$A$37,0),""))</f>
        <v/>
      </c>
    </row>
    <row r="1762" customFormat="false" ht="15" hidden="false" customHeight="false" outlineLevel="0" collapsed="false">
      <c r="B1762" s="7" t="str">
        <f aca="false">IF(A1762="","",IFERROR(MATCH(A1762,Lists!$A$2:$A$37,0),""))</f>
        <v/>
      </c>
    </row>
    <row r="1763" customFormat="false" ht="15" hidden="false" customHeight="false" outlineLevel="0" collapsed="false">
      <c r="B1763" s="7" t="str">
        <f aca="false">IF(A1763="","",IFERROR(MATCH(A1763,Lists!$A$2:$A$37,0),""))</f>
        <v/>
      </c>
    </row>
    <row r="1764" customFormat="false" ht="15" hidden="false" customHeight="false" outlineLevel="0" collapsed="false">
      <c r="B1764" s="7" t="str">
        <f aca="false">IF(A1764="","",IFERROR(MATCH(A1764,Lists!$A$2:$A$37,0),""))</f>
        <v/>
      </c>
    </row>
    <row r="1765" customFormat="false" ht="15" hidden="false" customHeight="false" outlineLevel="0" collapsed="false">
      <c r="B1765" s="7" t="str">
        <f aca="false">IF(A1765="","",IFERROR(MATCH(A1765,Lists!$A$2:$A$37,0),""))</f>
        <v/>
      </c>
    </row>
    <row r="1766" customFormat="false" ht="15" hidden="false" customHeight="false" outlineLevel="0" collapsed="false">
      <c r="B1766" s="7" t="str">
        <f aca="false">IF(A1766="","",IFERROR(MATCH(A1766,Lists!$A$2:$A$37,0),""))</f>
        <v/>
      </c>
    </row>
    <row r="1767" customFormat="false" ht="15" hidden="false" customHeight="false" outlineLevel="0" collapsed="false">
      <c r="B1767" s="7" t="str">
        <f aca="false">IF(A1767="","",IFERROR(MATCH(A1767,Lists!$A$2:$A$37,0),""))</f>
        <v/>
      </c>
    </row>
    <row r="1768" customFormat="false" ht="15" hidden="false" customHeight="false" outlineLevel="0" collapsed="false">
      <c r="B1768" s="7" t="str">
        <f aca="false">IF(A1768="","",IFERROR(MATCH(A1768,Lists!$A$2:$A$37,0),""))</f>
        <v/>
      </c>
    </row>
    <row r="1769" customFormat="false" ht="15" hidden="false" customHeight="false" outlineLevel="0" collapsed="false">
      <c r="B1769" s="7" t="str">
        <f aca="false">IF(A1769="","",IFERROR(MATCH(A1769,Lists!$A$2:$A$37,0),""))</f>
        <v/>
      </c>
    </row>
    <row r="1770" customFormat="false" ht="15" hidden="false" customHeight="false" outlineLevel="0" collapsed="false">
      <c r="B1770" s="7" t="str">
        <f aca="false">IF(A1770="","",IFERROR(MATCH(A1770,Lists!$A$2:$A$37,0),""))</f>
        <v/>
      </c>
    </row>
    <row r="1771" customFormat="false" ht="15" hidden="false" customHeight="false" outlineLevel="0" collapsed="false">
      <c r="B1771" s="7" t="str">
        <f aca="false">IF(A1771="","",IFERROR(MATCH(A1771,Lists!$A$2:$A$37,0),""))</f>
        <v/>
      </c>
    </row>
    <row r="1772" customFormat="false" ht="15" hidden="false" customHeight="false" outlineLevel="0" collapsed="false">
      <c r="B1772" s="7" t="str">
        <f aca="false">IF(A1772="","",IFERROR(MATCH(A1772,Lists!$A$2:$A$37,0),""))</f>
        <v/>
      </c>
    </row>
    <row r="1773" customFormat="false" ht="15" hidden="false" customHeight="false" outlineLevel="0" collapsed="false">
      <c r="B1773" s="7" t="str">
        <f aca="false">IF(A1773="","",IFERROR(MATCH(A1773,Lists!$A$2:$A$37,0),""))</f>
        <v/>
      </c>
    </row>
    <row r="1774" customFormat="false" ht="15" hidden="false" customHeight="false" outlineLevel="0" collapsed="false">
      <c r="B1774" s="7" t="str">
        <f aca="false">IF(A1774="","",IFERROR(MATCH(A1774,Lists!$A$2:$A$37,0),""))</f>
        <v/>
      </c>
    </row>
    <row r="1775" customFormat="false" ht="15" hidden="false" customHeight="false" outlineLevel="0" collapsed="false">
      <c r="B1775" s="7" t="str">
        <f aca="false">IF(A1775="","",IFERROR(MATCH(A1775,Lists!$A$2:$A$37,0),""))</f>
        <v/>
      </c>
    </row>
    <row r="1776" customFormat="false" ht="15" hidden="false" customHeight="false" outlineLevel="0" collapsed="false">
      <c r="B1776" s="7" t="str">
        <f aca="false">IF(A1776="","",IFERROR(MATCH(A1776,Lists!$A$2:$A$37,0),""))</f>
        <v/>
      </c>
    </row>
    <row r="1777" customFormat="false" ht="15" hidden="false" customHeight="false" outlineLevel="0" collapsed="false">
      <c r="B1777" s="7" t="str">
        <f aca="false">IF(A1777="","",IFERROR(MATCH(A1777,Lists!$A$2:$A$37,0),""))</f>
        <v/>
      </c>
    </row>
    <row r="1778" customFormat="false" ht="15" hidden="false" customHeight="false" outlineLevel="0" collapsed="false">
      <c r="B1778" s="7" t="str">
        <f aca="false">IF(A1778="","",IFERROR(MATCH(A1778,Lists!$A$2:$A$37,0),""))</f>
        <v/>
      </c>
    </row>
    <row r="1779" customFormat="false" ht="15" hidden="false" customHeight="false" outlineLevel="0" collapsed="false">
      <c r="B1779" s="7" t="str">
        <f aca="false">IF(A1779="","",IFERROR(MATCH(A1779,Lists!$A$2:$A$37,0),""))</f>
        <v/>
      </c>
    </row>
    <row r="1780" customFormat="false" ht="15" hidden="false" customHeight="false" outlineLevel="0" collapsed="false">
      <c r="B1780" s="7" t="str">
        <f aca="false">IF(A1780="","",IFERROR(MATCH(A1780,Lists!$A$2:$A$37,0),""))</f>
        <v/>
      </c>
    </row>
    <row r="1781" customFormat="false" ht="15" hidden="false" customHeight="false" outlineLevel="0" collapsed="false">
      <c r="B1781" s="7" t="str">
        <f aca="false">IF(A1781="","",IFERROR(MATCH(A1781,Lists!$A$2:$A$37,0),""))</f>
        <v/>
      </c>
    </row>
    <row r="1782" customFormat="false" ht="15" hidden="false" customHeight="false" outlineLevel="0" collapsed="false">
      <c r="B1782" s="7" t="str">
        <f aca="false">IF(A1782="","",IFERROR(MATCH(A1782,Lists!$A$2:$A$37,0),""))</f>
        <v/>
      </c>
    </row>
    <row r="1783" customFormat="false" ht="15" hidden="false" customHeight="false" outlineLevel="0" collapsed="false">
      <c r="B1783" s="7" t="str">
        <f aca="false">IF(A1783="","",IFERROR(MATCH(A1783,Lists!$A$2:$A$37,0),""))</f>
        <v/>
      </c>
    </row>
    <row r="1784" customFormat="false" ht="15" hidden="false" customHeight="false" outlineLevel="0" collapsed="false">
      <c r="B1784" s="7" t="str">
        <f aca="false">IF(A1784="","",IFERROR(MATCH(A1784,Lists!$A$2:$A$37,0),""))</f>
        <v/>
      </c>
    </row>
    <row r="1785" customFormat="false" ht="15" hidden="false" customHeight="false" outlineLevel="0" collapsed="false">
      <c r="B1785" s="7" t="str">
        <f aca="false">IF(A1785="","",IFERROR(MATCH(A1785,Lists!$A$2:$A$37,0),""))</f>
        <v/>
      </c>
    </row>
    <row r="1786" customFormat="false" ht="15" hidden="false" customHeight="false" outlineLevel="0" collapsed="false">
      <c r="B1786" s="7" t="str">
        <f aca="false">IF(A1786="","",IFERROR(MATCH(A1786,Lists!$A$2:$A$37,0),""))</f>
        <v/>
      </c>
    </row>
    <row r="1787" customFormat="false" ht="15" hidden="false" customHeight="false" outlineLevel="0" collapsed="false">
      <c r="B1787" s="7" t="str">
        <f aca="false">IF(A1787="","",IFERROR(MATCH(A1787,Lists!$A$2:$A$37,0),""))</f>
        <v/>
      </c>
    </row>
    <row r="1788" customFormat="false" ht="15" hidden="false" customHeight="false" outlineLevel="0" collapsed="false">
      <c r="B1788" s="7" t="str">
        <f aca="false">IF(A1788="","",IFERROR(MATCH(A1788,Lists!$A$2:$A$37,0),""))</f>
        <v/>
      </c>
    </row>
    <row r="1789" customFormat="false" ht="15" hidden="false" customHeight="false" outlineLevel="0" collapsed="false">
      <c r="B1789" s="7" t="str">
        <f aca="false">IF(A1789="","",IFERROR(MATCH(A1789,Lists!$A$2:$A$37,0),""))</f>
        <v/>
      </c>
    </row>
    <row r="1790" customFormat="false" ht="15" hidden="false" customHeight="false" outlineLevel="0" collapsed="false">
      <c r="B1790" s="7" t="str">
        <f aca="false">IF(A1790="","",IFERROR(MATCH(A1790,Lists!$A$2:$A$37,0),""))</f>
        <v/>
      </c>
    </row>
    <row r="1791" customFormat="false" ht="15" hidden="false" customHeight="false" outlineLevel="0" collapsed="false">
      <c r="B1791" s="7" t="str">
        <f aca="false">IF(A1791="","",IFERROR(MATCH(A1791,Lists!$A$2:$A$37,0),""))</f>
        <v/>
      </c>
    </row>
    <row r="1792" customFormat="false" ht="15" hidden="false" customHeight="false" outlineLevel="0" collapsed="false">
      <c r="B1792" s="7" t="str">
        <f aca="false">IF(A1792="","",IFERROR(MATCH(A1792,Lists!$A$2:$A$37,0),""))</f>
        <v/>
      </c>
    </row>
    <row r="1793" customFormat="false" ht="15" hidden="false" customHeight="false" outlineLevel="0" collapsed="false">
      <c r="B1793" s="7" t="str">
        <f aca="false">IF(A1793="","",IFERROR(MATCH(A1793,Lists!$A$2:$A$37,0),""))</f>
        <v/>
      </c>
    </row>
    <row r="1794" customFormat="false" ht="15" hidden="false" customHeight="false" outlineLevel="0" collapsed="false">
      <c r="B1794" s="7" t="str">
        <f aca="false">IF(A1794="","",IFERROR(MATCH(A1794,Lists!$A$2:$A$37,0),""))</f>
        <v/>
      </c>
    </row>
    <row r="1795" customFormat="false" ht="15" hidden="false" customHeight="false" outlineLevel="0" collapsed="false">
      <c r="B1795" s="7" t="str">
        <f aca="false">IF(A1795="","",IFERROR(MATCH(A1795,Lists!$A$2:$A$37,0),""))</f>
        <v/>
      </c>
    </row>
    <row r="1796" customFormat="false" ht="15" hidden="false" customHeight="false" outlineLevel="0" collapsed="false">
      <c r="B1796" s="7" t="str">
        <f aca="false">IF(A1796="","",IFERROR(MATCH(A1796,Lists!$A$2:$A$37,0),""))</f>
        <v/>
      </c>
    </row>
    <row r="1797" customFormat="false" ht="15" hidden="false" customHeight="false" outlineLevel="0" collapsed="false">
      <c r="B1797" s="7" t="str">
        <f aca="false">IF(A1797="","",IFERROR(MATCH(A1797,Lists!$A$2:$A$37,0),""))</f>
        <v/>
      </c>
    </row>
    <row r="1798" customFormat="false" ht="15" hidden="false" customHeight="false" outlineLevel="0" collapsed="false">
      <c r="B1798" s="7" t="str">
        <f aca="false">IF(A1798="","",IFERROR(MATCH(A1798,Lists!$A$2:$A$37,0),""))</f>
        <v/>
      </c>
    </row>
    <row r="1799" customFormat="false" ht="15" hidden="false" customHeight="false" outlineLevel="0" collapsed="false">
      <c r="B1799" s="7" t="str">
        <f aca="false">IF(A1799="","",IFERROR(MATCH(A1799,Lists!$A$2:$A$37,0),""))</f>
        <v/>
      </c>
    </row>
    <row r="1800" customFormat="false" ht="15" hidden="false" customHeight="false" outlineLevel="0" collapsed="false">
      <c r="B1800" s="7" t="str">
        <f aca="false">IF(A1800="","",IFERROR(MATCH(A1800,Lists!$A$2:$A$37,0),""))</f>
        <v/>
      </c>
    </row>
    <row r="1801" customFormat="false" ht="15" hidden="false" customHeight="false" outlineLevel="0" collapsed="false">
      <c r="B1801" s="7" t="str">
        <f aca="false">IF(A1801="","",IFERROR(MATCH(A1801,Lists!$A$2:$A$37,0),""))</f>
        <v/>
      </c>
    </row>
    <row r="1802" customFormat="false" ht="15" hidden="false" customHeight="false" outlineLevel="0" collapsed="false">
      <c r="B1802" s="7" t="str">
        <f aca="false">IF(A1802="","",IFERROR(MATCH(A1802,Lists!$A$2:$A$37,0),""))</f>
        <v/>
      </c>
    </row>
    <row r="1803" customFormat="false" ht="15" hidden="false" customHeight="false" outlineLevel="0" collapsed="false">
      <c r="B1803" s="7" t="str">
        <f aca="false">IF(A1803="","",IFERROR(MATCH(A1803,Lists!$A$2:$A$37,0),""))</f>
        <v/>
      </c>
    </row>
    <row r="1804" customFormat="false" ht="15" hidden="false" customHeight="false" outlineLevel="0" collapsed="false">
      <c r="B1804" s="7" t="str">
        <f aca="false">IF(A1804="","",IFERROR(MATCH(A1804,Lists!$A$2:$A$37,0),""))</f>
        <v/>
      </c>
    </row>
    <row r="1805" customFormat="false" ht="15" hidden="false" customHeight="false" outlineLevel="0" collapsed="false">
      <c r="B1805" s="7" t="str">
        <f aca="false">IF(A1805="","",IFERROR(MATCH(A1805,Lists!$A$2:$A$37,0),""))</f>
        <v/>
      </c>
    </row>
    <row r="1806" customFormat="false" ht="15" hidden="false" customHeight="false" outlineLevel="0" collapsed="false">
      <c r="B1806" s="7" t="str">
        <f aca="false">IF(A1806="","",IFERROR(MATCH(A1806,Lists!$A$2:$A$37,0),""))</f>
        <v/>
      </c>
    </row>
    <row r="1807" customFormat="false" ht="15" hidden="false" customHeight="false" outlineLevel="0" collapsed="false">
      <c r="B1807" s="7" t="str">
        <f aca="false">IF(A1807="","",IFERROR(MATCH(A1807,Lists!$A$2:$A$37,0),""))</f>
        <v/>
      </c>
    </row>
    <row r="1808" customFormat="false" ht="15" hidden="false" customHeight="false" outlineLevel="0" collapsed="false">
      <c r="B1808" s="7" t="str">
        <f aca="false">IF(A1808="","",IFERROR(MATCH(A1808,Lists!$A$2:$A$37,0),""))</f>
        <v/>
      </c>
    </row>
    <row r="1809" customFormat="false" ht="15" hidden="false" customHeight="false" outlineLevel="0" collapsed="false">
      <c r="B1809" s="7" t="str">
        <f aca="false">IF(A1809="","",IFERROR(MATCH(A1809,Lists!$A$2:$A$37,0),""))</f>
        <v/>
      </c>
    </row>
    <row r="1810" customFormat="false" ht="15" hidden="false" customHeight="false" outlineLevel="0" collapsed="false">
      <c r="B1810" s="7" t="str">
        <f aca="false">IF(A1810="","",IFERROR(MATCH(A1810,Lists!$A$2:$A$37,0),""))</f>
        <v/>
      </c>
    </row>
    <row r="1811" customFormat="false" ht="15" hidden="false" customHeight="false" outlineLevel="0" collapsed="false">
      <c r="B1811" s="7" t="str">
        <f aca="false">IF(A1811="","",IFERROR(MATCH(A1811,Lists!$A$2:$A$37,0),""))</f>
        <v/>
      </c>
    </row>
    <row r="1812" customFormat="false" ht="15" hidden="false" customHeight="false" outlineLevel="0" collapsed="false">
      <c r="B1812" s="7" t="str">
        <f aca="false">IF(A1812="","",IFERROR(MATCH(A1812,Lists!$A$2:$A$37,0),""))</f>
        <v/>
      </c>
    </row>
    <row r="1813" customFormat="false" ht="15" hidden="false" customHeight="false" outlineLevel="0" collapsed="false">
      <c r="B1813" s="7" t="str">
        <f aca="false">IF(A1813="","",IFERROR(MATCH(A1813,Lists!$A$2:$A$37,0),""))</f>
        <v/>
      </c>
    </row>
    <row r="1814" customFormat="false" ht="15" hidden="false" customHeight="false" outlineLevel="0" collapsed="false">
      <c r="B1814" s="7" t="str">
        <f aca="false">IF(A1814="","",IFERROR(MATCH(A1814,Lists!$A$2:$A$37,0),""))</f>
        <v/>
      </c>
    </row>
    <row r="1815" customFormat="false" ht="15" hidden="false" customHeight="false" outlineLevel="0" collapsed="false">
      <c r="B1815" s="7" t="str">
        <f aca="false">IF(A1815="","",IFERROR(MATCH(A1815,Lists!$A$2:$A$37,0),""))</f>
        <v/>
      </c>
    </row>
    <row r="1816" customFormat="false" ht="15" hidden="false" customHeight="false" outlineLevel="0" collapsed="false">
      <c r="B1816" s="7" t="str">
        <f aca="false">IF(A1816="","",IFERROR(MATCH(A1816,Lists!$A$2:$A$37,0),""))</f>
        <v/>
      </c>
    </row>
    <row r="1817" customFormat="false" ht="15" hidden="false" customHeight="false" outlineLevel="0" collapsed="false">
      <c r="B1817" s="7" t="str">
        <f aca="false">IF(A1817="","",IFERROR(MATCH(A1817,Lists!$A$2:$A$37,0),""))</f>
        <v/>
      </c>
    </row>
    <row r="1818" customFormat="false" ht="15" hidden="false" customHeight="false" outlineLevel="0" collapsed="false">
      <c r="B1818" s="7" t="str">
        <f aca="false">IF(A1818="","",IFERROR(MATCH(A1818,Lists!$A$2:$A$37,0),""))</f>
        <v/>
      </c>
    </row>
    <row r="1819" customFormat="false" ht="15" hidden="false" customHeight="false" outlineLevel="0" collapsed="false">
      <c r="B1819" s="7" t="str">
        <f aca="false">IF(A1819="","",IFERROR(MATCH(A1819,Lists!$A$2:$A$37,0),""))</f>
        <v/>
      </c>
    </row>
    <row r="1820" customFormat="false" ht="15" hidden="false" customHeight="false" outlineLevel="0" collapsed="false">
      <c r="B1820" s="7" t="str">
        <f aca="false">IF(A1820="","",IFERROR(MATCH(A1820,Lists!$A$2:$A$37,0),""))</f>
        <v/>
      </c>
    </row>
    <row r="1821" customFormat="false" ht="15" hidden="false" customHeight="false" outlineLevel="0" collapsed="false">
      <c r="B1821" s="7" t="str">
        <f aca="false">IF(A1821="","",IFERROR(MATCH(A1821,Lists!$A$2:$A$37,0),""))</f>
        <v/>
      </c>
    </row>
    <row r="1822" customFormat="false" ht="15" hidden="false" customHeight="false" outlineLevel="0" collapsed="false">
      <c r="B1822" s="7" t="str">
        <f aca="false">IF(A1822="","",IFERROR(MATCH(A1822,Lists!$A$2:$A$37,0),""))</f>
        <v/>
      </c>
    </row>
    <row r="1823" customFormat="false" ht="15" hidden="false" customHeight="false" outlineLevel="0" collapsed="false">
      <c r="B1823" s="7" t="str">
        <f aca="false">IF(A1823="","",IFERROR(MATCH(A1823,Lists!$A$2:$A$37,0),""))</f>
        <v/>
      </c>
    </row>
    <row r="1824" customFormat="false" ht="15" hidden="false" customHeight="false" outlineLevel="0" collapsed="false">
      <c r="B1824" s="7" t="str">
        <f aca="false">IF(A1824="","",IFERROR(MATCH(A1824,Lists!$A$2:$A$37,0),""))</f>
        <v/>
      </c>
    </row>
    <row r="1825" customFormat="false" ht="15" hidden="false" customHeight="false" outlineLevel="0" collapsed="false">
      <c r="B1825" s="7" t="str">
        <f aca="false">IF(A1825="","",IFERROR(MATCH(A1825,Lists!$A$2:$A$37,0),""))</f>
        <v/>
      </c>
    </row>
    <row r="1826" customFormat="false" ht="15" hidden="false" customHeight="false" outlineLevel="0" collapsed="false">
      <c r="B1826" s="7" t="str">
        <f aca="false">IF(A1826="","",IFERROR(MATCH(A1826,Lists!$A$2:$A$37,0),""))</f>
        <v/>
      </c>
    </row>
    <row r="1827" customFormat="false" ht="15" hidden="false" customHeight="false" outlineLevel="0" collapsed="false">
      <c r="B1827" s="7" t="str">
        <f aca="false">IF(A1827="","",IFERROR(MATCH(A1827,Lists!$A$2:$A$37,0),""))</f>
        <v/>
      </c>
    </row>
    <row r="1828" customFormat="false" ht="15" hidden="false" customHeight="false" outlineLevel="0" collapsed="false">
      <c r="B1828" s="7" t="str">
        <f aca="false">IF(A1828="","",IFERROR(MATCH(A1828,Lists!$A$2:$A$37,0),""))</f>
        <v/>
      </c>
    </row>
    <row r="1829" customFormat="false" ht="15" hidden="false" customHeight="false" outlineLevel="0" collapsed="false">
      <c r="B1829" s="7" t="str">
        <f aca="false">IF(A1829="","",IFERROR(MATCH(A1829,Lists!$A$2:$A$37,0),""))</f>
        <v/>
      </c>
    </row>
    <row r="1830" customFormat="false" ht="15" hidden="false" customHeight="false" outlineLevel="0" collapsed="false">
      <c r="B1830" s="7" t="str">
        <f aca="false">IF(A1830="","",IFERROR(MATCH(A1830,Lists!$A$2:$A$37,0),""))</f>
        <v/>
      </c>
    </row>
    <row r="1831" customFormat="false" ht="15" hidden="false" customHeight="false" outlineLevel="0" collapsed="false">
      <c r="B1831" s="7" t="str">
        <f aca="false">IF(A1831="","",IFERROR(MATCH(A1831,Lists!$A$2:$A$37,0),""))</f>
        <v/>
      </c>
    </row>
    <row r="1832" customFormat="false" ht="15" hidden="false" customHeight="false" outlineLevel="0" collapsed="false">
      <c r="B1832" s="7" t="str">
        <f aca="false">IF(A1832="","",IFERROR(MATCH(A1832,Lists!$A$2:$A$37,0),""))</f>
        <v/>
      </c>
    </row>
    <row r="1833" customFormat="false" ht="15" hidden="false" customHeight="false" outlineLevel="0" collapsed="false">
      <c r="B1833" s="7" t="str">
        <f aca="false">IF(A1833="","",IFERROR(MATCH(A1833,Lists!$A$2:$A$37,0),""))</f>
        <v/>
      </c>
    </row>
    <row r="1834" customFormat="false" ht="15" hidden="false" customHeight="false" outlineLevel="0" collapsed="false">
      <c r="B1834" s="7" t="str">
        <f aca="false">IF(A1834="","",IFERROR(MATCH(A1834,Lists!$A$2:$A$37,0),""))</f>
        <v/>
      </c>
    </row>
    <row r="1835" customFormat="false" ht="15" hidden="false" customHeight="false" outlineLevel="0" collapsed="false">
      <c r="B1835" s="7" t="str">
        <f aca="false">IF(A1835="","",IFERROR(MATCH(A1835,Lists!$A$2:$A$37,0),""))</f>
        <v/>
      </c>
    </row>
    <row r="1836" customFormat="false" ht="15" hidden="false" customHeight="false" outlineLevel="0" collapsed="false">
      <c r="B1836" s="7" t="str">
        <f aca="false">IF(A1836="","",IFERROR(MATCH(A1836,Lists!$A$2:$A$37,0),""))</f>
        <v/>
      </c>
    </row>
    <row r="1837" customFormat="false" ht="15" hidden="false" customHeight="false" outlineLevel="0" collapsed="false">
      <c r="B1837" s="7" t="str">
        <f aca="false">IF(A1837="","",IFERROR(MATCH(A1837,Lists!$A$2:$A$37,0),""))</f>
        <v/>
      </c>
    </row>
    <row r="1838" customFormat="false" ht="15" hidden="false" customHeight="false" outlineLevel="0" collapsed="false">
      <c r="B1838" s="7" t="str">
        <f aca="false">IF(A1838="","",IFERROR(MATCH(A1838,Lists!$A$2:$A$37,0),""))</f>
        <v/>
      </c>
    </row>
    <row r="1839" customFormat="false" ht="15" hidden="false" customHeight="false" outlineLevel="0" collapsed="false">
      <c r="B1839" s="7" t="str">
        <f aca="false">IF(A1839="","",IFERROR(MATCH(A1839,Lists!$A$2:$A$37,0),""))</f>
        <v/>
      </c>
    </row>
    <row r="1840" customFormat="false" ht="15" hidden="false" customHeight="false" outlineLevel="0" collapsed="false">
      <c r="B1840" s="7" t="str">
        <f aca="false">IF(A1840="","",IFERROR(MATCH(A1840,Lists!$A$2:$A$37,0),""))</f>
        <v/>
      </c>
    </row>
    <row r="1841" customFormat="false" ht="15" hidden="false" customHeight="false" outlineLevel="0" collapsed="false">
      <c r="B1841" s="7" t="str">
        <f aca="false">IF(A1841="","",IFERROR(MATCH(A1841,Lists!$A$2:$A$37,0),""))</f>
        <v/>
      </c>
    </row>
    <row r="1842" customFormat="false" ht="15" hidden="false" customHeight="false" outlineLevel="0" collapsed="false">
      <c r="B1842" s="7" t="str">
        <f aca="false">IF(A1842="","",IFERROR(MATCH(A1842,Lists!$A$2:$A$37,0),""))</f>
        <v/>
      </c>
    </row>
    <row r="1843" customFormat="false" ht="15" hidden="false" customHeight="false" outlineLevel="0" collapsed="false">
      <c r="B1843" s="7" t="str">
        <f aca="false">IF(A1843="","",IFERROR(MATCH(A1843,Lists!$A$2:$A$37,0),""))</f>
        <v/>
      </c>
    </row>
    <row r="1844" customFormat="false" ht="15" hidden="false" customHeight="false" outlineLevel="0" collapsed="false">
      <c r="B1844" s="7" t="str">
        <f aca="false">IF(A1844="","",IFERROR(MATCH(A1844,Lists!$A$2:$A$37,0),""))</f>
        <v/>
      </c>
    </row>
    <row r="1845" customFormat="false" ht="15" hidden="false" customHeight="false" outlineLevel="0" collapsed="false">
      <c r="B1845" s="7" t="str">
        <f aca="false">IF(A1845="","",IFERROR(MATCH(A1845,Lists!$A$2:$A$37,0),""))</f>
        <v/>
      </c>
    </row>
    <row r="1846" customFormat="false" ht="15" hidden="false" customHeight="false" outlineLevel="0" collapsed="false">
      <c r="B1846" s="7" t="str">
        <f aca="false">IF(A1846="","",IFERROR(MATCH(A1846,Lists!$A$2:$A$37,0),""))</f>
        <v/>
      </c>
    </row>
    <row r="1847" customFormat="false" ht="15" hidden="false" customHeight="false" outlineLevel="0" collapsed="false">
      <c r="B1847" s="7" t="str">
        <f aca="false">IF(A1847="","",IFERROR(MATCH(A1847,Lists!$A$2:$A$37,0),""))</f>
        <v/>
      </c>
    </row>
    <row r="1848" customFormat="false" ht="15" hidden="false" customHeight="false" outlineLevel="0" collapsed="false">
      <c r="B1848" s="7" t="str">
        <f aca="false">IF(A1848="","",IFERROR(MATCH(A1848,Lists!$A$2:$A$37,0),""))</f>
        <v/>
      </c>
    </row>
    <row r="1849" customFormat="false" ht="15" hidden="false" customHeight="false" outlineLevel="0" collapsed="false">
      <c r="B1849" s="7" t="str">
        <f aca="false">IF(A1849="","",IFERROR(MATCH(A1849,Lists!$A$2:$A$37,0),""))</f>
        <v/>
      </c>
    </row>
    <row r="1850" customFormat="false" ht="15" hidden="false" customHeight="false" outlineLevel="0" collapsed="false">
      <c r="B1850" s="7" t="str">
        <f aca="false">IF(A1850="","",IFERROR(MATCH(A1850,Lists!$A$2:$A$37,0),""))</f>
        <v/>
      </c>
    </row>
    <row r="1851" customFormat="false" ht="15" hidden="false" customHeight="false" outlineLevel="0" collapsed="false">
      <c r="B1851" s="7" t="str">
        <f aca="false">IF(A1851="","",IFERROR(MATCH(A1851,Lists!$A$2:$A$37,0),""))</f>
        <v/>
      </c>
    </row>
    <row r="1852" customFormat="false" ht="15" hidden="false" customHeight="false" outlineLevel="0" collapsed="false">
      <c r="B1852" s="7" t="str">
        <f aca="false">IF(A1852="","",IFERROR(MATCH(A1852,Lists!$A$2:$A$37,0),""))</f>
        <v/>
      </c>
    </row>
    <row r="1853" customFormat="false" ht="15" hidden="false" customHeight="false" outlineLevel="0" collapsed="false">
      <c r="B1853" s="7" t="str">
        <f aca="false">IF(A1853="","",IFERROR(MATCH(A1853,Lists!$A$2:$A$37,0),""))</f>
        <v/>
      </c>
    </row>
    <row r="1854" customFormat="false" ht="15" hidden="false" customHeight="false" outlineLevel="0" collapsed="false">
      <c r="B1854" s="7" t="str">
        <f aca="false">IF(A1854="","",IFERROR(MATCH(A1854,Lists!$A$2:$A$37,0),""))</f>
        <v/>
      </c>
    </row>
    <row r="1855" customFormat="false" ht="15" hidden="false" customHeight="false" outlineLevel="0" collapsed="false">
      <c r="B1855" s="7" t="str">
        <f aca="false">IF(A1855="","",IFERROR(MATCH(A1855,Lists!$A$2:$A$37,0),""))</f>
        <v/>
      </c>
    </row>
    <row r="1856" customFormat="false" ht="15" hidden="false" customHeight="false" outlineLevel="0" collapsed="false">
      <c r="B1856" s="7" t="str">
        <f aca="false">IF(A1856="","",IFERROR(MATCH(A1856,Lists!$A$2:$A$37,0),""))</f>
        <v/>
      </c>
    </row>
    <row r="1857" customFormat="false" ht="15" hidden="false" customHeight="false" outlineLevel="0" collapsed="false">
      <c r="B1857" s="7" t="str">
        <f aca="false">IF(A1857="","",IFERROR(MATCH(A1857,Lists!$A$2:$A$37,0),""))</f>
        <v/>
      </c>
    </row>
    <row r="1858" customFormat="false" ht="15" hidden="false" customHeight="false" outlineLevel="0" collapsed="false">
      <c r="B1858" s="7" t="str">
        <f aca="false">IF(A1858="","",IFERROR(MATCH(A1858,Lists!$A$2:$A$37,0),""))</f>
        <v/>
      </c>
    </row>
    <row r="1859" customFormat="false" ht="15" hidden="false" customHeight="false" outlineLevel="0" collapsed="false">
      <c r="B1859" s="7" t="str">
        <f aca="false">IF(A1859="","",IFERROR(MATCH(A1859,Lists!$A$2:$A$37,0),""))</f>
        <v/>
      </c>
    </row>
    <row r="1860" customFormat="false" ht="15" hidden="false" customHeight="false" outlineLevel="0" collapsed="false">
      <c r="B1860" s="7" t="str">
        <f aca="false">IF(A1860="","",IFERROR(MATCH(A1860,Lists!$A$2:$A$37,0),""))</f>
        <v/>
      </c>
    </row>
    <row r="1861" customFormat="false" ht="15" hidden="false" customHeight="false" outlineLevel="0" collapsed="false">
      <c r="B1861" s="7" t="str">
        <f aca="false">IF(A1861="","",IFERROR(MATCH(A1861,Lists!$A$2:$A$37,0),""))</f>
        <v/>
      </c>
    </row>
    <row r="1862" customFormat="false" ht="15" hidden="false" customHeight="false" outlineLevel="0" collapsed="false">
      <c r="B1862" s="7" t="str">
        <f aca="false">IF(A1862="","",IFERROR(MATCH(A1862,Lists!$A$2:$A$37,0),""))</f>
        <v/>
      </c>
    </row>
    <row r="1863" customFormat="false" ht="15" hidden="false" customHeight="false" outlineLevel="0" collapsed="false">
      <c r="B1863" s="7" t="str">
        <f aca="false">IF(A1863="","",IFERROR(MATCH(A1863,Lists!$A$2:$A$37,0),""))</f>
        <v/>
      </c>
    </row>
    <row r="1864" customFormat="false" ht="15" hidden="false" customHeight="false" outlineLevel="0" collapsed="false">
      <c r="B1864" s="7" t="str">
        <f aca="false">IF(A1864="","",IFERROR(MATCH(A1864,Lists!$A$2:$A$37,0),""))</f>
        <v/>
      </c>
    </row>
    <row r="1865" customFormat="false" ht="15" hidden="false" customHeight="false" outlineLevel="0" collapsed="false">
      <c r="B1865" s="7" t="str">
        <f aca="false">IF(A1865="","",IFERROR(MATCH(A1865,Lists!$A$2:$A$37,0),""))</f>
        <v/>
      </c>
    </row>
    <row r="1866" customFormat="false" ht="15" hidden="false" customHeight="false" outlineLevel="0" collapsed="false">
      <c r="B1866" s="7" t="str">
        <f aca="false">IF(A1866="","",IFERROR(MATCH(A1866,Lists!$A$2:$A$37,0),""))</f>
        <v/>
      </c>
    </row>
    <row r="1867" customFormat="false" ht="15" hidden="false" customHeight="false" outlineLevel="0" collapsed="false">
      <c r="B1867" s="7" t="str">
        <f aca="false">IF(A1867="","",IFERROR(MATCH(A1867,Lists!$A$2:$A$37,0),""))</f>
        <v/>
      </c>
    </row>
    <row r="1868" customFormat="false" ht="15" hidden="false" customHeight="false" outlineLevel="0" collapsed="false">
      <c r="B1868" s="7" t="str">
        <f aca="false">IF(A1868="","",IFERROR(MATCH(A1868,Lists!$A$2:$A$37,0),""))</f>
        <v/>
      </c>
    </row>
    <row r="1869" customFormat="false" ht="15" hidden="false" customHeight="false" outlineLevel="0" collapsed="false">
      <c r="B1869" s="7" t="str">
        <f aca="false">IF(A1869="","",IFERROR(MATCH(A1869,Lists!$A$2:$A$37,0),""))</f>
        <v/>
      </c>
    </row>
    <row r="1870" customFormat="false" ht="15" hidden="false" customHeight="false" outlineLevel="0" collapsed="false">
      <c r="B1870" s="7" t="str">
        <f aca="false">IF(A1870="","",IFERROR(MATCH(A1870,Lists!$A$2:$A$37,0),""))</f>
        <v/>
      </c>
    </row>
    <row r="1871" customFormat="false" ht="15" hidden="false" customHeight="false" outlineLevel="0" collapsed="false">
      <c r="B1871" s="7" t="str">
        <f aca="false">IF(A1871="","",IFERROR(MATCH(A1871,Lists!$A$2:$A$37,0),""))</f>
        <v/>
      </c>
    </row>
    <row r="1872" customFormat="false" ht="15" hidden="false" customHeight="false" outlineLevel="0" collapsed="false">
      <c r="B1872" s="7" t="str">
        <f aca="false">IF(A1872="","",IFERROR(MATCH(A1872,Lists!$A$2:$A$37,0),""))</f>
        <v/>
      </c>
    </row>
    <row r="1873" customFormat="false" ht="15" hidden="false" customHeight="false" outlineLevel="0" collapsed="false">
      <c r="B1873" s="7" t="str">
        <f aca="false">IF(A1873="","",IFERROR(MATCH(A1873,Lists!$A$2:$A$37,0),""))</f>
        <v/>
      </c>
    </row>
    <row r="1874" customFormat="false" ht="15" hidden="false" customHeight="false" outlineLevel="0" collapsed="false">
      <c r="B1874" s="7" t="str">
        <f aca="false">IF(A1874="","",IFERROR(MATCH(A1874,Lists!$A$2:$A$37,0),""))</f>
        <v/>
      </c>
    </row>
    <row r="1875" customFormat="false" ht="15" hidden="false" customHeight="false" outlineLevel="0" collapsed="false">
      <c r="B1875" s="7" t="str">
        <f aca="false">IF(A1875="","",IFERROR(MATCH(A1875,Lists!$A$2:$A$37,0),""))</f>
        <v/>
      </c>
    </row>
    <row r="1876" customFormat="false" ht="15" hidden="false" customHeight="false" outlineLevel="0" collapsed="false">
      <c r="B1876" s="7" t="str">
        <f aca="false">IF(A1876="","",IFERROR(MATCH(A1876,Lists!$A$2:$A$37,0),""))</f>
        <v/>
      </c>
    </row>
    <row r="1877" customFormat="false" ht="15" hidden="false" customHeight="false" outlineLevel="0" collapsed="false">
      <c r="B1877" s="7" t="str">
        <f aca="false">IF(A1877="","",IFERROR(MATCH(A1877,Lists!$A$2:$A$37,0),""))</f>
        <v/>
      </c>
    </row>
    <row r="1878" customFormat="false" ht="15" hidden="false" customHeight="false" outlineLevel="0" collapsed="false">
      <c r="B1878" s="7" t="str">
        <f aca="false">IF(A1878="","",IFERROR(MATCH(A1878,Lists!$A$2:$A$37,0),""))</f>
        <v/>
      </c>
    </row>
    <row r="1879" customFormat="false" ht="15" hidden="false" customHeight="false" outlineLevel="0" collapsed="false">
      <c r="B1879" s="7" t="str">
        <f aca="false">IF(A1879="","",IFERROR(MATCH(A1879,Lists!$A$2:$A$37,0),""))</f>
        <v/>
      </c>
    </row>
    <row r="1880" customFormat="false" ht="15" hidden="false" customHeight="false" outlineLevel="0" collapsed="false">
      <c r="B1880" s="7" t="str">
        <f aca="false">IF(A1880="","",IFERROR(MATCH(A1880,Lists!$A$2:$A$37,0),""))</f>
        <v/>
      </c>
    </row>
    <row r="1881" customFormat="false" ht="15" hidden="false" customHeight="false" outlineLevel="0" collapsed="false">
      <c r="B1881" s="7" t="str">
        <f aca="false">IF(A1881="","",IFERROR(MATCH(A1881,Lists!$A$2:$A$37,0),""))</f>
        <v/>
      </c>
    </row>
    <row r="1882" customFormat="false" ht="15" hidden="false" customHeight="false" outlineLevel="0" collapsed="false">
      <c r="B1882" s="7" t="str">
        <f aca="false">IF(A1882="","",IFERROR(MATCH(A1882,Lists!$A$2:$A$37,0),""))</f>
        <v/>
      </c>
    </row>
    <row r="1883" customFormat="false" ht="15" hidden="false" customHeight="false" outlineLevel="0" collapsed="false">
      <c r="B1883" s="7" t="str">
        <f aca="false">IF(A1883="","",IFERROR(MATCH(A1883,Lists!$A$2:$A$37,0),""))</f>
        <v/>
      </c>
    </row>
    <row r="1884" customFormat="false" ht="15" hidden="false" customHeight="false" outlineLevel="0" collapsed="false">
      <c r="B1884" s="7" t="str">
        <f aca="false">IF(A1884="","",IFERROR(MATCH(A1884,Lists!$A$2:$A$37,0),""))</f>
        <v/>
      </c>
    </row>
    <row r="1885" customFormat="false" ht="15" hidden="false" customHeight="false" outlineLevel="0" collapsed="false">
      <c r="B1885" s="7" t="str">
        <f aca="false">IF(A1885="","",IFERROR(MATCH(A1885,Lists!$A$2:$A$37,0),""))</f>
        <v/>
      </c>
    </row>
    <row r="1886" customFormat="false" ht="15" hidden="false" customHeight="false" outlineLevel="0" collapsed="false">
      <c r="B1886" s="7" t="str">
        <f aca="false">IF(A1886="","",IFERROR(MATCH(A1886,Lists!$A$2:$A$37,0),""))</f>
        <v/>
      </c>
    </row>
    <row r="1887" customFormat="false" ht="15" hidden="false" customHeight="false" outlineLevel="0" collapsed="false">
      <c r="B1887" s="7" t="str">
        <f aca="false">IF(A1887="","",IFERROR(MATCH(A1887,Lists!$A$2:$A$37,0),""))</f>
        <v/>
      </c>
    </row>
    <row r="1888" customFormat="false" ht="15" hidden="false" customHeight="false" outlineLevel="0" collapsed="false">
      <c r="B1888" s="7" t="str">
        <f aca="false">IF(A1888="","",IFERROR(MATCH(A1888,Lists!$A$2:$A$37,0),""))</f>
        <v/>
      </c>
    </row>
    <row r="1889" customFormat="false" ht="15" hidden="false" customHeight="false" outlineLevel="0" collapsed="false">
      <c r="B1889" s="7" t="str">
        <f aca="false">IF(A1889="","",IFERROR(MATCH(A1889,Lists!$A$2:$A$37,0),""))</f>
        <v/>
      </c>
    </row>
    <row r="1890" customFormat="false" ht="15" hidden="false" customHeight="false" outlineLevel="0" collapsed="false">
      <c r="B1890" s="7" t="str">
        <f aca="false">IF(A1890="","",IFERROR(MATCH(A1890,Lists!$A$2:$A$37,0),""))</f>
        <v/>
      </c>
    </row>
    <row r="1891" customFormat="false" ht="15" hidden="false" customHeight="false" outlineLevel="0" collapsed="false">
      <c r="B1891" s="7" t="str">
        <f aca="false">IF(A1891="","",IFERROR(MATCH(A1891,Lists!$A$2:$A$37,0),""))</f>
        <v/>
      </c>
    </row>
    <row r="1892" customFormat="false" ht="15" hidden="false" customHeight="false" outlineLevel="0" collapsed="false">
      <c r="B1892" s="7" t="str">
        <f aca="false">IF(A1892="","",IFERROR(MATCH(A1892,Lists!$A$2:$A$37,0),""))</f>
        <v/>
      </c>
    </row>
    <row r="1893" customFormat="false" ht="15" hidden="false" customHeight="false" outlineLevel="0" collapsed="false">
      <c r="B1893" s="7" t="str">
        <f aca="false">IF(A1893="","",IFERROR(MATCH(A1893,Lists!$A$2:$A$37,0),""))</f>
        <v/>
      </c>
    </row>
    <row r="1894" customFormat="false" ht="15" hidden="false" customHeight="false" outlineLevel="0" collapsed="false">
      <c r="B1894" s="7" t="str">
        <f aca="false">IF(A1894="","",IFERROR(MATCH(A1894,Lists!$A$2:$A$37,0),""))</f>
        <v/>
      </c>
    </row>
    <row r="1895" customFormat="false" ht="15" hidden="false" customHeight="false" outlineLevel="0" collapsed="false">
      <c r="B1895" s="7" t="str">
        <f aca="false">IF(A1895="","",IFERROR(MATCH(A1895,Lists!$A$2:$A$37,0),""))</f>
        <v/>
      </c>
    </row>
    <row r="1896" customFormat="false" ht="15" hidden="false" customHeight="false" outlineLevel="0" collapsed="false">
      <c r="B1896" s="7" t="str">
        <f aca="false">IF(A1896="","",IFERROR(MATCH(A1896,Lists!$A$2:$A$37,0),""))</f>
        <v/>
      </c>
    </row>
    <row r="1897" customFormat="false" ht="15" hidden="false" customHeight="false" outlineLevel="0" collapsed="false">
      <c r="B1897" s="7" t="str">
        <f aca="false">IF(A1897="","",IFERROR(MATCH(A1897,Lists!$A$2:$A$37,0),""))</f>
        <v/>
      </c>
    </row>
    <row r="1898" customFormat="false" ht="15" hidden="false" customHeight="false" outlineLevel="0" collapsed="false">
      <c r="B1898" s="7" t="str">
        <f aca="false">IF(A1898="","",IFERROR(MATCH(A1898,Lists!$A$2:$A$37,0),""))</f>
        <v/>
      </c>
    </row>
    <row r="1899" customFormat="false" ht="15" hidden="false" customHeight="false" outlineLevel="0" collapsed="false">
      <c r="B1899" s="7" t="str">
        <f aca="false">IF(A1899="","",IFERROR(MATCH(A1899,Lists!$A$2:$A$37,0),""))</f>
        <v/>
      </c>
    </row>
    <row r="1900" customFormat="false" ht="15" hidden="false" customHeight="false" outlineLevel="0" collapsed="false">
      <c r="B1900" s="7" t="str">
        <f aca="false">IF(A1900="","",IFERROR(MATCH(A1900,Lists!$A$2:$A$37,0),""))</f>
        <v/>
      </c>
    </row>
    <row r="1901" customFormat="false" ht="15" hidden="false" customHeight="false" outlineLevel="0" collapsed="false">
      <c r="B1901" s="7" t="str">
        <f aca="false">IF(A1901="","",IFERROR(MATCH(A1901,Lists!$A$2:$A$37,0),""))</f>
        <v/>
      </c>
    </row>
    <row r="1902" customFormat="false" ht="15" hidden="false" customHeight="false" outlineLevel="0" collapsed="false">
      <c r="B1902" s="7" t="str">
        <f aca="false">IF(A1902="","",IFERROR(MATCH(A1902,Lists!$A$2:$A$37,0),""))</f>
        <v/>
      </c>
    </row>
    <row r="1903" customFormat="false" ht="15" hidden="false" customHeight="false" outlineLevel="0" collapsed="false">
      <c r="B1903" s="7" t="str">
        <f aca="false">IF(A1903="","",IFERROR(MATCH(A1903,Lists!$A$2:$A$37,0),""))</f>
        <v/>
      </c>
    </row>
    <row r="1904" customFormat="false" ht="15" hidden="false" customHeight="false" outlineLevel="0" collapsed="false">
      <c r="B1904" s="7" t="str">
        <f aca="false">IF(A1904="","",IFERROR(MATCH(A1904,Lists!$A$2:$A$37,0),""))</f>
        <v/>
      </c>
    </row>
    <row r="1905" customFormat="false" ht="15" hidden="false" customHeight="false" outlineLevel="0" collapsed="false">
      <c r="B1905" s="7" t="str">
        <f aca="false">IF(A1905="","",IFERROR(MATCH(A1905,Lists!$A$2:$A$37,0),""))</f>
        <v/>
      </c>
    </row>
    <row r="1906" customFormat="false" ht="15" hidden="false" customHeight="false" outlineLevel="0" collapsed="false">
      <c r="B1906" s="7" t="str">
        <f aca="false">IF(A1906="","",IFERROR(MATCH(A1906,Lists!$A$2:$A$37,0),""))</f>
        <v/>
      </c>
    </row>
    <row r="1907" customFormat="false" ht="15" hidden="false" customHeight="false" outlineLevel="0" collapsed="false">
      <c r="B1907" s="7" t="str">
        <f aca="false">IF(A1907="","",IFERROR(MATCH(A1907,Lists!$A$2:$A$37,0),""))</f>
        <v/>
      </c>
    </row>
    <row r="1908" customFormat="false" ht="15" hidden="false" customHeight="false" outlineLevel="0" collapsed="false">
      <c r="B1908" s="7" t="str">
        <f aca="false">IF(A1908="","",IFERROR(MATCH(A1908,Lists!$A$2:$A$37,0),""))</f>
        <v/>
      </c>
    </row>
    <row r="1909" customFormat="false" ht="15" hidden="false" customHeight="false" outlineLevel="0" collapsed="false">
      <c r="B1909" s="7" t="str">
        <f aca="false">IF(A1909="","",IFERROR(MATCH(A1909,Lists!$A$2:$A$37,0),""))</f>
        <v/>
      </c>
    </row>
    <row r="1910" customFormat="false" ht="15" hidden="false" customHeight="false" outlineLevel="0" collapsed="false">
      <c r="B1910" s="7" t="str">
        <f aca="false">IF(A1910="","",IFERROR(MATCH(A1910,Lists!$A$2:$A$37,0),""))</f>
        <v/>
      </c>
    </row>
    <row r="1911" customFormat="false" ht="15" hidden="false" customHeight="false" outlineLevel="0" collapsed="false">
      <c r="B1911" s="7" t="str">
        <f aca="false">IF(A1911="","",IFERROR(MATCH(A1911,Lists!$A$2:$A$37,0),""))</f>
        <v/>
      </c>
    </row>
    <row r="1912" customFormat="false" ht="15" hidden="false" customHeight="false" outlineLevel="0" collapsed="false">
      <c r="B1912" s="7" t="str">
        <f aca="false">IF(A1912="","",IFERROR(MATCH(A1912,Lists!$A$2:$A$37,0),""))</f>
        <v/>
      </c>
    </row>
    <row r="1913" customFormat="false" ht="15" hidden="false" customHeight="false" outlineLevel="0" collapsed="false">
      <c r="B1913" s="7" t="str">
        <f aca="false">IF(A1913="","",IFERROR(MATCH(A1913,Lists!$A$2:$A$37,0),""))</f>
        <v/>
      </c>
    </row>
    <row r="1914" customFormat="false" ht="15" hidden="false" customHeight="false" outlineLevel="0" collapsed="false">
      <c r="B1914" s="7" t="str">
        <f aca="false">IF(A1914="","",IFERROR(MATCH(A1914,Lists!$A$2:$A$37,0),""))</f>
        <v/>
      </c>
    </row>
    <row r="1915" customFormat="false" ht="15" hidden="false" customHeight="false" outlineLevel="0" collapsed="false">
      <c r="B1915" s="7" t="str">
        <f aca="false">IF(A1915="","",IFERROR(MATCH(A1915,Lists!$A$2:$A$37,0),""))</f>
        <v/>
      </c>
    </row>
    <row r="1916" customFormat="false" ht="15" hidden="false" customHeight="false" outlineLevel="0" collapsed="false">
      <c r="B1916" s="7" t="str">
        <f aca="false">IF(A1916="","",IFERROR(MATCH(A1916,Lists!$A$2:$A$37,0),""))</f>
        <v/>
      </c>
    </row>
    <row r="1917" customFormat="false" ht="15" hidden="false" customHeight="false" outlineLevel="0" collapsed="false">
      <c r="B1917" s="7" t="str">
        <f aca="false">IF(A1917="","",IFERROR(MATCH(A1917,Lists!$A$2:$A$37,0),""))</f>
        <v/>
      </c>
    </row>
    <row r="1918" customFormat="false" ht="15" hidden="false" customHeight="false" outlineLevel="0" collapsed="false">
      <c r="B1918" s="7" t="str">
        <f aca="false">IF(A1918="","",IFERROR(MATCH(A1918,Lists!$A$2:$A$37,0),""))</f>
        <v/>
      </c>
    </row>
    <row r="1919" customFormat="false" ht="15" hidden="false" customHeight="false" outlineLevel="0" collapsed="false">
      <c r="B1919" s="7" t="str">
        <f aca="false">IF(A1919="","",IFERROR(MATCH(A1919,Lists!$A$2:$A$37,0),""))</f>
        <v/>
      </c>
    </row>
    <row r="1920" customFormat="false" ht="15" hidden="false" customHeight="false" outlineLevel="0" collapsed="false">
      <c r="B1920" s="7" t="str">
        <f aca="false">IF(A1920="","",IFERROR(MATCH(A1920,Lists!$A$2:$A$37,0),""))</f>
        <v/>
      </c>
    </row>
    <row r="1921" customFormat="false" ht="15" hidden="false" customHeight="false" outlineLevel="0" collapsed="false">
      <c r="B1921" s="7" t="str">
        <f aca="false">IF(A1921="","",IFERROR(MATCH(A1921,Lists!$A$2:$A$37,0),""))</f>
        <v/>
      </c>
    </row>
    <row r="1922" customFormat="false" ht="15" hidden="false" customHeight="false" outlineLevel="0" collapsed="false">
      <c r="B1922" s="7" t="str">
        <f aca="false">IF(A1922="","",IFERROR(MATCH(A1922,Lists!$A$2:$A$37,0),""))</f>
        <v/>
      </c>
    </row>
    <row r="1923" customFormat="false" ht="15" hidden="false" customHeight="false" outlineLevel="0" collapsed="false">
      <c r="B1923" s="7" t="str">
        <f aca="false">IF(A1923="","",IFERROR(MATCH(A1923,Lists!$A$2:$A$37,0),""))</f>
        <v/>
      </c>
    </row>
    <row r="1924" customFormat="false" ht="15" hidden="false" customHeight="false" outlineLevel="0" collapsed="false">
      <c r="B1924" s="7" t="str">
        <f aca="false">IF(A1924="","",IFERROR(MATCH(A1924,Lists!$A$2:$A$37,0),""))</f>
        <v/>
      </c>
    </row>
    <row r="1925" customFormat="false" ht="15" hidden="false" customHeight="false" outlineLevel="0" collapsed="false">
      <c r="B1925" s="7" t="str">
        <f aca="false">IF(A1925="","",IFERROR(MATCH(A1925,Lists!$A$2:$A$37,0),""))</f>
        <v/>
      </c>
    </row>
    <row r="1926" customFormat="false" ht="15" hidden="false" customHeight="false" outlineLevel="0" collapsed="false">
      <c r="B1926" s="7" t="str">
        <f aca="false">IF(A1926="","",IFERROR(MATCH(A1926,Lists!$A$2:$A$37,0),""))</f>
        <v/>
      </c>
    </row>
    <row r="1927" customFormat="false" ht="15" hidden="false" customHeight="false" outlineLevel="0" collapsed="false">
      <c r="B1927" s="7" t="str">
        <f aca="false">IF(A1927="","",IFERROR(MATCH(A1927,Lists!$A$2:$A$37,0),""))</f>
        <v/>
      </c>
    </row>
    <row r="1928" customFormat="false" ht="15" hidden="false" customHeight="false" outlineLevel="0" collapsed="false">
      <c r="B1928" s="7" t="str">
        <f aca="false">IF(A1928="","",IFERROR(MATCH(A1928,Lists!$A$2:$A$37,0),""))</f>
        <v/>
      </c>
    </row>
    <row r="1929" customFormat="false" ht="15" hidden="false" customHeight="false" outlineLevel="0" collapsed="false">
      <c r="B1929" s="7" t="str">
        <f aca="false">IF(A1929="","",IFERROR(MATCH(A1929,Lists!$A$2:$A$37,0),""))</f>
        <v/>
      </c>
    </row>
    <row r="1930" customFormat="false" ht="15" hidden="false" customHeight="false" outlineLevel="0" collapsed="false">
      <c r="B1930" s="7" t="str">
        <f aca="false">IF(A1930="","",IFERROR(MATCH(A1930,Lists!$A$2:$A$37,0),""))</f>
        <v/>
      </c>
    </row>
    <row r="1931" customFormat="false" ht="15" hidden="false" customHeight="false" outlineLevel="0" collapsed="false">
      <c r="B1931" s="7" t="str">
        <f aca="false">IF(A1931="","",IFERROR(MATCH(A1931,Lists!$A$2:$A$37,0),""))</f>
        <v/>
      </c>
    </row>
    <row r="1932" customFormat="false" ht="15" hidden="false" customHeight="false" outlineLevel="0" collapsed="false">
      <c r="B1932" s="7" t="str">
        <f aca="false">IF(A1932="","",IFERROR(MATCH(A1932,Lists!$A$2:$A$37,0),""))</f>
        <v/>
      </c>
    </row>
    <row r="1933" customFormat="false" ht="15" hidden="false" customHeight="false" outlineLevel="0" collapsed="false">
      <c r="B1933" s="7" t="str">
        <f aca="false">IF(A1933="","",IFERROR(MATCH(A1933,Lists!$A$2:$A$37,0),""))</f>
        <v/>
      </c>
    </row>
    <row r="1934" customFormat="false" ht="15" hidden="false" customHeight="false" outlineLevel="0" collapsed="false">
      <c r="B1934" s="7" t="str">
        <f aca="false">IF(A1934="","",IFERROR(MATCH(A1934,Lists!$A$2:$A$37,0),""))</f>
        <v/>
      </c>
    </row>
    <row r="1935" customFormat="false" ht="15" hidden="false" customHeight="false" outlineLevel="0" collapsed="false">
      <c r="B1935" s="7" t="str">
        <f aca="false">IF(A1935="","",IFERROR(MATCH(A1935,Lists!$A$2:$A$37,0),""))</f>
        <v/>
      </c>
    </row>
    <row r="1936" customFormat="false" ht="15" hidden="false" customHeight="false" outlineLevel="0" collapsed="false">
      <c r="B1936" s="7" t="str">
        <f aca="false">IF(A1936="","",IFERROR(MATCH(A1936,Lists!$A$2:$A$37,0),""))</f>
        <v/>
      </c>
    </row>
    <row r="1937" customFormat="false" ht="15" hidden="false" customHeight="false" outlineLevel="0" collapsed="false">
      <c r="B1937" s="7" t="str">
        <f aca="false">IF(A1937="","",IFERROR(MATCH(A1937,Lists!$A$2:$A$37,0),""))</f>
        <v/>
      </c>
    </row>
    <row r="1938" customFormat="false" ht="15" hidden="false" customHeight="false" outlineLevel="0" collapsed="false">
      <c r="B1938" s="7" t="str">
        <f aca="false">IF(A1938="","",IFERROR(MATCH(A1938,Lists!$A$2:$A$37,0),""))</f>
        <v/>
      </c>
    </row>
    <row r="1939" customFormat="false" ht="15" hidden="false" customHeight="false" outlineLevel="0" collapsed="false">
      <c r="B1939" s="7" t="str">
        <f aca="false">IF(A1939="","",IFERROR(MATCH(A1939,Lists!$A$2:$A$37,0),""))</f>
        <v/>
      </c>
    </row>
    <row r="1940" customFormat="false" ht="15" hidden="false" customHeight="false" outlineLevel="0" collapsed="false">
      <c r="B1940" s="7" t="str">
        <f aca="false">IF(A1940="","",IFERROR(MATCH(A1940,Lists!$A$2:$A$37,0),""))</f>
        <v/>
      </c>
    </row>
    <row r="1941" customFormat="false" ht="15" hidden="false" customHeight="false" outlineLevel="0" collapsed="false">
      <c r="B1941" s="7" t="str">
        <f aca="false">IF(A1941="","",IFERROR(MATCH(A1941,Lists!$A$2:$A$37,0),""))</f>
        <v/>
      </c>
    </row>
    <row r="1942" customFormat="false" ht="15" hidden="false" customHeight="false" outlineLevel="0" collapsed="false">
      <c r="B1942" s="7" t="str">
        <f aca="false">IF(A1942="","",IFERROR(MATCH(A1942,Lists!$A$2:$A$37,0),""))</f>
        <v/>
      </c>
    </row>
    <row r="1943" customFormat="false" ht="15" hidden="false" customHeight="false" outlineLevel="0" collapsed="false">
      <c r="B1943" s="7" t="str">
        <f aca="false">IF(A1943="","",IFERROR(MATCH(A1943,Lists!$A$2:$A$37,0),""))</f>
        <v/>
      </c>
    </row>
    <row r="1944" customFormat="false" ht="15" hidden="false" customHeight="false" outlineLevel="0" collapsed="false">
      <c r="B1944" s="7" t="str">
        <f aca="false">IF(A1944="","",IFERROR(MATCH(A1944,Lists!$A$2:$A$37,0),""))</f>
        <v/>
      </c>
    </row>
    <row r="1945" customFormat="false" ht="15" hidden="false" customHeight="false" outlineLevel="0" collapsed="false">
      <c r="B1945" s="7" t="str">
        <f aca="false">IF(A1945="","",IFERROR(MATCH(A1945,Lists!$A$2:$A$37,0),""))</f>
        <v/>
      </c>
    </row>
    <row r="1946" customFormat="false" ht="15" hidden="false" customHeight="false" outlineLevel="0" collapsed="false">
      <c r="B1946" s="7" t="str">
        <f aca="false">IF(A1946="","",IFERROR(MATCH(A1946,Lists!$A$2:$A$37,0),""))</f>
        <v/>
      </c>
    </row>
    <row r="1947" customFormat="false" ht="15" hidden="false" customHeight="false" outlineLevel="0" collapsed="false">
      <c r="B1947" s="7" t="str">
        <f aca="false">IF(A1947="","",IFERROR(MATCH(A1947,Lists!$A$2:$A$37,0),""))</f>
        <v/>
      </c>
    </row>
    <row r="1948" customFormat="false" ht="15" hidden="false" customHeight="false" outlineLevel="0" collapsed="false">
      <c r="B1948" s="7" t="str">
        <f aca="false">IF(A1948="","",IFERROR(MATCH(A1948,Lists!$A$2:$A$37,0),""))</f>
        <v/>
      </c>
    </row>
    <row r="1949" customFormat="false" ht="15" hidden="false" customHeight="false" outlineLevel="0" collapsed="false">
      <c r="B1949" s="7" t="str">
        <f aca="false">IF(A1949="","",IFERROR(MATCH(A1949,Lists!$A$2:$A$37,0),""))</f>
        <v/>
      </c>
    </row>
    <row r="1950" customFormat="false" ht="15" hidden="false" customHeight="false" outlineLevel="0" collapsed="false">
      <c r="B1950" s="7" t="str">
        <f aca="false">IF(A1950="","",IFERROR(MATCH(A1950,Lists!$A$2:$A$37,0),""))</f>
        <v/>
      </c>
    </row>
    <row r="1951" customFormat="false" ht="15" hidden="false" customHeight="false" outlineLevel="0" collapsed="false">
      <c r="B1951" s="7" t="str">
        <f aca="false">IF(A1951="","",IFERROR(MATCH(A1951,Lists!$A$2:$A$37,0),""))</f>
        <v/>
      </c>
    </row>
    <row r="1952" customFormat="false" ht="15" hidden="false" customHeight="false" outlineLevel="0" collapsed="false">
      <c r="B1952" s="7" t="str">
        <f aca="false">IF(A1952="","",IFERROR(MATCH(A1952,Lists!$A$2:$A$37,0),""))</f>
        <v/>
      </c>
    </row>
    <row r="1953" customFormat="false" ht="15" hidden="false" customHeight="false" outlineLevel="0" collapsed="false">
      <c r="B1953" s="7" t="str">
        <f aca="false">IF(A1953="","",IFERROR(MATCH(A1953,Lists!$A$2:$A$37,0),""))</f>
        <v/>
      </c>
    </row>
    <row r="1954" customFormat="false" ht="15" hidden="false" customHeight="false" outlineLevel="0" collapsed="false">
      <c r="B1954" s="7" t="str">
        <f aca="false">IF(A1954="","",IFERROR(MATCH(A1954,Lists!$A$2:$A$37,0),""))</f>
        <v/>
      </c>
    </row>
    <row r="1955" customFormat="false" ht="15" hidden="false" customHeight="false" outlineLevel="0" collapsed="false">
      <c r="B1955" s="7" t="str">
        <f aca="false">IF(A1955="","",IFERROR(MATCH(A1955,Lists!$A$2:$A$37,0),""))</f>
        <v/>
      </c>
    </row>
    <row r="1956" customFormat="false" ht="15" hidden="false" customHeight="false" outlineLevel="0" collapsed="false">
      <c r="B1956" s="7" t="str">
        <f aca="false">IF(A1956="","",IFERROR(MATCH(A1956,Lists!$A$2:$A$37,0),""))</f>
        <v/>
      </c>
    </row>
    <row r="1957" customFormat="false" ht="15" hidden="false" customHeight="false" outlineLevel="0" collapsed="false">
      <c r="B1957" s="7" t="str">
        <f aca="false">IF(A1957="","",IFERROR(MATCH(A1957,Lists!$A$2:$A$37,0),""))</f>
        <v/>
      </c>
    </row>
    <row r="1958" customFormat="false" ht="15" hidden="false" customHeight="false" outlineLevel="0" collapsed="false">
      <c r="B1958" s="7" t="str">
        <f aca="false">IF(A1958="","",IFERROR(MATCH(A1958,Lists!$A$2:$A$37,0),""))</f>
        <v/>
      </c>
    </row>
    <row r="1959" customFormat="false" ht="15" hidden="false" customHeight="false" outlineLevel="0" collapsed="false">
      <c r="B1959" s="7" t="str">
        <f aca="false">IF(A1959="","",IFERROR(MATCH(A1959,Lists!$A$2:$A$37,0),""))</f>
        <v/>
      </c>
    </row>
    <row r="1960" customFormat="false" ht="15" hidden="false" customHeight="false" outlineLevel="0" collapsed="false">
      <c r="B1960" s="7" t="str">
        <f aca="false">IF(A1960="","",IFERROR(MATCH(A1960,Lists!$A$2:$A$37,0),""))</f>
        <v/>
      </c>
    </row>
    <row r="1961" customFormat="false" ht="15" hidden="false" customHeight="false" outlineLevel="0" collapsed="false">
      <c r="B1961" s="7" t="str">
        <f aca="false">IF(A1961="","",IFERROR(MATCH(A1961,Lists!$A$2:$A$37,0),""))</f>
        <v/>
      </c>
    </row>
    <row r="1962" customFormat="false" ht="15" hidden="false" customHeight="false" outlineLevel="0" collapsed="false">
      <c r="B1962" s="7" t="str">
        <f aca="false">IF(A1962="","",IFERROR(MATCH(A1962,Lists!$A$2:$A$37,0),""))</f>
        <v/>
      </c>
    </row>
    <row r="1963" customFormat="false" ht="15" hidden="false" customHeight="false" outlineLevel="0" collapsed="false">
      <c r="B1963" s="7" t="str">
        <f aca="false">IF(A1963="","",IFERROR(MATCH(A1963,Lists!$A$2:$A$37,0),""))</f>
        <v/>
      </c>
    </row>
    <row r="1964" customFormat="false" ht="15" hidden="false" customHeight="false" outlineLevel="0" collapsed="false">
      <c r="B1964" s="7" t="str">
        <f aca="false">IF(A1964="","",IFERROR(MATCH(A1964,Lists!$A$2:$A$37,0),""))</f>
        <v/>
      </c>
    </row>
    <row r="1965" customFormat="false" ht="15" hidden="false" customHeight="false" outlineLevel="0" collapsed="false">
      <c r="B1965" s="7" t="str">
        <f aca="false">IF(A1965="","",IFERROR(MATCH(A1965,Lists!$A$2:$A$37,0),""))</f>
        <v/>
      </c>
    </row>
    <row r="1966" customFormat="false" ht="15" hidden="false" customHeight="false" outlineLevel="0" collapsed="false">
      <c r="B1966" s="7" t="str">
        <f aca="false">IF(A1966="","",IFERROR(MATCH(A1966,Lists!$A$2:$A$37,0),""))</f>
        <v/>
      </c>
    </row>
    <row r="1967" customFormat="false" ht="15" hidden="false" customHeight="false" outlineLevel="0" collapsed="false">
      <c r="B1967" s="7" t="str">
        <f aca="false">IF(A1967="","",IFERROR(MATCH(A1967,Lists!$A$2:$A$37,0),""))</f>
        <v/>
      </c>
    </row>
    <row r="1968" customFormat="false" ht="15" hidden="false" customHeight="false" outlineLevel="0" collapsed="false">
      <c r="B1968" s="7" t="str">
        <f aca="false">IF(A1968="","",IFERROR(MATCH(A1968,Lists!$A$2:$A$37,0),""))</f>
        <v/>
      </c>
    </row>
    <row r="1969" customFormat="false" ht="15" hidden="false" customHeight="false" outlineLevel="0" collapsed="false">
      <c r="B1969" s="7" t="str">
        <f aca="false">IF(A1969="","",IFERROR(MATCH(A1969,Lists!$A$2:$A$37,0),""))</f>
        <v/>
      </c>
    </row>
    <row r="1970" customFormat="false" ht="15" hidden="false" customHeight="false" outlineLevel="0" collapsed="false">
      <c r="B1970" s="7" t="str">
        <f aca="false">IF(A1970="","",IFERROR(MATCH(A1970,Lists!$A$2:$A$37,0),""))</f>
        <v/>
      </c>
    </row>
    <row r="1971" customFormat="false" ht="15" hidden="false" customHeight="false" outlineLevel="0" collapsed="false">
      <c r="B1971" s="7" t="str">
        <f aca="false">IF(A1971="","",IFERROR(MATCH(A1971,Lists!$A$2:$A$37,0),""))</f>
        <v/>
      </c>
    </row>
    <row r="1972" customFormat="false" ht="15" hidden="false" customHeight="false" outlineLevel="0" collapsed="false">
      <c r="B1972" s="7" t="str">
        <f aca="false">IF(A1972="","",IFERROR(MATCH(A1972,Lists!$A$2:$A$37,0),""))</f>
        <v/>
      </c>
    </row>
    <row r="1973" customFormat="false" ht="15" hidden="false" customHeight="false" outlineLevel="0" collapsed="false">
      <c r="B1973" s="7" t="str">
        <f aca="false">IF(A1973="","",IFERROR(MATCH(A1973,Lists!$A$2:$A$37,0),""))</f>
        <v/>
      </c>
    </row>
    <row r="1974" customFormat="false" ht="15" hidden="false" customHeight="false" outlineLevel="0" collapsed="false">
      <c r="B1974" s="7" t="str">
        <f aca="false">IF(A1974="","",IFERROR(MATCH(A1974,Lists!$A$2:$A$37,0),""))</f>
        <v/>
      </c>
    </row>
    <row r="1975" customFormat="false" ht="15" hidden="false" customHeight="false" outlineLevel="0" collapsed="false">
      <c r="B1975" s="7" t="str">
        <f aca="false">IF(A1975="","",IFERROR(MATCH(A1975,Lists!$A$2:$A$37,0),""))</f>
        <v/>
      </c>
    </row>
    <row r="1976" customFormat="false" ht="15" hidden="false" customHeight="false" outlineLevel="0" collapsed="false">
      <c r="B1976" s="7" t="str">
        <f aca="false">IF(A1976="","",IFERROR(MATCH(A1976,Lists!$A$2:$A$37,0),""))</f>
        <v/>
      </c>
    </row>
    <row r="1977" customFormat="false" ht="15" hidden="false" customHeight="false" outlineLevel="0" collapsed="false">
      <c r="B1977" s="7" t="str">
        <f aca="false">IF(A1977="","",IFERROR(MATCH(A1977,Lists!$A$2:$A$37,0),""))</f>
        <v/>
      </c>
    </row>
    <row r="1978" customFormat="false" ht="15" hidden="false" customHeight="false" outlineLevel="0" collapsed="false">
      <c r="B1978" s="7" t="str">
        <f aca="false">IF(A1978="","",IFERROR(MATCH(A1978,Lists!$A$2:$A$37,0),""))</f>
        <v/>
      </c>
    </row>
    <row r="1979" customFormat="false" ht="15" hidden="false" customHeight="false" outlineLevel="0" collapsed="false">
      <c r="B1979" s="7" t="str">
        <f aca="false">IF(A1979="","",IFERROR(MATCH(A1979,Lists!$A$2:$A$37,0),""))</f>
        <v/>
      </c>
    </row>
    <row r="1980" customFormat="false" ht="15" hidden="false" customHeight="false" outlineLevel="0" collapsed="false">
      <c r="B1980" s="7" t="str">
        <f aca="false">IF(A1980="","",IFERROR(MATCH(A1980,Lists!$A$2:$A$37,0),""))</f>
        <v/>
      </c>
    </row>
    <row r="1981" customFormat="false" ht="15" hidden="false" customHeight="false" outlineLevel="0" collapsed="false">
      <c r="B1981" s="7" t="str">
        <f aca="false">IF(A1981="","",IFERROR(MATCH(A1981,Lists!$A$2:$A$37,0),""))</f>
        <v/>
      </c>
    </row>
    <row r="1982" customFormat="false" ht="15" hidden="false" customHeight="false" outlineLevel="0" collapsed="false">
      <c r="B1982" s="7" t="str">
        <f aca="false">IF(A1982="","",IFERROR(MATCH(A1982,Lists!$A$2:$A$37,0),""))</f>
        <v/>
      </c>
    </row>
    <row r="1983" customFormat="false" ht="15" hidden="false" customHeight="false" outlineLevel="0" collapsed="false">
      <c r="B1983" s="7" t="str">
        <f aca="false">IF(A1983="","",IFERROR(MATCH(A1983,Lists!$A$2:$A$37,0),""))</f>
        <v/>
      </c>
    </row>
    <row r="1984" customFormat="false" ht="15" hidden="false" customHeight="false" outlineLevel="0" collapsed="false">
      <c r="B1984" s="7" t="str">
        <f aca="false">IF(A1984="","",IFERROR(MATCH(A1984,Lists!$A$2:$A$37,0),""))</f>
        <v/>
      </c>
    </row>
    <row r="1985" customFormat="false" ht="15" hidden="false" customHeight="false" outlineLevel="0" collapsed="false">
      <c r="B1985" s="7" t="str">
        <f aca="false">IF(A1985="","",IFERROR(MATCH(A1985,Lists!$A$2:$A$37,0),""))</f>
        <v/>
      </c>
    </row>
    <row r="1986" customFormat="false" ht="15" hidden="false" customHeight="false" outlineLevel="0" collapsed="false">
      <c r="B1986" s="7" t="str">
        <f aca="false">IF(A1986="","",IFERROR(MATCH(A1986,Lists!$A$2:$A$37,0),""))</f>
        <v/>
      </c>
    </row>
    <row r="1987" customFormat="false" ht="15" hidden="false" customHeight="false" outlineLevel="0" collapsed="false">
      <c r="B1987" s="7" t="str">
        <f aca="false">IF(A1987="","",IFERROR(MATCH(A1987,Lists!$A$2:$A$37,0),""))</f>
        <v/>
      </c>
    </row>
    <row r="1988" customFormat="false" ht="15" hidden="false" customHeight="false" outlineLevel="0" collapsed="false">
      <c r="B1988" s="7" t="str">
        <f aca="false">IF(A1988="","",IFERROR(MATCH(A1988,Lists!$A$2:$A$37,0),""))</f>
        <v/>
      </c>
    </row>
    <row r="1989" customFormat="false" ht="15" hidden="false" customHeight="false" outlineLevel="0" collapsed="false">
      <c r="B1989" s="7" t="str">
        <f aca="false">IF(A1989="","",IFERROR(MATCH(A1989,Lists!$A$2:$A$37,0),""))</f>
        <v/>
      </c>
    </row>
    <row r="1990" customFormat="false" ht="15" hidden="false" customHeight="false" outlineLevel="0" collapsed="false">
      <c r="B1990" s="7" t="str">
        <f aca="false">IF(A1990="","",IFERROR(MATCH(A1990,Lists!$A$2:$A$37,0),""))</f>
        <v/>
      </c>
    </row>
    <row r="1991" customFormat="false" ht="15" hidden="false" customHeight="false" outlineLevel="0" collapsed="false">
      <c r="B1991" s="7" t="str">
        <f aca="false">IF(A1991="","",IFERROR(MATCH(A1991,Lists!$A$2:$A$37,0),""))</f>
        <v/>
      </c>
    </row>
    <row r="1992" customFormat="false" ht="15" hidden="false" customHeight="false" outlineLevel="0" collapsed="false">
      <c r="B1992" s="7" t="str">
        <f aca="false">IF(A1992="","",IFERROR(MATCH(A1992,Lists!$A$2:$A$37,0),""))</f>
        <v/>
      </c>
    </row>
    <row r="1993" customFormat="false" ht="15" hidden="false" customHeight="false" outlineLevel="0" collapsed="false">
      <c r="B1993" s="7" t="str">
        <f aca="false">IF(A1993="","",IFERROR(MATCH(A1993,Lists!$A$2:$A$37,0),""))</f>
        <v/>
      </c>
    </row>
    <row r="1994" customFormat="false" ht="15" hidden="false" customHeight="false" outlineLevel="0" collapsed="false">
      <c r="B1994" s="7" t="str">
        <f aca="false">IF(A1994="","",IFERROR(MATCH(A1994,Lists!$A$2:$A$37,0),""))</f>
        <v/>
      </c>
    </row>
    <row r="1995" customFormat="false" ht="15" hidden="false" customHeight="false" outlineLevel="0" collapsed="false">
      <c r="B1995" s="7" t="str">
        <f aca="false">IF(A1995="","",IFERROR(MATCH(A1995,Lists!$A$2:$A$37,0),""))</f>
        <v/>
      </c>
    </row>
    <row r="1996" customFormat="false" ht="15" hidden="false" customHeight="false" outlineLevel="0" collapsed="false">
      <c r="B1996" s="7" t="str">
        <f aca="false">IF(A1996="","",IFERROR(MATCH(A1996,Lists!$A$2:$A$37,0),""))</f>
        <v/>
      </c>
    </row>
    <row r="1997" customFormat="false" ht="15" hidden="false" customHeight="false" outlineLevel="0" collapsed="false">
      <c r="B1997" s="7" t="str">
        <f aca="false">IF(A1997="","",IFERROR(MATCH(A1997,Lists!$A$2:$A$37,0),""))</f>
        <v/>
      </c>
    </row>
    <row r="1998" customFormat="false" ht="15" hidden="false" customHeight="false" outlineLevel="0" collapsed="false">
      <c r="B1998" s="7" t="str">
        <f aca="false">IF(A1998="","",IFERROR(MATCH(A1998,Lists!$A$2:$A$37,0),""))</f>
        <v/>
      </c>
    </row>
    <row r="1999" customFormat="false" ht="15" hidden="false" customHeight="false" outlineLevel="0" collapsed="false">
      <c r="B1999" s="7" t="str">
        <f aca="false">IF(A1999="","",IFERROR(MATCH(A1999,Lists!$A$2:$A$37,0),""))</f>
        <v/>
      </c>
    </row>
    <row r="2000" customFormat="false" ht="15" hidden="false" customHeight="false" outlineLevel="0" collapsed="false">
      <c r="B2000" s="7" t="str">
        <f aca="false">IF(A2000="","",IFERROR(MATCH(A2000,Lists!$A$2:$A$37,0),""))</f>
        <v/>
      </c>
    </row>
    <row r="2001" customFormat="false" ht="15" hidden="false" customHeight="false" outlineLevel="0" collapsed="false">
      <c r="B2001" s="7" t="str">
        <f aca="false">IF(A2001="","",IFERROR(MATCH(A2001,Lists!$A$2:$A$37,0),""))</f>
        <v/>
      </c>
    </row>
    <row r="2002" customFormat="false" ht="15" hidden="false" customHeight="false" outlineLevel="0" collapsed="false">
      <c r="B2002" s="7" t="str">
        <f aca="false">IF(A2002="","",IFERROR(MATCH(A2002,Lists!$A$2:$A$37,0),""))</f>
        <v/>
      </c>
    </row>
    <row r="2003" customFormat="false" ht="15" hidden="false" customHeight="false" outlineLevel="0" collapsed="false">
      <c r="B2003" s="7" t="str">
        <f aca="false">IF(A2003="","",IFERROR(MATCH(A2003,Lists!$A$2:$A$37,0),""))</f>
        <v/>
      </c>
    </row>
    <row r="2004" customFormat="false" ht="15" hidden="false" customHeight="false" outlineLevel="0" collapsed="false">
      <c r="B2004" s="7" t="str">
        <f aca="false">IF(A2004="","",IFERROR(MATCH(A2004,Lists!$A$2:$A$37,0),""))</f>
        <v/>
      </c>
    </row>
    <row r="2005" customFormat="false" ht="15" hidden="false" customHeight="false" outlineLevel="0" collapsed="false">
      <c r="B2005" s="7" t="str">
        <f aca="false">IF(A2005="","",IFERROR(MATCH(A2005,Lists!$A$2:$A$37,0),""))</f>
        <v/>
      </c>
    </row>
    <row r="2006" customFormat="false" ht="15" hidden="false" customHeight="false" outlineLevel="0" collapsed="false">
      <c r="B2006" s="7" t="str">
        <f aca="false">IF(A2006="","",IFERROR(MATCH(A2006,Lists!$A$2:$A$37,0),""))</f>
        <v/>
      </c>
    </row>
    <row r="2007" customFormat="false" ht="15" hidden="false" customHeight="false" outlineLevel="0" collapsed="false">
      <c r="B2007" s="7" t="str">
        <f aca="false">IF(A2007="","",IFERROR(MATCH(A2007,Lists!$A$2:$A$37,0),""))</f>
        <v/>
      </c>
    </row>
    <row r="2008" customFormat="false" ht="15" hidden="false" customHeight="false" outlineLevel="0" collapsed="false">
      <c r="B2008" s="7" t="str">
        <f aca="false">IF(A2008="","",IFERROR(MATCH(A2008,Lists!$A$2:$A$37,0),""))</f>
        <v/>
      </c>
    </row>
    <row r="2009" customFormat="false" ht="15" hidden="false" customHeight="false" outlineLevel="0" collapsed="false">
      <c r="B2009" s="7" t="str">
        <f aca="false">IF(A2009="","",IFERROR(MATCH(A2009,Lists!$A$2:$A$37,0),""))</f>
        <v/>
      </c>
    </row>
    <row r="2010" customFormat="false" ht="15" hidden="false" customHeight="false" outlineLevel="0" collapsed="false">
      <c r="B2010" s="7" t="str">
        <f aca="false">IF(A2010="","",IFERROR(MATCH(A2010,Lists!$A$2:$A$37,0),""))</f>
        <v/>
      </c>
    </row>
    <row r="2011" customFormat="false" ht="15" hidden="false" customHeight="false" outlineLevel="0" collapsed="false">
      <c r="B2011" s="7" t="str">
        <f aca="false">IF(A2011="","",IFERROR(MATCH(A2011,Lists!$A$2:$A$37,0),""))</f>
        <v/>
      </c>
    </row>
    <row r="2012" customFormat="false" ht="15" hidden="false" customHeight="false" outlineLevel="0" collapsed="false">
      <c r="B2012" s="7" t="str">
        <f aca="false">IF(A2012="","",IFERROR(MATCH(A2012,Lists!$A$2:$A$37,0),""))</f>
        <v/>
      </c>
    </row>
    <row r="2013" customFormat="false" ht="15" hidden="false" customHeight="false" outlineLevel="0" collapsed="false">
      <c r="B2013" s="7" t="str">
        <f aca="false">IF(A2013="","",IFERROR(MATCH(A2013,Lists!$A$2:$A$37,0),""))</f>
        <v/>
      </c>
    </row>
    <row r="2014" customFormat="false" ht="15" hidden="false" customHeight="false" outlineLevel="0" collapsed="false">
      <c r="B2014" s="7" t="str">
        <f aca="false">IF(A2014="","",IFERROR(MATCH(A2014,Lists!$A$2:$A$37,0),""))</f>
        <v/>
      </c>
    </row>
    <row r="2015" customFormat="false" ht="15" hidden="false" customHeight="false" outlineLevel="0" collapsed="false">
      <c r="B2015" s="7" t="str">
        <f aca="false">IF(A2015="","",IFERROR(MATCH(A2015,Lists!$A$2:$A$37,0),""))</f>
        <v/>
      </c>
    </row>
    <row r="2016" customFormat="false" ht="15" hidden="false" customHeight="false" outlineLevel="0" collapsed="false">
      <c r="B2016" s="7" t="str">
        <f aca="false">IF(A2016="","",IFERROR(MATCH(A2016,Lists!$A$2:$A$37,0),""))</f>
        <v/>
      </c>
    </row>
    <row r="2017" customFormat="false" ht="15" hidden="false" customHeight="false" outlineLevel="0" collapsed="false">
      <c r="B2017" s="7" t="str">
        <f aca="false">IF(A2017="","",IFERROR(MATCH(A2017,Lists!$A$2:$A$37,0),""))</f>
        <v/>
      </c>
    </row>
    <row r="2018" customFormat="false" ht="15" hidden="false" customHeight="false" outlineLevel="0" collapsed="false">
      <c r="B2018" s="7" t="str">
        <f aca="false">IF(A2018="","",IFERROR(MATCH(A2018,Lists!$A$2:$A$37,0),""))</f>
        <v/>
      </c>
    </row>
    <row r="2019" customFormat="false" ht="15" hidden="false" customHeight="false" outlineLevel="0" collapsed="false">
      <c r="B2019" s="7" t="str">
        <f aca="false">IF(A2019="","",IFERROR(MATCH(A2019,Lists!$A$2:$A$37,0),""))</f>
        <v/>
      </c>
    </row>
    <row r="2020" customFormat="false" ht="15" hidden="false" customHeight="false" outlineLevel="0" collapsed="false">
      <c r="B2020" s="7" t="str">
        <f aca="false">IF(A2020="","",IFERROR(MATCH(A2020,Lists!$A$2:$A$37,0),""))</f>
        <v/>
      </c>
    </row>
    <row r="2021" customFormat="false" ht="15" hidden="false" customHeight="false" outlineLevel="0" collapsed="false">
      <c r="B2021" s="7" t="str">
        <f aca="false">IF(A2021="","",IFERROR(MATCH(A2021,Lists!$A$2:$A$37,0),""))</f>
        <v/>
      </c>
    </row>
    <row r="2022" customFormat="false" ht="15" hidden="false" customHeight="false" outlineLevel="0" collapsed="false">
      <c r="B2022" s="7" t="str">
        <f aca="false">IF(A2022="","",IFERROR(MATCH(A2022,Lists!$A$2:$A$37,0),""))</f>
        <v/>
      </c>
    </row>
    <row r="2023" customFormat="false" ht="15" hidden="false" customHeight="false" outlineLevel="0" collapsed="false">
      <c r="B2023" s="7" t="str">
        <f aca="false">IF(A2023="","",IFERROR(MATCH(A2023,Lists!$A$2:$A$37,0),""))</f>
        <v/>
      </c>
    </row>
    <row r="2024" customFormat="false" ht="15" hidden="false" customHeight="false" outlineLevel="0" collapsed="false">
      <c r="B2024" s="7" t="str">
        <f aca="false">IF(A2024="","",IFERROR(MATCH(A2024,Lists!$A$2:$A$37,0),""))</f>
        <v/>
      </c>
    </row>
    <row r="2025" customFormat="false" ht="15" hidden="false" customHeight="false" outlineLevel="0" collapsed="false">
      <c r="B2025" s="7" t="str">
        <f aca="false">IF(A2025="","",IFERROR(MATCH(A2025,Lists!$A$2:$A$37,0),""))</f>
        <v/>
      </c>
    </row>
    <row r="2026" customFormat="false" ht="15" hidden="false" customHeight="false" outlineLevel="0" collapsed="false">
      <c r="B2026" s="7" t="str">
        <f aca="false">IF(A2026="","",IFERROR(MATCH(A2026,Lists!$A$2:$A$37,0),""))</f>
        <v/>
      </c>
    </row>
    <row r="2027" customFormat="false" ht="15" hidden="false" customHeight="false" outlineLevel="0" collapsed="false">
      <c r="B2027" s="7" t="str">
        <f aca="false">IF(A2027="","",IFERROR(MATCH(A2027,Lists!$A$2:$A$37,0),""))</f>
        <v/>
      </c>
    </row>
    <row r="2028" customFormat="false" ht="15" hidden="false" customHeight="false" outlineLevel="0" collapsed="false">
      <c r="B2028" s="7" t="str">
        <f aca="false">IF(A2028="","",IFERROR(MATCH(A2028,Lists!$A$2:$A$37,0),""))</f>
        <v/>
      </c>
    </row>
    <row r="2029" customFormat="false" ht="15" hidden="false" customHeight="false" outlineLevel="0" collapsed="false">
      <c r="B2029" s="7" t="str">
        <f aca="false">IF(A2029="","",IFERROR(MATCH(A2029,Lists!$A$2:$A$37,0),""))</f>
        <v/>
      </c>
    </row>
    <row r="2030" customFormat="false" ht="15" hidden="false" customHeight="false" outlineLevel="0" collapsed="false">
      <c r="B2030" s="7" t="str">
        <f aca="false">IF(A2030="","",IFERROR(MATCH(A2030,Lists!$A$2:$A$37,0),""))</f>
        <v/>
      </c>
    </row>
    <row r="2031" customFormat="false" ht="15" hidden="false" customHeight="false" outlineLevel="0" collapsed="false">
      <c r="B2031" s="7" t="str">
        <f aca="false">IF(A2031="","",IFERROR(MATCH(A2031,Lists!$A$2:$A$37,0),""))</f>
        <v/>
      </c>
    </row>
    <row r="2032" customFormat="false" ht="15" hidden="false" customHeight="false" outlineLevel="0" collapsed="false">
      <c r="B2032" s="7" t="str">
        <f aca="false">IF(A2032="","",IFERROR(MATCH(A2032,Lists!$A$2:$A$37,0),""))</f>
        <v/>
      </c>
    </row>
    <row r="2033" customFormat="false" ht="15" hidden="false" customHeight="false" outlineLevel="0" collapsed="false">
      <c r="B2033" s="7" t="str">
        <f aca="false">IF(A2033="","",IFERROR(MATCH(A2033,Lists!$A$2:$A$37,0),""))</f>
        <v/>
      </c>
    </row>
    <row r="2034" customFormat="false" ht="15" hidden="false" customHeight="false" outlineLevel="0" collapsed="false">
      <c r="B2034" s="7" t="str">
        <f aca="false">IF(A2034="","",IFERROR(MATCH(A2034,Lists!$A$2:$A$37,0),""))</f>
        <v/>
      </c>
    </row>
    <row r="2035" customFormat="false" ht="15" hidden="false" customHeight="false" outlineLevel="0" collapsed="false">
      <c r="B2035" s="7" t="str">
        <f aca="false">IF(A2035="","",IFERROR(MATCH(A2035,Lists!$A$2:$A$37,0),""))</f>
        <v/>
      </c>
    </row>
    <row r="2036" customFormat="false" ht="15" hidden="false" customHeight="false" outlineLevel="0" collapsed="false">
      <c r="B2036" s="7" t="str">
        <f aca="false">IF(A2036="","",IFERROR(MATCH(A2036,Lists!$A$2:$A$37,0),""))</f>
        <v/>
      </c>
    </row>
    <row r="2037" customFormat="false" ht="15" hidden="false" customHeight="false" outlineLevel="0" collapsed="false">
      <c r="B2037" s="7" t="str">
        <f aca="false">IF(A2037="","",IFERROR(MATCH(A2037,Lists!$A$2:$A$37,0),""))</f>
        <v/>
      </c>
    </row>
    <row r="2038" customFormat="false" ht="15" hidden="false" customHeight="false" outlineLevel="0" collapsed="false">
      <c r="B2038" s="7" t="str">
        <f aca="false">IF(A2038="","",IFERROR(MATCH(A2038,Lists!$A$2:$A$37,0),""))</f>
        <v/>
      </c>
    </row>
    <row r="2039" customFormat="false" ht="15" hidden="false" customHeight="false" outlineLevel="0" collapsed="false">
      <c r="B2039" s="7" t="str">
        <f aca="false">IF(A2039="","",IFERROR(MATCH(A2039,Lists!$A$2:$A$37,0),""))</f>
        <v/>
      </c>
    </row>
    <row r="2040" customFormat="false" ht="15" hidden="false" customHeight="false" outlineLevel="0" collapsed="false">
      <c r="B2040" s="7" t="str">
        <f aca="false">IF(A2040="","",IFERROR(MATCH(A2040,Lists!$A$2:$A$37,0),""))</f>
        <v/>
      </c>
    </row>
    <row r="2041" customFormat="false" ht="15" hidden="false" customHeight="false" outlineLevel="0" collapsed="false">
      <c r="B2041" s="7" t="str">
        <f aca="false">IF(A2041="","",IFERROR(MATCH(A2041,Lists!$A$2:$A$37,0),""))</f>
        <v/>
      </c>
    </row>
    <row r="2042" customFormat="false" ht="15" hidden="false" customHeight="false" outlineLevel="0" collapsed="false">
      <c r="B2042" s="7" t="str">
        <f aca="false">IF(A2042="","",IFERROR(MATCH(A2042,Lists!$A$2:$A$37,0),""))</f>
        <v/>
      </c>
    </row>
    <row r="2043" customFormat="false" ht="15" hidden="false" customHeight="false" outlineLevel="0" collapsed="false">
      <c r="B2043" s="7" t="str">
        <f aca="false">IF(A2043="","",IFERROR(MATCH(A2043,Lists!$A$2:$A$37,0),""))</f>
        <v/>
      </c>
    </row>
    <row r="2044" customFormat="false" ht="15" hidden="false" customHeight="false" outlineLevel="0" collapsed="false">
      <c r="B2044" s="7" t="str">
        <f aca="false">IF(A2044="","",IFERROR(MATCH(A2044,Lists!$A$2:$A$37,0),""))</f>
        <v/>
      </c>
    </row>
    <row r="2045" customFormat="false" ht="15" hidden="false" customHeight="false" outlineLevel="0" collapsed="false">
      <c r="B2045" s="7" t="str">
        <f aca="false">IF(A2045="","",IFERROR(MATCH(A2045,Lists!$A$2:$A$37,0),""))</f>
        <v/>
      </c>
    </row>
    <row r="2046" customFormat="false" ht="15" hidden="false" customHeight="false" outlineLevel="0" collapsed="false">
      <c r="B2046" s="7" t="str">
        <f aca="false">IF(A2046="","",IFERROR(MATCH(A2046,Lists!$A$2:$A$37,0),""))</f>
        <v/>
      </c>
    </row>
    <row r="2047" customFormat="false" ht="15" hidden="false" customHeight="false" outlineLevel="0" collapsed="false">
      <c r="B2047" s="7" t="str">
        <f aca="false">IF(A2047="","",IFERROR(MATCH(A2047,Lists!$A$2:$A$37,0),""))</f>
        <v/>
      </c>
    </row>
    <row r="2048" customFormat="false" ht="15" hidden="false" customHeight="false" outlineLevel="0" collapsed="false">
      <c r="B2048" s="7" t="str">
        <f aca="false">IF(A2048="","",IFERROR(MATCH(A2048,Lists!$A$2:$A$37,0),""))</f>
        <v/>
      </c>
    </row>
    <row r="2049" customFormat="false" ht="15" hidden="false" customHeight="false" outlineLevel="0" collapsed="false">
      <c r="B2049" s="7" t="str">
        <f aca="false">IF(A2049="","",IFERROR(MATCH(A2049,Lists!$A$2:$A$37,0),""))</f>
        <v/>
      </c>
    </row>
    <row r="2050" customFormat="false" ht="15" hidden="false" customHeight="false" outlineLevel="0" collapsed="false">
      <c r="B2050" s="7" t="str">
        <f aca="false">IF(A2050="","",IFERROR(MATCH(A2050,Lists!$A$2:$A$37,0),""))</f>
        <v/>
      </c>
    </row>
    <row r="2051" customFormat="false" ht="15" hidden="false" customHeight="false" outlineLevel="0" collapsed="false">
      <c r="B2051" s="7" t="str">
        <f aca="false">IF(A2051="","",IFERROR(MATCH(A2051,Lists!$A$2:$A$37,0),""))</f>
        <v/>
      </c>
    </row>
    <row r="2052" customFormat="false" ht="15" hidden="false" customHeight="false" outlineLevel="0" collapsed="false">
      <c r="B2052" s="7" t="str">
        <f aca="false">IF(A2052="","",IFERROR(MATCH(A2052,Lists!$A$2:$A$37,0),""))</f>
        <v/>
      </c>
    </row>
    <row r="2053" customFormat="false" ht="15" hidden="false" customHeight="false" outlineLevel="0" collapsed="false">
      <c r="B2053" s="7" t="str">
        <f aca="false">IF(A2053="","",IFERROR(MATCH(A2053,Lists!$A$2:$A$37,0),""))</f>
        <v/>
      </c>
    </row>
    <row r="2054" customFormat="false" ht="15" hidden="false" customHeight="false" outlineLevel="0" collapsed="false">
      <c r="B2054" s="7" t="str">
        <f aca="false">IF(A2054="","",IFERROR(MATCH(A2054,Lists!$A$2:$A$37,0),""))</f>
        <v/>
      </c>
    </row>
    <row r="2055" customFormat="false" ht="15" hidden="false" customHeight="false" outlineLevel="0" collapsed="false">
      <c r="B2055" s="7" t="str">
        <f aca="false">IF(A2055="","",IFERROR(MATCH(A2055,Lists!$A$2:$A$37,0),""))</f>
        <v/>
      </c>
    </row>
    <row r="2056" customFormat="false" ht="15" hidden="false" customHeight="false" outlineLevel="0" collapsed="false">
      <c r="B2056" s="7" t="str">
        <f aca="false">IF(A2056="","",IFERROR(MATCH(A2056,Lists!$A$2:$A$37,0),""))</f>
        <v/>
      </c>
    </row>
    <row r="2057" customFormat="false" ht="15" hidden="false" customHeight="false" outlineLevel="0" collapsed="false">
      <c r="B2057" s="7" t="str">
        <f aca="false">IF(A2057="","",IFERROR(MATCH(A2057,Lists!$A$2:$A$37,0),""))</f>
        <v/>
      </c>
    </row>
    <row r="2058" customFormat="false" ht="15" hidden="false" customHeight="false" outlineLevel="0" collapsed="false">
      <c r="B2058" s="7" t="str">
        <f aca="false">IF(A2058="","",IFERROR(MATCH(A2058,Lists!$A$2:$A$37,0),""))</f>
        <v/>
      </c>
    </row>
    <row r="2059" customFormat="false" ht="15" hidden="false" customHeight="false" outlineLevel="0" collapsed="false">
      <c r="B2059" s="7" t="str">
        <f aca="false">IF(A2059="","",IFERROR(MATCH(A2059,Lists!$A$2:$A$37,0),""))</f>
        <v/>
      </c>
    </row>
    <row r="2060" customFormat="false" ht="15" hidden="false" customHeight="false" outlineLevel="0" collapsed="false">
      <c r="B2060" s="7" t="str">
        <f aca="false">IF(A2060="","",IFERROR(MATCH(A2060,Lists!$A$2:$A$37,0),""))</f>
        <v/>
      </c>
    </row>
    <row r="2061" customFormat="false" ht="15" hidden="false" customHeight="false" outlineLevel="0" collapsed="false">
      <c r="B2061" s="7" t="str">
        <f aca="false">IF(A2061="","",IFERROR(MATCH(A2061,Lists!$A$2:$A$37,0),""))</f>
        <v/>
      </c>
    </row>
    <row r="2062" customFormat="false" ht="15" hidden="false" customHeight="false" outlineLevel="0" collapsed="false">
      <c r="B2062" s="7" t="str">
        <f aca="false">IF(A2062="","",IFERROR(MATCH(A2062,Lists!$A$2:$A$37,0),""))</f>
        <v/>
      </c>
    </row>
    <row r="2063" customFormat="false" ht="15" hidden="false" customHeight="false" outlineLevel="0" collapsed="false">
      <c r="B2063" s="7" t="str">
        <f aca="false">IF(A2063="","",IFERROR(MATCH(A2063,Lists!$A$2:$A$37,0),""))</f>
        <v/>
      </c>
    </row>
    <row r="2064" customFormat="false" ht="15" hidden="false" customHeight="false" outlineLevel="0" collapsed="false">
      <c r="B2064" s="7" t="str">
        <f aca="false">IF(A2064="","",IFERROR(MATCH(A2064,Lists!$A$2:$A$37,0),""))</f>
        <v/>
      </c>
    </row>
    <row r="2065" customFormat="false" ht="15" hidden="false" customHeight="false" outlineLevel="0" collapsed="false">
      <c r="B2065" s="7" t="str">
        <f aca="false">IF(A2065="","",IFERROR(MATCH(A2065,Lists!$A$2:$A$37,0),""))</f>
        <v/>
      </c>
    </row>
    <row r="2066" customFormat="false" ht="15" hidden="false" customHeight="false" outlineLevel="0" collapsed="false">
      <c r="B2066" s="7" t="str">
        <f aca="false">IF(A2066="","",IFERROR(MATCH(A2066,Lists!$A$2:$A$37,0),""))</f>
        <v/>
      </c>
    </row>
    <row r="2067" customFormat="false" ht="15" hidden="false" customHeight="false" outlineLevel="0" collapsed="false">
      <c r="B2067" s="7" t="str">
        <f aca="false">IF(A2067="","",IFERROR(MATCH(A2067,Lists!$A$2:$A$37,0),""))</f>
        <v/>
      </c>
    </row>
    <row r="2068" customFormat="false" ht="15" hidden="false" customHeight="false" outlineLevel="0" collapsed="false">
      <c r="B2068" s="7" t="str">
        <f aca="false">IF(A2068="","",IFERROR(MATCH(A2068,Lists!$A$2:$A$37,0),""))</f>
        <v/>
      </c>
    </row>
    <row r="2069" customFormat="false" ht="15" hidden="false" customHeight="false" outlineLevel="0" collapsed="false">
      <c r="B2069" s="7" t="str">
        <f aca="false">IF(A2069="","",IFERROR(MATCH(A2069,Lists!$A$2:$A$37,0),""))</f>
        <v/>
      </c>
    </row>
    <row r="2070" customFormat="false" ht="15" hidden="false" customHeight="false" outlineLevel="0" collapsed="false">
      <c r="B2070" s="7" t="str">
        <f aca="false">IF(A2070="","",IFERROR(MATCH(A2070,Lists!$A$2:$A$37,0),""))</f>
        <v/>
      </c>
    </row>
    <row r="2071" customFormat="false" ht="15" hidden="false" customHeight="false" outlineLevel="0" collapsed="false">
      <c r="B2071" s="7" t="str">
        <f aca="false">IF(A2071="","",IFERROR(MATCH(A2071,Lists!$A$2:$A$37,0),""))</f>
        <v/>
      </c>
    </row>
    <row r="2072" customFormat="false" ht="15" hidden="false" customHeight="false" outlineLevel="0" collapsed="false">
      <c r="B2072" s="7" t="str">
        <f aca="false">IF(A2072="","",IFERROR(MATCH(A2072,Lists!$A$2:$A$37,0),""))</f>
        <v/>
      </c>
    </row>
    <row r="2073" customFormat="false" ht="15" hidden="false" customHeight="false" outlineLevel="0" collapsed="false">
      <c r="B2073" s="7" t="str">
        <f aca="false">IF(A2073="","",IFERROR(MATCH(A2073,Lists!$A$2:$A$37,0),""))</f>
        <v/>
      </c>
    </row>
    <row r="2074" customFormat="false" ht="15" hidden="false" customHeight="false" outlineLevel="0" collapsed="false">
      <c r="B2074" s="7" t="str">
        <f aca="false">IF(A2074="","",IFERROR(MATCH(A2074,Lists!$A$2:$A$37,0),""))</f>
        <v/>
      </c>
    </row>
    <row r="2075" customFormat="false" ht="15" hidden="false" customHeight="false" outlineLevel="0" collapsed="false">
      <c r="B2075" s="7" t="str">
        <f aca="false">IF(A2075="","",IFERROR(MATCH(A2075,Lists!$A$2:$A$37,0),""))</f>
        <v/>
      </c>
    </row>
    <row r="2076" customFormat="false" ht="15" hidden="false" customHeight="false" outlineLevel="0" collapsed="false">
      <c r="B2076" s="7" t="str">
        <f aca="false">IF(A2076="","",IFERROR(MATCH(A2076,Lists!$A$2:$A$37,0),""))</f>
        <v/>
      </c>
    </row>
    <row r="2077" customFormat="false" ht="15" hidden="false" customHeight="false" outlineLevel="0" collapsed="false">
      <c r="B2077" s="7" t="str">
        <f aca="false">IF(A2077="","",IFERROR(MATCH(A2077,Lists!$A$2:$A$37,0),""))</f>
        <v/>
      </c>
    </row>
    <row r="2078" customFormat="false" ht="15" hidden="false" customHeight="false" outlineLevel="0" collapsed="false">
      <c r="B2078" s="7" t="str">
        <f aca="false">IF(A2078="","",IFERROR(MATCH(A2078,Lists!$A$2:$A$37,0),""))</f>
        <v/>
      </c>
    </row>
    <row r="2079" customFormat="false" ht="15" hidden="false" customHeight="false" outlineLevel="0" collapsed="false">
      <c r="B2079" s="7" t="str">
        <f aca="false">IF(A2079="","",IFERROR(MATCH(A2079,Lists!$A$2:$A$37,0),""))</f>
        <v/>
      </c>
    </row>
    <row r="2080" customFormat="false" ht="15" hidden="false" customHeight="false" outlineLevel="0" collapsed="false">
      <c r="B2080" s="7" t="str">
        <f aca="false">IF(A2080="","",IFERROR(MATCH(A2080,Lists!$A$2:$A$37,0),""))</f>
        <v/>
      </c>
    </row>
    <row r="2081" customFormat="false" ht="15" hidden="false" customHeight="false" outlineLevel="0" collapsed="false">
      <c r="B2081" s="7" t="str">
        <f aca="false">IF(A2081="","",IFERROR(MATCH(A2081,Lists!$A$2:$A$37,0),""))</f>
        <v/>
      </c>
    </row>
    <row r="2082" customFormat="false" ht="15" hidden="false" customHeight="false" outlineLevel="0" collapsed="false">
      <c r="B2082" s="7" t="str">
        <f aca="false">IF(A2082="","",IFERROR(MATCH(A2082,Lists!$A$2:$A$37,0),""))</f>
        <v/>
      </c>
    </row>
    <row r="2083" customFormat="false" ht="15" hidden="false" customHeight="false" outlineLevel="0" collapsed="false">
      <c r="B2083" s="7" t="str">
        <f aca="false">IF(A2083="","",IFERROR(MATCH(A2083,Lists!$A$2:$A$37,0),""))</f>
        <v/>
      </c>
    </row>
    <row r="2084" customFormat="false" ht="15" hidden="false" customHeight="false" outlineLevel="0" collapsed="false">
      <c r="B2084" s="7" t="str">
        <f aca="false">IF(A2084="","",IFERROR(MATCH(A2084,Lists!$A$2:$A$37,0),""))</f>
        <v/>
      </c>
    </row>
    <row r="2085" customFormat="false" ht="15" hidden="false" customHeight="false" outlineLevel="0" collapsed="false">
      <c r="B2085" s="7" t="str">
        <f aca="false">IF(A2085="","",IFERROR(MATCH(A2085,Lists!$A$2:$A$37,0),""))</f>
        <v/>
      </c>
    </row>
    <row r="2086" customFormat="false" ht="15" hidden="false" customHeight="false" outlineLevel="0" collapsed="false">
      <c r="B2086" s="7" t="str">
        <f aca="false">IF(A2086="","",IFERROR(MATCH(A2086,Lists!$A$2:$A$37,0),""))</f>
        <v/>
      </c>
    </row>
    <row r="2087" customFormat="false" ht="15" hidden="false" customHeight="false" outlineLevel="0" collapsed="false">
      <c r="B2087" s="7" t="str">
        <f aca="false">IF(A2087="","",IFERROR(MATCH(A2087,Lists!$A$2:$A$37,0),""))</f>
        <v/>
      </c>
    </row>
    <row r="2088" customFormat="false" ht="15" hidden="false" customHeight="false" outlineLevel="0" collapsed="false">
      <c r="B2088" s="7" t="str">
        <f aca="false">IF(A2088="","",IFERROR(MATCH(A2088,Lists!$A$2:$A$37,0),""))</f>
        <v/>
      </c>
    </row>
    <row r="2089" customFormat="false" ht="15" hidden="false" customHeight="false" outlineLevel="0" collapsed="false">
      <c r="B2089" s="7" t="str">
        <f aca="false">IF(A2089="","",IFERROR(MATCH(A2089,Lists!$A$2:$A$37,0),""))</f>
        <v/>
      </c>
    </row>
    <row r="2090" customFormat="false" ht="15" hidden="false" customHeight="false" outlineLevel="0" collapsed="false">
      <c r="B2090" s="7" t="str">
        <f aca="false">IF(A2090="","",IFERROR(MATCH(A2090,Lists!$A$2:$A$37,0),""))</f>
        <v/>
      </c>
    </row>
    <row r="2091" customFormat="false" ht="15" hidden="false" customHeight="false" outlineLevel="0" collapsed="false">
      <c r="B2091" s="7" t="str">
        <f aca="false">IF(A2091="","",IFERROR(MATCH(A2091,Lists!$A$2:$A$37,0),""))</f>
        <v/>
      </c>
    </row>
    <row r="2092" customFormat="false" ht="15" hidden="false" customHeight="false" outlineLevel="0" collapsed="false">
      <c r="B2092" s="7" t="str">
        <f aca="false">IF(A2092="","",IFERROR(MATCH(A2092,Lists!$A$2:$A$37,0),""))</f>
        <v/>
      </c>
    </row>
    <row r="2093" customFormat="false" ht="15" hidden="false" customHeight="false" outlineLevel="0" collapsed="false">
      <c r="B2093" s="7" t="str">
        <f aca="false">IF(A2093="","",IFERROR(MATCH(A2093,Lists!$A$2:$A$37,0),""))</f>
        <v/>
      </c>
    </row>
    <row r="2094" customFormat="false" ht="15" hidden="false" customHeight="false" outlineLevel="0" collapsed="false">
      <c r="B2094" s="7" t="str">
        <f aca="false">IF(A2094="","",IFERROR(MATCH(A2094,Lists!$A$2:$A$37,0),""))</f>
        <v/>
      </c>
    </row>
    <row r="2095" customFormat="false" ht="15" hidden="false" customHeight="false" outlineLevel="0" collapsed="false">
      <c r="B2095" s="7" t="str">
        <f aca="false">IF(A2095="","",IFERROR(MATCH(A2095,Lists!$A$2:$A$37,0),""))</f>
        <v/>
      </c>
    </row>
    <row r="2096" customFormat="false" ht="15" hidden="false" customHeight="false" outlineLevel="0" collapsed="false">
      <c r="B2096" s="7" t="str">
        <f aca="false">IF(A2096="","",IFERROR(MATCH(A2096,Lists!$A$2:$A$37,0),""))</f>
        <v/>
      </c>
    </row>
    <row r="2097" customFormat="false" ht="15" hidden="false" customHeight="false" outlineLevel="0" collapsed="false">
      <c r="B2097" s="7" t="str">
        <f aca="false">IF(A2097="","",IFERROR(MATCH(A2097,Lists!$A$2:$A$37,0),""))</f>
        <v/>
      </c>
    </row>
    <row r="2098" customFormat="false" ht="15" hidden="false" customHeight="false" outlineLevel="0" collapsed="false">
      <c r="B2098" s="7" t="str">
        <f aca="false">IF(A2098="","",IFERROR(MATCH(A2098,Lists!$A$2:$A$37,0),""))</f>
        <v/>
      </c>
    </row>
    <row r="2099" customFormat="false" ht="15" hidden="false" customHeight="false" outlineLevel="0" collapsed="false">
      <c r="B2099" s="7" t="str">
        <f aca="false">IF(A2099="","",IFERROR(MATCH(A2099,Lists!$A$2:$A$37,0),""))</f>
        <v/>
      </c>
    </row>
    <row r="2100" customFormat="false" ht="15" hidden="false" customHeight="false" outlineLevel="0" collapsed="false">
      <c r="B2100" s="7" t="str">
        <f aca="false">IF(A2100="","",IFERROR(MATCH(A2100,Lists!$A$2:$A$37,0),""))</f>
        <v/>
      </c>
    </row>
    <row r="2101" customFormat="false" ht="15" hidden="false" customHeight="false" outlineLevel="0" collapsed="false">
      <c r="B2101" s="7" t="str">
        <f aca="false">IF(A2101="","",IFERROR(MATCH(A2101,Lists!$A$2:$A$37,0),""))</f>
        <v/>
      </c>
    </row>
    <row r="2102" customFormat="false" ht="15" hidden="false" customHeight="false" outlineLevel="0" collapsed="false">
      <c r="B2102" s="7" t="str">
        <f aca="false">IF(A2102="","",IFERROR(MATCH(A2102,Lists!$A$2:$A$37,0),""))</f>
        <v/>
      </c>
    </row>
    <row r="2103" customFormat="false" ht="15" hidden="false" customHeight="false" outlineLevel="0" collapsed="false">
      <c r="B2103" s="7" t="str">
        <f aca="false">IF(A2103="","",IFERROR(MATCH(A2103,Lists!$A$2:$A$37,0),""))</f>
        <v/>
      </c>
    </row>
    <row r="2104" customFormat="false" ht="15" hidden="false" customHeight="false" outlineLevel="0" collapsed="false">
      <c r="B2104" s="7" t="str">
        <f aca="false">IF(A2104="","",IFERROR(MATCH(A2104,Lists!$A$2:$A$37,0),""))</f>
        <v/>
      </c>
    </row>
    <row r="2105" customFormat="false" ht="15" hidden="false" customHeight="false" outlineLevel="0" collapsed="false">
      <c r="B2105" s="7" t="str">
        <f aca="false">IF(A2105="","",IFERROR(MATCH(A2105,Lists!$A$2:$A$37,0),""))</f>
        <v/>
      </c>
    </row>
    <row r="2106" customFormat="false" ht="15" hidden="false" customHeight="false" outlineLevel="0" collapsed="false">
      <c r="B2106" s="7" t="str">
        <f aca="false">IF(A2106="","",IFERROR(MATCH(A2106,Lists!$A$2:$A$37,0),""))</f>
        <v/>
      </c>
    </row>
    <row r="2107" customFormat="false" ht="15" hidden="false" customHeight="false" outlineLevel="0" collapsed="false">
      <c r="B2107" s="7" t="str">
        <f aca="false">IF(A2107="","",IFERROR(MATCH(A2107,Lists!$A$2:$A$37,0),""))</f>
        <v/>
      </c>
    </row>
    <row r="2108" customFormat="false" ht="15" hidden="false" customHeight="false" outlineLevel="0" collapsed="false">
      <c r="B2108" s="7" t="str">
        <f aca="false">IF(A2108="","",IFERROR(MATCH(A2108,Lists!$A$2:$A$37,0),""))</f>
        <v/>
      </c>
    </row>
    <row r="2109" customFormat="false" ht="15" hidden="false" customHeight="false" outlineLevel="0" collapsed="false">
      <c r="B2109" s="7" t="str">
        <f aca="false">IF(A2109="","",IFERROR(MATCH(A2109,Lists!$A$2:$A$37,0),""))</f>
        <v/>
      </c>
    </row>
    <row r="2110" customFormat="false" ht="15" hidden="false" customHeight="false" outlineLevel="0" collapsed="false">
      <c r="B2110" s="7" t="str">
        <f aca="false">IF(A2110="","",IFERROR(MATCH(A2110,Lists!$A$2:$A$37,0),""))</f>
        <v/>
      </c>
    </row>
    <row r="2111" customFormat="false" ht="15" hidden="false" customHeight="false" outlineLevel="0" collapsed="false">
      <c r="B2111" s="7" t="str">
        <f aca="false">IF(A2111="","",IFERROR(MATCH(A2111,Lists!$A$2:$A$37,0),""))</f>
        <v/>
      </c>
    </row>
    <row r="2112" customFormat="false" ht="15" hidden="false" customHeight="false" outlineLevel="0" collapsed="false">
      <c r="B2112" s="7" t="str">
        <f aca="false">IF(A2112="","",IFERROR(MATCH(A2112,Lists!$A$2:$A$37,0),""))</f>
        <v/>
      </c>
    </row>
    <row r="2113" customFormat="false" ht="15" hidden="false" customHeight="false" outlineLevel="0" collapsed="false">
      <c r="B2113" s="7" t="str">
        <f aca="false">IF(A2113="","",IFERROR(MATCH(A2113,Lists!$A$2:$A$37,0),""))</f>
        <v/>
      </c>
    </row>
    <row r="2114" customFormat="false" ht="15" hidden="false" customHeight="false" outlineLevel="0" collapsed="false">
      <c r="B2114" s="7" t="str">
        <f aca="false">IF(A2114="","",IFERROR(MATCH(A2114,Lists!$A$2:$A$37,0),""))</f>
        <v/>
      </c>
    </row>
    <row r="2115" customFormat="false" ht="15" hidden="false" customHeight="false" outlineLevel="0" collapsed="false">
      <c r="B2115" s="7" t="str">
        <f aca="false">IF(A2115="","",IFERROR(MATCH(A2115,Lists!$A$2:$A$37,0),""))</f>
        <v/>
      </c>
    </row>
    <row r="2116" customFormat="false" ht="15" hidden="false" customHeight="false" outlineLevel="0" collapsed="false">
      <c r="B2116" s="7" t="str">
        <f aca="false">IF(A2116="","",IFERROR(MATCH(A2116,Lists!$A$2:$A$37,0),""))</f>
        <v/>
      </c>
    </row>
    <row r="2117" customFormat="false" ht="15" hidden="false" customHeight="false" outlineLevel="0" collapsed="false">
      <c r="B2117" s="7" t="str">
        <f aca="false">IF(A2117="","",IFERROR(MATCH(A2117,Lists!$A$2:$A$37,0),""))</f>
        <v/>
      </c>
    </row>
    <row r="2118" customFormat="false" ht="15" hidden="false" customHeight="false" outlineLevel="0" collapsed="false">
      <c r="B2118" s="7" t="str">
        <f aca="false">IF(A2118="","",IFERROR(MATCH(A2118,Lists!$A$2:$A$37,0),""))</f>
        <v/>
      </c>
    </row>
    <row r="2119" customFormat="false" ht="15" hidden="false" customHeight="false" outlineLevel="0" collapsed="false">
      <c r="B2119" s="7" t="str">
        <f aca="false">IF(A2119="","",IFERROR(MATCH(A2119,Lists!$A$2:$A$37,0),""))</f>
        <v/>
      </c>
    </row>
    <row r="2120" customFormat="false" ht="15" hidden="false" customHeight="false" outlineLevel="0" collapsed="false">
      <c r="B2120" s="7" t="str">
        <f aca="false">IF(A2120="","",IFERROR(MATCH(A2120,Lists!$A$2:$A$37,0),""))</f>
        <v/>
      </c>
    </row>
    <row r="2121" customFormat="false" ht="15" hidden="false" customHeight="false" outlineLevel="0" collapsed="false">
      <c r="B2121" s="7" t="str">
        <f aca="false">IF(A2121="","",IFERROR(MATCH(A2121,Lists!$A$2:$A$37,0),""))</f>
        <v/>
      </c>
    </row>
    <row r="2122" customFormat="false" ht="15" hidden="false" customHeight="false" outlineLevel="0" collapsed="false">
      <c r="B2122" s="7" t="str">
        <f aca="false">IF(A2122="","",IFERROR(MATCH(A2122,Lists!$A$2:$A$37,0),""))</f>
        <v/>
      </c>
    </row>
    <row r="2123" customFormat="false" ht="15" hidden="false" customHeight="false" outlineLevel="0" collapsed="false">
      <c r="B2123" s="7" t="str">
        <f aca="false">IF(A2123="","",IFERROR(MATCH(A2123,Lists!$A$2:$A$37,0),""))</f>
        <v/>
      </c>
    </row>
    <row r="2124" customFormat="false" ht="15" hidden="false" customHeight="false" outlineLevel="0" collapsed="false">
      <c r="B2124" s="7" t="str">
        <f aca="false">IF(A2124="","",IFERROR(MATCH(A2124,Lists!$A$2:$A$37,0),""))</f>
        <v/>
      </c>
    </row>
    <row r="2125" customFormat="false" ht="15" hidden="false" customHeight="false" outlineLevel="0" collapsed="false">
      <c r="B2125" s="7" t="str">
        <f aca="false">IF(A2125="","",IFERROR(MATCH(A2125,Lists!$A$2:$A$37,0),""))</f>
        <v/>
      </c>
    </row>
    <row r="2126" customFormat="false" ht="15" hidden="false" customHeight="false" outlineLevel="0" collapsed="false">
      <c r="B2126" s="7" t="str">
        <f aca="false">IF(A2126="","",IFERROR(MATCH(A2126,Lists!$A$2:$A$37,0),""))</f>
        <v/>
      </c>
    </row>
    <row r="2127" customFormat="false" ht="15" hidden="false" customHeight="false" outlineLevel="0" collapsed="false">
      <c r="B2127" s="7" t="str">
        <f aca="false">IF(A2127="","",IFERROR(MATCH(A2127,Lists!$A$2:$A$37,0),""))</f>
        <v/>
      </c>
    </row>
    <row r="2128" customFormat="false" ht="15" hidden="false" customHeight="false" outlineLevel="0" collapsed="false">
      <c r="B2128" s="7" t="str">
        <f aca="false">IF(A2128="","",IFERROR(MATCH(A2128,Lists!$A$2:$A$37,0),""))</f>
        <v/>
      </c>
    </row>
    <row r="2129" customFormat="false" ht="15" hidden="false" customHeight="false" outlineLevel="0" collapsed="false">
      <c r="B2129" s="7" t="str">
        <f aca="false">IF(A2129="","",IFERROR(MATCH(A2129,Lists!$A$2:$A$37,0),""))</f>
        <v/>
      </c>
    </row>
    <row r="2130" customFormat="false" ht="15" hidden="false" customHeight="false" outlineLevel="0" collapsed="false">
      <c r="B2130" s="7" t="str">
        <f aca="false">IF(A2130="","",IFERROR(MATCH(A2130,Lists!$A$2:$A$37,0),""))</f>
        <v/>
      </c>
    </row>
    <row r="2131" customFormat="false" ht="15" hidden="false" customHeight="false" outlineLevel="0" collapsed="false">
      <c r="B2131" s="7" t="str">
        <f aca="false">IF(A2131="","",IFERROR(MATCH(A2131,Lists!$A$2:$A$37,0),""))</f>
        <v/>
      </c>
    </row>
    <row r="2132" customFormat="false" ht="15" hidden="false" customHeight="false" outlineLevel="0" collapsed="false">
      <c r="B2132" s="7" t="str">
        <f aca="false">IF(A2132="","",IFERROR(MATCH(A2132,Lists!$A$2:$A$37,0),""))</f>
        <v/>
      </c>
    </row>
    <row r="2133" customFormat="false" ht="15" hidden="false" customHeight="false" outlineLevel="0" collapsed="false">
      <c r="B2133" s="7" t="str">
        <f aca="false">IF(A2133="","",IFERROR(MATCH(A2133,Lists!$A$2:$A$37,0),""))</f>
        <v/>
      </c>
    </row>
    <row r="2134" customFormat="false" ht="15" hidden="false" customHeight="false" outlineLevel="0" collapsed="false">
      <c r="B2134" s="7" t="str">
        <f aca="false">IF(A2134="","",IFERROR(MATCH(A2134,Lists!$A$2:$A$37,0),""))</f>
        <v/>
      </c>
    </row>
    <row r="2135" customFormat="false" ht="15" hidden="false" customHeight="false" outlineLevel="0" collapsed="false">
      <c r="B2135" s="7" t="str">
        <f aca="false">IF(A2135="","",IFERROR(MATCH(A2135,Lists!$A$2:$A$37,0),""))</f>
        <v/>
      </c>
    </row>
    <row r="2136" customFormat="false" ht="15" hidden="false" customHeight="false" outlineLevel="0" collapsed="false">
      <c r="B2136" s="7" t="str">
        <f aca="false">IF(A2136="","",IFERROR(MATCH(A2136,Lists!$A$2:$A$37,0),""))</f>
        <v/>
      </c>
    </row>
    <row r="2137" customFormat="false" ht="15" hidden="false" customHeight="false" outlineLevel="0" collapsed="false">
      <c r="B2137" s="7" t="str">
        <f aca="false">IF(A2137="","",IFERROR(MATCH(A2137,Lists!$A$2:$A$37,0),""))</f>
        <v/>
      </c>
    </row>
    <row r="2138" customFormat="false" ht="15" hidden="false" customHeight="false" outlineLevel="0" collapsed="false">
      <c r="B2138" s="7" t="str">
        <f aca="false">IF(A2138="","",IFERROR(MATCH(A2138,Lists!$A$2:$A$37,0),""))</f>
        <v/>
      </c>
    </row>
    <row r="2139" customFormat="false" ht="15" hidden="false" customHeight="false" outlineLevel="0" collapsed="false">
      <c r="B2139" s="7" t="str">
        <f aca="false">IF(A2139="","",IFERROR(MATCH(A2139,Lists!$A$2:$A$37,0),""))</f>
        <v/>
      </c>
    </row>
    <row r="2140" customFormat="false" ht="15" hidden="false" customHeight="false" outlineLevel="0" collapsed="false">
      <c r="B2140" s="7" t="str">
        <f aca="false">IF(A2140="","",IFERROR(MATCH(A2140,Lists!$A$2:$A$37,0),""))</f>
        <v/>
      </c>
    </row>
    <row r="2141" customFormat="false" ht="15" hidden="false" customHeight="false" outlineLevel="0" collapsed="false">
      <c r="B2141" s="7" t="str">
        <f aca="false">IF(A2141="","",IFERROR(MATCH(A2141,Lists!$A$2:$A$37,0),""))</f>
        <v/>
      </c>
    </row>
    <row r="2142" customFormat="false" ht="15" hidden="false" customHeight="false" outlineLevel="0" collapsed="false">
      <c r="B2142" s="7" t="str">
        <f aca="false">IF(A2142="","",IFERROR(MATCH(A2142,Lists!$A$2:$A$37,0),""))</f>
        <v/>
      </c>
    </row>
    <row r="2143" customFormat="false" ht="15" hidden="false" customHeight="false" outlineLevel="0" collapsed="false">
      <c r="B2143" s="7" t="str">
        <f aca="false">IF(A2143="","",IFERROR(MATCH(A2143,Lists!$A$2:$A$37,0),""))</f>
        <v/>
      </c>
    </row>
    <row r="2144" customFormat="false" ht="15" hidden="false" customHeight="false" outlineLevel="0" collapsed="false">
      <c r="B2144" s="7" t="str">
        <f aca="false">IF(A2144="","",IFERROR(MATCH(A2144,Lists!$A$2:$A$37,0),""))</f>
        <v/>
      </c>
    </row>
    <row r="2145" customFormat="false" ht="15" hidden="false" customHeight="false" outlineLevel="0" collapsed="false">
      <c r="B2145" s="7" t="str">
        <f aca="false">IF(A2145="","",IFERROR(MATCH(A2145,Lists!$A$2:$A$37,0),""))</f>
        <v/>
      </c>
    </row>
    <row r="2146" customFormat="false" ht="15" hidden="false" customHeight="false" outlineLevel="0" collapsed="false">
      <c r="B2146" s="7" t="str">
        <f aca="false">IF(A2146="","",IFERROR(MATCH(A2146,Lists!$A$2:$A$37,0),""))</f>
        <v/>
      </c>
    </row>
    <row r="2147" customFormat="false" ht="15" hidden="false" customHeight="false" outlineLevel="0" collapsed="false">
      <c r="B2147" s="7" t="str">
        <f aca="false">IF(A2147="","",IFERROR(MATCH(A2147,Lists!$A$2:$A$37,0),""))</f>
        <v/>
      </c>
    </row>
    <row r="2148" customFormat="false" ht="15" hidden="false" customHeight="false" outlineLevel="0" collapsed="false">
      <c r="B2148" s="7" t="str">
        <f aca="false">IF(A2148="","",IFERROR(MATCH(A2148,Lists!$A$2:$A$37,0),""))</f>
        <v/>
      </c>
    </row>
    <row r="2149" customFormat="false" ht="15" hidden="false" customHeight="false" outlineLevel="0" collapsed="false">
      <c r="B2149" s="7" t="str">
        <f aca="false">IF(A2149="","",IFERROR(MATCH(A2149,Lists!$A$2:$A$37,0),""))</f>
        <v/>
      </c>
    </row>
    <row r="2150" customFormat="false" ht="15" hidden="false" customHeight="false" outlineLevel="0" collapsed="false">
      <c r="B2150" s="7" t="str">
        <f aca="false">IF(A2150="","",IFERROR(MATCH(A2150,Lists!$A$2:$A$37,0),""))</f>
        <v/>
      </c>
    </row>
    <row r="2151" customFormat="false" ht="15" hidden="false" customHeight="false" outlineLevel="0" collapsed="false">
      <c r="B2151" s="7" t="str">
        <f aca="false">IF(A2151="","",IFERROR(MATCH(A2151,Lists!$A$2:$A$37,0),""))</f>
        <v/>
      </c>
    </row>
    <row r="2152" customFormat="false" ht="15" hidden="false" customHeight="false" outlineLevel="0" collapsed="false">
      <c r="B2152" s="7" t="str">
        <f aca="false">IF(A2152="","",IFERROR(MATCH(A2152,Lists!$A$2:$A$37,0),""))</f>
        <v/>
      </c>
    </row>
    <row r="2153" customFormat="false" ht="15" hidden="false" customHeight="false" outlineLevel="0" collapsed="false">
      <c r="B2153" s="7" t="str">
        <f aca="false">IF(A2153="","",IFERROR(MATCH(A2153,Lists!$A$2:$A$37,0),""))</f>
        <v/>
      </c>
    </row>
    <row r="2154" customFormat="false" ht="15" hidden="false" customHeight="false" outlineLevel="0" collapsed="false">
      <c r="B2154" s="7" t="str">
        <f aca="false">IF(A2154="","",IFERROR(MATCH(A2154,Lists!$A$2:$A$37,0),""))</f>
        <v/>
      </c>
    </row>
    <row r="2155" customFormat="false" ht="15" hidden="false" customHeight="false" outlineLevel="0" collapsed="false">
      <c r="B2155" s="7" t="str">
        <f aca="false">IF(A2155="","",IFERROR(MATCH(A2155,Lists!$A$2:$A$37,0),""))</f>
        <v/>
      </c>
    </row>
    <row r="2156" customFormat="false" ht="15" hidden="false" customHeight="false" outlineLevel="0" collapsed="false">
      <c r="B2156" s="7" t="str">
        <f aca="false">IF(A2156="","",IFERROR(MATCH(A2156,Lists!$A$2:$A$37,0),""))</f>
        <v/>
      </c>
    </row>
    <row r="2157" customFormat="false" ht="15" hidden="false" customHeight="false" outlineLevel="0" collapsed="false">
      <c r="B2157" s="7" t="str">
        <f aca="false">IF(A2157="","",IFERROR(MATCH(A2157,Lists!$A$2:$A$37,0),""))</f>
        <v/>
      </c>
    </row>
    <row r="2158" customFormat="false" ht="15" hidden="false" customHeight="false" outlineLevel="0" collapsed="false">
      <c r="B2158" s="7" t="str">
        <f aca="false">IF(A2158="","",IFERROR(MATCH(A2158,Lists!$A$2:$A$37,0),""))</f>
        <v/>
      </c>
    </row>
    <row r="2159" customFormat="false" ht="15" hidden="false" customHeight="false" outlineLevel="0" collapsed="false">
      <c r="B2159" s="7" t="str">
        <f aca="false">IF(A2159="","",IFERROR(MATCH(A2159,Lists!$A$2:$A$37,0),""))</f>
        <v/>
      </c>
    </row>
    <row r="2160" customFormat="false" ht="15" hidden="false" customHeight="false" outlineLevel="0" collapsed="false">
      <c r="B2160" s="7" t="str">
        <f aca="false">IF(A2160="","",IFERROR(MATCH(A2160,Lists!$A$2:$A$37,0),""))</f>
        <v/>
      </c>
    </row>
    <row r="2161" customFormat="false" ht="15" hidden="false" customHeight="false" outlineLevel="0" collapsed="false">
      <c r="B2161" s="7" t="str">
        <f aca="false">IF(A2161="","",IFERROR(MATCH(A2161,Lists!$A$2:$A$37,0),""))</f>
        <v/>
      </c>
    </row>
    <row r="2162" customFormat="false" ht="15" hidden="false" customHeight="false" outlineLevel="0" collapsed="false">
      <c r="B2162" s="7" t="str">
        <f aca="false">IF(A2162="","",IFERROR(MATCH(A2162,Lists!$A$2:$A$37,0),""))</f>
        <v/>
      </c>
    </row>
    <row r="2163" customFormat="false" ht="15" hidden="false" customHeight="false" outlineLevel="0" collapsed="false">
      <c r="B2163" s="7" t="str">
        <f aca="false">IF(A2163="","",IFERROR(MATCH(A2163,Lists!$A$2:$A$37,0),""))</f>
        <v/>
      </c>
    </row>
    <row r="2164" customFormat="false" ht="15" hidden="false" customHeight="false" outlineLevel="0" collapsed="false">
      <c r="B2164" s="7" t="str">
        <f aca="false">IF(A2164="","",IFERROR(MATCH(A2164,Lists!$A$2:$A$37,0),""))</f>
        <v/>
      </c>
    </row>
    <row r="2165" customFormat="false" ht="15" hidden="false" customHeight="false" outlineLevel="0" collapsed="false">
      <c r="B2165" s="7" t="str">
        <f aca="false">IF(A2165="","",IFERROR(MATCH(A2165,Lists!$A$2:$A$37,0),""))</f>
        <v/>
      </c>
    </row>
    <row r="2166" customFormat="false" ht="15" hidden="false" customHeight="false" outlineLevel="0" collapsed="false">
      <c r="B2166" s="7" t="str">
        <f aca="false">IF(A2166="","",IFERROR(MATCH(A2166,Lists!$A$2:$A$37,0),""))</f>
        <v/>
      </c>
    </row>
    <row r="2167" customFormat="false" ht="15" hidden="false" customHeight="false" outlineLevel="0" collapsed="false">
      <c r="B2167" s="7" t="str">
        <f aca="false">IF(A2167="","",IFERROR(MATCH(A2167,Lists!$A$2:$A$37,0),""))</f>
        <v/>
      </c>
    </row>
    <row r="2168" customFormat="false" ht="15" hidden="false" customHeight="false" outlineLevel="0" collapsed="false">
      <c r="B2168" s="7" t="str">
        <f aca="false">IF(A2168="","",IFERROR(MATCH(A2168,Lists!$A$2:$A$37,0),""))</f>
        <v/>
      </c>
    </row>
    <row r="2169" customFormat="false" ht="15" hidden="false" customHeight="false" outlineLevel="0" collapsed="false">
      <c r="B2169" s="7" t="str">
        <f aca="false">IF(A2169="","",IFERROR(MATCH(A2169,Lists!$A$2:$A$37,0),""))</f>
        <v/>
      </c>
    </row>
    <row r="2170" customFormat="false" ht="15" hidden="false" customHeight="false" outlineLevel="0" collapsed="false">
      <c r="B2170" s="7" t="str">
        <f aca="false">IF(A2170="","",IFERROR(MATCH(A2170,Lists!$A$2:$A$37,0),""))</f>
        <v/>
      </c>
    </row>
    <row r="2171" customFormat="false" ht="15" hidden="false" customHeight="false" outlineLevel="0" collapsed="false">
      <c r="B2171" s="7" t="str">
        <f aca="false">IF(A2171="","",IFERROR(MATCH(A2171,Lists!$A$2:$A$37,0),""))</f>
        <v/>
      </c>
    </row>
    <row r="2172" customFormat="false" ht="15" hidden="false" customHeight="false" outlineLevel="0" collapsed="false">
      <c r="B2172" s="7" t="str">
        <f aca="false">IF(A2172="","",IFERROR(MATCH(A2172,Lists!$A$2:$A$37,0),""))</f>
        <v/>
      </c>
    </row>
    <row r="2173" customFormat="false" ht="15" hidden="false" customHeight="false" outlineLevel="0" collapsed="false">
      <c r="B2173" s="7" t="str">
        <f aca="false">IF(A2173="","",IFERROR(MATCH(A2173,Lists!$A$2:$A$37,0),""))</f>
        <v/>
      </c>
    </row>
    <row r="2174" customFormat="false" ht="15" hidden="false" customHeight="false" outlineLevel="0" collapsed="false">
      <c r="B2174" s="7" t="str">
        <f aca="false">IF(A2174="","",IFERROR(MATCH(A2174,Lists!$A$2:$A$37,0),""))</f>
        <v/>
      </c>
    </row>
    <row r="2175" customFormat="false" ht="15" hidden="false" customHeight="false" outlineLevel="0" collapsed="false">
      <c r="B2175" s="7" t="str">
        <f aca="false">IF(A2175="","",IFERROR(MATCH(A2175,Lists!$A$2:$A$37,0),""))</f>
        <v/>
      </c>
    </row>
    <row r="2176" customFormat="false" ht="15" hidden="false" customHeight="false" outlineLevel="0" collapsed="false">
      <c r="B2176" s="7" t="str">
        <f aca="false">IF(A2176="","",IFERROR(MATCH(A2176,Lists!$A$2:$A$37,0),""))</f>
        <v/>
      </c>
    </row>
    <row r="2177" customFormat="false" ht="15" hidden="false" customHeight="false" outlineLevel="0" collapsed="false">
      <c r="B2177" s="7" t="str">
        <f aca="false">IF(A2177="","",IFERROR(MATCH(A2177,Lists!$A$2:$A$37,0),""))</f>
        <v/>
      </c>
    </row>
    <row r="2178" customFormat="false" ht="15" hidden="false" customHeight="false" outlineLevel="0" collapsed="false">
      <c r="B2178" s="7" t="str">
        <f aca="false">IF(A2178="","",IFERROR(MATCH(A2178,Lists!$A$2:$A$37,0),""))</f>
        <v/>
      </c>
    </row>
    <row r="2179" customFormat="false" ht="15" hidden="false" customHeight="false" outlineLevel="0" collapsed="false">
      <c r="B2179" s="7" t="str">
        <f aca="false">IF(A2179="","",IFERROR(MATCH(A2179,Lists!$A$2:$A$37,0),""))</f>
        <v/>
      </c>
    </row>
    <row r="2180" customFormat="false" ht="15" hidden="false" customHeight="false" outlineLevel="0" collapsed="false">
      <c r="B2180" s="7" t="str">
        <f aca="false">IF(A2180="","",IFERROR(MATCH(A2180,Lists!$A$2:$A$37,0),""))</f>
        <v/>
      </c>
    </row>
    <row r="2181" customFormat="false" ht="15" hidden="false" customHeight="false" outlineLevel="0" collapsed="false">
      <c r="B2181" s="7" t="str">
        <f aca="false">IF(A2181="","",IFERROR(MATCH(A2181,Lists!$A$2:$A$37,0),""))</f>
        <v/>
      </c>
    </row>
    <row r="2182" customFormat="false" ht="15" hidden="false" customHeight="false" outlineLevel="0" collapsed="false">
      <c r="B2182" s="7" t="str">
        <f aca="false">IF(A2182="","",IFERROR(MATCH(A2182,Lists!$A$2:$A$37,0),""))</f>
        <v/>
      </c>
    </row>
    <row r="2183" customFormat="false" ht="15" hidden="false" customHeight="false" outlineLevel="0" collapsed="false">
      <c r="B2183" s="7" t="str">
        <f aca="false">IF(A2183="","",IFERROR(MATCH(A2183,Lists!$A$2:$A$37,0),""))</f>
        <v/>
      </c>
    </row>
    <row r="2184" customFormat="false" ht="15" hidden="false" customHeight="false" outlineLevel="0" collapsed="false">
      <c r="B2184" s="7" t="str">
        <f aca="false">IF(A2184="","",IFERROR(MATCH(A2184,Lists!$A$2:$A$37,0),""))</f>
        <v/>
      </c>
    </row>
    <row r="2185" customFormat="false" ht="15" hidden="false" customHeight="false" outlineLevel="0" collapsed="false">
      <c r="B2185" s="7" t="str">
        <f aca="false">IF(A2185="","",IFERROR(MATCH(A2185,Lists!$A$2:$A$37,0),""))</f>
        <v/>
      </c>
    </row>
    <row r="2186" customFormat="false" ht="15" hidden="false" customHeight="false" outlineLevel="0" collapsed="false">
      <c r="B2186" s="7" t="str">
        <f aca="false">IF(A2186="","",IFERROR(MATCH(A2186,Lists!$A$2:$A$37,0),""))</f>
        <v/>
      </c>
    </row>
    <row r="2187" customFormat="false" ht="15" hidden="false" customHeight="false" outlineLevel="0" collapsed="false">
      <c r="B2187" s="7" t="str">
        <f aca="false">IF(A2187="","",IFERROR(MATCH(A2187,Lists!$A$2:$A$37,0),""))</f>
        <v/>
      </c>
    </row>
    <row r="2188" customFormat="false" ht="15" hidden="false" customHeight="false" outlineLevel="0" collapsed="false">
      <c r="B2188" s="7" t="str">
        <f aca="false">IF(A2188="","",IFERROR(MATCH(A2188,Lists!$A$2:$A$37,0),""))</f>
        <v/>
      </c>
    </row>
    <row r="2189" customFormat="false" ht="15" hidden="false" customHeight="false" outlineLevel="0" collapsed="false">
      <c r="B2189" s="7" t="str">
        <f aca="false">IF(A2189="","",IFERROR(MATCH(A2189,Lists!$A$2:$A$37,0),""))</f>
        <v/>
      </c>
    </row>
    <row r="2190" customFormat="false" ht="15" hidden="false" customHeight="false" outlineLevel="0" collapsed="false">
      <c r="B2190" s="7" t="str">
        <f aca="false">IF(A2190="","",IFERROR(MATCH(A2190,Lists!$A$2:$A$37,0),""))</f>
        <v/>
      </c>
    </row>
    <row r="2191" customFormat="false" ht="15" hidden="false" customHeight="false" outlineLevel="0" collapsed="false">
      <c r="B2191" s="7" t="str">
        <f aca="false">IF(A2191="","",IFERROR(MATCH(A2191,Lists!$A$2:$A$37,0),""))</f>
        <v/>
      </c>
    </row>
    <row r="2192" customFormat="false" ht="15" hidden="false" customHeight="false" outlineLevel="0" collapsed="false">
      <c r="B2192" s="7" t="str">
        <f aca="false">IF(A2192="","",IFERROR(MATCH(A2192,Lists!$A$2:$A$37,0),""))</f>
        <v/>
      </c>
    </row>
    <row r="2193" customFormat="false" ht="15" hidden="false" customHeight="false" outlineLevel="0" collapsed="false">
      <c r="B2193" s="7" t="str">
        <f aca="false">IF(A2193="","",IFERROR(MATCH(A2193,Lists!$A$2:$A$37,0),""))</f>
        <v/>
      </c>
    </row>
    <row r="2194" customFormat="false" ht="15" hidden="false" customHeight="false" outlineLevel="0" collapsed="false">
      <c r="B2194" s="7" t="str">
        <f aca="false">IF(A2194="","",IFERROR(MATCH(A2194,Lists!$A$2:$A$37,0),""))</f>
        <v/>
      </c>
    </row>
    <row r="2195" customFormat="false" ht="15" hidden="false" customHeight="false" outlineLevel="0" collapsed="false">
      <c r="B2195" s="7" t="str">
        <f aca="false">IF(A2195="","",IFERROR(MATCH(A2195,Lists!$A$2:$A$37,0),""))</f>
        <v/>
      </c>
    </row>
    <row r="2196" customFormat="false" ht="15" hidden="false" customHeight="false" outlineLevel="0" collapsed="false">
      <c r="B2196" s="7" t="str">
        <f aca="false">IF(A2196="","",IFERROR(MATCH(A2196,Lists!$A$2:$A$37,0),""))</f>
        <v/>
      </c>
    </row>
    <row r="2197" customFormat="false" ht="15" hidden="false" customHeight="false" outlineLevel="0" collapsed="false">
      <c r="B2197" s="7" t="str">
        <f aca="false">IF(A2197="","",IFERROR(MATCH(A2197,Lists!$A$2:$A$37,0),""))</f>
        <v/>
      </c>
    </row>
    <row r="2198" customFormat="false" ht="15" hidden="false" customHeight="false" outlineLevel="0" collapsed="false">
      <c r="B2198" s="7" t="str">
        <f aca="false">IF(A2198="","",IFERROR(MATCH(A2198,Lists!$A$2:$A$37,0),""))</f>
        <v/>
      </c>
    </row>
    <row r="2199" customFormat="false" ht="15" hidden="false" customHeight="false" outlineLevel="0" collapsed="false">
      <c r="B2199" s="7" t="str">
        <f aca="false">IF(A2199="","",IFERROR(MATCH(A2199,Lists!$A$2:$A$37,0),""))</f>
        <v/>
      </c>
    </row>
    <row r="2200" customFormat="false" ht="15" hidden="false" customHeight="false" outlineLevel="0" collapsed="false">
      <c r="B2200" s="7" t="str">
        <f aca="false">IF(A2200="","",IFERROR(MATCH(A2200,Lists!$A$2:$A$37,0),""))</f>
        <v/>
      </c>
    </row>
    <row r="2201" customFormat="false" ht="15" hidden="false" customHeight="false" outlineLevel="0" collapsed="false">
      <c r="B2201" s="7" t="str">
        <f aca="false">IF(A2201="","",IFERROR(MATCH(A2201,Lists!$A$2:$A$37,0),""))</f>
        <v/>
      </c>
    </row>
    <row r="2202" customFormat="false" ht="15" hidden="false" customHeight="false" outlineLevel="0" collapsed="false">
      <c r="B2202" s="7" t="str">
        <f aca="false">IF(A2202="","",IFERROR(MATCH(A2202,Lists!$A$2:$A$37,0),""))</f>
        <v/>
      </c>
    </row>
    <row r="2203" customFormat="false" ht="15" hidden="false" customHeight="false" outlineLevel="0" collapsed="false">
      <c r="B2203" s="7" t="str">
        <f aca="false">IF(A2203="","",IFERROR(MATCH(A2203,Lists!$A$2:$A$37,0),""))</f>
        <v/>
      </c>
    </row>
    <row r="2204" customFormat="false" ht="15" hidden="false" customHeight="false" outlineLevel="0" collapsed="false">
      <c r="B2204" s="7" t="str">
        <f aca="false">IF(A2204="","",IFERROR(MATCH(A2204,Lists!$A$2:$A$37,0),""))</f>
        <v/>
      </c>
    </row>
    <row r="2205" customFormat="false" ht="15" hidden="false" customHeight="false" outlineLevel="0" collapsed="false">
      <c r="B2205" s="7" t="str">
        <f aca="false">IF(A2205="","",IFERROR(MATCH(A2205,Lists!$A$2:$A$37,0),""))</f>
        <v/>
      </c>
    </row>
    <row r="2206" customFormat="false" ht="15" hidden="false" customHeight="false" outlineLevel="0" collapsed="false">
      <c r="B2206" s="7" t="str">
        <f aca="false">IF(A2206="","",IFERROR(MATCH(A2206,Lists!$A$2:$A$37,0),""))</f>
        <v/>
      </c>
    </row>
    <row r="2207" customFormat="false" ht="15" hidden="false" customHeight="false" outlineLevel="0" collapsed="false">
      <c r="B2207" s="7" t="str">
        <f aca="false">IF(A2207="","",IFERROR(MATCH(A2207,Lists!$A$2:$A$37,0),""))</f>
        <v/>
      </c>
    </row>
    <row r="2208" customFormat="false" ht="15" hidden="false" customHeight="false" outlineLevel="0" collapsed="false">
      <c r="B2208" s="7" t="str">
        <f aca="false">IF(A2208="","",IFERROR(MATCH(A2208,Lists!$A$2:$A$37,0),""))</f>
        <v/>
      </c>
    </row>
    <row r="2209" customFormat="false" ht="15" hidden="false" customHeight="false" outlineLevel="0" collapsed="false">
      <c r="B2209" s="7" t="str">
        <f aca="false">IF(A2209="","",IFERROR(MATCH(A2209,Lists!$A$2:$A$37,0),""))</f>
        <v/>
      </c>
    </row>
    <row r="2210" customFormat="false" ht="15" hidden="false" customHeight="false" outlineLevel="0" collapsed="false">
      <c r="B2210" s="7" t="str">
        <f aca="false">IF(A2210="","",IFERROR(MATCH(A2210,Lists!$A$2:$A$37,0),""))</f>
        <v/>
      </c>
    </row>
    <row r="2211" customFormat="false" ht="15" hidden="false" customHeight="false" outlineLevel="0" collapsed="false">
      <c r="B2211" s="7" t="str">
        <f aca="false">IF(A2211="","",IFERROR(MATCH(A2211,Lists!$A$2:$A$37,0),""))</f>
        <v/>
      </c>
    </row>
    <row r="2212" customFormat="false" ht="15" hidden="false" customHeight="false" outlineLevel="0" collapsed="false">
      <c r="B2212" s="7" t="str">
        <f aca="false">IF(A2212="","",IFERROR(MATCH(A2212,Lists!$A$2:$A$37,0),""))</f>
        <v/>
      </c>
    </row>
    <row r="2213" customFormat="false" ht="15" hidden="false" customHeight="false" outlineLevel="0" collapsed="false">
      <c r="B2213" s="7" t="str">
        <f aca="false">IF(A2213="","",IFERROR(MATCH(A2213,Lists!$A$2:$A$37,0),""))</f>
        <v/>
      </c>
    </row>
    <row r="2214" customFormat="false" ht="15" hidden="false" customHeight="false" outlineLevel="0" collapsed="false">
      <c r="B2214" s="7" t="str">
        <f aca="false">IF(A2214="","",IFERROR(MATCH(A2214,Lists!$A$2:$A$37,0),""))</f>
        <v/>
      </c>
    </row>
    <row r="2215" customFormat="false" ht="15" hidden="false" customHeight="false" outlineLevel="0" collapsed="false">
      <c r="B2215" s="7" t="str">
        <f aca="false">IF(A2215="","",IFERROR(MATCH(A2215,Lists!$A$2:$A$37,0),""))</f>
        <v/>
      </c>
    </row>
    <row r="2216" customFormat="false" ht="15" hidden="false" customHeight="false" outlineLevel="0" collapsed="false">
      <c r="B2216" s="7" t="str">
        <f aca="false">IF(A2216="","",IFERROR(MATCH(A2216,Lists!$A$2:$A$37,0),""))</f>
        <v/>
      </c>
    </row>
    <row r="2217" customFormat="false" ht="15" hidden="false" customHeight="false" outlineLevel="0" collapsed="false">
      <c r="B2217" s="7" t="str">
        <f aca="false">IF(A2217="","",IFERROR(MATCH(A2217,Lists!$A$2:$A$37,0),""))</f>
        <v/>
      </c>
    </row>
    <row r="2218" customFormat="false" ht="15" hidden="false" customHeight="false" outlineLevel="0" collapsed="false">
      <c r="B2218" s="7" t="str">
        <f aca="false">IF(A2218="","",IFERROR(MATCH(A2218,Lists!$A$2:$A$37,0),""))</f>
        <v/>
      </c>
    </row>
    <row r="2219" customFormat="false" ht="15" hidden="false" customHeight="false" outlineLevel="0" collapsed="false">
      <c r="B2219" s="7" t="str">
        <f aca="false">IF(A2219="","",IFERROR(MATCH(A2219,Lists!$A$2:$A$37,0),""))</f>
        <v/>
      </c>
    </row>
    <row r="2220" customFormat="false" ht="15" hidden="false" customHeight="false" outlineLevel="0" collapsed="false">
      <c r="B2220" s="7" t="str">
        <f aca="false">IF(A2220="","",IFERROR(MATCH(A2220,Lists!$A$2:$A$37,0),""))</f>
        <v/>
      </c>
    </row>
    <row r="2221" customFormat="false" ht="15" hidden="false" customHeight="false" outlineLevel="0" collapsed="false">
      <c r="B2221" s="7" t="str">
        <f aca="false">IF(A2221="","",IFERROR(MATCH(A2221,Lists!$A$2:$A$37,0),""))</f>
        <v/>
      </c>
    </row>
    <row r="2222" customFormat="false" ht="15" hidden="false" customHeight="false" outlineLevel="0" collapsed="false">
      <c r="B2222" s="7" t="str">
        <f aca="false">IF(A2222="","",IFERROR(MATCH(A2222,Lists!$A$2:$A$37,0),""))</f>
        <v/>
      </c>
    </row>
    <row r="2223" customFormat="false" ht="15" hidden="false" customHeight="false" outlineLevel="0" collapsed="false">
      <c r="B2223" s="7" t="str">
        <f aca="false">IF(A2223="","",IFERROR(MATCH(A2223,Lists!$A$2:$A$37,0),""))</f>
        <v/>
      </c>
    </row>
    <row r="2224" customFormat="false" ht="15" hidden="false" customHeight="false" outlineLevel="0" collapsed="false">
      <c r="B2224" s="7" t="str">
        <f aca="false">IF(A2224="","",IFERROR(MATCH(A2224,Lists!$A$2:$A$37,0),""))</f>
        <v/>
      </c>
    </row>
    <row r="2225" customFormat="false" ht="15" hidden="false" customHeight="false" outlineLevel="0" collapsed="false">
      <c r="B2225" s="7" t="str">
        <f aca="false">IF(A2225="","",IFERROR(MATCH(A2225,Lists!$A$2:$A$37,0),""))</f>
        <v/>
      </c>
    </row>
    <row r="2226" customFormat="false" ht="15" hidden="false" customHeight="false" outlineLevel="0" collapsed="false">
      <c r="B2226" s="7" t="str">
        <f aca="false">IF(A2226="","",IFERROR(MATCH(A2226,Lists!$A$2:$A$37,0),""))</f>
        <v/>
      </c>
    </row>
    <row r="2227" customFormat="false" ht="15" hidden="false" customHeight="false" outlineLevel="0" collapsed="false">
      <c r="B2227" s="7" t="str">
        <f aca="false">IF(A2227="","",IFERROR(MATCH(A2227,Lists!$A$2:$A$37,0),""))</f>
        <v/>
      </c>
    </row>
    <row r="2228" customFormat="false" ht="15" hidden="false" customHeight="false" outlineLevel="0" collapsed="false">
      <c r="B2228" s="7" t="str">
        <f aca="false">IF(A2228="","",IFERROR(MATCH(A2228,Lists!$A$2:$A$37,0),""))</f>
        <v/>
      </c>
    </row>
    <row r="2229" customFormat="false" ht="15" hidden="false" customHeight="false" outlineLevel="0" collapsed="false">
      <c r="B2229" s="7" t="str">
        <f aca="false">IF(A2229="","",IFERROR(MATCH(A2229,Lists!$A$2:$A$37,0),""))</f>
        <v/>
      </c>
    </row>
    <row r="2230" customFormat="false" ht="15" hidden="false" customHeight="false" outlineLevel="0" collapsed="false">
      <c r="B2230" s="7" t="str">
        <f aca="false">IF(A2230="","",IFERROR(MATCH(A2230,Lists!$A$2:$A$37,0),""))</f>
        <v/>
      </c>
    </row>
    <row r="2231" customFormat="false" ht="15" hidden="false" customHeight="false" outlineLevel="0" collapsed="false">
      <c r="B2231" s="7" t="str">
        <f aca="false">IF(A2231="","",IFERROR(MATCH(A2231,Lists!$A$2:$A$37,0),""))</f>
        <v/>
      </c>
    </row>
    <row r="2232" customFormat="false" ht="15" hidden="false" customHeight="false" outlineLevel="0" collapsed="false">
      <c r="B2232" s="7" t="str">
        <f aca="false">IF(A2232="","",IFERROR(MATCH(A2232,Lists!$A$2:$A$37,0),""))</f>
        <v/>
      </c>
    </row>
    <row r="2233" customFormat="false" ht="15" hidden="false" customHeight="false" outlineLevel="0" collapsed="false">
      <c r="B2233" s="7" t="str">
        <f aca="false">IF(A2233="","",IFERROR(MATCH(A2233,Lists!$A$2:$A$37,0),""))</f>
        <v/>
      </c>
    </row>
    <row r="2234" customFormat="false" ht="15" hidden="false" customHeight="false" outlineLevel="0" collapsed="false">
      <c r="B2234" s="7" t="str">
        <f aca="false">IF(A2234="","",IFERROR(MATCH(A2234,Lists!$A$2:$A$37,0),""))</f>
        <v/>
      </c>
    </row>
    <row r="2235" customFormat="false" ht="15" hidden="false" customHeight="false" outlineLevel="0" collapsed="false">
      <c r="B2235" s="7" t="str">
        <f aca="false">IF(A2235="","",IFERROR(MATCH(A2235,Lists!$A$2:$A$37,0),""))</f>
        <v/>
      </c>
    </row>
    <row r="2236" customFormat="false" ht="15" hidden="false" customHeight="false" outlineLevel="0" collapsed="false">
      <c r="B2236" s="7" t="str">
        <f aca="false">IF(A2236="","",IFERROR(MATCH(A2236,Lists!$A$2:$A$37,0),""))</f>
        <v/>
      </c>
    </row>
    <row r="2237" customFormat="false" ht="15" hidden="false" customHeight="false" outlineLevel="0" collapsed="false">
      <c r="B2237" s="7" t="str">
        <f aca="false">IF(A2237="","",IFERROR(MATCH(A2237,Lists!$A$2:$A$37,0),""))</f>
        <v/>
      </c>
    </row>
    <row r="2238" customFormat="false" ht="15" hidden="false" customHeight="false" outlineLevel="0" collapsed="false">
      <c r="B2238" s="7" t="str">
        <f aca="false">IF(A2238="","",IFERROR(MATCH(A2238,Lists!$A$2:$A$37,0),""))</f>
        <v/>
      </c>
    </row>
    <row r="2239" customFormat="false" ht="15" hidden="false" customHeight="false" outlineLevel="0" collapsed="false">
      <c r="B2239" s="7" t="str">
        <f aca="false">IF(A2239="","",IFERROR(MATCH(A2239,Lists!$A$2:$A$37,0),""))</f>
        <v/>
      </c>
    </row>
    <row r="2240" customFormat="false" ht="15" hidden="false" customHeight="false" outlineLevel="0" collapsed="false">
      <c r="B2240" s="7" t="str">
        <f aca="false">IF(A2240="","",IFERROR(MATCH(A2240,Lists!$A$2:$A$37,0),""))</f>
        <v/>
      </c>
    </row>
    <row r="2241" customFormat="false" ht="15" hidden="false" customHeight="false" outlineLevel="0" collapsed="false">
      <c r="B2241" s="7" t="str">
        <f aca="false">IF(A2241="","",IFERROR(MATCH(A2241,Lists!$A$2:$A$37,0),""))</f>
        <v/>
      </c>
    </row>
    <row r="2242" customFormat="false" ht="15" hidden="false" customHeight="false" outlineLevel="0" collapsed="false">
      <c r="B2242" s="7" t="str">
        <f aca="false">IF(A2242="","",IFERROR(MATCH(A2242,Lists!$A$2:$A$37,0),""))</f>
        <v/>
      </c>
    </row>
    <row r="2243" customFormat="false" ht="15" hidden="false" customHeight="false" outlineLevel="0" collapsed="false">
      <c r="B2243" s="7" t="str">
        <f aca="false">IF(A2243="","",IFERROR(MATCH(A2243,Lists!$A$2:$A$37,0),""))</f>
        <v/>
      </c>
    </row>
    <row r="2244" customFormat="false" ht="15" hidden="false" customHeight="false" outlineLevel="0" collapsed="false">
      <c r="B2244" s="7" t="str">
        <f aca="false">IF(A2244="","",IFERROR(MATCH(A2244,Lists!$A$2:$A$37,0),""))</f>
        <v/>
      </c>
    </row>
    <row r="2245" customFormat="false" ht="15" hidden="false" customHeight="false" outlineLevel="0" collapsed="false">
      <c r="B2245" s="7" t="str">
        <f aca="false">IF(A2245="","",IFERROR(MATCH(A2245,Lists!$A$2:$A$37,0),""))</f>
        <v/>
      </c>
    </row>
    <row r="2246" customFormat="false" ht="15" hidden="false" customHeight="false" outlineLevel="0" collapsed="false">
      <c r="B2246" s="7" t="str">
        <f aca="false">IF(A2246="","",IFERROR(MATCH(A2246,Lists!$A$2:$A$37,0),""))</f>
        <v/>
      </c>
    </row>
    <row r="2247" customFormat="false" ht="15" hidden="false" customHeight="false" outlineLevel="0" collapsed="false">
      <c r="B2247" s="7" t="str">
        <f aca="false">IF(A2247="","",IFERROR(MATCH(A2247,Lists!$A$2:$A$37,0),""))</f>
        <v/>
      </c>
    </row>
    <row r="2248" customFormat="false" ht="15" hidden="false" customHeight="false" outlineLevel="0" collapsed="false">
      <c r="B2248" s="7" t="str">
        <f aca="false">IF(A2248="","",IFERROR(MATCH(A2248,Lists!$A$2:$A$37,0),""))</f>
        <v/>
      </c>
    </row>
    <row r="2249" customFormat="false" ht="15" hidden="false" customHeight="false" outlineLevel="0" collapsed="false">
      <c r="B2249" s="7" t="str">
        <f aca="false">IF(A2249="","",IFERROR(MATCH(A2249,Lists!$A$2:$A$37,0),""))</f>
        <v/>
      </c>
    </row>
    <row r="2250" customFormat="false" ht="15" hidden="false" customHeight="false" outlineLevel="0" collapsed="false">
      <c r="B2250" s="7" t="str">
        <f aca="false">IF(A2250="","",IFERROR(MATCH(A2250,Lists!$A$2:$A$37,0),""))</f>
        <v/>
      </c>
    </row>
    <row r="2251" customFormat="false" ht="15" hidden="false" customHeight="false" outlineLevel="0" collapsed="false">
      <c r="B2251" s="7" t="str">
        <f aca="false">IF(A2251="","",IFERROR(MATCH(A2251,Lists!$A$2:$A$37,0),""))</f>
        <v/>
      </c>
    </row>
    <row r="2252" customFormat="false" ht="15" hidden="false" customHeight="false" outlineLevel="0" collapsed="false">
      <c r="B2252" s="7" t="str">
        <f aca="false">IF(A2252="","",IFERROR(MATCH(A2252,Lists!$A$2:$A$37,0),""))</f>
        <v/>
      </c>
    </row>
    <row r="2253" customFormat="false" ht="15" hidden="false" customHeight="false" outlineLevel="0" collapsed="false">
      <c r="B2253" s="7" t="str">
        <f aca="false">IF(A2253="","",IFERROR(MATCH(A2253,Lists!$A$2:$A$37,0),""))</f>
        <v/>
      </c>
    </row>
    <row r="2254" customFormat="false" ht="15" hidden="false" customHeight="false" outlineLevel="0" collapsed="false">
      <c r="B2254" s="7" t="str">
        <f aca="false">IF(A2254="","",IFERROR(MATCH(A2254,Lists!$A$2:$A$37,0),""))</f>
        <v/>
      </c>
    </row>
    <row r="2255" customFormat="false" ht="15" hidden="false" customHeight="false" outlineLevel="0" collapsed="false">
      <c r="B2255" s="7" t="str">
        <f aca="false">IF(A2255="","",IFERROR(MATCH(A2255,Lists!$A$2:$A$37,0),""))</f>
        <v/>
      </c>
    </row>
    <row r="2256" customFormat="false" ht="15" hidden="false" customHeight="false" outlineLevel="0" collapsed="false">
      <c r="B2256" s="7" t="str">
        <f aca="false">IF(A2256="","",IFERROR(MATCH(A2256,Lists!$A$2:$A$37,0),""))</f>
        <v/>
      </c>
    </row>
    <row r="2257" customFormat="false" ht="15" hidden="false" customHeight="false" outlineLevel="0" collapsed="false">
      <c r="B2257" s="7" t="str">
        <f aca="false">IF(A2257="","",IFERROR(MATCH(A2257,Lists!$A$2:$A$37,0),""))</f>
        <v/>
      </c>
    </row>
    <row r="2258" customFormat="false" ht="15" hidden="false" customHeight="false" outlineLevel="0" collapsed="false">
      <c r="B2258" s="7" t="str">
        <f aca="false">IF(A2258="","",IFERROR(MATCH(A2258,Lists!$A$2:$A$37,0),""))</f>
        <v/>
      </c>
    </row>
    <row r="2259" customFormat="false" ht="15" hidden="false" customHeight="false" outlineLevel="0" collapsed="false">
      <c r="B2259" s="7" t="str">
        <f aca="false">IF(A2259="","",IFERROR(MATCH(A2259,Lists!$A$2:$A$37,0),""))</f>
        <v/>
      </c>
    </row>
    <row r="2260" customFormat="false" ht="15" hidden="false" customHeight="false" outlineLevel="0" collapsed="false">
      <c r="B2260" s="7" t="str">
        <f aca="false">IF(A2260="","",IFERROR(MATCH(A2260,Lists!$A$2:$A$37,0),""))</f>
        <v/>
      </c>
    </row>
    <row r="2261" customFormat="false" ht="15" hidden="false" customHeight="false" outlineLevel="0" collapsed="false">
      <c r="B2261" s="7" t="str">
        <f aca="false">IF(A2261="","",IFERROR(MATCH(A2261,Lists!$A$2:$A$37,0),""))</f>
        <v/>
      </c>
    </row>
    <row r="2262" customFormat="false" ht="15" hidden="false" customHeight="false" outlineLevel="0" collapsed="false">
      <c r="B2262" s="7" t="str">
        <f aca="false">IF(A2262="","",IFERROR(MATCH(A2262,Lists!$A$2:$A$37,0),""))</f>
        <v/>
      </c>
    </row>
    <row r="2263" customFormat="false" ht="15" hidden="false" customHeight="false" outlineLevel="0" collapsed="false">
      <c r="B2263" s="7" t="str">
        <f aca="false">IF(A2263="","",IFERROR(MATCH(A2263,Lists!$A$2:$A$37,0),""))</f>
        <v/>
      </c>
    </row>
    <row r="2264" customFormat="false" ht="15" hidden="false" customHeight="false" outlineLevel="0" collapsed="false">
      <c r="B2264" s="7" t="str">
        <f aca="false">IF(A2264="","",IFERROR(MATCH(A2264,Lists!$A$2:$A$37,0),""))</f>
        <v/>
      </c>
    </row>
    <row r="2265" customFormat="false" ht="15" hidden="false" customHeight="false" outlineLevel="0" collapsed="false">
      <c r="B2265" s="7" t="str">
        <f aca="false">IF(A2265="","",IFERROR(MATCH(A2265,Lists!$A$2:$A$37,0),""))</f>
        <v/>
      </c>
    </row>
    <row r="2266" customFormat="false" ht="15" hidden="false" customHeight="false" outlineLevel="0" collapsed="false">
      <c r="B2266" s="7" t="str">
        <f aca="false">IF(A2266="","",IFERROR(MATCH(A2266,Lists!$A$2:$A$37,0),""))</f>
        <v/>
      </c>
    </row>
    <row r="2267" customFormat="false" ht="15" hidden="false" customHeight="false" outlineLevel="0" collapsed="false">
      <c r="B2267" s="7" t="str">
        <f aca="false">IF(A2267="","",IFERROR(MATCH(A2267,Lists!$A$2:$A$37,0),""))</f>
        <v/>
      </c>
    </row>
    <row r="2268" customFormat="false" ht="15" hidden="false" customHeight="false" outlineLevel="0" collapsed="false">
      <c r="B2268" s="7" t="str">
        <f aca="false">IF(A2268="","",IFERROR(MATCH(A2268,Lists!$A$2:$A$37,0),""))</f>
        <v/>
      </c>
    </row>
    <row r="2269" customFormat="false" ht="15" hidden="false" customHeight="false" outlineLevel="0" collapsed="false">
      <c r="B2269" s="7" t="str">
        <f aca="false">IF(A2269="","",IFERROR(MATCH(A2269,Lists!$A$2:$A$37,0),""))</f>
        <v/>
      </c>
    </row>
    <row r="2270" customFormat="false" ht="15" hidden="false" customHeight="false" outlineLevel="0" collapsed="false">
      <c r="B2270" s="7" t="str">
        <f aca="false">IF(A2270="","",IFERROR(MATCH(A2270,Lists!$A$2:$A$37,0),""))</f>
        <v/>
      </c>
    </row>
    <row r="2271" customFormat="false" ht="15" hidden="false" customHeight="false" outlineLevel="0" collapsed="false">
      <c r="B2271" s="7" t="str">
        <f aca="false">IF(A2271="","",IFERROR(MATCH(A2271,Lists!$A$2:$A$37,0),""))</f>
        <v/>
      </c>
    </row>
    <row r="2272" customFormat="false" ht="15" hidden="false" customHeight="false" outlineLevel="0" collapsed="false">
      <c r="B2272" s="7" t="str">
        <f aca="false">IF(A2272="","",IFERROR(MATCH(A2272,Lists!$A$2:$A$37,0),""))</f>
        <v/>
      </c>
    </row>
    <row r="2273" customFormat="false" ht="15" hidden="false" customHeight="false" outlineLevel="0" collapsed="false">
      <c r="B2273" s="7" t="str">
        <f aca="false">IF(A2273="","",IFERROR(MATCH(A2273,Lists!$A$2:$A$37,0),""))</f>
        <v/>
      </c>
    </row>
    <row r="2274" customFormat="false" ht="15" hidden="false" customHeight="false" outlineLevel="0" collapsed="false">
      <c r="B2274" s="7" t="str">
        <f aca="false">IF(A2274="","",IFERROR(MATCH(A2274,Lists!$A$2:$A$37,0),""))</f>
        <v/>
      </c>
    </row>
    <row r="2275" customFormat="false" ht="15" hidden="false" customHeight="false" outlineLevel="0" collapsed="false">
      <c r="B2275" s="7" t="str">
        <f aca="false">IF(A2275="","",IFERROR(MATCH(A2275,Lists!$A$2:$A$37,0),""))</f>
        <v/>
      </c>
    </row>
    <row r="2276" customFormat="false" ht="15" hidden="false" customHeight="false" outlineLevel="0" collapsed="false">
      <c r="B2276" s="7" t="str">
        <f aca="false">IF(A2276="","",IFERROR(MATCH(A2276,Lists!$A$2:$A$37,0),""))</f>
        <v/>
      </c>
    </row>
    <row r="2277" customFormat="false" ht="15" hidden="false" customHeight="false" outlineLevel="0" collapsed="false">
      <c r="B2277" s="7" t="str">
        <f aca="false">IF(A2277="","",IFERROR(MATCH(A2277,Lists!$A$2:$A$37,0),""))</f>
        <v/>
      </c>
    </row>
    <row r="2278" customFormat="false" ht="15" hidden="false" customHeight="false" outlineLevel="0" collapsed="false">
      <c r="B2278" s="7" t="str">
        <f aca="false">IF(A2278="","",IFERROR(MATCH(A2278,Lists!$A$2:$A$37,0),""))</f>
        <v/>
      </c>
    </row>
    <row r="2279" customFormat="false" ht="15" hidden="false" customHeight="false" outlineLevel="0" collapsed="false">
      <c r="B2279" s="7" t="str">
        <f aca="false">IF(A2279="","",IFERROR(MATCH(A2279,Lists!$A$2:$A$37,0),""))</f>
        <v/>
      </c>
    </row>
    <row r="2280" customFormat="false" ht="15" hidden="false" customHeight="false" outlineLevel="0" collapsed="false">
      <c r="B2280" s="7" t="str">
        <f aca="false">IF(A2280="","",IFERROR(MATCH(A2280,Lists!$A$2:$A$37,0),""))</f>
        <v/>
      </c>
    </row>
    <row r="2281" customFormat="false" ht="15" hidden="false" customHeight="false" outlineLevel="0" collapsed="false">
      <c r="B2281" s="7" t="str">
        <f aca="false">IF(A2281="","",IFERROR(MATCH(A2281,Lists!$A$2:$A$37,0),""))</f>
        <v/>
      </c>
    </row>
    <row r="2282" customFormat="false" ht="15" hidden="false" customHeight="false" outlineLevel="0" collapsed="false">
      <c r="B2282" s="7" t="str">
        <f aca="false">IF(A2282="","",IFERROR(MATCH(A2282,Lists!$A$2:$A$37,0),""))</f>
        <v/>
      </c>
    </row>
    <row r="2283" customFormat="false" ht="15" hidden="false" customHeight="false" outlineLevel="0" collapsed="false">
      <c r="B2283" s="7" t="str">
        <f aca="false">IF(A2283="","",IFERROR(MATCH(A2283,Lists!$A$2:$A$37,0),""))</f>
        <v/>
      </c>
    </row>
    <row r="2284" customFormat="false" ht="15" hidden="false" customHeight="false" outlineLevel="0" collapsed="false">
      <c r="B2284" s="7" t="str">
        <f aca="false">IF(A2284="","",IFERROR(MATCH(A2284,Lists!$A$2:$A$37,0),""))</f>
        <v/>
      </c>
    </row>
    <row r="2285" customFormat="false" ht="15" hidden="false" customHeight="false" outlineLevel="0" collapsed="false">
      <c r="B2285" s="7" t="str">
        <f aca="false">IF(A2285="","",IFERROR(MATCH(A2285,Lists!$A$2:$A$37,0),""))</f>
        <v/>
      </c>
    </row>
    <row r="2286" customFormat="false" ht="15" hidden="false" customHeight="false" outlineLevel="0" collapsed="false">
      <c r="B2286" s="7" t="str">
        <f aca="false">IF(A2286="","",IFERROR(MATCH(A2286,Lists!$A$2:$A$37,0),""))</f>
        <v/>
      </c>
    </row>
    <row r="2287" customFormat="false" ht="15" hidden="false" customHeight="false" outlineLevel="0" collapsed="false">
      <c r="B2287" s="7" t="str">
        <f aca="false">IF(A2287="","",IFERROR(MATCH(A2287,Lists!$A$2:$A$37,0),""))</f>
        <v/>
      </c>
    </row>
    <row r="2288" customFormat="false" ht="15" hidden="false" customHeight="false" outlineLevel="0" collapsed="false">
      <c r="B2288" s="7" t="str">
        <f aca="false">IF(A2288="","",IFERROR(MATCH(A2288,Lists!$A$2:$A$37,0),""))</f>
        <v/>
      </c>
    </row>
    <row r="2289" customFormat="false" ht="15" hidden="false" customHeight="false" outlineLevel="0" collapsed="false">
      <c r="B2289" s="7" t="str">
        <f aca="false">IF(A2289="","",IFERROR(MATCH(A2289,Lists!$A$2:$A$37,0),""))</f>
        <v/>
      </c>
    </row>
    <row r="2290" customFormat="false" ht="15" hidden="false" customHeight="false" outlineLevel="0" collapsed="false">
      <c r="B2290" s="7" t="str">
        <f aca="false">IF(A2290="","",IFERROR(MATCH(A2290,Lists!$A$2:$A$37,0),""))</f>
        <v/>
      </c>
    </row>
    <row r="2291" customFormat="false" ht="15" hidden="false" customHeight="false" outlineLevel="0" collapsed="false">
      <c r="B2291" s="7" t="str">
        <f aca="false">IF(A2291="","",IFERROR(MATCH(A2291,Lists!$A$2:$A$37,0),""))</f>
        <v/>
      </c>
    </row>
    <row r="2292" customFormat="false" ht="15" hidden="false" customHeight="false" outlineLevel="0" collapsed="false">
      <c r="B2292" s="7" t="str">
        <f aca="false">IF(A2292="","",IFERROR(MATCH(A2292,Lists!$A$2:$A$37,0),""))</f>
        <v/>
      </c>
    </row>
    <row r="2293" customFormat="false" ht="15" hidden="false" customHeight="false" outlineLevel="0" collapsed="false">
      <c r="B2293" s="7" t="str">
        <f aca="false">IF(A2293="","",IFERROR(MATCH(A2293,Lists!$A$2:$A$37,0),""))</f>
        <v/>
      </c>
    </row>
    <row r="2294" customFormat="false" ht="15" hidden="false" customHeight="false" outlineLevel="0" collapsed="false">
      <c r="B2294" s="7" t="str">
        <f aca="false">IF(A2294="","",IFERROR(MATCH(A2294,Lists!$A$2:$A$37,0),""))</f>
        <v/>
      </c>
    </row>
    <row r="2295" customFormat="false" ht="15" hidden="false" customHeight="false" outlineLevel="0" collapsed="false">
      <c r="B2295" s="7" t="str">
        <f aca="false">IF(A2295="","",IFERROR(MATCH(A2295,Lists!$A$2:$A$37,0),""))</f>
        <v/>
      </c>
    </row>
    <row r="2296" customFormat="false" ht="15" hidden="false" customHeight="false" outlineLevel="0" collapsed="false">
      <c r="B2296" s="7" t="str">
        <f aca="false">IF(A2296="","",IFERROR(MATCH(A2296,Lists!$A$2:$A$37,0),""))</f>
        <v/>
      </c>
    </row>
    <row r="2297" customFormat="false" ht="15" hidden="false" customHeight="false" outlineLevel="0" collapsed="false">
      <c r="B2297" s="7" t="str">
        <f aca="false">IF(A2297="","",IFERROR(MATCH(A2297,Lists!$A$2:$A$37,0),""))</f>
        <v/>
      </c>
    </row>
    <row r="2298" customFormat="false" ht="15" hidden="false" customHeight="false" outlineLevel="0" collapsed="false">
      <c r="B2298" s="7" t="str">
        <f aca="false">IF(A2298="","",IFERROR(MATCH(A2298,Lists!$A$2:$A$37,0),""))</f>
        <v/>
      </c>
    </row>
    <row r="2299" customFormat="false" ht="15" hidden="false" customHeight="false" outlineLevel="0" collapsed="false">
      <c r="B2299" s="7" t="str">
        <f aca="false">IF(A2299="","",IFERROR(MATCH(A2299,Lists!$A$2:$A$37,0),""))</f>
        <v/>
      </c>
    </row>
    <row r="2300" customFormat="false" ht="15" hidden="false" customHeight="false" outlineLevel="0" collapsed="false">
      <c r="B2300" s="7" t="str">
        <f aca="false">IF(A2300="","",IFERROR(MATCH(A2300,Lists!$A$2:$A$37,0),""))</f>
        <v/>
      </c>
    </row>
    <row r="2301" customFormat="false" ht="15" hidden="false" customHeight="false" outlineLevel="0" collapsed="false">
      <c r="B2301" s="7" t="str">
        <f aca="false">IF(A2301="","",IFERROR(MATCH(A2301,Lists!$A$2:$A$37,0),""))</f>
        <v/>
      </c>
    </row>
    <row r="2302" customFormat="false" ht="15" hidden="false" customHeight="false" outlineLevel="0" collapsed="false">
      <c r="B2302" s="7" t="str">
        <f aca="false">IF(A2302="","",IFERROR(MATCH(A2302,Lists!$A$2:$A$37,0),""))</f>
        <v/>
      </c>
    </row>
    <row r="2303" customFormat="false" ht="15" hidden="false" customHeight="false" outlineLevel="0" collapsed="false">
      <c r="B2303" s="7" t="str">
        <f aca="false">IF(A2303="","",IFERROR(MATCH(A2303,Lists!$A$2:$A$37,0),""))</f>
        <v/>
      </c>
    </row>
    <row r="2304" customFormat="false" ht="15" hidden="false" customHeight="false" outlineLevel="0" collapsed="false">
      <c r="B2304" s="7" t="str">
        <f aca="false">IF(A2304="","",IFERROR(MATCH(A2304,Lists!$A$2:$A$37,0),""))</f>
        <v/>
      </c>
    </row>
    <row r="2305" customFormat="false" ht="15" hidden="false" customHeight="false" outlineLevel="0" collapsed="false">
      <c r="B2305" s="7" t="str">
        <f aca="false">IF(A2305="","",IFERROR(MATCH(A2305,Lists!$A$2:$A$37,0),""))</f>
        <v/>
      </c>
    </row>
    <row r="2306" customFormat="false" ht="15" hidden="false" customHeight="false" outlineLevel="0" collapsed="false">
      <c r="B2306" s="7" t="str">
        <f aca="false">IF(A2306="","",IFERROR(MATCH(A2306,Lists!$A$2:$A$37,0),""))</f>
        <v/>
      </c>
    </row>
    <row r="2307" customFormat="false" ht="15" hidden="false" customHeight="false" outlineLevel="0" collapsed="false">
      <c r="B2307" s="7" t="str">
        <f aca="false">IF(A2307="","",IFERROR(MATCH(A2307,Lists!$A$2:$A$37,0),""))</f>
        <v/>
      </c>
    </row>
    <row r="2308" customFormat="false" ht="15" hidden="false" customHeight="false" outlineLevel="0" collapsed="false">
      <c r="B2308" s="7" t="str">
        <f aca="false">IF(A2308="","",IFERROR(MATCH(A2308,Lists!$A$2:$A$37,0),""))</f>
        <v/>
      </c>
    </row>
    <row r="2309" customFormat="false" ht="15" hidden="false" customHeight="false" outlineLevel="0" collapsed="false">
      <c r="B2309" s="7" t="str">
        <f aca="false">IF(A2309="","",IFERROR(MATCH(A2309,Lists!$A$2:$A$37,0),""))</f>
        <v/>
      </c>
    </row>
    <row r="2310" customFormat="false" ht="15" hidden="false" customHeight="false" outlineLevel="0" collapsed="false">
      <c r="B2310" s="7" t="str">
        <f aca="false">IF(A2310="","",IFERROR(MATCH(A2310,Lists!$A$2:$A$37,0),""))</f>
        <v/>
      </c>
    </row>
    <row r="2311" customFormat="false" ht="15" hidden="false" customHeight="false" outlineLevel="0" collapsed="false">
      <c r="B2311" s="7" t="str">
        <f aca="false">IF(A2311="","",IFERROR(MATCH(A2311,Lists!$A$2:$A$37,0),""))</f>
        <v/>
      </c>
    </row>
    <row r="2312" customFormat="false" ht="15" hidden="false" customHeight="false" outlineLevel="0" collapsed="false">
      <c r="B2312" s="7" t="str">
        <f aca="false">IF(A2312="","",IFERROR(MATCH(A2312,Lists!$A$2:$A$37,0),""))</f>
        <v/>
      </c>
    </row>
    <row r="2313" customFormat="false" ht="15" hidden="false" customHeight="false" outlineLevel="0" collapsed="false">
      <c r="B2313" s="7" t="str">
        <f aca="false">IF(A2313="","",IFERROR(MATCH(A2313,Lists!$A$2:$A$37,0),""))</f>
        <v/>
      </c>
    </row>
    <row r="2314" customFormat="false" ht="15" hidden="false" customHeight="false" outlineLevel="0" collapsed="false">
      <c r="B2314" s="7" t="str">
        <f aca="false">IF(A2314="","",IFERROR(MATCH(A2314,Lists!$A$2:$A$37,0),""))</f>
        <v/>
      </c>
    </row>
    <row r="2315" customFormat="false" ht="15" hidden="false" customHeight="false" outlineLevel="0" collapsed="false">
      <c r="B2315" s="7" t="str">
        <f aca="false">IF(A2315="","",IFERROR(MATCH(A2315,Lists!$A$2:$A$37,0),""))</f>
        <v/>
      </c>
    </row>
    <row r="2316" customFormat="false" ht="15" hidden="false" customHeight="false" outlineLevel="0" collapsed="false">
      <c r="B2316" s="7" t="str">
        <f aca="false">IF(A2316="","",IFERROR(MATCH(A2316,Lists!$A$2:$A$37,0),""))</f>
        <v/>
      </c>
    </row>
    <row r="2317" customFormat="false" ht="15" hidden="false" customHeight="false" outlineLevel="0" collapsed="false">
      <c r="B2317" s="7" t="str">
        <f aca="false">IF(A2317="","",IFERROR(MATCH(A2317,Lists!$A$2:$A$37,0),""))</f>
        <v/>
      </c>
    </row>
    <row r="2318" customFormat="false" ht="15" hidden="false" customHeight="false" outlineLevel="0" collapsed="false">
      <c r="B2318" s="7" t="str">
        <f aca="false">IF(A2318="","",IFERROR(MATCH(A2318,Lists!$A$2:$A$37,0),""))</f>
        <v/>
      </c>
    </row>
    <row r="2319" customFormat="false" ht="15" hidden="false" customHeight="false" outlineLevel="0" collapsed="false">
      <c r="B2319" s="7" t="str">
        <f aca="false">IF(A2319="","",IFERROR(MATCH(A2319,Lists!$A$2:$A$37,0),""))</f>
        <v/>
      </c>
    </row>
    <row r="2320" customFormat="false" ht="15" hidden="false" customHeight="false" outlineLevel="0" collapsed="false">
      <c r="B2320" s="7" t="str">
        <f aca="false">IF(A2320="","",IFERROR(MATCH(A2320,Lists!$A$2:$A$37,0),""))</f>
        <v/>
      </c>
    </row>
    <row r="2321" customFormat="false" ht="15" hidden="false" customHeight="false" outlineLevel="0" collapsed="false">
      <c r="B2321" s="7" t="str">
        <f aca="false">IF(A2321="","",IFERROR(MATCH(A2321,Lists!$A$2:$A$37,0),""))</f>
        <v/>
      </c>
    </row>
    <row r="2322" customFormat="false" ht="15" hidden="false" customHeight="false" outlineLevel="0" collapsed="false">
      <c r="B2322" s="7" t="str">
        <f aca="false">IF(A2322="","",IFERROR(MATCH(A2322,Lists!$A$2:$A$37,0),""))</f>
        <v/>
      </c>
    </row>
    <row r="2323" customFormat="false" ht="15" hidden="false" customHeight="false" outlineLevel="0" collapsed="false">
      <c r="B2323" s="7" t="str">
        <f aca="false">IF(A2323="","",IFERROR(MATCH(A2323,Lists!$A$2:$A$37,0),""))</f>
        <v/>
      </c>
    </row>
    <row r="2324" customFormat="false" ht="15" hidden="false" customHeight="false" outlineLevel="0" collapsed="false">
      <c r="B2324" s="7" t="str">
        <f aca="false">IF(A2324="","",IFERROR(MATCH(A2324,Lists!$A$2:$A$37,0),""))</f>
        <v/>
      </c>
    </row>
    <row r="2325" customFormat="false" ht="15" hidden="false" customHeight="false" outlineLevel="0" collapsed="false">
      <c r="B2325" s="7" t="str">
        <f aca="false">IF(A2325="","",IFERROR(MATCH(A2325,Lists!$A$2:$A$37,0),""))</f>
        <v/>
      </c>
    </row>
    <row r="2326" customFormat="false" ht="15" hidden="false" customHeight="false" outlineLevel="0" collapsed="false">
      <c r="B2326" s="7" t="str">
        <f aca="false">IF(A2326="","",IFERROR(MATCH(A2326,Lists!$A$2:$A$37,0),""))</f>
        <v/>
      </c>
    </row>
    <row r="2327" customFormat="false" ht="15" hidden="false" customHeight="false" outlineLevel="0" collapsed="false">
      <c r="B2327" s="7" t="str">
        <f aca="false">IF(A2327="","",IFERROR(MATCH(A2327,Lists!$A$2:$A$37,0),""))</f>
        <v/>
      </c>
    </row>
    <row r="2328" customFormat="false" ht="15" hidden="false" customHeight="false" outlineLevel="0" collapsed="false">
      <c r="B2328" s="7" t="str">
        <f aca="false">IF(A2328="","",IFERROR(MATCH(A2328,Lists!$A$2:$A$37,0),""))</f>
        <v/>
      </c>
    </row>
    <row r="2329" customFormat="false" ht="15" hidden="false" customHeight="false" outlineLevel="0" collapsed="false">
      <c r="B2329" s="7" t="str">
        <f aca="false">IF(A2329="","",IFERROR(MATCH(A2329,Lists!$A$2:$A$37,0),""))</f>
        <v/>
      </c>
    </row>
    <row r="2330" customFormat="false" ht="15" hidden="false" customHeight="false" outlineLevel="0" collapsed="false">
      <c r="B2330" s="7" t="str">
        <f aca="false">IF(A2330="","",IFERROR(MATCH(A2330,Lists!$A$2:$A$37,0),""))</f>
        <v/>
      </c>
    </row>
    <row r="2331" customFormat="false" ht="15" hidden="false" customHeight="false" outlineLevel="0" collapsed="false">
      <c r="B2331" s="7" t="str">
        <f aca="false">IF(A2331="","",IFERROR(MATCH(A2331,Lists!$A$2:$A$37,0),""))</f>
        <v/>
      </c>
    </row>
    <row r="2332" customFormat="false" ht="15" hidden="false" customHeight="false" outlineLevel="0" collapsed="false">
      <c r="B2332" s="7" t="str">
        <f aca="false">IF(A2332="","",IFERROR(MATCH(A2332,Lists!$A$2:$A$37,0),""))</f>
        <v/>
      </c>
    </row>
    <row r="2333" customFormat="false" ht="15" hidden="false" customHeight="false" outlineLevel="0" collapsed="false">
      <c r="B2333" s="7" t="str">
        <f aca="false">IF(A2333="","",IFERROR(MATCH(A2333,Lists!$A$2:$A$37,0),""))</f>
        <v/>
      </c>
    </row>
    <row r="2334" customFormat="false" ht="15" hidden="false" customHeight="false" outlineLevel="0" collapsed="false">
      <c r="B2334" s="7" t="str">
        <f aca="false">IF(A2334="","",IFERROR(MATCH(A2334,Lists!$A$2:$A$37,0),""))</f>
        <v/>
      </c>
    </row>
    <row r="2335" customFormat="false" ht="15" hidden="false" customHeight="false" outlineLevel="0" collapsed="false">
      <c r="B2335" s="7" t="str">
        <f aca="false">IF(A2335="","",IFERROR(MATCH(A2335,Lists!$A$2:$A$37,0),""))</f>
        <v/>
      </c>
    </row>
    <row r="2336" customFormat="false" ht="15" hidden="false" customHeight="false" outlineLevel="0" collapsed="false">
      <c r="B2336" s="7" t="str">
        <f aca="false">IF(A2336="","",IFERROR(MATCH(A2336,Lists!$A$2:$A$37,0),""))</f>
        <v/>
      </c>
    </row>
    <row r="2337" customFormat="false" ht="15" hidden="false" customHeight="false" outlineLevel="0" collapsed="false">
      <c r="B2337" s="7" t="str">
        <f aca="false">IF(A2337="","",IFERROR(MATCH(A2337,Lists!$A$2:$A$37,0),""))</f>
        <v/>
      </c>
    </row>
    <row r="2338" customFormat="false" ht="15" hidden="false" customHeight="false" outlineLevel="0" collapsed="false">
      <c r="B2338" s="7" t="str">
        <f aca="false">IF(A2338="","",IFERROR(MATCH(A2338,Lists!$A$2:$A$37,0),""))</f>
        <v/>
      </c>
    </row>
    <row r="2339" customFormat="false" ht="15" hidden="false" customHeight="false" outlineLevel="0" collapsed="false">
      <c r="B2339" s="7" t="str">
        <f aca="false">IF(A2339="","",IFERROR(MATCH(A2339,Lists!$A$2:$A$37,0),""))</f>
        <v/>
      </c>
    </row>
    <row r="2340" customFormat="false" ht="15" hidden="false" customHeight="false" outlineLevel="0" collapsed="false">
      <c r="B2340" s="7" t="str">
        <f aca="false">IF(A2340="","",IFERROR(MATCH(A2340,Lists!$A$2:$A$37,0),""))</f>
        <v/>
      </c>
    </row>
    <row r="2341" customFormat="false" ht="15" hidden="false" customHeight="false" outlineLevel="0" collapsed="false">
      <c r="B2341" s="7" t="str">
        <f aca="false">IF(A2341="","",IFERROR(MATCH(A2341,Lists!$A$2:$A$37,0),""))</f>
        <v/>
      </c>
    </row>
    <row r="2342" customFormat="false" ht="15" hidden="false" customHeight="false" outlineLevel="0" collapsed="false">
      <c r="B2342" s="7" t="str">
        <f aca="false">IF(A2342="","",IFERROR(MATCH(A2342,Lists!$A$2:$A$37,0),""))</f>
        <v/>
      </c>
    </row>
    <row r="2343" customFormat="false" ht="15" hidden="false" customHeight="false" outlineLevel="0" collapsed="false">
      <c r="B2343" s="7" t="str">
        <f aca="false">IF(A2343="","",IFERROR(MATCH(A2343,Lists!$A$2:$A$37,0),""))</f>
        <v/>
      </c>
    </row>
    <row r="2344" customFormat="false" ht="15" hidden="false" customHeight="false" outlineLevel="0" collapsed="false">
      <c r="B2344" s="7" t="str">
        <f aca="false">IF(A2344="","",IFERROR(MATCH(A2344,Lists!$A$2:$A$37,0),""))</f>
        <v/>
      </c>
    </row>
    <row r="2345" customFormat="false" ht="15" hidden="false" customHeight="false" outlineLevel="0" collapsed="false">
      <c r="B2345" s="7" t="str">
        <f aca="false">IF(A2345="","",IFERROR(MATCH(A2345,Lists!$A$2:$A$37,0),""))</f>
        <v/>
      </c>
    </row>
    <row r="2346" customFormat="false" ht="15" hidden="false" customHeight="false" outlineLevel="0" collapsed="false">
      <c r="B2346" s="7" t="str">
        <f aca="false">IF(A2346="","",IFERROR(MATCH(A2346,Lists!$A$2:$A$37,0),""))</f>
        <v/>
      </c>
    </row>
    <row r="2347" customFormat="false" ht="15" hidden="false" customHeight="false" outlineLevel="0" collapsed="false">
      <c r="B2347" s="7" t="str">
        <f aca="false">IF(A2347="","",IFERROR(MATCH(A2347,Lists!$A$2:$A$37,0),""))</f>
        <v/>
      </c>
    </row>
    <row r="2348" customFormat="false" ht="15" hidden="false" customHeight="false" outlineLevel="0" collapsed="false">
      <c r="B2348" s="7" t="str">
        <f aca="false">IF(A2348="","",IFERROR(MATCH(A2348,Lists!$A$2:$A$37,0),""))</f>
        <v/>
      </c>
    </row>
    <row r="2349" customFormat="false" ht="15" hidden="false" customHeight="false" outlineLevel="0" collapsed="false">
      <c r="B2349" s="7" t="str">
        <f aca="false">IF(A2349="","",IFERROR(MATCH(A2349,Lists!$A$2:$A$37,0),""))</f>
        <v/>
      </c>
    </row>
    <row r="2350" customFormat="false" ht="15" hidden="false" customHeight="false" outlineLevel="0" collapsed="false">
      <c r="B2350" s="7" t="str">
        <f aca="false">IF(A2350="","",IFERROR(MATCH(A2350,Lists!$A$2:$A$37,0),""))</f>
        <v/>
      </c>
    </row>
    <row r="2351" customFormat="false" ht="15" hidden="false" customHeight="false" outlineLevel="0" collapsed="false">
      <c r="B2351" s="7" t="str">
        <f aca="false">IF(A2351="","",IFERROR(MATCH(A2351,Lists!$A$2:$A$37,0),""))</f>
        <v/>
      </c>
    </row>
    <row r="2352" customFormat="false" ht="15" hidden="false" customHeight="false" outlineLevel="0" collapsed="false">
      <c r="B2352" s="7" t="str">
        <f aca="false">IF(A2352="","",IFERROR(MATCH(A2352,Lists!$A$2:$A$37,0),""))</f>
        <v/>
      </c>
    </row>
    <row r="2353" customFormat="false" ht="15" hidden="false" customHeight="false" outlineLevel="0" collapsed="false">
      <c r="B2353" s="7" t="str">
        <f aca="false">IF(A2353="","",IFERROR(MATCH(A2353,Lists!$A$2:$A$37,0),""))</f>
        <v/>
      </c>
    </row>
    <row r="2354" customFormat="false" ht="15" hidden="false" customHeight="false" outlineLevel="0" collapsed="false">
      <c r="B2354" s="7" t="str">
        <f aca="false">IF(A2354="","",IFERROR(MATCH(A2354,Lists!$A$2:$A$37,0),""))</f>
        <v/>
      </c>
    </row>
    <row r="2355" customFormat="false" ht="15" hidden="false" customHeight="false" outlineLevel="0" collapsed="false">
      <c r="B2355" s="7" t="str">
        <f aca="false">IF(A2355="","",IFERROR(MATCH(A2355,Lists!$A$2:$A$37,0),""))</f>
        <v/>
      </c>
    </row>
    <row r="2356" customFormat="false" ht="15" hidden="false" customHeight="false" outlineLevel="0" collapsed="false">
      <c r="B2356" s="7" t="str">
        <f aca="false">IF(A2356="","",IFERROR(MATCH(A2356,Lists!$A$2:$A$37,0),""))</f>
        <v/>
      </c>
    </row>
    <row r="2357" customFormat="false" ht="15" hidden="false" customHeight="false" outlineLevel="0" collapsed="false">
      <c r="B2357" s="7" t="str">
        <f aca="false">IF(A2357="","",IFERROR(MATCH(A2357,Lists!$A$2:$A$37,0),""))</f>
        <v/>
      </c>
    </row>
    <row r="2358" customFormat="false" ht="15" hidden="false" customHeight="false" outlineLevel="0" collapsed="false">
      <c r="B2358" s="7" t="str">
        <f aca="false">IF(A2358="","",IFERROR(MATCH(A2358,Lists!$A$2:$A$37,0),""))</f>
        <v/>
      </c>
    </row>
    <row r="2359" customFormat="false" ht="15" hidden="false" customHeight="false" outlineLevel="0" collapsed="false">
      <c r="B2359" s="7" t="str">
        <f aca="false">IF(A2359="","",IFERROR(MATCH(A2359,Lists!$A$2:$A$37,0),""))</f>
        <v/>
      </c>
    </row>
    <row r="2360" customFormat="false" ht="15" hidden="false" customHeight="false" outlineLevel="0" collapsed="false">
      <c r="B2360" s="7" t="str">
        <f aca="false">IF(A2360="","",IFERROR(MATCH(A2360,Lists!$A$2:$A$37,0),""))</f>
        <v/>
      </c>
    </row>
    <row r="2361" customFormat="false" ht="15" hidden="false" customHeight="false" outlineLevel="0" collapsed="false">
      <c r="B2361" s="7" t="str">
        <f aca="false">IF(A2361="","",IFERROR(MATCH(A2361,Lists!$A$2:$A$37,0),""))</f>
        <v/>
      </c>
    </row>
    <row r="2362" customFormat="false" ht="15" hidden="false" customHeight="false" outlineLevel="0" collapsed="false">
      <c r="B2362" s="7" t="str">
        <f aca="false">IF(A2362="","",IFERROR(MATCH(A2362,Lists!$A$2:$A$37,0),""))</f>
        <v/>
      </c>
    </row>
    <row r="2363" customFormat="false" ht="15" hidden="false" customHeight="false" outlineLevel="0" collapsed="false">
      <c r="B2363" s="7" t="str">
        <f aca="false">IF(A2363="","",IFERROR(MATCH(A2363,Lists!$A$2:$A$37,0),""))</f>
        <v/>
      </c>
    </row>
    <row r="2364" customFormat="false" ht="15" hidden="false" customHeight="false" outlineLevel="0" collapsed="false">
      <c r="B2364" s="7" t="str">
        <f aca="false">IF(A2364="","",IFERROR(MATCH(A2364,Lists!$A$2:$A$37,0),""))</f>
        <v/>
      </c>
    </row>
    <row r="2365" customFormat="false" ht="15" hidden="false" customHeight="false" outlineLevel="0" collapsed="false">
      <c r="B2365" s="7" t="str">
        <f aca="false">IF(A2365="","",IFERROR(MATCH(A2365,Lists!$A$2:$A$37,0),""))</f>
        <v/>
      </c>
    </row>
    <row r="2366" customFormat="false" ht="15" hidden="false" customHeight="false" outlineLevel="0" collapsed="false">
      <c r="B2366" s="7" t="str">
        <f aca="false">IF(A2366="","",IFERROR(MATCH(A2366,Lists!$A$2:$A$37,0),""))</f>
        <v/>
      </c>
    </row>
    <row r="2367" customFormat="false" ht="15" hidden="false" customHeight="false" outlineLevel="0" collapsed="false">
      <c r="B2367" s="7" t="str">
        <f aca="false">IF(A2367="","",IFERROR(MATCH(A2367,Lists!$A$2:$A$37,0),""))</f>
        <v/>
      </c>
    </row>
    <row r="2368" customFormat="false" ht="15" hidden="false" customHeight="false" outlineLevel="0" collapsed="false">
      <c r="B2368" s="7" t="str">
        <f aca="false">IF(A2368="","",IFERROR(MATCH(A2368,Lists!$A$2:$A$37,0),""))</f>
        <v/>
      </c>
    </row>
    <row r="2369" customFormat="false" ht="15" hidden="false" customHeight="false" outlineLevel="0" collapsed="false">
      <c r="B2369" s="7" t="str">
        <f aca="false">IF(A2369="","",IFERROR(MATCH(A2369,Lists!$A$2:$A$37,0),""))</f>
        <v/>
      </c>
    </row>
    <row r="2370" customFormat="false" ht="15" hidden="false" customHeight="false" outlineLevel="0" collapsed="false">
      <c r="B2370" s="7" t="str">
        <f aca="false">IF(A2370="","",IFERROR(MATCH(A2370,Lists!$A$2:$A$37,0),""))</f>
        <v/>
      </c>
    </row>
    <row r="2371" customFormat="false" ht="15" hidden="false" customHeight="false" outlineLevel="0" collapsed="false">
      <c r="B2371" s="7" t="str">
        <f aca="false">IF(A2371="","",IFERROR(MATCH(A2371,Lists!$A$2:$A$37,0),""))</f>
        <v/>
      </c>
    </row>
    <row r="2372" customFormat="false" ht="15" hidden="false" customHeight="false" outlineLevel="0" collapsed="false">
      <c r="B2372" s="7" t="str">
        <f aca="false">IF(A2372="","",IFERROR(MATCH(A2372,Lists!$A$2:$A$37,0),""))</f>
        <v/>
      </c>
    </row>
    <row r="2373" customFormat="false" ht="15" hidden="false" customHeight="false" outlineLevel="0" collapsed="false">
      <c r="B2373" s="7" t="str">
        <f aca="false">IF(A2373="","",IFERROR(MATCH(A2373,Lists!$A$2:$A$37,0),""))</f>
        <v/>
      </c>
    </row>
    <row r="2374" customFormat="false" ht="15" hidden="false" customHeight="false" outlineLevel="0" collapsed="false">
      <c r="B2374" s="7" t="str">
        <f aca="false">IF(A2374="","",IFERROR(MATCH(A2374,Lists!$A$2:$A$37,0),""))</f>
        <v/>
      </c>
    </row>
    <row r="2375" customFormat="false" ht="15" hidden="false" customHeight="false" outlineLevel="0" collapsed="false">
      <c r="B2375" s="7" t="str">
        <f aca="false">IF(A2375="","",IFERROR(MATCH(A2375,Lists!$A$2:$A$37,0),""))</f>
        <v/>
      </c>
    </row>
    <row r="2376" customFormat="false" ht="15" hidden="false" customHeight="false" outlineLevel="0" collapsed="false">
      <c r="B2376" s="7" t="str">
        <f aca="false">IF(A2376="","",IFERROR(MATCH(A2376,Lists!$A$2:$A$37,0),""))</f>
        <v/>
      </c>
    </row>
    <row r="2377" customFormat="false" ht="15" hidden="false" customHeight="false" outlineLevel="0" collapsed="false">
      <c r="B2377" s="7" t="str">
        <f aca="false">IF(A2377="","",IFERROR(MATCH(A2377,Lists!$A$2:$A$37,0),""))</f>
        <v/>
      </c>
    </row>
    <row r="2378" customFormat="false" ht="15" hidden="false" customHeight="false" outlineLevel="0" collapsed="false">
      <c r="B2378" s="7" t="str">
        <f aca="false">IF(A2378="","",IFERROR(MATCH(A2378,Lists!$A$2:$A$37,0),""))</f>
        <v/>
      </c>
    </row>
    <row r="2379" customFormat="false" ht="15" hidden="false" customHeight="false" outlineLevel="0" collapsed="false">
      <c r="B2379" s="7" t="str">
        <f aca="false">IF(A2379="","",IFERROR(MATCH(A2379,Lists!$A$2:$A$37,0),""))</f>
        <v/>
      </c>
    </row>
    <row r="2380" customFormat="false" ht="15" hidden="false" customHeight="false" outlineLevel="0" collapsed="false">
      <c r="B2380" s="7" t="str">
        <f aca="false">IF(A2380="","",IFERROR(MATCH(A2380,Lists!$A$2:$A$37,0),""))</f>
        <v/>
      </c>
    </row>
    <row r="2381" customFormat="false" ht="15" hidden="false" customHeight="false" outlineLevel="0" collapsed="false">
      <c r="B2381" s="7" t="str">
        <f aca="false">IF(A2381="","",IFERROR(MATCH(A2381,Lists!$A$2:$A$37,0),""))</f>
        <v/>
      </c>
    </row>
    <row r="2382" customFormat="false" ht="15" hidden="false" customHeight="false" outlineLevel="0" collapsed="false">
      <c r="B2382" s="7" t="str">
        <f aca="false">IF(A2382="","",IFERROR(MATCH(A2382,Lists!$A$2:$A$37,0),""))</f>
        <v/>
      </c>
    </row>
    <row r="2383" customFormat="false" ht="15" hidden="false" customHeight="false" outlineLevel="0" collapsed="false">
      <c r="B2383" s="7" t="str">
        <f aca="false">IF(A2383="","",IFERROR(MATCH(A2383,Lists!$A$2:$A$37,0),""))</f>
        <v/>
      </c>
    </row>
    <row r="2384" customFormat="false" ht="15" hidden="false" customHeight="false" outlineLevel="0" collapsed="false">
      <c r="B2384" s="7" t="str">
        <f aca="false">IF(A2384="","",IFERROR(MATCH(A2384,Lists!$A$2:$A$37,0),""))</f>
        <v/>
      </c>
    </row>
    <row r="2385" customFormat="false" ht="15" hidden="false" customHeight="false" outlineLevel="0" collapsed="false">
      <c r="B2385" s="7" t="str">
        <f aca="false">IF(A2385="","",IFERROR(MATCH(A2385,Lists!$A$2:$A$37,0),""))</f>
        <v/>
      </c>
    </row>
    <row r="2386" customFormat="false" ht="15" hidden="false" customHeight="false" outlineLevel="0" collapsed="false">
      <c r="B2386" s="7" t="str">
        <f aca="false">IF(A2386="","",IFERROR(MATCH(A2386,Lists!$A$2:$A$37,0),""))</f>
        <v/>
      </c>
    </row>
    <row r="2387" customFormat="false" ht="15" hidden="false" customHeight="false" outlineLevel="0" collapsed="false">
      <c r="B2387" s="7" t="str">
        <f aca="false">IF(A2387="","",IFERROR(MATCH(A2387,Lists!$A$2:$A$37,0),""))</f>
        <v/>
      </c>
    </row>
    <row r="2388" customFormat="false" ht="15" hidden="false" customHeight="false" outlineLevel="0" collapsed="false">
      <c r="B2388" s="7" t="str">
        <f aca="false">IF(A2388="","",IFERROR(MATCH(A2388,Lists!$A$2:$A$37,0),""))</f>
        <v/>
      </c>
    </row>
    <row r="2389" customFormat="false" ht="15" hidden="false" customHeight="false" outlineLevel="0" collapsed="false">
      <c r="B2389" s="7" t="str">
        <f aca="false">IF(A2389="","",IFERROR(MATCH(A2389,Lists!$A$2:$A$37,0),""))</f>
        <v/>
      </c>
    </row>
    <row r="2390" customFormat="false" ht="15" hidden="false" customHeight="false" outlineLevel="0" collapsed="false">
      <c r="B2390" s="7" t="str">
        <f aca="false">IF(A2390="","",IFERROR(MATCH(A2390,Lists!$A$2:$A$37,0),""))</f>
        <v/>
      </c>
    </row>
    <row r="2391" customFormat="false" ht="15" hidden="false" customHeight="false" outlineLevel="0" collapsed="false">
      <c r="B2391" s="7" t="str">
        <f aca="false">IF(A2391="","",IFERROR(MATCH(A2391,Lists!$A$2:$A$37,0),""))</f>
        <v/>
      </c>
    </row>
    <row r="2392" customFormat="false" ht="15" hidden="false" customHeight="false" outlineLevel="0" collapsed="false">
      <c r="B2392" s="7" t="str">
        <f aca="false">IF(A2392="","",IFERROR(MATCH(A2392,Lists!$A$2:$A$37,0),""))</f>
        <v/>
      </c>
    </row>
    <row r="2393" customFormat="false" ht="15" hidden="false" customHeight="false" outlineLevel="0" collapsed="false">
      <c r="B2393" s="7" t="str">
        <f aca="false">IF(A2393="","",IFERROR(MATCH(A2393,Lists!$A$2:$A$37,0),""))</f>
        <v/>
      </c>
    </row>
    <row r="2394" customFormat="false" ht="15" hidden="false" customHeight="false" outlineLevel="0" collapsed="false">
      <c r="B2394" s="7" t="str">
        <f aca="false">IF(A2394="","",IFERROR(MATCH(A2394,Lists!$A$2:$A$37,0),""))</f>
        <v/>
      </c>
    </row>
    <row r="2395" customFormat="false" ht="15" hidden="false" customHeight="false" outlineLevel="0" collapsed="false">
      <c r="B2395" s="7" t="str">
        <f aca="false">IF(A2395="","",IFERROR(MATCH(A2395,Lists!$A$2:$A$37,0),""))</f>
        <v/>
      </c>
    </row>
    <row r="2396" customFormat="false" ht="15" hidden="false" customHeight="false" outlineLevel="0" collapsed="false">
      <c r="B2396" s="7" t="str">
        <f aca="false">IF(A2396="","",IFERROR(MATCH(A2396,Lists!$A$2:$A$37,0),""))</f>
        <v/>
      </c>
    </row>
    <row r="2397" customFormat="false" ht="15" hidden="false" customHeight="false" outlineLevel="0" collapsed="false">
      <c r="B2397" s="7" t="str">
        <f aca="false">IF(A2397="","",IFERROR(MATCH(A2397,Lists!$A$2:$A$37,0),""))</f>
        <v/>
      </c>
    </row>
    <row r="2398" customFormat="false" ht="15" hidden="false" customHeight="false" outlineLevel="0" collapsed="false">
      <c r="B2398" s="7" t="str">
        <f aca="false">IF(A2398="","",IFERROR(MATCH(A2398,Lists!$A$2:$A$37,0),""))</f>
        <v/>
      </c>
    </row>
    <row r="2399" customFormat="false" ht="15" hidden="false" customHeight="false" outlineLevel="0" collapsed="false">
      <c r="B2399" s="7" t="str">
        <f aca="false">IF(A2399="","",IFERROR(MATCH(A2399,Lists!$A$2:$A$37,0),""))</f>
        <v/>
      </c>
    </row>
    <row r="2400" customFormat="false" ht="15" hidden="false" customHeight="false" outlineLevel="0" collapsed="false">
      <c r="B2400" s="7" t="str">
        <f aca="false">IF(A2400="","",IFERROR(MATCH(A2400,Lists!$A$2:$A$37,0),""))</f>
        <v/>
      </c>
    </row>
    <row r="2401" customFormat="false" ht="15" hidden="false" customHeight="false" outlineLevel="0" collapsed="false">
      <c r="B2401" s="7" t="str">
        <f aca="false">IF(A2401="","",IFERROR(MATCH(A2401,Lists!$A$2:$A$37,0),""))</f>
        <v/>
      </c>
    </row>
    <row r="2402" customFormat="false" ht="15" hidden="false" customHeight="false" outlineLevel="0" collapsed="false">
      <c r="B2402" s="7" t="str">
        <f aca="false">IF(A2402="","",IFERROR(MATCH(A2402,Lists!$A$2:$A$37,0),""))</f>
        <v/>
      </c>
    </row>
    <row r="2403" customFormat="false" ht="15" hidden="false" customHeight="false" outlineLevel="0" collapsed="false">
      <c r="B2403" s="7" t="str">
        <f aca="false">IF(A2403="","",IFERROR(MATCH(A2403,Lists!$A$2:$A$37,0),""))</f>
        <v/>
      </c>
    </row>
    <row r="2404" customFormat="false" ht="15" hidden="false" customHeight="false" outlineLevel="0" collapsed="false">
      <c r="B2404" s="7" t="str">
        <f aca="false">IF(A2404="","",IFERROR(MATCH(A2404,Lists!$A$2:$A$37,0),""))</f>
        <v/>
      </c>
    </row>
    <row r="2405" customFormat="false" ht="15" hidden="false" customHeight="false" outlineLevel="0" collapsed="false">
      <c r="B2405" s="7" t="str">
        <f aca="false">IF(A2405="","",IFERROR(MATCH(A2405,Lists!$A$2:$A$37,0),""))</f>
        <v/>
      </c>
    </row>
    <row r="2406" customFormat="false" ht="15" hidden="false" customHeight="false" outlineLevel="0" collapsed="false">
      <c r="B2406" s="7" t="str">
        <f aca="false">IF(A2406="","",IFERROR(MATCH(A2406,Lists!$A$2:$A$37,0),""))</f>
        <v/>
      </c>
    </row>
    <row r="2407" customFormat="false" ht="15" hidden="false" customHeight="false" outlineLevel="0" collapsed="false">
      <c r="B2407" s="7" t="str">
        <f aca="false">IF(A2407="","",IFERROR(MATCH(A2407,Lists!$A$2:$A$37,0),""))</f>
        <v/>
      </c>
    </row>
    <row r="2408" customFormat="false" ht="15" hidden="false" customHeight="false" outlineLevel="0" collapsed="false">
      <c r="B2408" s="7" t="str">
        <f aca="false">IF(A2408="","",IFERROR(MATCH(A2408,Lists!$A$2:$A$37,0),""))</f>
        <v/>
      </c>
    </row>
    <row r="2409" customFormat="false" ht="15" hidden="false" customHeight="false" outlineLevel="0" collapsed="false">
      <c r="B2409" s="7" t="str">
        <f aca="false">IF(A2409="","",IFERROR(MATCH(A2409,Lists!$A$2:$A$37,0),""))</f>
        <v/>
      </c>
    </row>
    <row r="2410" customFormat="false" ht="15" hidden="false" customHeight="false" outlineLevel="0" collapsed="false">
      <c r="B2410" s="7" t="str">
        <f aca="false">IF(A2410="","",IFERROR(MATCH(A2410,Lists!$A$2:$A$37,0),""))</f>
        <v/>
      </c>
    </row>
    <row r="2411" customFormat="false" ht="15" hidden="false" customHeight="false" outlineLevel="0" collapsed="false">
      <c r="B2411" s="7" t="str">
        <f aca="false">IF(A2411="","",IFERROR(MATCH(A2411,Lists!$A$2:$A$37,0),""))</f>
        <v/>
      </c>
    </row>
    <row r="2412" customFormat="false" ht="15" hidden="false" customHeight="false" outlineLevel="0" collapsed="false">
      <c r="B2412" s="7" t="str">
        <f aca="false">IF(A2412="","",IFERROR(MATCH(A2412,Lists!$A$2:$A$37,0),""))</f>
        <v/>
      </c>
    </row>
    <row r="2413" customFormat="false" ht="15" hidden="false" customHeight="false" outlineLevel="0" collapsed="false">
      <c r="B2413" s="7" t="str">
        <f aca="false">IF(A2413="","",IFERROR(MATCH(A2413,Lists!$A$2:$A$37,0),""))</f>
        <v/>
      </c>
    </row>
    <row r="2414" customFormat="false" ht="15" hidden="false" customHeight="false" outlineLevel="0" collapsed="false">
      <c r="B2414" s="7" t="str">
        <f aca="false">IF(A2414="","",IFERROR(MATCH(A2414,Lists!$A$2:$A$37,0),""))</f>
        <v/>
      </c>
    </row>
    <row r="2415" customFormat="false" ht="15" hidden="false" customHeight="false" outlineLevel="0" collapsed="false">
      <c r="B2415" s="7" t="str">
        <f aca="false">IF(A2415="","",IFERROR(MATCH(A2415,Lists!$A$2:$A$37,0),""))</f>
        <v/>
      </c>
    </row>
    <row r="2416" customFormat="false" ht="15" hidden="false" customHeight="false" outlineLevel="0" collapsed="false">
      <c r="B2416" s="7" t="str">
        <f aca="false">IF(A2416="","",IFERROR(MATCH(A2416,Lists!$A$2:$A$37,0),""))</f>
        <v/>
      </c>
    </row>
    <row r="2417" customFormat="false" ht="15" hidden="false" customHeight="false" outlineLevel="0" collapsed="false">
      <c r="B2417" s="7" t="str">
        <f aca="false">IF(A2417="","",IFERROR(MATCH(A2417,Lists!$A$2:$A$37,0),""))</f>
        <v/>
      </c>
    </row>
    <row r="2418" customFormat="false" ht="15" hidden="false" customHeight="false" outlineLevel="0" collapsed="false">
      <c r="B2418" s="7" t="str">
        <f aca="false">IF(A2418="","",IFERROR(MATCH(A2418,Lists!$A$2:$A$37,0),""))</f>
        <v/>
      </c>
    </row>
    <row r="2419" customFormat="false" ht="15" hidden="false" customHeight="false" outlineLevel="0" collapsed="false">
      <c r="B2419" s="7" t="str">
        <f aca="false">IF(A2419="","",IFERROR(MATCH(A2419,Lists!$A$2:$A$37,0),""))</f>
        <v/>
      </c>
    </row>
    <row r="2420" customFormat="false" ht="15" hidden="false" customHeight="false" outlineLevel="0" collapsed="false">
      <c r="B2420" s="7" t="str">
        <f aca="false">IF(A2420="","",IFERROR(MATCH(A2420,Lists!$A$2:$A$37,0),""))</f>
        <v/>
      </c>
    </row>
    <row r="2421" customFormat="false" ht="15" hidden="false" customHeight="false" outlineLevel="0" collapsed="false">
      <c r="B2421" s="7" t="str">
        <f aca="false">IF(A2421="","",IFERROR(MATCH(A2421,Lists!$A$2:$A$37,0),""))</f>
        <v/>
      </c>
    </row>
    <row r="2422" customFormat="false" ht="15" hidden="false" customHeight="false" outlineLevel="0" collapsed="false">
      <c r="B2422" s="7" t="str">
        <f aca="false">IF(A2422="","",IFERROR(MATCH(A2422,Lists!$A$2:$A$37,0),""))</f>
        <v/>
      </c>
    </row>
    <row r="2423" customFormat="false" ht="15" hidden="false" customHeight="false" outlineLevel="0" collapsed="false">
      <c r="B2423" s="7" t="str">
        <f aca="false">IF(A2423="","",IFERROR(MATCH(A2423,Lists!$A$2:$A$37,0),""))</f>
        <v/>
      </c>
    </row>
    <row r="2424" customFormat="false" ht="15" hidden="false" customHeight="false" outlineLevel="0" collapsed="false">
      <c r="B2424" s="7" t="str">
        <f aca="false">IF(A2424="","",IFERROR(MATCH(A2424,Lists!$A$2:$A$37,0),""))</f>
        <v/>
      </c>
    </row>
    <row r="2425" customFormat="false" ht="15" hidden="false" customHeight="false" outlineLevel="0" collapsed="false">
      <c r="B2425" s="7" t="str">
        <f aca="false">IF(A2425="","",IFERROR(MATCH(A2425,Lists!$A$2:$A$37,0),""))</f>
        <v/>
      </c>
    </row>
    <row r="2426" customFormat="false" ht="15" hidden="false" customHeight="false" outlineLevel="0" collapsed="false">
      <c r="B2426" s="7" t="str">
        <f aca="false">IF(A2426="","",IFERROR(MATCH(A2426,Lists!$A$2:$A$37,0),""))</f>
        <v/>
      </c>
    </row>
    <row r="2427" customFormat="false" ht="15" hidden="false" customHeight="false" outlineLevel="0" collapsed="false">
      <c r="B2427" s="7" t="str">
        <f aca="false">IF(A2427="","",IFERROR(MATCH(A2427,Lists!$A$2:$A$37,0),""))</f>
        <v/>
      </c>
    </row>
    <row r="2428" customFormat="false" ht="15" hidden="false" customHeight="false" outlineLevel="0" collapsed="false">
      <c r="B2428" s="7" t="str">
        <f aca="false">IF(A2428="","",IFERROR(MATCH(A2428,Lists!$A$2:$A$37,0),""))</f>
        <v/>
      </c>
    </row>
    <row r="2429" customFormat="false" ht="15" hidden="false" customHeight="false" outlineLevel="0" collapsed="false">
      <c r="B2429" s="7" t="str">
        <f aca="false">IF(A2429="","",IFERROR(MATCH(A2429,Lists!$A$2:$A$37,0),""))</f>
        <v/>
      </c>
    </row>
    <row r="2430" customFormat="false" ht="15" hidden="false" customHeight="false" outlineLevel="0" collapsed="false">
      <c r="B2430" s="7" t="str">
        <f aca="false">IF(A2430="","",IFERROR(MATCH(A2430,Lists!$A$2:$A$37,0),""))</f>
        <v/>
      </c>
    </row>
    <row r="2431" customFormat="false" ht="15" hidden="false" customHeight="false" outlineLevel="0" collapsed="false">
      <c r="B2431" s="7" t="str">
        <f aca="false">IF(A2431="","",IFERROR(MATCH(A2431,Lists!$A$2:$A$37,0),""))</f>
        <v/>
      </c>
    </row>
    <row r="2432" customFormat="false" ht="15" hidden="false" customHeight="false" outlineLevel="0" collapsed="false">
      <c r="B2432" s="7" t="str">
        <f aca="false">IF(A2432="","",IFERROR(MATCH(A2432,Lists!$A$2:$A$37,0),""))</f>
        <v/>
      </c>
    </row>
    <row r="2433" customFormat="false" ht="15" hidden="false" customHeight="false" outlineLevel="0" collapsed="false">
      <c r="B2433" s="7" t="str">
        <f aca="false">IF(A2433="","",IFERROR(MATCH(A2433,Lists!$A$2:$A$37,0),""))</f>
        <v/>
      </c>
    </row>
    <row r="2434" customFormat="false" ht="15" hidden="false" customHeight="false" outlineLevel="0" collapsed="false">
      <c r="B2434" s="7" t="str">
        <f aca="false">IF(A2434="","",IFERROR(MATCH(A2434,Lists!$A$2:$A$37,0),""))</f>
        <v/>
      </c>
    </row>
    <row r="2435" customFormat="false" ht="15" hidden="false" customHeight="false" outlineLevel="0" collapsed="false">
      <c r="B2435" s="7" t="str">
        <f aca="false">IF(A2435="","",IFERROR(MATCH(A2435,Lists!$A$2:$A$37,0),""))</f>
        <v/>
      </c>
    </row>
    <row r="2436" customFormat="false" ht="15" hidden="false" customHeight="false" outlineLevel="0" collapsed="false">
      <c r="B2436" s="7" t="str">
        <f aca="false">IF(A2436="","",IFERROR(MATCH(A2436,Lists!$A$2:$A$37,0),""))</f>
        <v/>
      </c>
    </row>
    <row r="2437" customFormat="false" ht="15" hidden="false" customHeight="false" outlineLevel="0" collapsed="false">
      <c r="B2437" s="7" t="str">
        <f aca="false">IF(A2437="","",IFERROR(MATCH(A2437,Lists!$A$2:$A$37,0),""))</f>
        <v/>
      </c>
    </row>
    <row r="2438" customFormat="false" ht="15" hidden="false" customHeight="false" outlineLevel="0" collapsed="false">
      <c r="B2438" s="7" t="str">
        <f aca="false">IF(A2438="","",IFERROR(MATCH(A2438,Lists!$A$2:$A$37,0),""))</f>
        <v/>
      </c>
    </row>
    <row r="2439" customFormat="false" ht="15" hidden="false" customHeight="false" outlineLevel="0" collapsed="false">
      <c r="B2439" s="7" t="str">
        <f aca="false">IF(A2439="","",IFERROR(MATCH(A2439,Lists!$A$2:$A$37,0),""))</f>
        <v/>
      </c>
    </row>
    <row r="2440" customFormat="false" ht="15" hidden="false" customHeight="false" outlineLevel="0" collapsed="false">
      <c r="B2440" s="7" t="str">
        <f aca="false">IF(A2440="","",IFERROR(MATCH(A2440,Lists!$A$2:$A$37,0),""))</f>
        <v/>
      </c>
    </row>
    <row r="2441" customFormat="false" ht="15" hidden="false" customHeight="false" outlineLevel="0" collapsed="false">
      <c r="B2441" s="7" t="str">
        <f aca="false">IF(A2441="","",IFERROR(MATCH(A2441,Lists!$A$2:$A$37,0),""))</f>
        <v/>
      </c>
    </row>
    <row r="2442" customFormat="false" ht="15" hidden="false" customHeight="false" outlineLevel="0" collapsed="false">
      <c r="B2442" s="7" t="str">
        <f aca="false">IF(A2442="","",IFERROR(MATCH(A2442,Lists!$A$2:$A$37,0),""))</f>
        <v/>
      </c>
    </row>
    <row r="2443" customFormat="false" ht="15" hidden="false" customHeight="false" outlineLevel="0" collapsed="false">
      <c r="B2443" s="7" t="str">
        <f aca="false">IF(A2443="","",IFERROR(MATCH(A2443,Lists!$A$2:$A$37,0),""))</f>
        <v/>
      </c>
    </row>
    <row r="2444" customFormat="false" ht="15" hidden="false" customHeight="false" outlineLevel="0" collapsed="false">
      <c r="B2444" s="7" t="str">
        <f aca="false">IF(A2444="","",IFERROR(MATCH(A2444,Lists!$A$2:$A$37,0),""))</f>
        <v/>
      </c>
    </row>
    <row r="2445" customFormat="false" ht="15" hidden="false" customHeight="false" outlineLevel="0" collapsed="false">
      <c r="B2445" s="7" t="str">
        <f aca="false">IF(A2445="","",IFERROR(MATCH(A2445,Lists!$A$2:$A$37,0),""))</f>
        <v/>
      </c>
    </row>
    <row r="2446" customFormat="false" ht="15" hidden="false" customHeight="false" outlineLevel="0" collapsed="false">
      <c r="B2446" s="7" t="str">
        <f aca="false">IF(A2446="","",IFERROR(MATCH(A2446,Lists!$A$2:$A$37,0),""))</f>
        <v/>
      </c>
    </row>
    <row r="2447" customFormat="false" ht="15" hidden="false" customHeight="false" outlineLevel="0" collapsed="false">
      <c r="B2447" s="7" t="str">
        <f aca="false">IF(A2447="","",IFERROR(MATCH(A2447,Lists!$A$2:$A$37,0),""))</f>
        <v/>
      </c>
    </row>
    <row r="2448" customFormat="false" ht="15" hidden="false" customHeight="false" outlineLevel="0" collapsed="false">
      <c r="B2448" s="7" t="str">
        <f aca="false">IF(A2448="","",IFERROR(MATCH(A2448,Lists!$A$2:$A$37,0),""))</f>
        <v/>
      </c>
    </row>
    <row r="2449" customFormat="false" ht="15" hidden="false" customHeight="false" outlineLevel="0" collapsed="false">
      <c r="B2449" s="7" t="str">
        <f aca="false">IF(A2449="","",IFERROR(MATCH(A2449,Lists!$A$2:$A$37,0),""))</f>
        <v/>
      </c>
    </row>
    <row r="2450" customFormat="false" ht="15" hidden="false" customHeight="false" outlineLevel="0" collapsed="false">
      <c r="B2450" s="7" t="str">
        <f aca="false">IF(A2450="","",IFERROR(MATCH(A2450,Lists!$A$2:$A$37,0),""))</f>
        <v/>
      </c>
    </row>
    <row r="2451" customFormat="false" ht="15" hidden="false" customHeight="false" outlineLevel="0" collapsed="false">
      <c r="B2451" s="7" t="str">
        <f aca="false">IF(A2451="","",IFERROR(MATCH(A2451,Lists!$A$2:$A$37,0),""))</f>
        <v/>
      </c>
    </row>
    <row r="2452" customFormat="false" ht="15" hidden="false" customHeight="false" outlineLevel="0" collapsed="false">
      <c r="B2452" s="7" t="str">
        <f aca="false">IF(A2452="","",IFERROR(MATCH(A2452,Lists!$A$2:$A$37,0),""))</f>
        <v/>
      </c>
    </row>
    <row r="2453" customFormat="false" ht="15" hidden="false" customHeight="false" outlineLevel="0" collapsed="false">
      <c r="B2453" s="7" t="str">
        <f aca="false">IF(A2453="","",IFERROR(MATCH(A2453,Lists!$A$2:$A$37,0),""))</f>
        <v/>
      </c>
    </row>
    <row r="2454" customFormat="false" ht="15" hidden="false" customHeight="false" outlineLevel="0" collapsed="false">
      <c r="B2454" s="7" t="str">
        <f aca="false">IF(A2454="","",IFERROR(MATCH(A2454,Lists!$A$2:$A$37,0),""))</f>
        <v/>
      </c>
    </row>
    <row r="2455" customFormat="false" ht="15" hidden="false" customHeight="false" outlineLevel="0" collapsed="false">
      <c r="B2455" s="7" t="str">
        <f aca="false">IF(A2455="","",IFERROR(MATCH(A2455,Lists!$A$2:$A$37,0),""))</f>
        <v/>
      </c>
    </row>
    <row r="2456" customFormat="false" ht="15" hidden="false" customHeight="false" outlineLevel="0" collapsed="false">
      <c r="B2456" s="7" t="str">
        <f aca="false">IF(A2456="","",IFERROR(MATCH(A2456,Lists!$A$2:$A$37,0),""))</f>
        <v/>
      </c>
    </row>
    <row r="2457" customFormat="false" ht="15" hidden="false" customHeight="false" outlineLevel="0" collapsed="false">
      <c r="B2457" s="7" t="str">
        <f aca="false">IF(A2457="","",IFERROR(MATCH(A2457,Lists!$A$2:$A$37,0),""))</f>
        <v/>
      </c>
    </row>
    <row r="2458" customFormat="false" ht="15" hidden="false" customHeight="false" outlineLevel="0" collapsed="false">
      <c r="B2458" s="7" t="str">
        <f aca="false">IF(A2458="","",IFERROR(MATCH(A2458,Lists!$A$2:$A$37,0),""))</f>
        <v/>
      </c>
    </row>
    <row r="2459" customFormat="false" ht="15" hidden="false" customHeight="false" outlineLevel="0" collapsed="false">
      <c r="B2459" s="7" t="str">
        <f aca="false">IF(A2459="","",IFERROR(MATCH(A2459,Lists!$A$2:$A$37,0),""))</f>
        <v/>
      </c>
    </row>
    <row r="2460" customFormat="false" ht="15" hidden="false" customHeight="false" outlineLevel="0" collapsed="false">
      <c r="B2460" s="7" t="str">
        <f aca="false">IF(A2460="","",IFERROR(MATCH(A2460,Lists!$A$2:$A$37,0),""))</f>
        <v/>
      </c>
    </row>
    <row r="2461" customFormat="false" ht="15" hidden="false" customHeight="false" outlineLevel="0" collapsed="false">
      <c r="B2461" s="7" t="str">
        <f aca="false">IF(A2461="","",IFERROR(MATCH(A2461,Lists!$A$2:$A$37,0),""))</f>
        <v/>
      </c>
    </row>
    <row r="2462" customFormat="false" ht="15" hidden="false" customHeight="false" outlineLevel="0" collapsed="false">
      <c r="B2462" s="7" t="str">
        <f aca="false">IF(A2462="","",IFERROR(MATCH(A2462,Lists!$A$2:$A$37,0),""))</f>
        <v/>
      </c>
    </row>
    <row r="2463" customFormat="false" ht="15" hidden="false" customHeight="false" outlineLevel="0" collapsed="false">
      <c r="B2463" s="7" t="str">
        <f aca="false">IF(A2463="","",IFERROR(MATCH(A2463,Lists!$A$2:$A$37,0),""))</f>
        <v/>
      </c>
    </row>
    <row r="2464" customFormat="false" ht="15" hidden="false" customHeight="false" outlineLevel="0" collapsed="false">
      <c r="B2464" s="7" t="str">
        <f aca="false">IF(A2464="","",IFERROR(MATCH(A2464,Lists!$A$2:$A$37,0),""))</f>
        <v/>
      </c>
    </row>
    <row r="2465" customFormat="false" ht="15" hidden="false" customHeight="false" outlineLevel="0" collapsed="false">
      <c r="B2465" s="7" t="str">
        <f aca="false">IF(A2465="","",IFERROR(MATCH(A2465,Lists!$A$2:$A$37,0),""))</f>
        <v/>
      </c>
    </row>
    <row r="2466" customFormat="false" ht="15" hidden="false" customHeight="false" outlineLevel="0" collapsed="false">
      <c r="B2466" s="7" t="str">
        <f aca="false">IF(A2466="","",IFERROR(MATCH(A2466,Lists!$A$2:$A$37,0),""))</f>
        <v/>
      </c>
    </row>
    <row r="2467" customFormat="false" ht="15" hidden="false" customHeight="false" outlineLevel="0" collapsed="false">
      <c r="B2467" s="7" t="str">
        <f aca="false">IF(A2467="","",IFERROR(MATCH(A2467,Lists!$A$2:$A$37,0),""))</f>
        <v/>
      </c>
    </row>
    <row r="2468" customFormat="false" ht="15" hidden="false" customHeight="false" outlineLevel="0" collapsed="false">
      <c r="B2468" s="7" t="str">
        <f aca="false">IF(A2468="","",IFERROR(MATCH(A2468,Lists!$A$2:$A$37,0),""))</f>
        <v/>
      </c>
    </row>
    <row r="2469" customFormat="false" ht="15" hidden="false" customHeight="false" outlineLevel="0" collapsed="false">
      <c r="B2469" s="7" t="str">
        <f aca="false">IF(A2469="","",IFERROR(MATCH(A2469,Lists!$A$2:$A$37,0),""))</f>
        <v/>
      </c>
    </row>
    <row r="2470" customFormat="false" ht="15" hidden="false" customHeight="false" outlineLevel="0" collapsed="false">
      <c r="B2470" s="7" t="str">
        <f aca="false">IF(A2470="","",IFERROR(MATCH(A2470,Lists!$A$2:$A$37,0),""))</f>
        <v/>
      </c>
    </row>
    <row r="2471" customFormat="false" ht="15" hidden="false" customHeight="false" outlineLevel="0" collapsed="false">
      <c r="B2471" s="7" t="str">
        <f aca="false">IF(A2471="","",IFERROR(MATCH(A2471,Lists!$A$2:$A$37,0),""))</f>
        <v/>
      </c>
    </row>
    <row r="2472" customFormat="false" ht="15" hidden="false" customHeight="false" outlineLevel="0" collapsed="false">
      <c r="B2472" s="7" t="str">
        <f aca="false">IF(A2472="","",IFERROR(MATCH(A2472,Lists!$A$2:$A$37,0),""))</f>
        <v/>
      </c>
    </row>
    <row r="2473" customFormat="false" ht="15" hidden="false" customHeight="false" outlineLevel="0" collapsed="false">
      <c r="B2473" s="7" t="str">
        <f aca="false">IF(A2473="","",IFERROR(MATCH(A2473,Lists!$A$2:$A$37,0),""))</f>
        <v/>
      </c>
    </row>
    <row r="2474" customFormat="false" ht="15" hidden="false" customHeight="false" outlineLevel="0" collapsed="false">
      <c r="B2474" s="7" t="str">
        <f aca="false">IF(A2474="","",IFERROR(MATCH(A2474,Lists!$A$2:$A$37,0),""))</f>
        <v/>
      </c>
    </row>
    <row r="2475" customFormat="false" ht="15" hidden="false" customHeight="false" outlineLevel="0" collapsed="false">
      <c r="B2475" s="7" t="str">
        <f aca="false">IF(A2475="","",IFERROR(MATCH(A2475,Lists!$A$2:$A$37,0),""))</f>
        <v/>
      </c>
    </row>
    <row r="2476" customFormat="false" ht="15" hidden="false" customHeight="false" outlineLevel="0" collapsed="false">
      <c r="B2476" s="7" t="str">
        <f aca="false">IF(A2476="","",IFERROR(MATCH(A2476,Lists!$A$2:$A$37,0),""))</f>
        <v/>
      </c>
    </row>
    <row r="2477" customFormat="false" ht="15" hidden="false" customHeight="false" outlineLevel="0" collapsed="false">
      <c r="B2477" s="7" t="str">
        <f aca="false">IF(A2477="","",IFERROR(MATCH(A2477,Lists!$A$2:$A$37,0),""))</f>
        <v/>
      </c>
    </row>
    <row r="2478" customFormat="false" ht="15" hidden="false" customHeight="false" outlineLevel="0" collapsed="false">
      <c r="B2478" s="7" t="str">
        <f aca="false">IF(A2478="","",IFERROR(MATCH(A2478,Lists!$A$2:$A$37,0),""))</f>
        <v/>
      </c>
    </row>
    <row r="2479" customFormat="false" ht="15" hidden="false" customHeight="false" outlineLevel="0" collapsed="false">
      <c r="B2479" s="7" t="str">
        <f aca="false">IF(A2479="","",IFERROR(MATCH(A2479,Lists!$A$2:$A$37,0),""))</f>
        <v/>
      </c>
    </row>
    <row r="2480" customFormat="false" ht="15" hidden="false" customHeight="false" outlineLevel="0" collapsed="false">
      <c r="B2480" s="7" t="str">
        <f aca="false">IF(A2480="","",IFERROR(MATCH(A2480,Lists!$A$2:$A$37,0),""))</f>
        <v/>
      </c>
    </row>
    <row r="2481" customFormat="false" ht="15" hidden="false" customHeight="false" outlineLevel="0" collapsed="false">
      <c r="B2481" s="7" t="str">
        <f aca="false">IF(A2481="","",IFERROR(MATCH(A2481,Lists!$A$2:$A$37,0),""))</f>
        <v/>
      </c>
    </row>
    <row r="2482" customFormat="false" ht="15" hidden="false" customHeight="false" outlineLevel="0" collapsed="false">
      <c r="B2482" s="7" t="str">
        <f aca="false">IF(A2482="","",IFERROR(MATCH(A2482,Lists!$A$2:$A$37,0),""))</f>
        <v/>
      </c>
    </row>
    <row r="2483" customFormat="false" ht="15" hidden="false" customHeight="false" outlineLevel="0" collapsed="false">
      <c r="B2483" s="7" t="str">
        <f aca="false">IF(A2483="","",IFERROR(MATCH(A2483,Lists!$A$2:$A$37,0),""))</f>
        <v/>
      </c>
    </row>
    <row r="2484" customFormat="false" ht="15" hidden="false" customHeight="false" outlineLevel="0" collapsed="false">
      <c r="B2484" s="7" t="str">
        <f aca="false">IF(A2484="","",IFERROR(MATCH(A2484,Lists!$A$2:$A$37,0),""))</f>
        <v/>
      </c>
    </row>
    <row r="2485" customFormat="false" ht="15" hidden="false" customHeight="false" outlineLevel="0" collapsed="false">
      <c r="B2485" s="7" t="str">
        <f aca="false">IF(A2485="","",IFERROR(MATCH(A2485,Lists!$A$2:$A$37,0),""))</f>
        <v/>
      </c>
    </row>
    <row r="2486" customFormat="false" ht="15" hidden="false" customHeight="false" outlineLevel="0" collapsed="false">
      <c r="B2486" s="7" t="str">
        <f aca="false">IF(A2486="","",IFERROR(MATCH(A2486,Lists!$A$2:$A$37,0),""))</f>
        <v/>
      </c>
    </row>
    <row r="2487" customFormat="false" ht="15" hidden="false" customHeight="false" outlineLevel="0" collapsed="false">
      <c r="B2487" s="7" t="str">
        <f aca="false">IF(A2487="","",IFERROR(MATCH(A2487,Lists!$A$2:$A$37,0),""))</f>
        <v/>
      </c>
    </row>
    <row r="2488" customFormat="false" ht="15" hidden="false" customHeight="false" outlineLevel="0" collapsed="false">
      <c r="B2488" s="7" t="str">
        <f aca="false">IF(A2488="","",IFERROR(MATCH(A2488,Lists!$A$2:$A$37,0),""))</f>
        <v/>
      </c>
    </row>
    <row r="2489" customFormat="false" ht="15" hidden="false" customHeight="false" outlineLevel="0" collapsed="false">
      <c r="B2489" s="7" t="str">
        <f aca="false">IF(A2489="","",IFERROR(MATCH(A2489,Lists!$A$2:$A$37,0),""))</f>
        <v/>
      </c>
    </row>
    <row r="2490" customFormat="false" ht="15" hidden="false" customHeight="false" outlineLevel="0" collapsed="false">
      <c r="B2490" s="7" t="str">
        <f aca="false">IF(A2490="","",IFERROR(MATCH(A2490,Lists!$A$2:$A$37,0),""))</f>
        <v/>
      </c>
    </row>
    <row r="2491" customFormat="false" ht="15" hidden="false" customHeight="false" outlineLevel="0" collapsed="false">
      <c r="B2491" s="7" t="str">
        <f aca="false">IF(A2491="","",IFERROR(MATCH(A2491,Lists!$A$2:$A$37,0),""))</f>
        <v/>
      </c>
    </row>
    <row r="2492" customFormat="false" ht="15" hidden="false" customHeight="false" outlineLevel="0" collapsed="false">
      <c r="B2492" s="7" t="str">
        <f aca="false">IF(A2492="","",IFERROR(MATCH(A2492,Lists!$A$2:$A$37,0),""))</f>
        <v/>
      </c>
    </row>
    <row r="2493" customFormat="false" ht="15" hidden="false" customHeight="false" outlineLevel="0" collapsed="false">
      <c r="B2493" s="7" t="str">
        <f aca="false">IF(A2493="","",IFERROR(MATCH(A2493,Lists!$A$2:$A$37,0),""))</f>
        <v/>
      </c>
    </row>
    <row r="2494" customFormat="false" ht="15" hidden="false" customHeight="false" outlineLevel="0" collapsed="false">
      <c r="B2494" s="7" t="str">
        <f aca="false">IF(A2494="","",IFERROR(MATCH(A2494,Lists!$A$2:$A$37,0),""))</f>
        <v/>
      </c>
    </row>
    <row r="2495" customFormat="false" ht="15" hidden="false" customHeight="false" outlineLevel="0" collapsed="false">
      <c r="B2495" s="7" t="str">
        <f aca="false">IF(A2495="","",IFERROR(MATCH(A2495,Lists!$A$2:$A$37,0),""))</f>
        <v/>
      </c>
    </row>
    <row r="2496" customFormat="false" ht="15" hidden="false" customHeight="false" outlineLevel="0" collapsed="false">
      <c r="B2496" s="7" t="str">
        <f aca="false">IF(A2496="","",IFERROR(MATCH(A2496,Lists!$A$2:$A$37,0),""))</f>
        <v/>
      </c>
    </row>
    <row r="2497" customFormat="false" ht="15" hidden="false" customHeight="false" outlineLevel="0" collapsed="false">
      <c r="B2497" s="7" t="str">
        <f aca="false">IF(A2497="","",IFERROR(MATCH(A2497,Lists!$A$2:$A$37,0),""))</f>
        <v/>
      </c>
    </row>
    <row r="2498" customFormat="false" ht="15" hidden="false" customHeight="false" outlineLevel="0" collapsed="false">
      <c r="B2498" s="7" t="str">
        <f aca="false">IF(A2498="","",IFERROR(MATCH(A2498,Lists!$A$2:$A$37,0),""))</f>
        <v/>
      </c>
    </row>
    <row r="2499" customFormat="false" ht="15" hidden="false" customHeight="false" outlineLevel="0" collapsed="false">
      <c r="B2499" s="7" t="str">
        <f aca="false">IF(A2499="","",IFERROR(MATCH(A2499,Lists!$A$2:$A$37,0),""))</f>
        <v/>
      </c>
    </row>
    <row r="2500" customFormat="false" ht="15" hidden="false" customHeight="false" outlineLevel="0" collapsed="false">
      <c r="B2500" s="7" t="str">
        <f aca="false">IF(A2500="","",IFERROR(MATCH(A2500,Lists!$A$2:$A$37,0),""))</f>
        <v/>
      </c>
    </row>
  </sheetData>
  <autoFilter ref="A1:M627"/>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0" width="13"/>
    <col collapsed="false" customWidth="true" hidden="false" outlineLevel="0" max="2" min="2" style="0" width="7"/>
    <col collapsed="false" customWidth="true" hidden="false" outlineLevel="0" max="11" min="3" style="0" width="11"/>
    <col collapsed="false" customWidth="true" hidden="false" outlineLevel="0" max="12" min="12" style="0" width="70"/>
  </cols>
  <sheetData>
    <row r="1" customFormat="false" ht="30" hidden="false" customHeight="true" outlineLevel="0" collapsed="false">
      <c r="A1" s="14" t="s">
        <v>123</v>
      </c>
      <c r="B1" s="14" t="s">
        <v>275</v>
      </c>
      <c r="C1" s="14" t="s">
        <v>419</v>
      </c>
      <c r="D1" s="14" t="s">
        <v>420</v>
      </c>
      <c r="E1" s="14" t="s">
        <v>421</v>
      </c>
      <c r="F1" s="14" t="s">
        <v>422</v>
      </c>
      <c r="G1" s="14" t="s">
        <v>423</v>
      </c>
      <c r="H1" s="14" t="s">
        <v>424</v>
      </c>
      <c r="I1" s="14" t="s">
        <v>425</v>
      </c>
      <c r="J1" s="14" t="s">
        <v>426</v>
      </c>
      <c r="K1" s="14" t="s">
        <v>427</v>
      </c>
      <c r="L1" s="14" t="s">
        <v>428</v>
      </c>
    </row>
    <row r="2" customFormat="false" ht="15" hidden="false" customHeight="false" outlineLevel="0" collapsed="false">
      <c r="A2" s="6" t="s">
        <v>251</v>
      </c>
      <c r="B2" s="7" t="n">
        <f aca="false">MATCH(A2,Lists!$A$2:$A$37,0)</f>
        <v>1</v>
      </c>
      <c r="C2" s="43" t="n">
        <v>2.949</v>
      </c>
      <c r="D2" s="43" t="n">
        <v>3.226</v>
      </c>
      <c r="E2" s="43" t="n">
        <v>3.081</v>
      </c>
      <c r="F2" s="43" t="n">
        <v>3.117</v>
      </c>
      <c r="G2" s="43" t="n">
        <v>3.404</v>
      </c>
      <c r="H2" s="43" t="n">
        <v>3.117</v>
      </c>
      <c r="I2" s="43" t="n">
        <v>2.918</v>
      </c>
      <c r="J2" s="43" t="n">
        <v>3.18</v>
      </c>
      <c r="K2" s="43" t="n">
        <v>3.039</v>
      </c>
      <c r="L2" s="6" t="s">
        <v>429</v>
      </c>
    </row>
    <row r="3" customFormat="false" ht="15" hidden="false" customHeight="false" outlineLevel="0" collapsed="false">
      <c r="A3" s="6" t="s">
        <v>252</v>
      </c>
      <c r="B3" s="7" t="n">
        <f aca="false">MATCH(A3,Lists!$A$2:$A$37,0)</f>
        <v>2</v>
      </c>
      <c r="C3" s="43" t="n">
        <v>2.55</v>
      </c>
      <c r="D3" s="43" t="n">
        <v>2.813</v>
      </c>
      <c r="E3" s="43" t="n">
        <v>2.733</v>
      </c>
      <c r="F3" s="43" t="n">
        <v>3.059</v>
      </c>
      <c r="G3" s="43" t="n">
        <v>3.379</v>
      </c>
      <c r="H3" s="43" t="n">
        <v>3.219</v>
      </c>
      <c r="I3" s="43" t="n">
        <v>2.472</v>
      </c>
      <c r="J3" s="43" t="n">
        <v>2.691</v>
      </c>
      <c r="K3" s="45"/>
      <c r="L3" s="6" t="s">
        <v>430</v>
      </c>
    </row>
    <row r="4" customFormat="false" ht="15" hidden="false" customHeight="false" outlineLevel="0" collapsed="false">
      <c r="A4" s="6" t="s">
        <v>253</v>
      </c>
      <c r="B4" s="7" t="n">
        <f aca="false">MATCH(A4,Lists!$A$2:$A$37,0)</f>
        <v>3</v>
      </c>
      <c r="C4" s="43" t="n">
        <v>2.909</v>
      </c>
      <c r="D4" s="43" t="n">
        <v>3.165</v>
      </c>
      <c r="E4" s="43" t="n">
        <v>3.04</v>
      </c>
      <c r="F4" s="43" t="n">
        <v>3.081</v>
      </c>
      <c r="G4" s="43" t="n">
        <v>3.365</v>
      </c>
      <c r="H4" s="43" t="n">
        <v>3.223</v>
      </c>
      <c r="I4" s="43" t="n">
        <v>2.874</v>
      </c>
      <c r="J4" s="43" t="n">
        <v>3.115</v>
      </c>
      <c r="K4" s="45"/>
      <c r="L4" s="6" t="s">
        <v>431</v>
      </c>
    </row>
    <row r="5" customFormat="false" ht="15" hidden="false" customHeight="false" outlineLevel="0" collapsed="false">
      <c r="A5" s="6" t="s">
        <v>254</v>
      </c>
      <c r="B5" s="7" t="n">
        <f aca="false">MATCH(A5,Lists!$A$2:$A$37,0)</f>
        <v>4</v>
      </c>
      <c r="C5" s="43" t="n">
        <v>2.931</v>
      </c>
      <c r="D5" s="43" t="n">
        <v>3.195</v>
      </c>
      <c r="E5" s="43" t="n">
        <v>3.063</v>
      </c>
      <c r="F5" s="43" t="n">
        <v>3.119</v>
      </c>
      <c r="G5" s="43" t="n">
        <v>3.403</v>
      </c>
      <c r="H5" s="43" t="n">
        <v>3.261</v>
      </c>
      <c r="I5" s="43" t="n">
        <v>2.893</v>
      </c>
      <c r="J5" s="43" t="n">
        <v>3.138</v>
      </c>
      <c r="K5" s="43" t="n">
        <v>3.016</v>
      </c>
      <c r="L5" s="6" t="s">
        <v>432</v>
      </c>
    </row>
    <row r="6" customFormat="false" ht="15" hidden="false" customHeight="false" outlineLevel="0" collapsed="false">
      <c r="A6" s="6" t="s">
        <v>255</v>
      </c>
      <c r="B6" s="7" t="n">
        <f aca="false">MATCH(A6,Lists!$A$2:$A$37,0)</f>
        <v>5</v>
      </c>
      <c r="C6" s="43" t="n">
        <v>2.91</v>
      </c>
      <c r="D6" s="43" t="n">
        <v>3.185</v>
      </c>
      <c r="E6" s="43" t="n">
        <v>3.05</v>
      </c>
      <c r="F6" s="43" t="n">
        <v>3.074</v>
      </c>
      <c r="G6" s="43" t="n">
        <v>3.375</v>
      </c>
      <c r="H6" s="43" t="n">
        <v>3.224</v>
      </c>
      <c r="I6" s="43" t="n">
        <v>2.877</v>
      </c>
      <c r="J6" s="43" t="n">
        <v>3.135</v>
      </c>
      <c r="K6" s="45"/>
      <c r="L6" s="6" t="s">
        <v>433</v>
      </c>
    </row>
    <row r="7" customFormat="false" ht="15" hidden="false" customHeight="false" outlineLevel="0" collapsed="false">
      <c r="A7" s="6" t="s">
        <v>256</v>
      </c>
      <c r="B7" s="7" t="n">
        <f aca="false">MATCH(A7,Lists!$A$2:$A$37,0)</f>
        <v>6</v>
      </c>
      <c r="C7" s="43" t="n">
        <v>2.962</v>
      </c>
      <c r="D7" s="43" t="n">
        <v>3.216</v>
      </c>
      <c r="E7" s="43" t="n">
        <v>3.089</v>
      </c>
      <c r="F7" s="43" t="n">
        <v>3.158</v>
      </c>
      <c r="G7" s="43" t="n">
        <v>3.44</v>
      </c>
      <c r="H7" s="43" t="n">
        <v>3.299</v>
      </c>
      <c r="I7" s="43" t="n">
        <v>2.922</v>
      </c>
      <c r="J7" s="43" t="n">
        <v>3.154</v>
      </c>
      <c r="K7" s="43" t="n">
        <v>3.038</v>
      </c>
      <c r="L7" s="6" t="s">
        <v>432</v>
      </c>
    </row>
    <row r="8" customFormat="false" ht="15" hidden="false" customHeight="false" outlineLevel="0" collapsed="false">
      <c r="A8" s="6" t="s">
        <v>257</v>
      </c>
      <c r="B8" s="7" t="n">
        <f aca="false">MATCH(A8,Lists!$A$2:$A$37,0)</f>
        <v>7</v>
      </c>
      <c r="C8" s="43" t="n">
        <v>2.915</v>
      </c>
      <c r="D8" s="43" t="n">
        <v>3.194</v>
      </c>
      <c r="E8" s="43" t="n">
        <v>3.054</v>
      </c>
      <c r="F8" s="43" t="n">
        <v>3.116</v>
      </c>
      <c r="G8" s="43" t="n">
        <v>3.382</v>
      </c>
      <c r="H8" s="43" t="n">
        <v>3.249</v>
      </c>
      <c r="I8" s="43" t="n">
        <v>2.872</v>
      </c>
      <c r="J8" s="43" t="n">
        <v>3.142</v>
      </c>
      <c r="K8" s="43" t="n">
        <v>3.007</v>
      </c>
      <c r="L8" s="6" t="s">
        <v>432</v>
      </c>
    </row>
    <row r="9" customFormat="false" ht="15" hidden="false" customHeight="false" outlineLevel="0" collapsed="false">
      <c r="A9" s="6" t="s">
        <v>258</v>
      </c>
      <c r="B9" s="7" t="n">
        <f aca="false">MATCH(A9,Lists!$A$2:$A$37,0)</f>
        <v>8</v>
      </c>
      <c r="C9" s="43" t="n">
        <v>2.925</v>
      </c>
      <c r="D9" s="43" t="n">
        <v>3.191</v>
      </c>
      <c r="E9" s="43" t="n">
        <v>3.058</v>
      </c>
      <c r="F9" s="43" t="n">
        <v>3.122</v>
      </c>
      <c r="G9" s="43" t="n">
        <v>3.397</v>
      </c>
      <c r="H9" s="43" t="n">
        <v>3.26</v>
      </c>
      <c r="I9" s="43" t="n">
        <v>2.884</v>
      </c>
      <c r="J9" s="43" t="n">
        <v>3.131</v>
      </c>
      <c r="K9" s="43" t="n">
        <v>3.007</v>
      </c>
      <c r="L9" s="6" t="s">
        <v>432</v>
      </c>
    </row>
    <row r="10" customFormat="false" ht="15" hidden="false" customHeight="false" outlineLevel="0" collapsed="false">
      <c r="A10" s="6" t="s">
        <v>259</v>
      </c>
      <c r="B10" s="7" t="n">
        <f aca="false">MATCH(A10,Lists!$A$2:$A$37,0)</f>
        <v>9</v>
      </c>
      <c r="C10" s="43" t="n">
        <v>2.927</v>
      </c>
      <c r="D10" s="43" t="n">
        <v>3.183</v>
      </c>
      <c r="E10" s="43" t="n">
        <v>3.055</v>
      </c>
      <c r="F10" s="43" t="n">
        <v>3.125</v>
      </c>
      <c r="G10" s="43" t="n">
        <v>3.386</v>
      </c>
      <c r="H10" s="43" t="n">
        <v>3.255</v>
      </c>
      <c r="I10" s="43" t="n">
        <v>2.887</v>
      </c>
      <c r="J10" s="43" t="n">
        <v>3.124</v>
      </c>
      <c r="K10" s="43" t="n">
        <v>3.006</v>
      </c>
      <c r="L10" s="6" t="s">
        <v>432</v>
      </c>
    </row>
    <row r="11" customFormat="false" ht="15" hidden="false" customHeight="false" outlineLevel="0" collapsed="false">
      <c r="A11" s="6" t="s">
        <v>260</v>
      </c>
      <c r="B11" s="7" t="n">
        <f aca="false">MATCH(A11,Lists!$A$2:$A$37,0)</f>
        <v>10</v>
      </c>
      <c r="C11" s="43" t="n">
        <v>2.933</v>
      </c>
      <c r="D11" s="43" t="n">
        <v>3.212</v>
      </c>
      <c r="E11" s="43" t="n">
        <v>3.073</v>
      </c>
      <c r="F11" s="43" t="n">
        <v>3.114</v>
      </c>
      <c r="G11" s="43" t="n">
        <v>3.422</v>
      </c>
      <c r="H11" s="43" t="n">
        <v>3.268</v>
      </c>
      <c r="I11" s="43" t="n">
        <v>2.894</v>
      </c>
      <c r="J11" s="43" t="n">
        <v>3.147</v>
      </c>
      <c r="K11" s="43" t="n">
        <v>3.02</v>
      </c>
      <c r="L11" s="6" t="s">
        <v>432</v>
      </c>
    </row>
    <row r="12" customFormat="false" ht="15" hidden="false" customHeight="false" outlineLevel="0" collapsed="false">
      <c r="A12" s="6" t="s">
        <v>261</v>
      </c>
      <c r="B12" s="7" t="n">
        <f aca="false">MATCH(A12,Lists!$A$2:$A$37,0)</f>
        <v>11</v>
      </c>
      <c r="C12" s="43" t="n">
        <v>2.936</v>
      </c>
      <c r="D12" s="43" t="n">
        <v>3.208</v>
      </c>
      <c r="E12" s="43" t="n">
        <v>3.072</v>
      </c>
      <c r="F12" s="43" t="n">
        <v>3.133</v>
      </c>
      <c r="G12" s="43" t="n">
        <v>3.379</v>
      </c>
      <c r="H12" s="43" t="n">
        <v>3.256</v>
      </c>
      <c r="I12" s="43" t="n">
        <v>2.891</v>
      </c>
      <c r="J12" s="43" t="n">
        <v>3.155</v>
      </c>
      <c r="K12" s="43" t="n">
        <v>3.023</v>
      </c>
      <c r="L12" s="6" t="s">
        <v>432</v>
      </c>
    </row>
    <row r="13" customFormat="false" ht="15" hidden="false" customHeight="false" outlineLevel="0" collapsed="false">
      <c r="A13" s="6" t="s">
        <v>262</v>
      </c>
      <c r="B13" s="7" t="n">
        <f aca="false">MATCH(A13,Lists!$A$2:$A$37,0)</f>
        <v>12</v>
      </c>
      <c r="C13" s="43" t="n">
        <v>2.947</v>
      </c>
      <c r="D13" s="43" t="n">
        <v>3.228</v>
      </c>
      <c r="E13" s="43" t="n">
        <v>3.088</v>
      </c>
      <c r="F13" s="43" t="n">
        <v>3.132</v>
      </c>
      <c r="G13" s="43" t="n">
        <v>3.422</v>
      </c>
      <c r="H13" s="43" t="n">
        <v>3.277</v>
      </c>
      <c r="I13" s="43" t="n">
        <v>2.903</v>
      </c>
      <c r="J13" s="43" t="n">
        <v>3.166</v>
      </c>
      <c r="K13" s="43" t="n">
        <v>3.034</v>
      </c>
      <c r="L13" s="6" t="s">
        <v>432</v>
      </c>
    </row>
    <row r="14" customFormat="false" ht="15" hidden="false" customHeight="false" outlineLevel="0" collapsed="false">
      <c r="A14" s="6" t="s">
        <v>263</v>
      </c>
      <c r="B14" s="7" t="n">
        <f aca="false">MATCH(A14,Lists!$A$2:$A$37,0)</f>
        <v>13</v>
      </c>
      <c r="C14" s="43" t="n">
        <v>2.938</v>
      </c>
      <c r="D14" s="43" t="n">
        <v>3.211</v>
      </c>
      <c r="E14" s="43" t="n">
        <v>3.074</v>
      </c>
      <c r="F14" s="43" t="n">
        <v>3.098</v>
      </c>
      <c r="G14" s="43" t="n">
        <v>3.398</v>
      </c>
      <c r="H14" s="43" t="n">
        <v>3.248</v>
      </c>
      <c r="I14" s="43" t="n">
        <v>2.88</v>
      </c>
      <c r="J14" s="43" t="n">
        <v>3.151</v>
      </c>
      <c r="K14" s="43" t="n">
        <v>3.024</v>
      </c>
      <c r="L14" s="6" t="s">
        <v>432</v>
      </c>
    </row>
    <row r="15" customFormat="false" ht="15" hidden="false" customHeight="false" outlineLevel="0" collapsed="false">
      <c r="A15" s="6" t="s">
        <v>264</v>
      </c>
      <c r="B15" s="7" t="n">
        <f aca="false">MATCH(A15,Lists!$A$2:$A$37,0)</f>
        <v>14</v>
      </c>
      <c r="C15" s="43" t="n">
        <v>2.952</v>
      </c>
      <c r="D15" s="43" t="n">
        <v>3.232</v>
      </c>
      <c r="E15" s="43" t="n">
        <v>3.092</v>
      </c>
      <c r="F15" s="43" t="n">
        <v>3.141</v>
      </c>
      <c r="G15" s="43" t="n">
        <v>3.438</v>
      </c>
      <c r="H15" s="43" t="n">
        <v>3.289</v>
      </c>
      <c r="I15" s="43" t="n">
        <v>2.906</v>
      </c>
      <c r="J15" s="43" t="n">
        <v>3.165</v>
      </c>
      <c r="K15" s="43" t="n">
        <v>3.036</v>
      </c>
      <c r="L15" s="6" t="s">
        <v>432</v>
      </c>
    </row>
    <row r="16" customFormat="false" ht="15" hidden="false" customHeight="false" outlineLevel="0" collapsed="false">
      <c r="A16" s="6" t="s">
        <v>265</v>
      </c>
      <c r="B16" s="7" t="n">
        <f aca="false">MATCH(A16,Lists!$A$2:$A$37,0)</f>
        <v>15</v>
      </c>
      <c r="C16" s="43" t="n">
        <v>2.981</v>
      </c>
      <c r="D16" s="43" t="n">
        <v>3.239</v>
      </c>
      <c r="E16" s="43" t="n">
        <v>3.11</v>
      </c>
      <c r="F16" s="43" t="n">
        <v>3.159</v>
      </c>
      <c r="G16" s="43" t="n">
        <v>3.437</v>
      </c>
      <c r="H16" s="43" t="n">
        <v>3.298</v>
      </c>
      <c r="I16" s="43" t="n">
        <v>2.944</v>
      </c>
      <c r="J16" s="43" t="n">
        <v>3.178</v>
      </c>
      <c r="K16" s="43" t="n">
        <v>3.061</v>
      </c>
      <c r="L16" s="6" t="s">
        <v>432</v>
      </c>
    </row>
    <row r="17" customFormat="false" ht="15" hidden="false" customHeight="false" outlineLevel="0" collapsed="false">
      <c r="A17" s="6" t="s">
        <v>266</v>
      </c>
      <c r="B17" s="7" t="n">
        <f aca="false">MATCH(A17,Lists!$A$2:$A$37,0)</f>
        <v>16</v>
      </c>
      <c r="C17" s="43" t="n">
        <v>2.977</v>
      </c>
      <c r="D17" s="43" t="n">
        <v>3.274</v>
      </c>
      <c r="E17" s="43" t="n">
        <v>3.125</v>
      </c>
      <c r="F17" s="43" t="n">
        <v>3.171</v>
      </c>
      <c r="G17" s="43" t="n">
        <v>3.473</v>
      </c>
      <c r="H17" s="43" t="n">
        <v>3.322</v>
      </c>
      <c r="I17" s="43" t="n">
        <v>2.934</v>
      </c>
      <c r="J17" s="43" t="n">
        <v>3.206</v>
      </c>
      <c r="K17" s="43" t="n">
        <v>3.07</v>
      </c>
      <c r="L17" s="6" t="s">
        <v>432</v>
      </c>
    </row>
    <row r="18" customFormat="false" ht="15" hidden="false" customHeight="false" outlineLevel="0" collapsed="false">
      <c r="A18" s="6" t="s">
        <v>144</v>
      </c>
      <c r="B18" s="7" t="n">
        <f aca="false">MATCH(A18,Lists!$A$2:$A$37,0)</f>
        <v>17</v>
      </c>
      <c r="C18" s="43" t="n">
        <v>2.976</v>
      </c>
      <c r="D18" s="43" t="n">
        <v>3.236</v>
      </c>
      <c r="E18" s="43" t="n">
        <v>3.106</v>
      </c>
      <c r="F18" s="43" t="n">
        <v>3.149</v>
      </c>
      <c r="G18" s="43" t="n">
        <v>3.4</v>
      </c>
      <c r="H18" s="43" t="n">
        <v>3.275</v>
      </c>
      <c r="I18" s="43" t="n">
        <v>2.942</v>
      </c>
      <c r="J18" s="43" t="n">
        <v>3.18</v>
      </c>
      <c r="K18" s="43" t="n">
        <v>3.061</v>
      </c>
      <c r="L18" s="6" t="s">
        <v>432</v>
      </c>
    </row>
    <row r="19" customFormat="false" ht="15" hidden="false" customHeight="false" outlineLevel="0" collapsed="false">
      <c r="A19" s="6" t="s">
        <v>145</v>
      </c>
      <c r="B19" s="7" t="n">
        <f aca="false">MATCH(A19,Lists!$A$2:$A$37,0)</f>
        <v>18</v>
      </c>
      <c r="C19" s="43" t="n">
        <v>3.012</v>
      </c>
      <c r="D19" s="43" t="n">
        <v>3.287</v>
      </c>
      <c r="E19" s="43" t="n">
        <v>3.149</v>
      </c>
      <c r="F19" s="43" t="n">
        <v>3.154</v>
      </c>
      <c r="G19" s="43" t="n">
        <v>3.455</v>
      </c>
      <c r="H19" s="43" t="n">
        <v>3.305</v>
      </c>
      <c r="I19" s="43" t="n">
        <v>2.982</v>
      </c>
      <c r="J19" s="43" t="n">
        <v>3.227</v>
      </c>
      <c r="K19" s="43" t="n">
        <v>3.104</v>
      </c>
      <c r="L19" s="6" t="s">
        <v>432</v>
      </c>
    </row>
    <row r="20" customFormat="false" ht="15" hidden="false" customHeight="false" outlineLevel="0" collapsed="false">
      <c r="A20" s="6" t="s">
        <v>146</v>
      </c>
      <c r="B20" s="7" t="n">
        <f aca="false">MATCH(A20,Lists!$A$2:$A$37,0)</f>
        <v>19</v>
      </c>
      <c r="C20" s="43" t="n">
        <v>3.032</v>
      </c>
      <c r="D20" s="43" t="n">
        <v>3.271</v>
      </c>
      <c r="E20" s="43" t="n">
        <v>3.152</v>
      </c>
      <c r="F20" s="43" t="n">
        <v>3.133</v>
      </c>
      <c r="G20" s="43" t="n">
        <v>3.436</v>
      </c>
      <c r="H20" s="43" t="n">
        <v>3.285</v>
      </c>
      <c r="I20" s="43" t="n">
        <v>3.008</v>
      </c>
      <c r="J20" s="43" t="n">
        <v>3.212</v>
      </c>
      <c r="K20" s="43" t="n">
        <v>3.11</v>
      </c>
      <c r="L20" s="6" t="s">
        <v>434</v>
      </c>
    </row>
    <row r="21" customFormat="false" ht="15" hidden="false" customHeight="false" outlineLevel="0" collapsed="false">
      <c r="A21" s="6" t="s">
        <v>147</v>
      </c>
      <c r="B21" s="7" t="n">
        <f aca="false">MATCH(A21,Lists!$A$2:$A$37,0)</f>
        <v>20</v>
      </c>
      <c r="C21" s="43" t="n">
        <v>3.365</v>
      </c>
      <c r="D21" s="43" t="n">
        <v>3.552</v>
      </c>
      <c r="E21" s="43" t="n">
        <v>3.439</v>
      </c>
      <c r="F21" s="43" t="n">
        <v>3.439</v>
      </c>
      <c r="G21" s="43" t="n">
        <v>3.69</v>
      </c>
      <c r="H21" s="43" t="n">
        <v>3.565</v>
      </c>
      <c r="I21" s="43" t="n">
        <v>3.347</v>
      </c>
      <c r="J21" s="43" t="n">
        <v>3.5</v>
      </c>
      <c r="K21" s="43" t="n">
        <v>3.423</v>
      </c>
      <c r="L21" s="6" t="s">
        <v>435</v>
      </c>
    </row>
    <row r="22" customFormat="false" ht="15" hidden="false" customHeight="false" outlineLevel="0" collapsed="false">
      <c r="A22" s="6" t="s">
        <v>148</v>
      </c>
      <c r="B22" s="7" t="n">
        <f aca="false">MATCH(A22,Lists!$A$2:$A$37,0)</f>
        <v>21</v>
      </c>
      <c r="C22" s="43" t="n">
        <v>3.032</v>
      </c>
      <c r="D22" s="43" t="n">
        <v>3.279</v>
      </c>
      <c r="E22" s="43" t="n">
        <v>3.12</v>
      </c>
      <c r="F22" s="43" t="n">
        <v>3.213</v>
      </c>
      <c r="G22" s="43" t="n">
        <v>3.498</v>
      </c>
      <c r="H22" s="43" t="n">
        <v>3.356</v>
      </c>
      <c r="I22" s="43" t="n">
        <v>2.989</v>
      </c>
      <c r="J22" s="43" t="n">
        <v>3.203</v>
      </c>
      <c r="K22" s="43" t="n">
        <v>3.091</v>
      </c>
      <c r="L22" s="6" t="s">
        <v>432</v>
      </c>
    </row>
    <row r="23" customFormat="false" ht="15" hidden="false" customHeight="false" outlineLevel="0" collapsed="false">
      <c r="A23" s="6" t="s">
        <v>149</v>
      </c>
      <c r="B23" s="7" t="n">
        <f aca="false">MATCH(A23,Lists!$A$2:$A$37,0)</f>
        <v>22</v>
      </c>
      <c r="C23" s="43" t="n">
        <v>3.187</v>
      </c>
      <c r="D23" s="43" t="n">
        <v>3.39</v>
      </c>
      <c r="E23" s="43" t="n">
        <v>3.288</v>
      </c>
      <c r="F23" s="43" t="n">
        <v>3.307</v>
      </c>
      <c r="G23" s="43" t="n">
        <v>3.563</v>
      </c>
      <c r="H23" s="43" t="n">
        <v>3.435</v>
      </c>
      <c r="I23" s="43" t="n">
        <v>3.155</v>
      </c>
      <c r="J23" s="43" t="n">
        <v>3.326</v>
      </c>
      <c r="K23" s="43" t="n">
        <v>3.236</v>
      </c>
      <c r="L23" s="6" t="s">
        <v>432</v>
      </c>
    </row>
    <row r="24" customFormat="false" ht="15" hidden="false" customHeight="false" outlineLevel="0" collapsed="false">
      <c r="A24" s="6" t="s">
        <v>150</v>
      </c>
      <c r="B24" s="7" t="n">
        <f aca="false">MATCH(A24,Lists!$A$2:$A$37,0)</f>
        <v>23</v>
      </c>
      <c r="C24" s="43" t="n">
        <v>3.084</v>
      </c>
      <c r="D24" s="43" t="n">
        <v>3.294</v>
      </c>
      <c r="E24" s="43" t="n">
        <v>3.189</v>
      </c>
      <c r="F24" s="43" t="n">
        <v>3.221</v>
      </c>
      <c r="G24" s="43" t="n">
        <v>3.464</v>
      </c>
      <c r="H24" s="43" t="n">
        <v>3.343</v>
      </c>
      <c r="I24" s="43" t="n">
        <v>3.051</v>
      </c>
      <c r="J24" s="43" t="n">
        <v>3.237</v>
      </c>
      <c r="K24" s="43" t="n">
        <v>3.144</v>
      </c>
      <c r="L24" s="6" t="s">
        <v>432</v>
      </c>
    </row>
    <row r="25" customFormat="false" ht="15" hidden="false" customHeight="false" outlineLevel="0" collapsed="false">
      <c r="A25" s="6" t="s">
        <v>151</v>
      </c>
      <c r="B25" s="7" t="n">
        <f aca="false">MATCH(A25,Lists!$A$2:$A$37,0)</f>
        <v>24</v>
      </c>
      <c r="C25" s="43" t="n">
        <v>3.161</v>
      </c>
      <c r="D25" s="43" t="n">
        <v>3.342</v>
      </c>
      <c r="E25" s="43" t="n">
        <v>3.253</v>
      </c>
      <c r="F25" s="43" t="n">
        <v>3.29</v>
      </c>
      <c r="G25" s="43" t="n">
        <v>3.519</v>
      </c>
      <c r="H25" s="43" t="n">
        <v>3.419</v>
      </c>
      <c r="I25" s="43" t="n">
        <v>3.127</v>
      </c>
      <c r="J25" s="43" t="n">
        <v>3.282</v>
      </c>
      <c r="K25" s="43" t="n">
        <v>3.204</v>
      </c>
      <c r="L25" s="6" t="s">
        <v>432</v>
      </c>
    </row>
    <row r="26" customFormat="false" ht="15" hidden="false" customHeight="false" outlineLevel="0" collapsed="false">
      <c r="A26" s="6" t="s">
        <v>152</v>
      </c>
      <c r="B26" s="7" t="n">
        <f aca="false">MATCH(A26,Lists!$A$2:$A$37,0)</f>
        <v>25</v>
      </c>
      <c r="C26" s="43" t="n">
        <v>3.131</v>
      </c>
      <c r="D26" s="43" t="n">
        <v>3.343</v>
      </c>
      <c r="E26" s="43" t="n">
        <v>3.24</v>
      </c>
      <c r="F26" s="43" t="n">
        <v>3.265</v>
      </c>
      <c r="G26" s="43" t="n">
        <v>3.502</v>
      </c>
      <c r="H26" s="43" t="n">
        <v>3.396</v>
      </c>
      <c r="I26" s="43" t="n">
        <v>3.098</v>
      </c>
      <c r="J26" s="43" t="n">
        <v>3.294</v>
      </c>
      <c r="K26" s="43" t="n">
        <v>3.196</v>
      </c>
      <c r="L26" s="6" t="s">
        <v>432</v>
      </c>
    </row>
    <row r="27" customFormat="false" ht="15" hidden="false" customHeight="false" outlineLevel="0" collapsed="false">
      <c r="A27" s="6" t="s">
        <v>153</v>
      </c>
      <c r="B27" s="7" t="n">
        <f aca="false">MATCH(A27,Lists!$A$2:$A$37,0)</f>
        <v>26</v>
      </c>
      <c r="C27" s="43" t="n">
        <v>3.198</v>
      </c>
      <c r="D27" s="43" t="n">
        <v>3.395</v>
      </c>
      <c r="E27" s="43" t="n">
        <v>3.296</v>
      </c>
      <c r="F27" s="43" t="n">
        <v>3.337</v>
      </c>
      <c r="G27" s="43" t="n">
        <v>3.542</v>
      </c>
      <c r="H27" s="43" t="n">
        <v>3.44</v>
      </c>
      <c r="I27" s="43" t="n">
        <v>3.162</v>
      </c>
      <c r="J27" s="43" t="n">
        <v>3.346</v>
      </c>
      <c r="K27" s="43" t="n">
        <v>3.255</v>
      </c>
      <c r="L27" s="6" t="s">
        <v>432</v>
      </c>
    </row>
    <row r="28" customFormat="false" ht="15" hidden="false" customHeight="false" outlineLevel="0" collapsed="false">
      <c r="A28" s="6" t="s">
        <v>154</v>
      </c>
      <c r="B28" s="7" t="n">
        <f aca="false">MATCH(A28,Lists!$A$2:$A$37,0)</f>
        <v>27</v>
      </c>
      <c r="C28" s="43" t="n">
        <v>3.132</v>
      </c>
      <c r="D28" s="43" t="n">
        <v>3.343</v>
      </c>
      <c r="E28" s="43" t="n">
        <v>3.241</v>
      </c>
      <c r="F28" s="43" t="n">
        <v>3.257</v>
      </c>
      <c r="G28" s="43" t="n">
        <v>3.464</v>
      </c>
      <c r="H28" s="43" t="n">
        <v>3.37</v>
      </c>
      <c r="I28" s="43" t="n">
        <v>3.099</v>
      </c>
      <c r="J28" s="43" t="n">
        <v>3.306</v>
      </c>
      <c r="K28" s="43" t="n">
        <v>3.205</v>
      </c>
      <c r="L28" s="6" t="s">
        <v>436</v>
      </c>
    </row>
    <row r="29" customFormat="false" ht="15" hidden="false" customHeight="false" outlineLevel="0" collapsed="false">
      <c r="A29" s="6" t="s">
        <v>155</v>
      </c>
      <c r="B29" s="7" t="n">
        <f aca="false">MATCH(A29,Lists!$A$2:$A$37,0)</f>
        <v>28</v>
      </c>
      <c r="C29" s="43" t="n">
        <v>3.208</v>
      </c>
      <c r="D29" s="43" t="n">
        <v>3.396</v>
      </c>
      <c r="E29" s="43" t="n">
        <v>3.305</v>
      </c>
      <c r="F29" s="43" t="n">
        <v>3.328</v>
      </c>
      <c r="G29" s="43" t="n">
        <v>3.506</v>
      </c>
      <c r="H29" s="43" t="n">
        <v>3.426</v>
      </c>
      <c r="I29" s="43" t="n">
        <v>3.175</v>
      </c>
      <c r="J29" s="43" t="n">
        <v>3.361</v>
      </c>
      <c r="K29" s="43" t="n">
        <v>3.269</v>
      </c>
      <c r="L29" s="6" t="s">
        <v>432</v>
      </c>
    </row>
    <row r="30" customFormat="false" ht="15" hidden="false" customHeight="false" outlineLevel="0" collapsed="false">
      <c r="A30" s="6" t="s">
        <v>156</v>
      </c>
      <c r="B30" s="7" t="n">
        <f aca="false">MATCH(A30,Lists!$A$2:$A$37,0)</f>
        <v>29</v>
      </c>
      <c r="C30" s="43" t="n">
        <v>3.187</v>
      </c>
      <c r="D30" s="43" t="n">
        <v>3.363</v>
      </c>
      <c r="E30" s="43" t="n">
        <v>3.277</v>
      </c>
      <c r="F30" s="43" t="n">
        <v>3.35</v>
      </c>
      <c r="G30" s="43" t="n">
        <v>3.497</v>
      </c>
      <c r="H30" s="43" t="n">
        <v>3.429</v>
      </c>
      <c r="I30" s="43" t="n">
        <v>3.143</v>
      </c>
      <c r="J30" s="43" t="n">
        <v>3.325</v>
      </c>
      <c r="K30" s="43" t="n">
        <v>3.232</v>
      </c>
      <c r="L30" s="6" t="s">
        <v>437</v>
      </c>
    </row>
    <row r="31" customFormat="false" ht="15" hidden="false" customHeight="false" outlineLevel="0" collapsed="false">
      <c r="A31" s="6" t="s">
        <v>157</v>
      </c>
      <c r="B31" s="7" t="n">
        <f aca="false">MATCH(A31,Lists!$A$2:$A$37,0)</f>
        <v>30</v>
      </c>
      <c r="C31" s="43" t="n">
        <v>3.22</v>
      </c>
      <c r="D31" s="43" t="n">
        <v>3.404</v>
      </c>
      <c r="E31" s="43" t="n">
        <v>3.313</v>
      </c>
      <c r="F31" s="43" t="n">
        <v>3.367</v>
      </c>
      <c r="G31" s="43" t="n">
        <v>3.528</v>
      </c>
      <c r="H31" s="43" t="n">
        <v>3.455</v>
      </c>
      <c r="I31" s="43" t="n">
        <v>3.177</v>
      </c>
      <c r="J31" s="43" t="n">
        <v>3.361</v>
      </c>
      <c r="K31" s="43" t="n">
        <v>3.269</v>
      </c>
      <c r="L31" s="6" t="s">
        <v>438</v>
      </c>
    </row>
    <row r="32" customFormat="false" ht="15" hidden="false" customHeight="false" outlineLevel="0" collapsed="false">
      <c r="A32" s="6" t="s">
        <v>158</v>
      </c>
      <c r="B32" s="7" t="n">
        <f aca="false">MATCH(A32,Lists!$A$2:$A$37,0)</f>
        <v>31</v>
      </c>
      <c r="C32" s="43" t="n">
        <v>3.196</v>
      </c>
      <c r="D32" s="43" t="n">
        <v>3.384</v>
      </c>
      <c r="E32" s="43" t="n">
        <v>3.294</v>
      </c>
      <c r="F32" s="43" t="n">
        <v>3.316</v>
      </c>
      <c r="G32" s="43" t="n">
        <v>3.515</v>
      </c>
      <c r="H32" s="43" t="n">
        <v>3.506</v>
      </c>
      <c r="I32" s="43" t="n">
        <v>3.163</v>
      </c>
      <c r="J32" s="43" t="n">
        <v>3.337</v>
      </c>
      <c r="K32" s="43" t="n">
        <v>3.244</v>
      </c>
      <c r="L32" s="6" t="s">
        <v>439</v>
      </c>
    </row>
    <row r="33" customFormat="false" ht="15" hidden="false" customHeight="false" outlineLevel="0" collapsed="false">
      <c r="A33" s="6" t="s">
        <v>159</v>
      </c>
      <c r="B33" s="7" t="n">
        <f aca="false">MATCH(A33,Lists!$A$2:$A$37,0)</f>
        <v>32</v>
      </c>
      <c r="C33" s="43" t="n">
        <v>3.226</v>
      </c>
      <c r="D33" s="43" t="n">
        <v>3.4</v>
      </c>
      <c r="E33" s="43" t="n">
        <v>3.27</v>
      </c>
      <c r="F33" s="43" t="n">
        <v>3.384</v>
      </c>
      <c r="G33" s="43" t="n">
        <v>3.516</v>
      </c>
      <c r="H33" s="43" t="n">
        <v>3.525</v>
      </c>
      <c r="I33" s="43" t="n">
        <v>3.185</v>
      </c>
      <c r="J33" s="43" t="n">
        <v>3.359</v>
      </c>
      <c r="K33" s="43" t="n">
        <v>3.221</v>
      </c>
      <c r="L33" s="6" t="s">
        <v>440</v>
      </c>
    </row>
    <row r="34" customFormat="false" ht="15" hidden="false" customHeight="false" outlineLevel="0" collapsed="false">
      <c r="A34" s="6" t="s">
        <v>160</v>
      </c>
      <c r="B34" s="7" t="n">
        <f aca="false">MATCH(A34,Lists!$A$2:$A$37,0)</f>
        <v>33</v>
      </c>
      <c r="C34" s="43"/>
      <c r="D34" s="43"/>
      <c r="E34" s="43"/>
      <c r="F34" s="43"/>
      <c r="G34" s="43"/>
      <c r="H34" s="43"/>
      <c r="I34" s="43"/>
      <c r="J34" s="43"/>
      <c r="K34" s="43"/>
      <c r="L34" s="6"/>
    </row>
    <row r="35" customFormat="false" ht="15" hidden="false" customHeight="false" outlineLevel="0" collapsed="false">
      <c r="A35" s="6" t="s">
        <v>161</v>
      </c>
      <c r="B35" s="7" t="n">
        <f aca="false">MATCH(A35,Lists!$A$2:$A$37,0)</f>
        <v>34</v>
      </c>
      <c r="C35" s="43"/>
      <c r="D35" s="43"/>
      <c r="E35" s="43"/>
      <c r="F35" s="43"/>
      <c r="G35" s="43"/>
      <c r="H35" s="43"/>
      <c r="I35" s="43"/>
      <c r="J35" s="43"/>
      <c r="K35" s="43"/>
      <c r="L35" s="6"/>
    </row>
    <row r="36" customFormat="false" ht="15" hidden="false" customHeight="false" outlineLevel="0" collapsed="false">
      <c r="A36" s="6" t="s">
        <v>162</v>
      </c>
      <c r="B36" s="7" t="n">
        <f aca="false">MATCH(A36,Lists!$A$2:$A$37,0)</f>
        <v>35</v>
      </c>
      <c r="C36" s="43"/>
      <c r="D36" s="43"/>
      <c r="E36" s="43"/>
      <c r="F36" s="43"/>
      <c r="G36" s="43"/>
      <c r="H36" s="43"/>
      <c r="I36" s="43"/>
      <c r="J36" s="43"/>
      <c r="K36" s="43"/>
      <c r="L36" s="6"/>
    </row>
    <row r="37" customFormat="false" ht="15" hidden="false" customHeight="false" outlineLevel="0" collapsed="false">
      <c r="A37" s="6" t="s">
        <v>163</v>
      </c>
      <c r="B37" s="7" t="n">
        <f aca="false">MATCH(A37,Lists!$A$2:$A$37,0)</f>
        <v>36</v>
      </c>
      <c r="C37" s="43"/>
      <c r="D37" s="43"/>
      <c r="E37" s="43"/>
      <c r="F37" s="43"/>
      <c r="G37" s="43"/>
      <c r="H37" s="43"/>
      <c r="I37" s="43"/>
      <c r="J37" s="43"/>
      <c r="K37" s="43"/>
      <c r="L37" s="6"/>
    </row>
    <row r="39" customFormat="false" ht="15" hidden="false" customHeight="false" outlineLevel="0" collapsed="false">
      <c r="A39" s="12" t="s">
        <v>441</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3"/>
    <col collapsed="false" customWidth="true" hidden="false" outlineLevel="0" max="2" min="2" style="0" width="12"/>
    <col collapsed="false" customWidth="true" hidden="false" outlineLevel="0" max="3" min="3" style="0" width="55"/>
  </cols>
  <sheetData>
    <row r="1" customFormat="false" ht="23.85" hidden="false" customHeight="false" outlineLevel="0" collapsed="false">
      <c r="A1" s="14" t="s">
        <v>123</v>
      </c>
      <c r="B1" s="14" t="s">
        <v>442</v>
      </c>
      <c r="C1" s="14" t="s">
        <v>284</v>
      </c>
    </row>
    <row r="2" customFormat="false" ht="15" hidden="false" customHeight="false" outlineLevel="0" collapsed="false">
      <c r="A2" s="6" t="s">
        <v>251</v>
      </c>
      <c r="B2" s="46" t="n">
        <v>60</v>
      </c>
      <c r="C2" s="6" t="s">
        <v>443</v>
      </c>
    </row>
    <row r="3" customFormat="false" ht="15" hidden="false" customHeight="false" outlineLevel="0" collapsed="false">
      <c r="A3" s="6" t="s">
        <v>252</v>
      </c>
      <c r="B3" s="46" t="n">
        <v>57</v>
      </c>
      <c r="C3" s="6" t="s">
        <v>443</v>
      </c>
    </row>
    <row r="4" customFormat="false" ht="15" hidden="false" customHeight="false" outlineLevel="0" collapsed="false">
      <c r="A4" s="6" t="s">
        <v>253</v>
      </c>
      <c r="B4" s="46" t="n">
        <v>62</v>
      </c>
      <c r="C4" s="6" t="s">
        <v>443</v>
      </c>
    </row>
    <row r="5" customFormat="false" ht="15" hidden="false" customHeight="false" outlineLevel="0" collapsed="false">
      <c r="A5" s="6" t="s">
        <v>254</v>
      </c>
      <c r="B5" s="46" t="n">
        <v>57</v>
      </c>
      <c r="C5" s="6" t="s">
        <v>443</v>
      </c>
    </row>
    <row r="6" customFormat="false" ht="15" hidden="false" customHeight="false" outlineLevel="0" collapsed="false">
      <c r="A6" s="6" t="s">
        <v>255</v>
      </c>
      <c r="B6" s="46" t="n">
        <v>64</v>
      </c>
      <c r="C6" s="6" t="s">
        <v>443</v>
      </c>
    </row>
    <row r="7" customFormat="false" ht="15" hidden="false" customHeight="false" outlineLevel="0" collapsed="false">
      <c r="A7" s="6" t="s">
        <v>256</v>
      </c>
      <c r="B7" s="46" t="n">
        <v>64</v>
      </c>
      <c r="C7" s="6" t="s">
        <v>443</v>
      </c>
    </row>
    <row r="8" customFormat="false" ht="15" hidden="false" customHeight="false" outlineLevel="0" collapsed="false">
      <c r="A8" s="6" t="s">
        <v>257</v>
      </c>
      <c r="B8" s="46" t="n">
        <v>70</v>
      </c>
      <c r="C8" s="6" t="s">
        <v>443</v>
      </c>
    </row>
    <row r="9" customFormat="false" ht="15" hidden="false" customHeight="false" outlineLevel="0" collapsed="false">
      <c r="A9" s="6" t="s">
        <v>258</v>
      </c>
      <c r="B9" s="46" t="n">
        <v>65</v>
      </c>
      <c r="C9" s="6" t="s">
        <v>443</v>
      </c>
    </row>
    <row r="10" customFormat="false" ht="15" hidden="false" customHeight="false" outlineLevel="0" collapsed="false">
      <c r="A10" s="6" t="s">
        <v>259</v>
      </c>
      <c r="B10" s="46" t="n">
        <v>70</v>
      </c>
      <c r="C10" s="6" t="s">
        <v>443</v>
      </c>
    </row>
    <row r="11" customFormat="false" ht="15" hidden="false" customHeight="false" outlineLevel="0" collapsed="false">
      <c r="A11" s="6" t="s">
        <v>260</v>
      </c>
      <c r="B11" s="46" t="n">
        <v>72</v>
      </c>
      <c r="C11" s="6" t="s">
        <v>443</v>
      </c>
    </row>
    <row r="12" customFormat="false" ht="15" hidden="false" customHeight="false" outlineLevel="0" collapsed="false">
      <c r="A12" s="6" t="s">
        <v>261</v>
      </c>
      <c r="B12" s="46" t="n">
        <v>81</v>
      </c>
      <c r="C12" s="6" t="s">
        <v>443</v>
      </c>
    </row>
    <row r="13" customFormat="false" ht="15" hidden="false" customHeight="false" outlineLevel="0" collapsed="false">
      <c r="A13" s="6" t="s">
        <v>262</v>
      </c>
      <c r="B13" s="46" t="n">
        <v>77</v>
      </c>
      <c r="C13" s="6" t="s">
        <v>443</v>
      </c>
    </row>
    <row r="14" customFormat="false" ht="15" hidden="false" customHeight="false" outlineLevel="0" collapsed="false">
      <c r="A14" s="6" t="s">
        <v>263</v>
      </c>
      <c r="B14" s="46" t="n">
        <v>80</v>
      </c>
      <c r="C14" s="6" t="s">
        <v>443</v>
      </c>
    </row>
    <row r="15" customFormat="false" ht="15" hidden="false" customHeight="false" outlineLevel="0" collapsed="false">
      <c r="A15" s="6" t="s">
        <v>264</v>
      </c>
      <c r="B15" s="46" t="n">
        <v>72</v>
      </c>
      <c r="C15" s="6" t="s">
        <v>443</v>
      </c>
    </row>
    <row r="16" customFormat="false" ht="15" hidden="false" customHeight="false" outlineLevel="0" collapsed="false">
      <c r="A16" s="6" t="s">
        <v>265</v>
      </c>
      <c r="B16" s="46" t="n">
        <v>73</v>
      </c>
      <c r="C16" s="6" t="s">
        <v>443</v>
      </c>
    </row>
    <row r="17" customFormat="false" ht="15" hidden="false" customHeight="false" outlineLevel="0" collapsed="false">
      <c r="A17" s="6" t="s">
        <v>266</v>
      </c>
      <c r="B17" s="46" t="n">
        <v>66</v>
      </c>
      <c r="C17" s="6" t="s">
        <v>443</v>
      </c>
    </row>
    <row r="18" customFormat="false" ht="15" hidden="false" customHeight="false" outlineLevel="0" collapsed="false">
      <c r="A18" s="6" t="s">
        <v>144</v>
      </c>
      <c r="B18" s="46" t="n">
        <v>66</v>
      </c>
      <c r="C18" s="6" t="s">
        <v>443</v>
      </c>
    </row>
    <row r="19" customFormat="false" ht="15" hidden="false" customHeight="false" outlineLevel="0" collapsed="false">
      <c r="A19" s="6" t="s">
        <v>145</v>
      </c>
      <c r="B19" s="46" t="n">
        <v>64</v>
      </c>
      <c r="C19" s="6" t="s">
        <v>443</v>
      </c>
    </row>
    <row r="20" customFormat="false" ht="15" hidden="false" customHeight="false" outlineLevel="0" collapsed="false">
      <c r="A20" s="6" t="s">
        <v>146</v>
      </c>
      <c r="B20" s="46" t="n">
        <v>65.64</v>
      </c>
      <c r="C20" s="6" t="s">
        <v>443</v>
      </c>
    </row>
    <row r="21" customFormat="false" ht="15" hidden="false" customHeight="false" outlineLevel="0" collapsed="false">
      <c r="A21" s="6" t="s">
        <v>147</v>
      </c>
      <c r="B21" s="46" t="n">
        <v>77.24</v>
      </c>
      <c r="C21" s="6" t="s">
        <v>443</v>
      </c>
    </row>
    <row r="22" customFormat="false" ht="15" hidden="false" customHeight="false" outlineLevel="0" collapsed="false">
      <c r="A22" s="6" t="s">
        <v>148</v>
      </c>
      <c r="B22" s="46" t="n">
        <v>75.84</v>
      </c>
      <c r="C22" s="6" t="s">
        <v>443</v>
      </c>
    </row>
    <row r="23" customFormat="false" ht="15" hidden="false" customHeight="false" outlineLevel="0" collapsed="false">
      <c r="A23" s="6" t="s">
        <v>149</v>
      </c>
      <c r="B23" s="46" t="n">
        <v>73.68</v>
      </c>
      <c r="C23" s="6" t="s">
        <v>443</v>
      </c>
    </row>
    <row r="24" customFormat="false" ht="15" hidden="false" customHeight="false" outlineLevel="0" collapsed="false">
      <c r="A24" s="6" t="s">
        <v>150</v>
      </c>
      <c r="B24" s="46" t="n">
        <v>71.76</v>
      </c>
      <c r="C24" s="6" t="s">
        <v>443</v>
      </c>
    </row>
    <row r="25" customFormat="false" ht="15" hidden="false" customHeight="false" outlineLevel="0" collapsed="false">
      <c r="A25" s="6" t="s">
        <v>151</v>
      </c>
      <c r="B25" s="46" t="n">
        <v>69.76</v>
      </c>
      <c r="C25" s="6" t="s">
        <v>443</v>
      </c>
    </row>
    <row r="26" customFormat="false" ht="15" hidden="false" customHeight="false" outlineLevel="0" collapsed="false">
      <c r="A26" s="6" t="s">
        <v>152</v>
      </c>
      <c r="B26" s="46" t="n">
        <v>72.88</v>
      </c>
      <c r="C26" s="6" t="s">
        <v>443</v>
      </c>
    </row>
    <row r="27" customFormat="false" ht="15" hidden="false" customHeight="false" outlineLevel="0" collapsed="false">
      <c r="A27" s="6" t="s">
        <v>153</v>
      </c>
      <c r="B27" s="46" t="n">
        <v>67.76</v>
      </c>
      <c r="C27" s="6" t="s">
        <v>443</v>
      </c>
    </row>
    <row r="28" customFormat="false" ht="15" hidden="false" customHeight="false" outlineLevel="0" collapsed="false">
      <c r="A28" s="6" t="s">
        <v>154</v>
      </c>
      <c r="B28" s="46" t="n">
        <v>74</v>
      </c>
      <c r="C28" s="6" t="s">
        <v>443</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0"/>
    <col collapsed="false" customWidth="true" hidden="false" outlineLevel="0" max="4" min="4" style="0" width="24"/>
    <col collapsed="false" customWidth="true" hidden="false" outlineLevel="0" max="6" min="6" style="0" width="36"/>
    <col collapsed="false" customWidth="true" hidden="false" outlineLevel="0" max="7" min="7" style="0" width="16"/>
  </cols>
  <sheetData>
    <row r="1" customFormat="false" ht="15" hidden="false" customHeight="false" outlineLevel="0" collapsed="false">
      <c r="A1" s="14" t="s">
        <v>444</v>
      </c>
      <c r="B1" s="14" t="s">
        <v>275</v>
      </c>
      <c r="C1" s="14"/>
      <c r="D1" s="14" t="s">
        <v>445</v>
      </c>
      <c r="E1" s="14"/>
      <c r="F1" s="14" t="s">
        <v>446</v>
      </c>
      <c r="G1" s="14" t="s">
        <v>102</v>
      </c>
    </row>
    <row r="2" customFormat="false" ht="15" hidden="false" customHeight="false" outlineLevel="0" collapsed="false">
      <c r="A2" s="6" t="s">
        <v>251</v>
      </c>
      <c r="B2" s="7" t="n">
        <v>1</v>
      </c>
      <c r="D2" s="6" t="s">
        <v>290</v>
      </c>
      <c r="F2" s="13" t="s">
        <v>4</v>
      </c>
      <c r="G2" s="9" t="s">
        <v>287</v>
      </c>
    </row>
    <row r="3" customFormat="false" ht="15" hidden="false" customHeight="false" outlineLevel="0" collapsed="false">
      <c r="A3" s="6" t="s">
        <v>252</v>
      </c>
      <c r="B3" s="7" t="n">
        <v>2</v>
      </c>
      <c r="D3" s="6" t="s">
        <v>292</v>
      </c>
      <c r="F3" s="13" t="s">
        <v>447</v>
      </c>
      <c r="G3" s="9" t="s">
        <v>159</v>
      </c>
    </row>
    <row r="4" customFormat="false" ht="15" hidden="false" customHeight="false" outlineLevel="0" collapsed="false">
      <c r="A4" s="6" t="s">
        <v>253</v>
      </c>
      <c r="B4" s="7" t="n">
        <v>3</v>
      </c>
      <c r="D4" s="6" t="s">
        <v>293</v>
      </c>
      <c r="F4" s="13" t="s">
        <v>448</v>
      </c>
      <c r="G4" s="9" t="n">
        <v>5</v>
      </c>
    </row>
    <row r="5" customFormat="false" ht="15" hidden="false" customHeight="false" outlineLevel="0" collapsed="false">
      <c r="A5" s="6" t="s">
        <v>254</v>
      </c>
      <c r="B5" s="7" t="n">
        <v>4</v>
      </c>
      <c r="D5" s="6" t="s">
        <v>294</v>
      </c>
    </row>
    <row r="6" customFormat="false" ht="15" hidden="false" customHeight="false" outlineLevel="0" collapsed="false">
      <c r="A6" s="6" t="s">
        <v>255</v>
      </c>
      <c r="B6" s="7" t="n">
        <v>5</v>
      </c>
      <c r="D6" s="6" t="s">
        <v>295</v>
      </c>
      <c r="F6" s="12" t="s">
        <v>449</v>
      </c>
    </row>
    <row r="7" customFormat="false" ht="15" hidden="false" customHeight="false" outlineLevel="0" collapsed="false">
      <c r="A7" s="6" t="s">
        <v>256</v>
      </c>
      <c r="B7" s="7" t="n">
        <v>6</v>
      </c>
      <c r="D7" s="6" t="s">
        <v>296</v>
      </c>
    </row>
    <row r="8" customFormat="false" ht="15" hidden="false" customHeight="false" outlineLevel="0" collapsed="false">
      <c r="A8" s="6" t="s">
        <v>257</v>
      </c>
      <c r="B8" s="7" t="n">
        <v>7</v>
      </c>
      <c r="D8" s="6" t="s">
        <v>297</v>
      </c>
    </row>
    <row r="9" customFormat="false" ht="15" hidden="false" customHeight="false" outlineLevel="0" collapsed="false">
      <c r="A9" s="6" t="s">
        <v>258</v>
      </c>
      <c r="B9" s="7" t="n">
        <v>8</v>
      </c>
      <c r="D9" s="6" t="s">
        <v>298</v>
      </c>
    </row>
    <row r="10" customFormat="false" ht="15" hidden="false" customHeight="false" outlineLevel="0" collapsed="false">
      <c r="A10" s="6" t="s">
        <v>259</v>
      </c>
      <c r="B10" s="7" t="n">
        <v>9</v>
      </c>
      <c r="D10" s="6" t="s">
        <v>333</v>
      </c>
    </row>
    <row r="11" customFormat="false" ht="15" hidden="false" customHeight="false" outlineLevel="0" collapsed="false">
      <c r="A11" s="6" t="s">
        <v>260</v>
      </c>
      <c r="B11" s="7" t="n">
        <v>10</v>
      </c>
      <c r="D11" s="6" t="s">
        <v>299</v>
      </c>
    </row>
    <row r="12" customFormat="false" ht="15" hidden="false" customHeight="false" outlineLevel="0" collapsed="false">
      <c r="A12" s="6" t="s">
        <v>261</v>
      </c>
      <c r="B12" s="7" t="n">
        <v>11</v>
      </c>
      <c r="D12" s="6" t="s">
        <v>301</v>
      </c>
    </row>
    <row r="13" customFormat="false" ht="15" hidden="false" customHeight="false" outlineLevel="0" collapsed="false">
      <c r="A13" s="6" t="s">
        <v>262</v>
      </c>
      <c r="B13" s="7" t="n">
        <v>12</v>
      </c>
      <c r="D13" s="6" t="s">
        <v>302</v>
      </c>
    </row>
    <row r="14" customFormat="false" ht="15" hidden="false" customHeight="false" outlineLevel="0" collapsed="false">
      <c r="A14" s="6" t="s">
        <v>263</v>
      </c>
      <c r="B14" s="7" t="n">
        <v>13</v>
      </c>
      <c r="D14" s="6" t="s">
        <v>303</v>
      </c>
    </row>
    <row r="15" customFormat="false" ht="15" hidden="false" customHeight="false" outlineLevel="0" collapsed="false">
      <c r="A15" s="6" t="s">
        <v>264</v>
      </c>
      <c r="B15" s="7" t="n">
        <v>14</v>
      </c>
      <c r="D15" s="6" t="s">
        <v>396</v>
      </c>
    </row>
    <row r="16" customFormat="false" ht="15" hidden="false" customHeight="false" outlineLevel="0" collapsed="false">
      <c r="A16" s="6" t="s">
        <v>265</v>
      </c>
      <c r="B16" s="7" t="n">
        <v>15</v>
      </c>
      <c r="D16" s="6" t="s">
        <v>304</v>
      </c>
    </row>
    <row r="17" customFormat="false" ht="15" hidden="false" customHeight="false" outlineLevel="0" collapsed="false">
      <c r="A17" s="6" t="s">
        <v>266</v>
      </c>
      <c r="B17" s="7" t="n">
        <v>16</v>
      </c>
      <c r="D17" s="6" t="s">
        <v>305</v>
      </c>
    </row>
    <row r="18" customFormat="false" ht="15" hidden="false" customHeight="false" outlineLevel="0" collapsed="false">
      <c r="A18" s="6" t="s">
        <v>144</v>
      </c>
      <c r="B18" s="7" t="n">
        <v>17</v>
      </c>
      <c r="D18" s="6" t="s">
        <v>306</v>
      </c>
    </row>
    <row r="19" customFormat="false" ht="15" hidden="false" customHeight="false" outlineLevel="0" collapsed="false">
      <c r="A19" s="6" t="s">
        <v>145</v>
      </c>
      <c r="B19" s="7" t="n">
        <v>18</v>
      </c>
      <c r="D19" s="6" t="s">
        <v>307</v>
      </c>
    </row>
    <row r="20" customFormat="false" ht="15" hidden="false" customHeight="false" outlineLevel="0" collapsed="false">
      <c r="A20" s="6" t="s">
        <v>146</v>
      </c>
      <c r="B20" s="7" t="n">
        <v>19</v>
      </c>
      <c r="D20" s="6" t="s">
        <v>308</v>
      </c>
    </row>
    <row r="21" customFormat="false" ht="15" hidden="false" customHeight="false" outlineLevel="0" collapsed="false">
      <c r="A21" s="6" t="s">
        <v>147</v>
      </c>
      <c r="B21" s="7" t="n">
        <v>20</v>
      </c>
      <c r="D21" s="6" t="s">
        <v>309</v>
      </c>
    </row>
    <row r="22" customFormat="false" ht="15" hidden="false" customHeight="false" outlineLevel="0" collapsed="false">
      <c r="A22" s="6" t="s">
        <v>148</v>
      </c>
      <c r="B22" s="7" t="n">
        <v>21</v>
      </c>
      <c r="D22" s="6" t="s">
        <v>310</v>
      </c>
    </row>
    <row r="23" customFormat="false" ht="15" hidden="false" customHeight="false" outlineLevel="0" collapsed="false">
      <c r="A23" s="6" t="s">
        <v>149</v>
      </c>
      <c r="B23" s="7" t="n">
        <v>22</v>
      </c>
      <c r="D23" s="6" t="s">
        <v>311</v>
      </c>
    </row>
    <row r="24" customFormat="false" ht="15" hidden="false" customHeight="false" outlineLevel="0" collapsed="false">
      <c r="A24" s="6" t="s">
        <v>150</v>
      </c>
      <c r="B24" s="7" t="n">
        <v>23</v>
      </c>
      <c r="D24" s="6" t="s">
        <v>312</v>
      </c>
    </row>
    <row r="25" customFormat="false" ht="15" hidden="false" customHeight="false" outlineLevel="0" collapsed="false">
      <c r="A25" s="6" t="s">
        <v>151</v>
      </c>
      <c r="B25" s="7" t="n">
        <v>24</v>
      </c>
      <c r="D25" s="6" t="s">
        <v>313</v>
      </c>
    </row>
    <row r="26" customFormat="false" ht="15" hidden="false" customHeight="false" outlineLevel="0" collapsed="false">
      <c r="A26" s="6" t="s">
        <v>152</v>
      </c>
      <c r="B26" s="7" t="n">
        <v>25</v>
      </c>
      <c r="D26" s="6" t="s">
        <v>314</v>
      </c>
    </row>
    <row r="27" customFormat="false" ht="15" hidden="false" customHeight="false" outlineLevel="0" collapsed="false">
      <c r="A27" s="6" t="s">
        <v>153</v>
      </c>
      <c r="B27" s="7" t="n">
        <v>26</v>
      </c>
      <c r="D27" s="6" t="s">
        <v>324</v>
      </c>
    </row>
    <row r="28" customFormat="false" ht="15" hidden="false" customHeight="false" outlineLevel="0" collapsed="false">
      <c r="A28" s="6" t="s">
        <v>154</v>
      </c>
      <c r="B28" s="7" t="n">
        <v>27</v>
      </c>
      <c r="D28" s="6" t="s">
        <v>315</v>
      </c>
    </row>
    <row r="29" customFormat="false" ht="15" hidden="false" customHeight="false" outlineLevel="0" collapsed="false">
      <c r="A29" s="6" t="s">
        <v>155</v>
      </c>
      <c r="B29" s="7" t="n">
        <v>28</v>
      </c>
      <c r="D29" s="6" t="s">
        <v>316</v>
      </c>
    </row>
    <row r="30" customFormat="false" ht="15" hidden="false" customHeight="false" outlineLevel="0" collapsed="false">
      <c r="A30" s="6" t="s">
        <v>156</v>
      </c>
      <c r="B30" s="7" t="n">
        <v>29</v>
      </c>
      <c r="D30" s="6" t="s">
        <v>287</v>
      </c>
    </row>
    <row r="31" customFormat="false" ht="15" hidden="false" customHeight="false" outlineLevel="0" collapsed="false">
      <c r="A31" s="6" t="s">
        <v>157</v>
      </c>
      <c r="B31" s="7" t="n">
        <v>30</v>
      </c>
      <c r="D31" s="6" t="s">
        <v>317</v>
      </c>
    </row>
    <row r="32" customFormat="false" ht="15" hidden="false" customHeight="false" outlineLevel="0" collapsed="false">
      <c r="A32" s="6" t="s">
        <v>158</v>
      </c>
      <c r="B32" s="7" t="n">
        <v>31</v>
      </c>
    </row>
    <row r="33" customFormat="false" ht="15" hidden="false" customHeight="false" outlineLevel="0" collapsed="false">
      <c r="A33" s="6" t="s">
        <v>159</v>
      </c>
      <c r="B33" s="7" t="n">
        <v>32</v>
      </c>
    </row>
    <row r="34" customFormat="false" ht="15" hidden="false" customHeight="false" outlineLevel="0" collapsed="false">
      <c r="A34" s="6" t="s">
        <v>160</v>
      </c>
      <c r="B34" s="7" t="n">
        <v>33</v>
      </c>
    </row>
    <row r="35" customFormat="false" ht="15" hidden="false" customHeight="false" outlineLevel="0" collapsed="false">
      <c r="A35" s="6" t="s">
        <v>161</v>
      </c>
      <c r="B35" s="7" t="n">
        <v>34</v>
      </c>
    </row>
    <row r="36" customFormat="false" ht="15" hidden="false" customHeight="false" outlineLevel="0" collapsed="false">
      <c r="A36" s="6" t="s">
        <v>162</v>
      </c>
      <c r="B36" s="7" t="n">
        <v>35</v>
      </c>
    </row>
    <row r="37" customFormat="false" ht="15" hidden="false" customHeight="false" outlineLevel="0" collapsed="false">
      <c r="A37" s="6" t="s">
        <v>163</v>
      </c>
      <c r="B37" s="7" t="n">
        <v>36</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0"/>
    <col collapsed="false" customWidth="true" hidden="false" outlineLevel="0" max="2" min="2" style="0" width="110"/>
  </cols>
  <sheetData>
    <row r="1" customFormat="false" ht="17.35" hidden="false" customHeight="false" outlineLevel="0" collapsed="false">
      <c r="A1" s="1" t="s">
        <v>450</v>
      </c>
    </row>
    <row r="3" customFormat="false" ht="15" hidden="false" customHeight="false" outlineLevel="0" collapsed="false">
      <c r="A3" s="14" t="s">
        <v>451</v>
      </c>
      <c r="B3" s="14" t="s">
        <v>452</v>
      </c>
    </row>
    <row r="4" customFormat="false" ht="45" hidden="false" customHeight="true" outlineLevel="0" collapsed="false">
      <c r="A4" s="4" t="s">
        <v>453</v>
      </c>
      <c r="B4" s="5" t="s">
        <v>454</v>
      </c>
    </row>
    <row r="5" customFormat="false" ht="60" hidden="false" customHeight="true" outlineLevel="0" collapsed="false">
      <c r="A5" s="4" t="s">
        <v>455</v>
      </c>
      <c r="B5" s="5" t="s">
        <v>456</v>
      </c>
    </row>
    <row r="6" customFormat="false" ht="75" hidden="false" customHeight="true" outlineLevel="0" collapsed="false">
      <c r="A6" s="4" t="s">
        <v>457</v>
      </c>
      <c r="B6" s="5" t="s">
        <v>458</v>
      </c>
    </row>
    <row r="7" customFormat="false" ht="45" hidden="false" customHeight="true" outlineLevel="0" collapsed="false">
      <c r="A7" s="4" t="s">
        <v>459</v>
      </c>
      <c r="B7" s="5" t="s">
        <v>460</v>
      </c>
    </row>
    <row r="8" customFormat="false" ht="60" hidden="false" customHeight="true" outlineLevel="0" collapsed="false">
      <c r="A8" s="4" t="s">
        <v>461</v>
      </c>
      <c r="B8" s="5" t="s">
        <v>462</v>
      </c>
    </row>
    <row r="9" customFormat="false" ht="45" hidden="false" customHeight="true" outlineLevel="0" collapsed="false">
      <c r="A9" s="4" t="s">
        <v>463</v>
      </c>
      <c r="B9" s="5" t="s">
        <v>464</v>
      </c>
    </row>
    <row r="10" customFormat="false" ht="45" hidden="false" customHeight="true" outlineLevel="0" collapsed="false">
      <c r="A10" s="4" t="s">
        <v>465</v>
      </c>
      <c r="B10" s="5" t="s">
        <v>466</v>
      </c>
    </row>
    <row r="11" customFormat="false" ht="60" hidden="false" customHeight="true" outlineLevel="0" collapsed="false">
      <c r="A11" s="4" t="s">
        <v>467</v>
      </c>
      <c r="B11" s="5" t="s">
        <v>468</v>
      </c>
    </row>
    <row r="12" customFormat="false" ht="60" hidden="false" customHeight="true" outlineLevel="0" collapsed="false">
      <c r="A12" s="4" t="s">
        <v>469</v>
      </c>
      <c r="B12" s="5" t="s">
        <v>470</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2026-09-29T17:38:20Z</dcterms:created>
  <dc:creator>openpyxl</dc:creator>
  <dc:description/>
  <dc:language>en-US</dc:language>
  <cp:lastModifiedBy/>
  <dcterms:modified xsi:type="dcterms:W3CDTF">2026-09-29T17:38:23Z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