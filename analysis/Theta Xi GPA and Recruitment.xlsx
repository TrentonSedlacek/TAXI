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Semester" sheetId="1" state="visible" r:id="rId3"/>
    <sheet name="By Year" sheetId="2" state="visible" r:id="rId4"/>
    <sheet name="IFC Houses" sheetId="3" state="visible" r:id="rId5"/>
    <sheet name="UNL Data" sheetId="4" state="visible" r:id="rId6"/>
    <sheet name="UNL Averages" sheetId="5" state="visible" r:id="rId7"/>
  </sheets>
  <definedNames>
    <definedName function="false" hidden="true" localSheetId="3" name="_xlnm._FilterDatabase" vbProcedure="false">'UNL Data'!$A$1:$E$413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<sst xmlns="http://schemas.openxmlformats.org/spreadsheetml/2006/main" count="929" uniqueCount="88">
  <si>
    <t xml:space="preserve">Theta Xi vs the IFC</t>
  </si>
  <si>
    <t xml:space="preserve">Every semester since Fall 2018, from UNL's report cards. IFC Avg = the average IFC house that semester.</t>
  </si>
  <si>
    <t xml:space="preserve">Semester</t>
  </si>
  <si>
    <t xml:space="preserve">TX GPA</t>
  </si>
  <si>
    <t xml:space="preserve">All Greek Men GPA</t>
  </si>
  <si>
    <t xml:space="preserve">TX vs Greek Men</t>
  </si>
  <si>
    <t xml:space="preserve">All UNL Men GPA</t>
  </si>
  <si>
    <t xml:space="preserve">TX GPA Rank in IFC</t>
  </si>
  <si>
    <t xml:space="preserve">TX Members</t>
  </si>
  <si>
    <t xml:space="preserve">IFC Avg Members</t>
  </si>
  <si>
    <t xml:space="preserve">TX New Members</t>
  </si>
  <si>
    <t xml:space="preserve">IFC Avg New Members</t>
  </si>
  <si>
    <t xml:space="preserve">TX New Member Rank in IFC</t>
  </si>
  <si>
    <t xml:space="preserve">Fall 2018</t>
  </si>
  <si>
    <t xml:space="preserve">Spring 2019</t>
  </si>
  <si>
    <t xml:space="preserve">Fall 2019</t>
  </si>
  <si>
    <t xml:space="preserve">Spring 2020</t>
  </si>
  <si>
    <t xml:space="preserve">Fall 2020</t>
  </si>
  <si>
    <t xml:space="preserve">Spring 2021</t>
  </si>
  <si>
    <t xml:space="preserve">Fall 2021</t>
  </si>
  <si>
    <t xml:space="preserve">Spring 2022</t>
  </si>
  <si>
    <t xml:space="preserve">Fall 2022</t>
  </si>
  <si>
    <t xml:space="preserve">Spring 2023</t>
  </si>
  <si>
    <t xml:space="preserve">Fall 2023</t>
  </si>
  <si>
    <t xml:space="preserve">Spring 2024</t>
  </si>
  <si>
    <t xml:space="preserve">Fall 2024</t>
  </si>
  <si>
    <t xml:space="preserve">Spring 2025</t>
  </si>
  <si>
    <t xml:space="preserve">Fall 2025</t>
  </si>
  <si>
    <t xml:space="preserve">Spring 2026</t>
  </si>
  <si>
    <t xml:space="preserve">Blank = UNL didn't report it that semester.</t>
  </si>
  <si>
    <t xml:space="preserve">Recruitment by Year</t>
  </si>
  <si>
    <t xml:space="preserve">Year = spring + fall recruitment, the same exec board (elected in November, trained in December).</t>
  </si>
  <si>
    <t xml:space="preserve">Year</t>
  </si>
  <si>
    <t xml:space="preserve">TX vs Avg House</t>
  </si>
  <si>
    <t xml:space="preserve">TX Members (Fall)</t>
  </si>
  <si>
    <t xml:space="preserve">Change From Last Fall</t>
  </si>
  <si>
    <t xml:space="preserve">IFC Avg Members (Fall)</t>
  </si>
  <si>
    <t xml:space="preserve">TX vs Avg House: 100% = recruited as many as the average IFC house. Blank = UNL left new members off one of that year's reports.</t>
  </si>
  <si>
    <t xml:space="preserve">Every IFC House</t>
  </si>
  <si>
    <t xml:space="preserve">Change the two blue cells to look at a different semester or year.</t>
  </si>
  <si>
    <t xml:space="preserve">GPA and members for</t>
  </si>
  <si>
    <t xml:space="preserve">New members for year</t>
  </si>
  <si>
    <t xml:space="preserve">House</t>
  </si>
  <si>
    <t xml:space="preserve">GPA</t>
  </si>
  <si>
    <t xml:space="preserve">GPA Rank</t>
  </si>
  <si>
    <t xml:space="preserve">Members</t>
  </si>
  <si>
    <t xml:space="preserve">New Members (Spring + Fall)</t>
  </si>
  <si>
    <t xml:space="preserve">New Member Rank</t>
  </si>
  <si>
    <t xml:space="preserve">Farmhouse</t>
  </si>
  <si>
    <t xml:space="preserve">Sigma Phi Epsilon</t>
  </si>
  <si>
    <t xml:space="preserve">Beta Theta Pi</t>
  </si>
  <si>
    <t xml:space="preserve">Pi Kappa Alpha</t>
  </si>
  <si>
    <t xml:space="preserve">Phi Gamma Delta</t>
  </si>
  <si>
    <t xml:space="preserve">Beta Sigma Psi</t>
  </si>
  <si>
    <t xml:space="preserve">Sigma Chi</t>
  </si>
  <si>
    <t xml:space="preserve">Alpha Gamma Sigma</t>
  </si>
  <si>
    <t xml:space="preserve">Phi Delta Theta</t>
  </si>
  <si>
    <t xml:space="preserve">Alpha Gamma Rho</t>
  </si>
  <si>
    <t xml:space="preserve">Sigma Alpha Mu</t>
  </si>
  <si>
    <t xml:space="preserve">Phi Kappa Theta</t>
  </si>
  <si>
    <t xml:space="preserve">Sigma Alpha Epsilon</t>
  </si>
  <si>
    <t xml:space="preserve">Alpha Tau Omega</t>
  </si>
  <si>
    <t xml:space="preserve">Lambda Chi Alpha</t>
  </si>
  <si>
    <t xml:space="preserve">Delta Upsilon</t>
  </si>
  <si>
    <t xml:space="preserve">Theta Xi</t>
  </si>
  <si>
    <t xml:space="preserve">Acacia</t>
  </si>
  <si>
    <t xml:space="preserve">Triangle</t>
  </si>
  <si>
    <t xml:space="preserve">Kappa Sigma</t>
  </si>
  <si>
    <t xml:space="preserve">Phi Kappa Psi</t>
  </si>
  <si>
    <t xml:space="preserve">Theta Chi</t>
  </si>
  <si>
    <t xml:space="preserve">Chi Phi</t>
  </si>
  <si>
    <t xml:space="preserve">Houses listed are the IFC houses on the Spring 2026 report, sorted by Spring 2026 GPA.</t>
  </si>
  <si>
    <t xml:space="preserve">New Members</t>
  </si>
  <si>
    <t xml:space="preserve">IFC houses only, straight from UNL's semester report cards and scorecards.</t>
  </si>
  <si>
    <t xml:space="preserve">Fall 2023 has no scorecard, so it comes from UNL's grade report (no new-member counts).</t>
  </si>
  <si>
    <t xml:space="preserve">Alpha Gamma Nu</t>
  </si>
  <si>
    <t xml:space="preserve">Spring 2020 has no GPAs (pass/no-pass semester). Spring 2020 and Spring 2022 have no new-member counts.</t>
  </si>
  <si>
    <t xml:space="preserve">To add a semester, paste the IFC rows at the bottom.</t>
  </si>
  <si>
    <t xml:space="preserve">Delta Tau Delta</t>
  </si>
  <si>
    <t xml:space="preserve">Pi Kappa Phi</t>
  </si>
  <si>
    <t xml:space="preserve">Sigma Nu</t>
  </si>
  <si>
    <t xml:space="preserve">Tau Kappa Epsilon</t>
  </si>
  <si>
    <t xml:space="preserve">Sigma Tau Gamma</t>
  </si>
  <si>
    <t xml:space="preserve">Delta Sigma Phi</t>
  </si>
  <si>
    <t xml:space="preserve">All UNL Men</t>
  </si>
  <si>
    <t xml:space="preserve">All Greek Men</t>
  </si>
  <si>
    <t xml:space="preserve">All UNL Students</t>
  </si>
  <si>
    <t xml:space="preserve">From UNL's All-Community Grade Report each semester.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</si>
</sst>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\+0.000;\-0.000;0.000"/>
    <numFmt numFmtId="167" formatCode="0"/>
    <numFmt numFmtId="168" formatCode="0.0"/>
    <numFmt numFmtId="169" formatCode="0%"/>
    <numFmt numFmtId="170" formatCode="\+0;\-0;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color rgb="FFC00000"/>
      </font>
    </dxf>
    <dxf>
      <font>
        <name val="Calibri"/>
        <charset val="1"/>
        <family val="0"/>
        <color rgb="FF00B050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GPA: Theta Xi vs All Greek 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Semester'!B4</c:f>
              <c:strCache>
                <c:ptCount val="1"/>
                <c:pt idx="0">
                  <c:v>TX GPA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Semester'!$A$5:$A$20</c:f>
              <c:strCache>
                <c:ptCount val="16"/>
                <c:pt idx="0">
                  <c:v>Fall 2018</c:v>
                </c:pt>
                <c:pt idx="1">
                  <c:v>Spring 2019</c:v>
                </c:pt>
                <c:pt idx="2">
                  <c:v>Fall 2019</c:v>
                </c:pt>
                <c:pt idx="3">
                  <c:v>Spring 2020</c:v>
                </c:pt>
                <c:pt idx="4">
                  <c:v>Fall 2020</c:v>
                </c:pt>
                <c:pt idx="5">
                  <c:v>Spring 2021</c:v>
                </c:pt>
                <c:pt idx="6">
                  <c:v>Fall 2021</c:v>
                </c:pt>
                <c:pt idx="7">
                  <c:v>Spring 2022</c:v>
                </c:pt>
                <c:pt idx="8">
                  <c:v>Fall 2022</c:v>
                </c:pt>
                <c:pt idx="9">
                  <c:v>Spring 2023</c:v>
                </c:pt>
                <c:pt idx="10">
                  <c:v>Fall 2023</c:v>
                </c:pt>
                <c:pt idx="11">
                  <c:v>Spring 2024</c:v>
                </c:pt>
                <c:pt idx="12">
                  <c:v>Fall 2024</c:v>
                </c:pt>
                <c:pt idx="13">
                  <c:v>Spring 2025</c:v>
                </c:pt>
                <c:pt idx="14">
                  <c:v>Fall 2025</c:v>
                </c:pt>
                <c:pt idx="15">
                  <c:v>Spring 2026</c:v>
                </c:pt>
              </c:strCache>
            </c:strRef>
          </c:cat>
          <c:val>
            <c:numRef>
              <c:f>'By Semester'!$B$5:$B$20</c:f>
              <c:numCache>
                <c:formatCode>0.000</c:formatCode>
                <c:ptCount val="16"/>
                <c:pt idx="0">
                  <c:v>2.733</c:v>
                </c:pt>
                <c:pt idx="1">
                  <c:v>2.919</c:v>
                </c:pt>
                <c:pt idx="2">
                  <c:v>2.819</c:v>
                </c:pt>
                <c:pt idx="4">
                  <c:v>2.957</c:v>
                </c:pt>
                <c:pt idx="5">
                  <c:v>3.267</c:v>
                </c:pt>
                <c:pt idx="6">
                  <c:v>3.167</c:v>
                </c:pt>
                <c:pt idx="7">
                  <c:v>3.316</c:v>
                </c:pt>
                <c:pt idx="8">
                  <c:v>3.096</c:v>
                </c:pt>
                <c:pt idx="9">
                  <c:v>3.121</c:v>
                </c:pt>
                <c:pt idx="10">
                  <c:v>2.997</c:v>
                </c:pt>
                <c:pt idx="11">
                  <c:v>3.321</c:v>
                </c:pt>
                <c:pt idx="12">
                  <c:v>3.216</c:v>
                </c:pt>
                <c:pt idx="13">
                  <c:v>3.053</c:v>
                </c:pt>
                <c:pt idx="14">
                  <c:v>3.033</c:v>
                </c:pt>
                <c:pt idx="15">
                  <c:v>3.163</c:v>
                </c:pt>
              </c:numCache>
            </c:numRef>
          </c:val>
        </c:ser>
        <c:ser>
          <c:idx val="1"/>
          <c:order val="1"/>
          <c:tx>
            <c:strRef>
              <c:f>'By Semester'!C4</c:f>
              <c:strCache>
                <c:ptCount val="1"/>
                <c:pt idx="0">
                  <c:v>All Greek Men GPA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Semester'!$A$5:$A$20</c:f>
              <c:strCache>
                <c:ptCount val="16"/>
                <c:pt idx="0">
                  <c:v>Fall 2018</c:v>
                </c:pt>
                <c:pt idx="1">
                  <c:v>Spring 2019</c:v>
                </c:pt>
                <c:pt idx="2">
                  <c:v>Fall 2019</c:v>
                </c:pt>
                <c:pt idx="3">
                  <c:v>Spring 2020</c:v>
                </c:pt>
                <c:pt idx="4">
                  <c:v>Fall 2020</c:v>
                </c:pt>
                <c:pt idx="5">
                  <c:v>Spring 2021</c:v>
                </c:pt>
                <c:pt idx="6">
                  <c:v>Fall 2021</c:v>
                </c:pt>
                <c:pt idx="7">
                  <c:v>Spring 2022</c:v>
                </c:pt>
                <c:pt idx="8">
                  <c:v>Fall 2022</c:v>
                </c:pt>
                <c:pt idx="9">
                  <c:v>Spring 2023</c:v>
                </c:pt>
                <c:pt idx="10">
                  <c:v>Fall 2023</c:v>
                </c:pt>
                <c:pt idx="11">
                  <c:v>Spring 2024</c:v>
                </c:pt>
                <c:pt idx="12">
                  <c:v>Fall 2024</c:v>
                </c:pt>
                <c:pt idx="13">
                  <c:v>Spring 2025</c:v>
                </c:pt>
                <c:pt idx="14">
                  <c:v>Fall 2025</c:v>
                </c:pt>
                <c:pt idx="15">
                  <c:v>Spring 2026</c:v>
                </c:pt>
              </c:strCache>
            </c:strRef>
          </c:cat>
          <c:val>
            <c:numRef>
              <c:f>'By Semester'!$C$5:$C$20</c:f>
              <c:numCache>
                <c:formatCode>0.000</c:formatCode>
                <c:ptCount val="16"/>
                <c:pt idx="0">
                  <c:v>3.149</c:v>
                </c:pt>
                <c:pt idx="1">
                  <c:v>3.154</c:v>
                </c:pt>
                <c:pt idx="2">
                  <c:v>3.133</c:v>
                </c:pt>
                <c:pt idx="3">
                  <c:v>3.439</c:v>
                </c:pt>
                <c:pt idx="4">
                  <c:v>3.213</c:v>
                </c:pt>
                <c:pt idx="5">
                  <c:v>3.307</c:v>
                </c:pt>
                <c:pt idx="6">
                  <c:v>3.221</c:v>
                </c:pt>
                <c:pt idx="7">
                  <c:v>3.29</c:v>
                </c:pt>
                <c:pt idx="8">
                  <c:v>3.265</c:v>
                </c:pt>
                <c:pt idx="9">
                  <c:v>3.337</c:v>
                </c:pt>
                <c:pt idx="10">
                  <c:v>3.257</c:v>
                </c:pt>
                <c:pt idx="11">
                  <c:v>3.328</c:v>
                </c:pt>
                <c:pt idx="12">
                  <c:v>3.35</c:v>
                </c:pt>
                <c:pt idx="13">
                  <c:v>3.367</c:v>
                </c:pt>
                <c:pt idx="14">
                  <c:v>3.316</c:v>
                </c:pt>
                <c:pt idx="15">
                  <c:v>3.384</c:v>
                </c:pt>
              </c:numCache>
            </c:numRef>
          </c:val>
        </c:ser>
        <c:gapWidth val="150"/>
        <c:overlap val="0"/>
        <c:axId val="81258076"/>
        <c:axId val="93923444"/>
      </c:barChart>
      <c:catAx>
        <c:axId val="81258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23444"/>
        <c:crosses val="autoZero"/>
        <c:auto val="1"/>
        <c:lblAlgn val="ctr"/>
        <c:lblOffset val="100"/>
        <c:noMultiLvlLbl val="0"/>
      </c:catAx>
      <c:valAx>
        <c:axId val="93923444"/>
        <c:scaling>
          <c:orientation val="minMax"/>
          <c:max val="3.6"/>
          <c:min val="2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580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Members: Theta Xi vs the Average IFC 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Semester'!I4</c:f>
              <c:strCache>
                <c:ptCount val="1"/>
                <c:pt idx="0">
                  <c:v>TX New Members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Semester'!$A$5:$A$20</c:f>
              <c:strCache>
                <c:ptCount val="16"/>
                <c:pt idx="0">
                  <c:v>Fall 2018</c:v>
                </c:pt>
                <c:pt idx="1">
                  <c:v>Spring 2019</c:v>
                </c:pt>
                <c:pt idx="2">
                  <c:v>Fall 2019</c:v>
                </c:pt>
                <c:pt idx="3">
                  <c:v>Spring 2020</c:v>
                </c:pt>
                <c:pt idx="4">
                  <c:v>Fall 2020</c:v>
                </c:pt>
                <c:pt idx="5">
                  <c:v>Spring 2021</c:v>
                </c:pt>
                <c:pt idx="6">
                  <c:v>Fall 2021</c:v>
                </c:pt>
                <c:pt idx="7">
                  <c:v>Spring 2022</c:v>
                </c:pt>
                <c:pt idx="8">
                  <c:v>Fall 2022</c:v>
                </c:pt>
                <c:pt idx="9">
                  <c:v>Spring 2023</c:v>
                </c:pt>
                <c:pt idx="10">
                  <c:v>Fall 2023</c:v>
                </c:pt>
                <c:pt idx="11">
                  <c:v>Spring 2024</c:v>
                </c:pt>
                <c:pt idx="12">
                  <c:v>Fall 2024</c:v>
                </c:pt>
                <c:pt idx="13">
                  <c:v>Spring 2025</c:v>
                </c:pt>
                <c:pt idx="14">
                  <c:v>Fall 2025</c:v>
                </c:pt>
                <c:pt idx="15">
                  <c:v>Spring 2026</c:v>
                </c:pt>
              </c:strCache>
            </c:strRef>
          </c:cat>
          <c:val>
            <c:numRef>
              <c:f>'By Semester'!$I$5:$I$20</c:f>
              <c:numCache>
                <c:formatCode>0</c:formatCode>
                <c:ptCount val="16"/>
                <c:pt idx="0">
                  <c:v>22</c:v>
                </c:pt>
                <c:pt idx="1">
                  <c:v>9</c:v>
                </c:pt>
                <c:pt idx="2">
                  <c:v>25</c:v>
                </c:pt>
                <c:pt idx="4">
                  <c:v>28</c:v>
                </c:pt>
                <c:pt idx="5">
                  <c:v>10</c:v>
                </c:pt>
                <c:pt idx="6">
                  <c:v>14</c:v>
                </c:pt>
                <c:pt idx="8">
                  <c:v>17</c:v>
                </c:pt>
                <c:pt idx="9">
                  <c:v>6</c:v>
                </c:pt>
                <c:pt idx="11">
                  <c:v>5</c:v>
                </c:pt>
                <c:pt idx="12">
                  <c:v>12</c:v>
                </c:pt>
                <c:pt idx="13">
                  <c:v>3</c:v>
                </c:pt>
                <c:pt idx="14">
                  <c:v>12</c:v>
                </c:pt>
                <c:pt idx="15">
                  <c:v>6</c:v>
                </c:pt>
              </c:numCache>
            </c:numRef>
          </c:val>
        </c:ser>
        <c:ser>
          <c:idx val="1"/>
          <c:order val="1"/>
          <c:tx>
            <c:strRef>
              <c:f>'By Semester'!J4</c:f>
              <c:strCache>
                <c:ptCount val="1"/>
                <c:pt idx="0">
                  <c:v>IFC Avg New Members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Semester'!$A$5:$A$20</c:f>
              <c:strCache>
                <c:ptCount val="16"/>
                <c:pt idx="0">
                  <c:v>Fall 2018</c:v>
                </c:pt>
                <c:pt idx="1">
                  <c:v>Spring 2019</c:v>
                </c:pt>
                <c:pt idx="2">
                  <c:v>Fall 2019</c:v>
                </c:pt>
                <c:pt idx="3">
                  <c:v>Spring 2020</c:v>
                </c:pt>
                <c:pt idx="4">
                  <c:v>Fall 2020</c:v>
                </c:pt>
                <c:pt idx="5">
                  <c:v>Spring 2021</c:v>
                </c:pt>
                <c:pt idx="6">
                  <c:v>Fall 2021</c:v>
                </c:pt>
                <c:pt idx="7">
                  <c:v>Spring 2022</c:v>
                </c:pt>
                <c:pt idx="8">
                  <c:v>Fall 2022</c:v>
                </c:pt>
                <c:pt idx="9">
                  <c:v>Spring 2023</c:v>
                </c:pt>
                <c:pt idx="10">
                  <c:v>Fall 2023</c:v>
                </c:pt>
                <c:pt idx="11">
                  <c:v>Spring 2024</c:v>
                </c:pt>
                <c:pt idx="12">
                  <c:v>Fall 2024</c:v>
                </c:pt>
                <c:pt idx="13">
                  <c:v>Spring 2025</c:v>
                </c:pt>
                <c:pt idx="14">
                  <c:v>Fall 2025</c:v>
                </c:pt>
                <c:pt idx="15">
                  <c:v>Spring 2026</c:v>
                </c:pt>
              </c:strCache>
            </c:strRef>
          </c:cat>
          <c:val>
            <c:numRef>
              <c:f>'By Semester'!$J$5:$J$20</c:f>
              <c:numCache>
                <c:formatCode>0.0</c:formatCode>
                <c:ptCount val="16"/>
                <c:pt idx="0">
                  <c:v>19.44</c:v>
                </c:pt>
                <c:pt idx="1">
                  <c:v>2.72</c:v>
                </c:pt>
                <c:pt idx="2">
                  <c:v>21</c:v>
                </c:pt>
                <c:pt idx="4">
                  <c:v>21</c:v>
                </c:pt>
                <c:pt idx="5">
                  <c:v>3.34615384615385</c:v>
                </c:pt>
                <c:pt idx="6">
                  <c:v>21</c:v>
                </c:pt>
                <c:pt idx="8">
                  <c:v>19.7916666666667</c:v>
                </c:pt>
                <c:pt idx="9">
                  <c:v>5.94117647058824</c:v>
                </c:pt>
                <c:pt idx="11">
                  <c:v>3.8</c:v>
                </c:pt>
                <c:pt idx="12">
                  <c:v>21.2692307692308</c:v>
                </c:pt>
                <c:pt idx="13">
                  <c:v>4.79166666666667</c:v>
                </c:pt>
                <c:pt idx="14">
                  <c:v>22.04</c:v>
                </c:pt>
                <c:pt idx="15">
                  <c:v>4.1304347826087</c:v>
                </c:pt>
              </c:numCache>
            </c:numRef>
          </c:val>
        </c:ser>
        <c:gapWidth val="150"/>
        <c:overlap val="0"/>
        <c:axId val="83898764"/>
        <c:axId val="46175861"/>
      </c:barChart>
      <c:catAx>
        <c:axId val="83898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75861"/>
        <c:crosses val="autoZero"/>
        <c:auto val="1"/>
        <c:lblAlgn val="ctr"/>
        <c:lblOffset val="100"/>
        <c:noMultiLvlLbl val="0"/>
      </c:catAx>
      <c:valAx>
        <c:axId val="46175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987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Members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Year'!B4</c:f>
              <c:strCache>
                <c:ptCount val="1"/>
                <c:pt idx="0">
                  <c:v>TX New Members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Year'!$A$5:$A$12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'By Year'!$B$5:$B$12</c:f>
              <c:numCache>
                <c:formatCode>0</c:formatCode>
                <c:ptCount val="8"/>
                <c:pt idx="1">
                  <c:v>34</c:v>
                </c:pt>
                <c:pt idx="3">
                  <c:v>24</c:v>
                </c:pt>
                <c:pt idx="6">
                  <c:v>17</c:v>
                </c:pt>
                <c:pt idx="7">
                  <c:v>15</c:v>
                </c:pt>
              </c:numCache>
            </c:numRef>
          </c:val>
        </c:ser>
        <c:ser>
          <c:idx val="1"/>
          <c:order val="1"/>
          <c:tx>
            <c:strRef>
              <c:f>'By Year'!C4</c:f>
              <c:strCache>
                <c:ptCount val="1"/>
                <c:pt idx="0">
                  <c:v>IFC Avg New Members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Year'!$A$5:$A$12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'By Year'!$C$5:$C$12</c:f>
              <c:numCache>
                <c:formatCode>0.0</c:formatCode>
                <c:ptCount val="8"/>
                <c:pt idx="1">
                  <c:v>23.72</c:v>
                </c:pt>
                <c:pt idx="3">
                  <c:v>24.3461538461538</c:v>
                </c:pt>
                <c:pt idx="6">
                  <c:v>25.0692307692308</c:v>
                </c:pt>
                <c:pt idx="7">
                  <c:v>26.8316666666667</c:v>
                </c:pt>
              </c:numCache>
            </c:numRef>
          </c:val>
        </c:ser>
        <c:gapWidth val="150"/>
        <c:overlap val="0"/>
        <c:axId val="38316706"/>
        <c:axId val="52110323"/>
      </c:barChart>
      <c:catAx>
        <c:axId val="38316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10323"/>
        <c:crosses val="autoZero"/>
        <c:auto val="1"/>
        <c:lblAlgn val="ctr"/>
        <c:lblOffset val="100"/>
        <c:noMultiLvlLbl val="0"/>
      </c:catAx>
      <c:valAx>
        <c:axId val="52110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167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Members Each 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Year'!E4</c:f>
              <c:strCache>
                <c:ptCount val="1"/>
                <c:pt idx="0">
                  <c:v>TX Members (Fall)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Year'!$A$5:$A$12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'By Year'!$E$5:$E$12</c:f>
              <c:numCache>
                <c:formatCode>0</c:formatCode>
                <c:ptCount val="8"/>
                <c:pt idx="0">
                  <c:v>62</c:v>
                </c:pt>
                <c:pt idx="1">
                  <c:v>86</c:v>
                </c:pt>
                <c:pt idx="2">
                  <c:v>78</c:v>
                </c:pt>
                <c:pt idx="3">
                  <c:v>74</c:v>
                </c:pt>
                <c:pt idx="4">
                  <c:v>71</c:v>
                </c:pt>
                <c:pt idx="5">
                  <c:v>60</c:v>
                </c:pt>
                <c:pt idx="6">
                  <c:v>48</c:v>
                </c:pt>
                <c:pt idx="7">
                  <c:v>44</c:v>
                </c:pt>
              </c:numCache>
            </c:numRef>
          </c:val>
        </c:ser>
        <c:ser>
          <c:idx val="1"/>
          <c:order val="1"/>
          <c:tx>
            <c:strRef>
              <c:f>'By Year'!G4</c:f>
              <c:strCache>
                <c:ptCount val="1"/>
                <c:pt idx="0">
                  <c:v>IFC Avg Members (Fall)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Year'!$A$5:$A$12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'By Year'!$G$5:$G$12</c:f>
              <c:numCache>
                <c:formatCode>0</c:formatCode>
                <c:ptCount val="8"/>
                <c:pt idx="0">
                  <c:v>65.64</c:v>
                </c:pt>
                <c:pt idx="1">
                  <c:v>71.8518518518519</c:v>
                </c:pt>
                <c:pt idx="2">
                  <c:v>72.0384615384615</c:v>
                </c:pt>
                <c:pt idx="3">
                  <c:v>70.36</c:v>
                </c:pt>
                <c:pt idx="4">
                  <c:v>74.25</c:v>
                </c:pt>
                <c:pt idx="5">
                  <c:v>72.32</c:v>
                </c:pt>
                <c:pt idx="6">
                  <c:v>73.2307692307692</c:v>
                </c:pt>
                <c:pt idx="7">
                  <c:v>79.2</c:v>
                </c:pt>
              </c:numCache>
            </c:numRef>
          </c:val>
        </c:ser>
        <c:gapWidth val="150"/>
        <c:overlap val="0"/>
        <c:axId val="45993571"/>
        <c:axId val="75290275"/>
      </c:barChart>
      <c:catAx>
        <c:axId val="45993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90275"/>
        <c:crosses val="autoZero"/>
        <c:auto val="1"/>
        <c:lblAlgn val="ctr"/>
        <c:lblOffset val="100"/>
        <c:noMultiLvlLbl val="0"/>
      </c:catAx>
      <c:valAx>
        <c:axId val="75290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935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131040</xdr:rowOff>
    </xdr:from>
    <xdr:to>
      <xdr:col>6</xdr:col>
      <xdr:colOff>252360</xdr:colOff>
      <xdr:row>39</xdr:row>
      <xdr:rowOff>163800</xdr:rowOff>
    </xdr:to>
    <xdr:graphicFrame>
      <xdr:nvGraphicFramePr>
        <xdr:cNvPr id="0" name="Chart 1"/>
        <xdr:cNvGraphicFramePr/>
      </xdr:nvGraphicFramePr>
      <xdr:xfrm>
        <a:off x="0" y="53722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131040</xdr:rowOff>
    </xdr:from>
    <xdr:to>
      <xdr:col>12</xdr:col>
      <xdr:colOff>649080</xdr:colOff>
      <xdr:row>39</xdr:row>
      <xdr:rowOff>163800</xdr:rowOff>
    </xdr:to>
    <xdr:graphicFrame>
      <xdr:nvGraphicFramePr>
        <xdr:cNvPr id="1" name="Chart 2"/>
        <xdr:cNvGraphicFramePr/>
      </xdr:nvGraphicFramePr>
      <xdr:xfrm>
        <a:off x="5867280" y="53722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5</xdr:col>
      <xdr:colOff>327960</xdr:colOff>
      <xdr:row>31</xdr:row>
      <xdr:rowOff>163440</xdr:rowOff>
    </xdr:to>
    <xdr:graphicFrame>
      <xdr:nvGraphicFramePr>
        <xdr:cNvPr id="2" name="Chart 1"/>
        <xdr:cNvGraphicFramePr/>
      </xdr:nvGraphicFramePr>
      <xdr:xfrm>
        <a:off x="0" y="38480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130680</xdr:rowOff>
    </xdr:from>
    <xdr:to>
      <xdr:col>10</xdr:col>
      <xdr:colOff>718560</xdr:colOff>
      <xdr:row>31</xdr:row>
      <xdr:rowOff>163440</xdr:rowOff>
    </xdr:to>
    <xdr:graphicFrame>
      <xdr:nvGraphicFramePr>
        <xdr:cNvPr id="3" name="Chart 2"/>
        <xdr:cNvGraphicFramePr/>
      </xdr:nvGraphicFramePr>
      <xdr:xfrm>
        <a:off x="4711680" y="38480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6" min="3" style="0" width="11"/>
    <col collapsed="false" customWidth="true" hidden="false" outlineLevel="0" max="9" min="7" style="0" width="10"/>
    <col collapsed="false" customWidth="true" hidden="false" outlineLevel="0" max="10" min="10" style="0" width="11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f aca="false">IF($A5="","",IF(COUNTIFS('UNL Data'!$A$2:$A$1500,$A5,'UNL Data'!$B$2:$B$1500,"Theta Xi",'UNL Data'!$E$2:$E$1500,"&lt;&gt;")=0,"",SUMIFS('UNL Data'!$E$2:$E$1500,'UNL Data'!$A$2:$A$1500,$A5,'UNL Data'!$B$2:$B$1500,"Theta Xi")))</f>
        <v>2.733</v>
      </c>
      <c r="C5" s="5" t="n">
        <f aca="false">IF($A5="","",IFERROR(IF(INDEX('UNL Averages'!$C:$C,MATCH($A5,'UNL Averages'!$A:$A,0))="","",INDEX('UNL Averages'!$C:$C,MATCH($A5,'UNL Averages'!$A:$A,0))),""))</f>
        <v>3.149</v>
      </c>
      <c r="D5" s="6" t="n">
        <f aca="false">IF(OR(B5="",C5=""),"",B5-C5)</f>
        <v>-0.416</v>
      </c>
      <c r="E5" s="5" t="n">
        <f aca="false">IF($A5="","",IFERROR(IF(INDEX('UNL Averages'!$B:$B,MATCH($A5,'UNL Averages'!$A:$A,0))="","",INDEX('UNL Averages'!$B:$B,MATCH($A5,'UNL Averages'!$A:$A,0))),""))</f>
        <v>2.976</v>
      </c>
      <c r="F5" s="7" t="str">
        <f aca="false">IF(B5="","",COUNTIFS('UNL Data'!$A$2:$A$1500,$A5,'UNL Data'!$E$2:$E$1500,"&gt;"&amp;B5)+1&amp;" of "&amp;COUNTIFS('UNL Data'!$A$2:$A$1500,$A5,'UNL Data'!$E$2:$E$1500,"&gt;0"))</f>
        <v>23 of 25</v>
      </c>
      <c r="G5" s="8" t="n">
        <f aca="false">IF($A5="","",IF(COUNTIFS('UNL Data'!$A$2:$A$1500,$A5,'UNL Data'!$B$2:$B$1500,"Theta Xi",'UNL Data'!$C$2:$C$1500,"&lt;&gt;")=0,"",SUMIFS('UNL Data'!$C$2:$C$1500,'UNL Data'!$A$2:$A$1500,$A5,'UNL Data'!$B$2:$B$1500,"Theta Xi")))</f>
        <v>62</v>
      </c>
      <c r="H5" s="8" t="n">
        <f aca="false">IF($A5="","",IFERROR(AVERAGEIFS('UNL Data'!$C$2:$C$1500,'UNL Data'!$A$2:$A$1500,$A5),""))</f>
        <v>65.64</v>
      </c>
      <c r="I5" s="8" t="n">
        <f aca="false">IF($A5="","",IF(COUNTIFS('UNL Data'!$A$2:$A$1500,$A5,'UNL Data'!$B$2:$B$1500,"Theta Xi",'UNL Data'!$D$2:$D$1500,"&lt;&gt;")=0,"",SUMIFS('UNL Data'!$D$2:$D$1500,'UNL Data'!$A$2:$A$1500,$A5,'UNL Data'!$B$2:$B$1500,"Theta Xi")))</f>
        <v>22</v>
      </c>
      <c r="J5" s="9" t="n">
        <f aca="false">IF($A5="","",IFERROR(AVERAGEIFS('UNL Data'!$D$2:$D$1500,'UNL Data'!$A$2:$A$1500,$A5),""))</f>
        <v>19.44</v>
      </c>
      <c r="K5" s="7" t="str">
        <f aca="false">IF(I5="","",COUNTIFS('UNL Data'!$A$2:$A$1500,$A5,'UNL Data'!$D$2:$D$1500,"&gt;"&amp;I5)+1&amp;" of "&amp;COUNTIFS('UNL Data'!$A$2:$A$1500,$A5,'UNL Data'!$D$2:$D$1500,"&gt;=0"))</f>
        <v>13 of 25</v>
      </c>
    </row>
    <row r="6" customFormat="false" ht="15" hidden="false" customHeight="false" outlineLevel="0" collapsed="false">
      <c r="A6" s="4" t="s">
        <v>14</v>
      </c>
      <c r="B6" s="5" t="n">
        <f aca="false">IF($A6="","",IF(COUNTIFS('UNL Data'!$A$2:$A$1500,$A6,'UNL Data'!$B$2:$B$1500,"Theta Xi",'UNL Data'!$E$2:$E$1500,"&lt;&gt;")=0,"",SUMIFS('UNL Data'!$E$2:$E$1500,'UNL Data'!$A$2:$A$1500,$A6,'UNL Data'!$B$2:$B$1500,"Theta Xi")))</f>
        <v>2.919</v>
      </c>
      <c r="C6" s="5" t="n">
        <f aca="false">IF($A6="","",IFERROR(IF(INDEX('UNL Averages'!$C:$C,MATCH($A6,'UNL Averages'!$A:$A,0))="","",INDEX('UNL Averages'!$C:$C,MATCH($A6,'UNL Averages'!$A:$A,0))),""))</f>
        <v>3.154</v>
      </c>
      <c r="D6" s="6" t="n">
        <f aca="false">IF(OR(B6="",C6=""),"",B6-C6)</f>
        <v>-0.235</v>
      </c>
      <c r="E6" s="5" t="n">
        <f aca="false">IF($A6="","",IFERROR(IF(INDEX('UNL Averages'!$B:$B,MATCH($A6,'UNL Averages'!$A:$A,0))="","",INDEX('UNL Averages'!$B:$B,MATCH($A6,'UNL Averages'!$A:$A,0))),""))</f>
        <v>3.012</v>
      </c>
      <c r="F6" s="7" t="str">
        <f aca="false">IF(B6="","",COUNTIFS('UNL Data'!$A$2:$A$1500,$A6,'UNL Data'!$E$2:$E$1500,"&gt;"&amp;B6)+1&amp;" of "&amp;COUNTIFS('UNL Data'!$A$2:$A$1500,$A6,'UNL Data'!$E$2:$E$1500,"&gt;0"))</f>
        <v>21 of 24</v>
      </c>
      <c r="G6" s="8" t="n">
        <f aca="false">IF($A6="","",IF(COUNTIFS('UNL Data'!$A$2:$A$1500,$A6,'UNL Data'!$B$2:$B$1500,"Theta Xi",'UNL Data'!$C$2:$C$1500,"&lt;&gt;")=0,"",SUMIFS('UNL Data'!$C$2:$C$1500,'UNL Data'!$A$2:$A$1500,$A6,'UNL Data'!$B$2:$B$1500,"Theta Xi")))</f>
        <v>64</v>
      </c>
      <c r="H6" s="8" t="n">
        <f aca="false">IF($A6="","",IFERROR(AVERAGEIFS('UNL Data'!$C$2:$C$1500,'UNL Data'!$A$2:$A$1500,$A6),""))</f>
        <v>64.04</v>
      </c>
      <c r="I6" s="8" t="n">
        <f aca="false">IF($A6="","",IF(COUNTIFS('UNL Data'!$A$2:$A$1500,$A6,'UNL Data'!$B$2:$B$1500,"Theta Xi",'UNL Data'!$D$2:$D$1500,"&lt;&gt;")=0,"",SUMIFS('UNL Data'!$D$2:$D$1500,'UNL Data'!$A$2:$A$1500,$A6,'UNL Data'!$B$2:$B$1500,"Theta Xi")))</f>
        <v>9</v>
      </c>
      <c r="J6" s="9" t="n">
        <f aca="false">IF($A6="","",IFERROR(AVERAGEIFS('UNL Data'!$D$2:$D$1500,'UNL Data'!$A$2:$A$1500,$A6),""))</f>
        <v>2.72</v>
      </c>
      <c r="K6" s="7" t="str">
        <f aca="false">IF(I6="","",COUNTIFS('UNL Data'!$A$2:$A$1500,$A6,'UNL Data'!$D$2:$D$1500,"&gt;"&amp;I6)+1&amp;" of "&amp;COUNTIFS('UNL Data'!$A$2:$A$1500,$A6,'UNL Data'!$D$2:$D$1500,"&gt;=0"))</f>
        <v>3 of 25</v>
      </c>
    </row>
    <row r="7" customFormat="false" ht="15" hidden="false" customHeight="false" outlineLevel="0" collapsed="false">
      <c r="A7" s="4" t="s">
        <v>15</v>
      </c>
      <c r="B7" s="5" t="n">
        <f aca="false">IF($A7="","",IF(COUNTIFS('UNL Data'!$A$2:$A$1500,$A7,'UNL Data'!$B$2:$B$1500,"Theta Xi",'UNL Data'!$E$2:$E$1500,"&lt;&gt;")=0,"",SUMIFS('UNL Data'!$E$2:$E$1500,'UNL Data'!$A$2:$A$1500,$A7,'UNL Data'!$B$2:$B$1500,"Theta Xi")))</f>
        <v>2.819</v>
      </c>
      <c r="C7" s="5" t="n">
        <f aca="false">IF($A7="","",IFERROR(IF(INDEX('UNL Averages'!$C:$C,MATCH($A7,'UNL Averages'!$A:$A,0))="","",INDEX('UNL Averages'!$C:$C,MATCH($A7,'UNL Averages'!$A:$A,0))),""))</f>
        <v>3.133</v>
      </c>
      <c r="D7" s="6" t="n">
        <f aca="false">IF(OR(B7="",C7=""),"",B7-C7)</f>
        <v>-0.314</v>
      </c>
      <c r="E7" s="5" t="n">
        <f aca="false">IF($A7="","",IFERROR(IF(INDEX('UNL Averages'!$B:$B,MATCH($A7,'UNL Averages'!$A:$A,0))="","",INDEX('UNL Averages'!$B:$B,MATCH($A7,'UNL Averages'!$A:$A,0))),""))</f>
        <v>3.032</v>
      </c>
      <c r="F7" s="7" t="str">
        <f aca="false">IF(B7="","",COUNTIFS('UNL Data'!$A$2:$A$1500,$A7,'UNL Data'!$E$2:$E$1500,"&gt;"&amp;B7)+1&amp;" of "&amp;COUNTIFS('UNL Data'!$A$2:$A$1500,$A7,'UNL Data'!$E$2:$E$1500,"&gt;0"))</f>
        <v>24 of 27</v>
      </c>
      <c r="G7" s="8" t="n">
        <f aca="false">IF($A7="","",IF(COUNTIFS('UNL Data'!$A$2:$A$1500,$A7,'UNL Data'!$B$2:$B$1500,"Theta Xi",'UNL Data'!$C$2:$C$1500,"&lt;&gt;")=0,"",SUMIFS('UNL Data'!$C$2:$C$1500,'UNL Data'!$A$2:$A$1500,$A7,'UNL Data'!$B$2:$B$1500,"Theta Xi")))</f>
        <v>86</v>
      </c>
      <c r="H7" s="8" t="n">
        <f aca="false">IF($A7="","",IFERROR(AVERAGEIFS('UNL Data'!$C$2:$C$1500,'UNL Data'!$A$2:$A$1500,$A7),""))</f>
        <v>71.8518518518519</v>
      </c>
      <c r="I7" s="8" t="n">
        <f aca="false">IF($A7="","",IF(COUNTIFS('UNL Data'!$A$2:$A$1500,$A7,'UNL Data'!$B$2:$B$1500,"Theta Xi",'UNL Data'!$D$2:$D$1500,"&lt;&gt;")=0,"",SUMIFS('UNL Data'!$D$2:$D$1500,'UNL Data'!$A$2:$A$1500,$A7,'UNL Data'!$B$2:$B$1500,"Theta Xi")))</f>
        <v>25</v>
      </c>
      <c r="J7" s="9" t="n">
        <f aca="false">IF($A7="","",IFERROR(AVERAGEIFS('UNL Data'!$D$2:$D$1500,'UNL Data'!$A$2:$A$1500,$A7),""))</f>
        <v>21</v>
      </c>
      <c r="K7" s="7" t="str">
        <f aca="false">IF(I7="","",COUNTIFS('UNL Data'!$A$2:$A$1500,$A7,'UNL Data'!$D$2:$D$1500,"&gt;"&amp;I7)+1&amp;" of "&amp;COUNTIFS('UNL Data'!$A$2:$A$1500,$A7,'UNL Data'!$D$2:$D$1500,"&gt;=0"))</f>
        <v>14 of 27</v>
      </c>
    </row>
    <row r="8" customFormat="false" ht="15" hidden="false" customHeight="false" outlineLevel="0" collapsed="false">
      <c r="A8" s="4" t="s">
        <v>16</v>
      </c>
      <c r="B8" s="5" t="str">
        <f aca="false">IF($A8="","",IF(COUNTIFS('UNL Data'!$A$2:$A$1500,$A8,'UNL Data'!$B$2:$B$1500,"Theta Xi",'UNL Data'!$E$2:$E$1500,"&lt;&gt;")=0,"",SUMIFS('UNL Data'!$E$2:$E$1500,'UNL Data'!$A$2:$A$1500,$A8,'UNL Data'!$B$2:$B$1500,"Theta Xi")))</f>
        <v/>
      </c>
      <c r="C8" s="5" t="n">
        <f aca="false">IF($A8="","",IFERROR(IF(INDEX('UNL Averages'!$C:$C,MATCH($A8,'UNL Averages'!$A:$A,0))="","",INDEX('UNL Averages'!$C:$C,MATCH($A8,'UNL Averages'!$A:$A,0))),""))</f>
        <v>3.439</v>
      </c>
      <c r="D8" s="6" t="str">
        <f aca="false">IF(OR(B8="",C8=""),"",B8-C8)</f>
        <v/>
      </c>
      <c r="E8" s="5" t="n">
        <f aca="false">IF($A8="","",IFERROR(IF(INDEX('UNL Averages'!$B:$B,MATCH($A8,'UNL Averages'!$A:$A,0))="","",INDEX('UNL Averages'!$B:$B,MATCH($A8,'UNL Averages'!$A:$A,0))),""))</f>
        <v>3.365</v>
      </c>
      <c r="F8" s="7" t="str">
        <f aca="false">IF(B8="","",COUNTIFS('UNL Data'!$A$2:$A$1500,$A8,'UNL Data'!$E$2:$E$1500,"&gt;"&amp;B8)+1&amp;" of "&amp;COUNTIFS('UNL Data'!$A$2:$A$1500,$A8,'UNL Data'!$E$2:$E$1500,"&gt;0"))</f>
        <v/>
      </c>
      <c r="G8" s="8" t="n">
        <f aca="false">IF($A8="","",IF(COUNTIFS('UNL Data'!$A$2:$A$1500,$A8,'UNL Data'!$B$2:$B$1500,"Theta Xi",'UNL Data'!$C$2:$C$1500,"&lt;&gt;")=0,"",SUMIFS('UNL Data'!$C$2:$C$1500,'UNL Data'!$A$2:$A$1500,$A8,'UNL Data'!$B$2:$B$1500,"Theta Xi")))</f>
        <v>73</v>
      </c>
      <c r="H8" s="8" t="n">
        <f aca="false">IF($A8="","",IFERROR(AVERAGEIFS('UNL Data'!$C$2:$C$1500,'UNL Data'!$A$2:$A$1500,$A8),""))</f>
        <v>64.75</v>
      </c>
      <c r="I8" s="8" t="str">
        <f aca="false">IF($A8="","",IF(COUNTIFS('UNL Data'!$A$2:$A$1500,$A8,'UNL Data'!$B$2:$B$1500,"Theta Xi",'UNL Data'!$D$2:$D$1500,"&lt;&gt;")=0,"",SUMIFS('UNL Data'!$D$2:$D$1500,'UNL Data'!$A$2:$A$1500,$A8,'UNL Data'!$B$2:$B$1500,"Theta Xi")))</f>
        <v/>
      </c>
      <c r="J8" s="9" t="str">
        <f aca="false">IF($A8="","",IFERROR(AVERAGEIFS('UNL Data'!$D$2:$D$1500,'UNL Data'!$A$2:$A$1500,$A8),""))</f>
        <v/>
      </c>
      <c r="K8" s="7" t="str">
        <f aca="false">IF(I8="","",COUNTIFS('UNL Data'!$A$2:$A$1500,$A8,'UNL Data'!$D$2:$D$1500,"&gt;"&amp;I8)+1&amp;" of "&amp;COUNTIFS('UNL Data'!$A$2:$A$1500,$A8,'UNL Data'!$D$2:$D$1500,"&gt;=0"))</f>
        <v/>
      </c>
    </row>
    <row r="9" customFormat="false" ht="15" hidden="false" customHeight="false" outlineLevel="0" collapsed="false">
      <c r="A9" s="4" t="s">
        <v>17</v>
      </c>
      <c r="B9" s="5" t="n">
        <f aca="false">IF($A9="","",IF(COUNTIFS('UNL Data'!$A$2:$A$1500,$A9,'UNL Data'!$B$2:$B$1500,"Theta Xi",'UNL Data'!$E$2:$E$1500,"&lt;&gt;")=0,"",SUMIFS('UNL Data'!$E$2:$E$1500,'UNL Data'!$A$2:$A$1500,$A9,'UNL Data'!$B$2:$B$1500,"Theta Xi")))</f>
        <v>2.957</v>
      </c>
      <c r="C9" s="5" t="n">
        <f aca="false">IF($A9="","",IFERROR(IF(INDEX('UNL Averages'!$C:$C,MATCH($A9,'UNL Averages'!$A:$A,0))="","",INDEX('UNL Averages'!$C:$C,MATCH($A9,'UNL Averages'!$A:$A,0))),""))</f>
        <v>3.213</v>
      </c>
      <c r="D9" s="6" t="n">
        <f aca="false">IF(OR(B9="",C9=""),"",B9-C9)</f>
        <v>-0.256</v>
      </c>
      <c r="E9" s="5" t="n">
        <f aca="false">IF($A9="","",IFERROR(IF(INDEX('UNL Averages'!$B:$B,MATCH($A9,'UNL Averages'!$A:$A,0))="","",INDEX('UNL Averages'!$B:$B,MATCH($A9,'UNL Averages'!$A:$A,0))),""))</f>
        <v>3.032</v>
      </c>
      <c r="F9" s="7" t="str">
        <f aca="false">IF(B9="","",COUNTIFS('UNL Data'!$A$2:$A$1500,$A9,'UNL Data'!$E$2:$E$1500,"&gt;"&amp;B9)+1&amp;" of "&amp;COUNTIFS('UNL Data'!$A$2:$A$1500,$A9,'UNL Data'!$E$2:$E$1500,"&gt;0"))</f>
        <v>20 of 24</v>
      </c>
      <c r="G9" s="8" t="n">
        <f aca="false">IF($A9="","",IF(COUNTIFS('UNL Data'!$A$2:$A$1500,$A9,'UNL Data'!$B$2:$B$1500,"Theta Xi",'UNL Data'!$C$2:$C$1500,"&lt;&gt;")=0,"",SUMIFS('UNL Data'!$C$2:$C$1500,'UNL Data'!$A$2:$A$1500,$A9,'UNL Data'!$B$2:$B$1500,"Theta Xi")))</f>
        <v>78</v>
      </c>
      <c r="H9" s="8" t="n">
        <f aca="false">IF($A9="","",IFERROR(AVERAGEIFS('UNL Data'!$C$2:$C$1500,'UNL Data'!$A$2:$A$1500,$A9),""))</f>
        <v>72.0384615384615</v>
      </c>
      <c r="I9" s="8" t="n">
        <f aca="false">IF($A9="","",IF(COUNTIFS('UNL Data'!$A$2:$A$1500,$A9,'UNL Data'!$B$2:$B$1500,"Theta Xi",'UNL Data'!$D$2:$D$1500,"&lt;&gt;")=0,"",SUMIFS('UNL Data'!$D$2:$D$1500,'UNL Data'!$A$2:$A$1500,$A9,'UNL Data'!$B$2:$B$1500,"Theta Xi")))</f>
        <v>28</v>
      </c>
      <c r="J9" s="9" t="n">
        <f aca="false">IF($A9="","",IFERROR(AVERAGEIFS('UNL Data'!$D$2:$D$1500,'UNL Data'!$A$2:$A$1500,$A9),""))</f>
        <v>21</v>
      </c>
      <c r="K9" s="7" t="str">
        <f aca="false">IF(I9="","",COUNTIFS('UNL Data'!$A$2:$A$1500,$A9,'UNL Data'!$D$2:$D$1500,"&gt;"&amp;I9)+1&amp;" of "&amp;COUNTIFS('UNL Data'!$A$2:$A$1500,$A9,'UNL Data'!$D$2:$D$1500,"&gt;=0"))</f>
        <v>9 of 26</v>
      </c>
    </row>
    <row r="10" customFormat="false" ht="15" hidden="false" customHeight="false" outlineLevel="0" collapsed="false">
      <c r="A10" s="4" t="s">
        <v>18</v>
      </c>
      <c r="B10" s="5" t="n">
        <f aca="false">IF($A10="","",IF(COUNTIFS('UNL Data'!$A$2:$A$1500,$A10,'UNL Data'!$B$2:$B$1500,"Theta Xi",'UNL Data'!$E$2:$E$1500,"&lt;&gt;")=0,"",SUMIFS('UNL Data'!$E$2:$E$1500,'UNL Data'!$A$2:$A$1500,$A10,'UNL Data'!$B$2:$B$1500,"Theta Xi")))</f>
        <v>3.267</v>
      </c>
      <c r="C10" s="5" t="n">
        <f aca="false">IF($A10="","",IFERROR(IF(INDEX('UNL Averages'!$C:$C,MATCH($A10,'UNL Averages'!$A:$A,0))="","",INDEX('UNL Averages'!$C:$C,MATCH($A10,'UNL Averages'!$A:$A,0))),""))</f>
        <v>3.307</v>
      </c>
      <c r="D10" s="6" t="n">
        <f aca="false">IF(OR(B10="",C10=""),"",B10-C10)</f>
        <v>-0.04</v>
      </c>
      <c r="E10" s="5" t="n">
        <f aca="false">IF($A10="","",IFERROR(IF(INDEX('UNL Averages'!$B:$B,MATCH($A10,'UNL Averages'!$A:$A,0))="","",INDEX('UNL Averages'!$B:$B,MATCH($A10,'UNL Averages'!$A:$A,0))),""))</f>
        <v>3.187</v>
      </c>
      <c r="F10" s="7" t="str">
        <f aca="false">IF(B10="","",COUNTIFS('UNL Data'!$A$2:$A$1500,$A10,'UNL Data'!$E$2:$E$1500,"&gt;"&amp;B10)+1&amp;" of "&amp;COUNTIFS('UNL Data'!$A$2:$A$1500,$A10,'UNL Data'!$E$2:$E$1500,"&gt;0"))</f>
        <v>15 of 26</v>
      </c>
      <c r="G10" s="8" t="n">
        <f aca="false">IF($A10="","",IF(COUNTIFS('UNL Data'!$A$2:$A$1500,$A10,'UNL Data'!$B$2:$B$1500,"Theta Xi",'UNL Data'!$C$2:$C$1500,"&lt;&gt;")=0,"",SUMIFS('UNL Data'!$C$2:$C$1500,'UNL Data'!$A$2:$A$1500,$A10,'UNL Data'!$B$2:$B$1500,"Theta Xi")))</f>
        <v>74</v>
      </c>
      <c r="H10" s="8" t="n">
        <f aca="false">IF($A10="","",IFERROR(AVERAGEIFS('UNL Data'!$C$2:$C$1500,'UNL Data'!$A$2:$A$1500,$A10),""))</f>
        <v>68.7692307692308</v>
      </c>
      <c r="I10" s="8" t="n">
        <f aca="false">IF($A10="","",IF(COUNTIFS('UNL Data'!$A$2:$A$1500,$A10,'UNL Data'!$B$2:$B$1500,"Theta Xi",'UNL Data'!$D$2:$D$1500,"&lt;&gt;")=0,"",SUMIFS('UNL Data'!$D$2:$D$1500,'UNL Data'!$A$2:$A$1500,$A10,'UNL Data'!$B$2:$B$1500,"Theta Xi")))</f>
        <v>10</v>
      </c>
      <c r="J10" s="9" t="n">
        <f aca="false">IF($A10="","",IFERROR(AVERAGEIFS('UNL Data'!$D$2:$D$1500,'UNL Data'!$A$2:$A$1500,$A10),""))</f>
        <v>3.34615384615385</v>
      </c>
      <c r="K10" s="7" t="str">
        <f aca="false">IF(I10="","",COUNTIFS('UNL Data'!$A$2:$A$1500,$A10,'UNL Data'!$D$2:$D$1500,"&gt;"&amp;I10)+1&amp;" of "&amp;COUNTIFS('UNL Data'!$A$2:$A$1500,$A10,'UNL Data'!$D$2:$D$1500,"&gt;=0"))</f>
        <v>2 of 26</v>
      </c>
    </row>
    <row r="11" customFormat="false" ht="15" hidden="false" customHeight="false" outlineLevel="0" collapsed="false">
      <c r="A11" s="4" t="s">
        <v>19</v>
      </c>
      <c r="B11" s="5" t="n">
        <f aca="false">IF($A11="","",IF(COUNTIFS('UNL Data'!$A$2:$A$1500,$A11,'UNL Data'!$B$2:$B$1500,"Theta Xi",'UNL Data'!$E$2:$E$1500,"&lt;&gt;")=0,"",SUMIFS('UNL Data'!$E$2:$E$1500,'UNL Data'!$A$2:$A$1500,$A11,'UNL Data'!$B$2:$B$1500,"Theta Xi")))</f>
        <v>3.167</v>
      </c>
      <c r="C11" s="5" t="n">
        <f aca="false">IF($A11="","",IFERROR(IF(INDEX('UNL Averages'!$C:$C,MATCH($A11,'UNL Averages'!$A:$A,0))="","",INDEX('UNL Averages'!$C:$C,MATCH($A11,'UNL Averages'!$A:$A,0))),""))</f>
        <v>3.221</v>
      </c>
      <c r="D11" s="6" t="n">
        <f aca="false">IF(OR(B11="",C11=""),"",B11-C11)</f>
        <v>-0.0540000000000003</v>
      </c>
      <c r="E11" s="5" t="n">
        <f aca="false">IF($A11="","",IFERROR(IF(INDEX('UNL Averages'!$B:$B,MATCH($A11,'UNL Averages'!$A:$A,0))="","",INDEX('UNL Averages'!$B:$B,MATCH($A11,'UNL Averages'!$A:$A,0))),""))</f>
        <v>3.084</v>
      </c>
      <c r="F11" s="7" t="str">
        <f aca="false">IF(B11="","",COUNTIFS('UNL Data'!$A$2:$A$1500,$A11,'UNL Data'!$E$2:$E$1500,"&gt;"&amp;B11)+1&amp;" of "&amp;COUNTIFS('UNL Data'!$A$2:$A$1500,$A11,'UNL Data'!$E$2:$E$1500,"&gt;0"))</f>
        <v>14 of 25</v>
      </c>
      <c r="G11" s="8" t="n">
        <f aca="false">IF($A11="","",IF(COUNTIFS('UNL Data'!$A$2:$A$1500,$A11,'UNL Data'!$B$2:$B$1500,"Theta Xi",'UNL Data'!$C$2:$C$1500,"&lt;&gt;")=0,"",SUMIFS('UNL Data'!$C$2:$C$1500,'UNL Data'!$A$2:$A$1500,$A11,'UNL Data'!$B$2:$B$1500,"Theta Xi")))</f>
        <v>74</v>
      </c>
      <c r="H11" s="8" t="n">
        <f aca="false">IF($A11="","",IFERROR(AVERAGEIFS('UNL Data'!$C$2:$C$1500,'UNL Data'!$A$2:$A$1500,$A11),""))</f>
        <v>70.36</v>
      </c>
      <c r="I11" s="8" t="n">
        <f aca="false">IF($A11="","",IF(COUNTIFS('UNL Data'!$A$2:$A$1500,$A11,'UNL Data'!$B$2:$B$1500,"Theta Xi",'UNL Data'!$D$2:$D$1500,"&lt;&gt;")=0,"",SUMIFS('UNL Data'!$D$2:$D$1500,'UNL Data'!$A$2:$A$1500,$A11,'UNL Data'!$B$2:$B$1500,"Theta Xi")))</f>
        <v>14</v>
      </c>
      <c r="J11" s="9" t="n">
        <f aca="false">IF($A11="","",IFERROR(AVERAGEIFS('UNL Data'!$D$2:$D$1500,'UNL Data'!$A$2:$A$1500,$A11),""))</f>
        <v>21</v>
      </c>
      <c r="K11" s="7" t="str">
        <f aca="false">IF(I11="","",COUNTIFS('UNL Data'!$A$2:$A$1500,$A11,'UNL Data'!$D$2:$D$1500,"&gt;"&amp;I11)+1&amp;" of "&amp;COUNTIFS('UNL Data'!$A$2:$A$1500,$A11,'UNL Data'!$D$2:$D$1500,"&gt;=0"))</f>
        <v>16 of 25</v>
      </c>
    </row>
    <row r="12" customFormat="false" ht="15" hidden="false" customHeight="false" outlineLevel="0" collapsed="false">
      <c r="A12" s="4" t="s">
        <v>20</v>
      </c>
      <c r="B12" s="5" t="n">
        <f aca="false">IF($A12="","",IF(COUNTIFS('UNL Data'!$A$2:$A$1500,$A12,'UNL Data'!$B$2:$B$1500,"Theta Xi",'UNL Data'!$E$2:$E$1500,"&lt;&gt;")=0,"",SUMIFS('UNL Data'!$E$2:$E$1500,'UNL Data'!$A$2:$A$1500,$A12,'UNL Data'!$B$2:$B$1500,"Theta Xi")))</f>
        <v>3.316</v>
      </c>
      <c r="C12" s="5" t="n">
        <f aca="false">IF($A12="","",IFERROR(IF(INDEX('UNL Averages'!$C:$C,MATCH($A12,'UNL Averages'!$A:$A,0))="","",INDEX('UNL Averages'!$C:$C,MATCH($A12,'UNL Averages'!$A:$A,0))),""))</f>
        <v>3.29</v>
      </c>
      <c r="D12" s="6" t="n">
        <f aca="false">IF(OR(B12="",C12=""),"",B12-C12)</f>
        <v>0.0259999999999998</v>
      </c>
      <c r="E12" s="5" t="n">
        <f aca="false">IF($A12="","",IFERROR(IF(INDEX('UNL Averages'!$B:$B,MATCH($A12,'UNL Averages'!$A:$A,0))="","",INDEX('UNL Averages'!$B:$B,MATCH($A12,'UNL Averages'!$A:$A,0))),""))</f>
        <v>3.161</v>
      </c>
      <c r="F12" s="7" t="str">
        <f aca="false">IF(B12="","",COUNTIFS('UNL Data'!$A$2:$A$1500,$A12,'UNL Data'!$E$2:$E$1500,"&gt;"&amp;B12)+1&amp;" of "&amp;COUNTIFS('UNL Data'!$A$2:$A$1500,$A12,'UNL Data'!$E$2:$E$1500,"&gt;0"))</f>
        <v>10 of 25</v>
      </c>
      <c r="G12" s="8" t="n">
        <f aca="false">IF($A12="","",IF(COUNTIFS('UNL Data'!$A$2:$A$1500,$A12,'UNL Data'!$B$2:$B$1500,"Theta Xi",'UNL Data'!$C$2:$C$1500,"&lt;&gt;")=0,"",SUMIFS('UNL Data'!$C$2:$C$1500,'UNL Data'!$A$2:$A$1500,$A12,'UNL Data'!$B$2:$B$1500,"Theta Xi")))</f>
        <v>68</v>
      </c>
      <c r="H12" s="8" t="n">
        <f aca="false">IF($A12="","",IFERROR(AVERAGEIFS('UNL Data'!$C$2:$C$1500,'UNL Data'!$A$2:$A$1500,$A12),""))</f>
        <v>68.56</v>
      </c>
      <c r="I12" s="8" t="str">
        <f aca="false">IF($A12="","",IF(COUNTIFS('UNL Data'!$A$2:$A$1500,$A12,'UNL Data'!$B$2:$B$1500,"Theta Xi",'UNL Data'!$D$2:$D$1500,"&lt;&gt;")=0,"",SUMIFS('UNL Data'!$D$2:$D$1500,'UNL Data'!$A$2:$A$1500,$A12,'UNL Data'!$B$2:$B$1500,"Theta Xi")))</f>
        <v/>
      </c>
      <c r="J12" s="9" t="str">
        <f aca="false">IF($A12="","",IFERROR(AVERAGEIFS('UNL Data'!$D$2:$D$1500,'UNL Data'!$A$2:$A$1500,$A12),""))</f>
        <v/>
      </c>
      <c r="K12" s="7" t="str">
        <f aca="false">IF(I12="","",COUNTIFS('UNL Data'!$A$2:$A$1500,$A12,'UNL Data'!$D$2:$D$1500,"&gt;"&amp;I12)+1&amp;" of "&amp;COUNTIFS('UNL Data'!$A$2:$A$1500,$A12,'UNL Data'!$D$2:$D$1500,"&gt;=0"))</f>
        <v/>
      </c>
    </row>
    <row r="13" customFormat="false" ht="15" hidden="false" customHeight="false" outlineLevel="0" collapsed="false">
      <c r="A13" s="4" t="s">
        <v>21</v>
      </c>
      <c r="B13" s="5" t="n">
        <f aca="false">IF($A13="","",IF(COUNTIFS('UNL Data'!$A$2:$A$1500,$A13,'UNL Data'!$B$2:$B$1500,"Theta Xi",'UNL Data'!$E$2:$E$1500,"&lt;&gt;")=0,"",SUMIFS('UNL Data'!$E$2:$E$1500,'UNL Data'!$A$2:$A$1500,$A13,'UNL Data'!$B$2:$B$1500,"Theta Xi")))</f>
        <v>3.096</v>
      </c>
      <c r="C13" s="5" t="n">
        <f aca="false">IF($A13="","",IFERROR(IF(INDEX('UNL Averages'!$C:$C,MATCH($A13,'UNL Averages'!$A:$A,0))="","",INDEX('UNL Averages'!$C:$C,MATCH($A13,'UNL Averages'!$A:$A,0))),""))</f>
        <v>3.265</v>
      </c>
      <c r="D13" s="6" t="n">
        <f aca="false">IF(OR(B13="",C13=""),"",B13-C13)</f>
        <v>-0.169</v>
      </c>
      <c r="E13" s="5" t="n">
        <f aca="false">IF($A13="","",IFERROR(IF(INDEX('UNL Averages'!$B:$B,MATCH($A13,'UNL Averages'!$A:$A,0))="","",INDEX('UNL Averages'!$B:$B,MATCH($A13,'UNL Averages'!$A:$A,0))),""))</f>
        <v>3.131</v>
      </c>
      <c r="F13" s="7" t="str">
        <f aca="false">IF(B13="","",COUNTIFS('UNL Data'!$A$2:$A$1500,$A13,'UNL Data'!$E$2:$E$1500,"&gt;"&amp;B13)+1&amp;" of "&amp;COUNTIFS('UNL Data'!$A$2:$A$1500,$A13,'UNL Data'!$E$2:$E$1500,"&gt;0"))</f>
        <v>18 of 24</v>
      </c>
      <c r="G13" s="8" t="n">
        <f aca="false">IF($A13="","",IF(COUNTIFS('UNL Data'!$A$2:$A$1500,$A13,'UNL Data'!$B$2:$B$1500,"Theta Xi",'UNL Data'!$C$2:$C$1500,"&lt;&gt;")=0,"",SUMIFS('UNL Data'!$C$2:$C$1500,'UNL Data'!$A$2:$A$1500,$A13,'UNL Data'!$B$2:$B$1500,"Theta Xi")))</f>
        <v>71</v>
      </c>
      <c r="H13" s="8" t="n">
        <f aca="false">IF($A13="","",IFERROR(AVERAGEIFS('UNL Data'!$C$2:$C$1500,'UNL Data'!$A$2:$A$1500,$A13),""))</f>
        <v>74.25</v>
      </c>
      <c r="I13" s="8" t="n">
        <f aca="false">IF($A13="","",IF(COUNTIFS('UNL Data'!$A$2:$A$1500,$A13,'UNL Data'!$B$2:$B$1500,"Theta Xi",'UNL Data'!$D$2:$D$1500,"&lt;&gt;")=0,"",SUMIFS('UNL Data'!$D$2:$D$1500,'UNL Data'!$A$2:$A$1500,$A13,'UNL Data'!$B$2:$B$1500,"Theta Xi")))</f>
        <v>17</v>
      </c>
      <c r="J13" s="9" t="n">
        <f aca="false">IF($A13="","",IFERROR(AVERAGEIFS('UNL Data'!$D$2:$D$1500,'UNL Data'!$A$2:$A$1500,$A13),""))</f>
        <v>19.7916666666667</v>
      </c>
      <c r="K13" s="7" t="str">
        <f aca="false">IF(I13="","",COUNTIFS('UNL Data'!$A$2:$A$1500,$A13,'UNL Data'!$D$2:$D$1500,"&gt;"&amp;I13)+1&amp;" of "&amp;COUNTIFS('UNL Data'!$A$2:$A$1500,$A13,'UNL Data'!$D$2:$D$1500,"&gt;=0"))</f>
        <v>14 of 24</v>
      </c>
    </row>
    <row r="14" customFormat="false" ht="15" hidden="false" customHeight="false" outlineLevel="0" collapsed="false">
      <c r="A14" s="4" t="s">
        <v>22</v>
      </c>
      <c r="B14" s="5" t="n">
        <f aca="false">IF($A14="","",IF(COUNTIFS('UNL Data'!$A$2:$A$1500,$A14,'UNL Data'!$B$2:$B$1500,"Theta Xi",'UNL Data'!$E$2:$E$1500,"&lt;&gt;")=0,"",SUMIFS('UNL Data'!$E$2:$E$1500,'UNL Data'!$A$2:$A$1500,$A14,'UNL Data'!$B$2:$B$1500,"Theta Xi")))</f>
        <v>3.121</v>
      </c>
      <c r="C14" s="5" t="n">
        <f aca="false">IF($A14="","",IFERROR(IF(INDEX('UNL Averages'!$C:$C,MATCH($A14,'UNL Averages'!$A:$A,0))="","",INDEX('UNL Averages'!$C:$C,MATCH($A14,'UNL Averages'!$A:$A,0))),""))</f>
        <v>3.337</v>
      </c>
      <c r="D14" s="6" t="n">
        <f aca="false">IF(OR(B14="",C14=""),"",B14-C14)</f>
        <v>-0.216</v>
      </c>
      <c r="E14" s="5" t="n">
        <f aca="false">IF($A14="","",IFERROR(IF(INDEX('UNL Averages'!$B:$B,MATCH($A14,'UNL Averages'!$A:$A,0))="","",INDEX('UNL Averages'!$B:$B,MATCH($A14,'UNL Averages'!$A:$A,0))),""))</f>
        <v>3.198</v>
      </c>
      <c r="F14" s="7" t="str">
        <f aca="false">IF(B14="","",COUNTIFS('UNL Data'!$A$2:$A$1500,$A14,'UNL Data'!$E$2:$E$1500,"&gt;"&amp;B14)+1&amp;" of "&amp;COUNTIFS('UNL Data'!$A$2:$A$1500,$A14,'UNL Data'!$E$2:$E$1500,"&gt;0"))</f>
        <v>19 of 25</v>
      </c>
      <c r="G14" s="8" t="n">
        <f aca="false">IF($A14="","",IF(COUNTIFS('UNL Data'!$A$2:$A$1500,$A14,'UNL Data'!$B$2:$B$1500,"Theta Xi",'UNL Data'!$C$2:$C$1500,"&lt;&gt;")=0,"",SUMIFS('UNL Data'!$C$2:$C$1500,'UNL Data'!$A$2:$A$1500,$A14,'UNL Data'!$B$2:$B$1500,"Theta Xi")))</f>
        <v>71</v>
      </c>
      <c r="H14" s="8" t="n">
        <f aca="false">IF($A14="","",IFERROR(AVERAGEIFS('UNL Data'!$C$2:$C$1500,'UNL Data'!$A$2:$A$1500,$A14),""))</f>
        <v>67.72</v>
      </c>
      <c r="I14" s="8" t="n">
        <f aca="false">IF($A14="","",IF(COUNTIFS('UNL Data'!$A$2:$A$1500,$A14,'UNL Data'!$B$2:$B$1500,"Theta Xi",'UNL Data'!$D$2:$D$1500,"&lt;&gt;")=0,"",SUMIFS('UNL Data'!$D$2:$D$1500,'UNL Data'!$A$2:$A$1500,$A14,'UNL Data'!$B$2:$B$1500,"Theta Xi")))</f>
        <v>6</v>
      </c>
      <c r="J14" s="9" t="n">
        <f aca="false">IF($A14="","",IFERROR(AVERAGEIFS('UNL Data'!$D$2:$D$1500,'UNL Data'!$A$2:$A$1500,$A14),""))</f>
        <v>5.94117647058824</v>
      </c>
      <c r="K14" s="7" t="str">
        <f aca="false">IF(I14="","",COUNTIFS('UNL Data'!$A$2:$A$1500,$A14,'UNL Data'!$D$2:$D$1500,"&gt;"&amp;I14)+1&amp;" of "&amp;COUNTIFS('UNL Data'!$A$2:$A$1500,$A14,'UNL Data'!$D$2:$D$1500,"&gt;=0"))</f>
        <v>6 of 17</v>
      </c>
    </row>
    <row r="15" customFormat="false" ht="15" hidden="false" customHeight="false" outlineLevel="0" collapsed="false">
      <c r="A15" s="4" t="s">
        <v>23</v>
      </c>
      <c r="B15" s="5" t="n">
        <f aca="false">IF($A15="","",IF(COUNTIFS('UNL Data'!$A$2:$A$1500,$A15,'UNL Data'!$B$2:$B$1500,"Theta Xi",'UNL Data'!$E$2:$E$1500,"&lt;&gt;")=0,"",SUMIFS('UNL Data'!$E$2:$E$1500,'UNL Data'!$A$2:$A$1500,$A15,'UNL Data'!$B$2:$B$1500,"Theta Xi")))</f>
        <v>2.997</v>
      </c>
      <c r="C15" s="5" t="n">
        <f aca="false">IF($A15="","",IFERROR(IF(INDEX('UNL Averages'!$C:$C,MATCH($A15,'UNL Averages'!$A:$A,0))="","",INDEX('UNL Averages'!$C:$C,MATCH($A15,'UNL Averages'!$A:$A,0))),""))</f>
        <v>3.257</v>
      </c>
      <c r="D15" s="6" t="n">
        <f aca="false">IF(OR(B15="",C15=""),"",B15-C15)</f>
        <v>-0.26</v>
      </c>
      <c r="E15" s="5" t="n">
        <f aca="false">IF($A15="","",IFERROR(IF(INDEX('UNL Averages'!$B:$B,MATCH($A15,'UNL Averages'!$A:$A,0))="","",INDEX('UNL Averages'!$B:$B,MATCH($A15,'UNL Averages'!$A:$A,0))),""))</f>
        <v>3.132</v>
      </c>
      <c r="F15" s="7" t="str">
        <f aca="false">IF(B15="","",COUNTIFS('UNL Data'!$A$2:$A$1500,$A15,'UNL Data'!$E$2:$E$1500,"&gt;"&amp;B15)+1&amp;" of "&amp;COUNTIFS('UNL Data'!$A$2:$A$1500,$A15,'UNL Data'!$E$2:$E$1500,"&gt;0"))</f>
        <v>19 of 25</v>
      </c>
      <c r="G15" s="8" t="n">
        <f aca="false">IF($A15="","",IF(COUNTIFS('UNL Data'!$A$2:$A$1500,$A15,'UNL Data'!$B$2:$B$1500,"Theta Xi",'UNL Data'!$C$2:$C$1500,"&lt;&gt;")=0,"",SUMIFS('UNL Data'!$C$2:$C$1500,'UNL Data'!$A$2:$A$1500,$A15,'UNL Data'!$B$2:$B$1500,"Theta Xi")))</f>
        <v>60</v>
      </c>
      <c r="H15" s="8" t="n">
        <f aca="false">IF($A15="","",IFERROR(AVERAGEIFS('UNL Data'!$C$2:$C$1500,'UNL Data'!$A$2:$A$1500,$A15),""))</f>
        <v>72.32</v>
      </c>
      <c r="I15" s="8" t="str">
        <f aca="false">IF($A15="","",IF(COUNTIFS('UNL Data'!$A$2:$A$1500,$A15,'UNL Data'!$B$2:$B$1500,"Theta Xi",'UNL Data'!$D$2:$D$1500,"&lt;&gt;")=0,"",SUMIFS('UNL Data'!$D$2:$D$1500,'UNL Data'!$A$2:$A$1500,$A15,'UNL Data'!$B$2:$B$1500,"Theta Xi")))</f>
        <v/>
      </c>
      <c r="J15" s="9" t="str">
        <f aca="false">IF($A15="","",IFERROR(AVERAGEIFS('UNL Data'!$D$2:$D$1500,'UNL Data'!$A$2:$A$1500,$A15),""))</f>
        <v/>
      </c>
      <c r="K15" s="7" t="str">
        <f aca="false">IF(I15="","",COUNTIFS('UNL Data'!$A$2:$A$1500,$A15,'UNL Data'!$D$2:$D$1500,"&gt;"&amp;I15)+1&amp;" of "&amp;COUNTIFS('UNL Data'!$A$2:$A$1500,$A15,'UNL Data'!$D$2:$D$1500,"&gt;=0"))</f>
        <v/>
      </c>
    </row>
    <row r="16" customFormat="false" ht="15" hidden="false" customHeight="false" outlineLevel="0" collapsed="false">
      <c r="A16" s="4" t="s">
        <v>24</v>
      </c>
      <c r="B16" s="5" t="n">
        <f aca="false">IF($A16="","",IF(COUNTIFS('UNL Data'!$A$2:$A$1500,$A16,'UNL Data'!$B$2:$B$1500,"Theta Xi",'UNL Data'!$E$2:$E$1500,"&lt;&gt;")=0,"",SUMIFS('UNL Data'!$E$2:$E$1500,'UNL Data'!$A$2:$A$1500,$A16,'UNL Data'!$B$2:$B$1500,"Theta Xi")))</f>
        <v>3.321</v>
      </c>
      <c r="C16" s="5" t="n">
        <f aca="false">IF($A16="","",IFERROR(IF(INDEX('UNL Averages'!$C:$C,MATCH($A16,'UNL Averages'!$A:$A,0))="","",INDEX('UNL Averages'!$C:$C,MATCH($A16,'UNL Averages'!$A:$A,0))),""))</f>
        <v>3.328</v>
      </c>
      <c r="D16" s="6" t="n">
        <f aca="false">IF(OR(B16="",C16=""),"",B16-C16)</f>
        <v>-0.00699999999999967</v>
      </c>
      <c r="E16" s="5" t="n">
        <f aca="false">IF($A16="","",IFERROR(IF(INDEX('UNL Averages'!$B:$B,MATCH($A16,'UNL Averages'!$A:$A,0))="","",INDEX('UNL Averages'!$B:$B,MATCH($A16,'UNL Averages'!$A:$A,0))),""))</f>
        <v>3.208</v>
      </c>
      <c r="F16" s="7" t="str">
        <f aca="false">IF(B16="","",COUNTIFS('UNL Data'!$A$2:$A$1500,$A16,'UNL Data'!$E$2:$E$1500,"&gt;"&amp;B16)+1&amp;" of "&amp;COUNTIFS('UNL Data'!$A$2:$A$1500,$A16,'UNL Data'!$E$2:$E$1500,"&gt;0"))</f>
        <v>11 of 25</v>
      </c>
      <c r="G16" s="8" t="n">
        <f aca="false">IF($A16="","",IF(COUNTIFS('UNL Data'!$A$2:$A$1500,$A16,'UNL Data'!$B$2:$B$1500,"Theta Xi",'UNL Data'!$C$2:$C$1500,"&lt;&gt;")=0,"",SUMIFS('UNL Data'!$C$2:$C$1500,'UNL Data'!$A$2:$A$1500,$A16,'UNL Data'!$B$2:$B$1500,"Theta Xi")))</f>
        <v>48</v>
      </c>
      <c r="H16" s="8" t="n">
        <f aca="false">IF($A16="","",IFERROR(AVERAGEIFS('UNL Data'!$C$2:$C$1500,'UNL Data'!$A$2:$A$1500,$A16),""))</f>
        <v>70.36</v>
      </c>
      <c r="I16" s="8" t="n">
        <f aca="false">IF($A16="","",IF(COUNTIFS('UNL Data'!$A$2:$A$1500,$A16,'UNL Data'!$B$2:$B$1500,"Theta Xi",'UNL Data'!$D$2:$D$1500,"&lt;&gt;")=0,"",SUMIFS('UNL Data'!$D$2:$D$1500,'UNL Data'!$A$2:$A$1500,$A16,'UNL Data'!$B$2:$B$1500,"Theta Xi")))</f>
        <v>5</v>
      </c>
      <c r="J16" s="9" t="n">
        <f aca="false">IF($A16="","",IFERROR(AVERAGEIFS('UNL Data'!$D$2:$D$1500,'UNL Data'!$A$2:$A$1500,$A16),""))</f>
        <v>3.8</v>
      </c>
      <c r="K16" s="7" t="str">
        <f aca="false">IF(I16="","",COUNTIFS('UNL Data'!$A$2:$A$1500,$A16,'UNL Data'!$D$2:$D$1500,"&gt;"&amp;I16)+1&amp;" of "&amp;COUNTIFS('UNL Data'!$A$2:$A$1500,$A16,'UNL Data'!$D$2:$D$1500,"&gt;=0"))</f>
        <v>5 of 25</v>
      </c>
    </row>
    <row r="17" customFormat="false" ht="15" hidden="false" customHeight="false" outlineLevel="0" collapsed="false">
      <c r="A17" s="4" t="s">
        <v>25</v>
      </c>
      <c r="B17" s="5" t="n">
        <f aca="false">IF($A17="","",IF(COUNTIFS('UNL Data'!$A$2:$A$1500,$A17,'UNL Data'!$B$2:$B$1500,"Theta Xi",'UNL Data'!$E$2:$E$1500,"&lt;&gt;")=0,"",SUMIFS('UNL Data'!$E$2:$E$1500,'UNL Data'!$A$2:$A$1500,$A17,'UNL Data'!$B$2:$B$1500,"Theta Xi")))</f>
        <v>3.216</v>
      </c>
      <c r="C17" s="5" t="n">
        <f aca="false">IF($A17="","",IFERROR(IF(INDEX('UNL Averages'!$C:$C,MATCH($A17,'UNL Averages'!$A:$A,0))="","",INDEX('UNL Averages'!$C:$C,MATCH($A17,'UNL Averages'!$A:$A,0))),""))</f>
        <v>3.35</v>
      </c>
      <c r="D17" s="6" t="n">
        <f aca="false">IF(OR(B17="",C17=""),"",B17-C17)</f>
        <v>-0.134</v>
      </c>
      <c r="E17" s="5" t="n">
        <f aca="false">IF($A17="","",IFERROR(IF(INDEX('UNL Averages'!$B:$B,MATCH($A17,'UNL Averages'!$A:$A,0))="","",INDEX('UNL Averages'!$B:$B,MATCH($A17,'UNL Averages'!$A:$A,0))),""))</f>
        <v>3.187</v>
      </c>
      <c r="F17" s="7" t="str">
        <f aca="false">IF(B17="","",COUNTIFS('UNL Data'!$A$2:$A$1500,$A17,'UNL Data'!$E$2:$E$1500,"&gt;"&amp;B17)+1&amp;" of "&amp;COUNTIFS('UNL Data'!$A$2:$A$1500,$A17,'UNL Data'!$E$2:$E$1500,"&gt;0"))</f>
        <v>16 of 25</v>
      </c>
      <c r="G17" s="8" t="n">
        <f aca="false">IF($A17="","",IF(COUNTIFS('UNL Data'!$A$2:$A$1500,$A17,'UNL Data'!$B$2:$B$1500,"Theta Xi",'UNL Data'!$C$2:$C$1500,"&lt;&gt;")=0,"",SUMIFS('UNL Data'!$C$2:$C$1500,'UNL Data'!$A$2:$A$1500,$A17,'UNL Data'!$B$2:$B$1500,"Theta Xi")))</f>
        <v>48</v>
      </c>
      <c r="H17" s="8" t="n">
        <f aca="false">IF($A17="","",IFERROR(AVERAGEIFS('UNL Data'!$C$2:$C$1500,'UNL Data'!$A$2:$A$1500,$A17),""))</f>
        <v>73.2307692307692</v>
      </c>
      <c r="I17" s="8" t="n">
        <f aca="false">IF($A17="","",IF(COUNTIFS('UNL Data'!$A$2:$A$1500,$A17,'UNL Data'!$B$2:$B$1500,"Theta Xi",'UNL Data'!$D$2:$D$1500,"&lt;&gt;")=0,"",SUMIFS('UNL Data'!$D$2:$D$1500,'UNL Data'!$A$2:$A$1500,$A17,'UNL Data'!$B$2:$B$1500,"Theta Xi")))</f>
        <v>12</v>
      </c>
      <c r="J17" s="9" t="n">
        <f aca="false">IF($A17="","",IFERROR(AVERAGEIFS('UNL Data'!$D$2:$D$1500,'UNL Data'!$A$2:$A$1500,$A17),""))</f>
        <v>21.2692307692308</v>
      </c>
      <c r="K17" s="7" t="str">
        <f aca="false">IF(I17="","",COUNTIFS('UNL Data'!$A$2:$A$1500,$A17,'UNL Data'!$D$2:$D$1500,"&gt;"&amp;I17)+1&amp;" of "&amp;COUNTIFS('UNL Data'!$A$2:$A$1500,$A17,'UNL Data'!$D$2:$D$1500,"&gt;=0"))</f>
        <v>16 of 26</v>
      </c>
    </row>
    <row r="18" customFormat="false" ht="15" hidden="false" customHeight="false" outlineLevel="0" collapsed="false">
      <c r="A18" s="4" t="s">
        <v>26</v>
      </c>
      <c r="B18" s="5" t="n">
        <f aca="false">IF($A18="","",IF(COUNTIFS('UNL Data'!$A$2:$A$1500,$A18,'UNL Data'!$B$2:$B$1500,"Theta Xi",'UNL Data'!$E$2:$E$1500,"&lt;&gt;")=0,"",SUMIFS('UNL Data'!$E$2:$E$1500,'UNL Data'!$A$2:$A$1500,$A18,'UNL Data'!$B$2:$B$1500,"Theta Xi")))</f>
        <v>3.053</v>
      </c>
      <c r="C18" s="5" t="n">
        <f aca="false">IF($A18="","",IFERROR(IF(INDEX('UNL Averages'!$C:$C,MATCH($A18,'UNL Averages'!$A:$A,0))="","",INDEX('UNL Averages'!$C:$C,MATCH($A18,'UNL Averages'!$A:$A,0))),""))</f>
        <v>3.367</v>
      </c>
      <c r="D18" s="6" t="n">
        <f aca="false">IF(OR(B18="",C18=""),"",B18-C18)</f>
        <v>-0.314</v>
      </c>
      <c r="E18" s="5" t="n">
        <f aca="false">IF($A18="","",IFERROR(IF(INDEX('UNL Averages'!$B:$B,MATCH($A18,'UNL Averages'!$A:$A,0))="","",INDEX('UNL Averages'!$B:$B,MATCH($A18,'UNL Averages'!$A:$A,0))),""))</f>
        <v>3.22</v>
      </c>
      <c r="F18" s="7" t="str">
        <f aca="false">IF(B18="","",COUNTIFS('UNL Data'!$A$2:$A$1500,$A18,'UNL Data'!$E$2:$E$1500,"&gt;"&amp;B18)+1&amp;" of "&amp;COUNTIFS('UNL Data'!$A$2:$A$1500,$A18,'UNL Data'!$E$2:$E$1500,"&gt;0"))</f>
        <v>20 of 24</v>
      </c>
      <c r="G18" s="8" t="n">
        <f aca="false">IF($A18="","",IF(COUNTIFS('UNL Data'!$A$2:$A$1500,$A18,'UNL Data'!$B$2:$B$1500,"Theta Xi",'UNL Data'!$C$2:$C$1500,"&lt;&gt;")=0,"",SUMIFS('UNL Data'!$C$2:$C$1500,'UNL Data'!$A$2:$A$1500,$A18,'UNL Data'!$B$2:$B$1500,"Theta Xi")))</f>
        <v>48</v>
      </c>
      <c r="H18" s="8" t="n">
        <f aca="false">IF($A18="","",IFERROR(AVERAGEIFS('UNL Data'!$C$2:$C$1500,'UNL Data'!$A$2:$A$1500,$A18),""))</f>
        <v>78.4166666666667</v>
      </c>
      <c r="I18" s="8" t="n">
        <f aca="false">IF($A18="","",IF(COUNTIFS('UNL Data'!$A$2:$A$1500,$A18,'UNL Data'!$B$2:$B$1500,"Theta Xi",'UNL Data'!$D$2:$D$1500,"&lt;&gt;")=0,"",SUMIFS('UNL Data'!$D$2:$D$1500,'UNL Data'!$A$2:$A$1500,$A18,'UNL Data'!$B$2:$B$1500,"Theta Xi")))</f>
        <v>3</v>
      </c>
      <c r="J18" s="9" t="n">
        <f aca="false">IF($A18="","",IFERROR(AVERAGEIFS('UNL Data'!$D$2:$D$1500,'UNL Data'!$A$2:$A$1500,$A18),""))</f>
        <v>4.79166666666667</v>
      </c>
      <c r="K18" s="7" t="str">
        <f aca="false">IF(I18="","",COUNTIFS('UNL Data'!$A$2:$A$1500,$A18,'UNL Data'!$D$2:$D$1500,"&gt;"&amp;I18)+1&amp;" of "&amp;COUNTIFS('UNL Data'!$A$2:$A$1500,$A18,'UNL Data'!$D$2:$D$1500,"&gt;=0"))</f>
        <v>16 of 24</v>
      </c>
    </row>
    <row r="19" customFormat="false" ht="15" hidden="false" customHeight="false" outlineLevel="0" collapsed="false">
      <c r="A19" s="4" t="s">
        <v>27</v>
      </c>
      <c r="B19" s="5" t="n">
        <f aca="false">IF($A19="","",IF(COUNTIFS('UNL Data'!$A$2:$A$1500,$A19,'UNL Data'!$B$2:$B$1500,"Theta Xi",'UNL Data'!$E$2:$E$1500,"&lt;&gt;")=0,"",SUMIFS('UNL Data'!$E$2:$E$1500,'UNL Data'!$A$2:$A$1500,$A19,'UNL Data'!$B$2:$B$1500,"Theta Xi")))</f>
        <v>3.033</v>
      </c>
      <c r="C19" s="5" t="n">
        <f aca="false">IF($A19="","",IFERROR(IF(INDEX('UNL Averages'!$C:$C,MATCH($A19,'UNL Averages'!$A:$A,0))="","",INDEX('UNL Averages'!$C:$C,MATCH($A19,'UNL Averages'!$A:$A,0))),""))</f>
        <v>3.316</v>
      </c>
      <c r="D19" s="6" t="n">
        <f aca="false">IF(OR(B19="",C19=""),"",B19-C19)</f>
        <v>-0.283</v>
      </c>
      <c r="E19" s="5" t="n">
        <f aca="false">IF($A19="","",IFERROR(IF(INDEX('UNL Averages'!$B:$B,MATCH($A19,'UNL Averages'!$A:$A,0))="","",INDEX('UNL Averages'!$B:$B,MATCH($A19,'UNL Averages'!$A:$A,0))),""))</f>
        <v>3.196</v>
      </c>
      <c r="F19" s="7" t="str">
        <f aca="false">IF(B19="","",COUNTIFS('UNL Data'!$A$2:$A$1500,$A19,'UNL Data'!$E$2:$E$1500,"&gt;"&amp;B19)+1&amp;" of "&amp;COUNTIFS('UNL Data'!$A$2:$A$1500,$A19,'UNL Data'!$E$2:$E$1500,"&gt;0"))</f>
        <v>19 of 25</v>
      </c>
      <c r="G19" s="8" t="n">
        <f aca="false">IF($A19="","",IF(COUNTIFS('UNL Data'!$A$2:$A$1500,$A19,'UNL Data'!$B$2:$B$1500,"Theta Xi",'UNL Data'!$C$2:$C$1500,"&lt;&gt;")=0,"",SUMIFS('UNL Data'!$C$2:$C$1500,'UNL Data'!$A$2:$A$1500,$A19,'UNL Data'!$B$2:$B$1500,"Theta Xi")))</f>
        <v>44</v>
      </c>
      <c r="H19" s="8" t="n">
        <f aca="false">IF($A19="","",IFERROR(AVERAGEIFS('UNL Data'!$C$2:$C$1500,'UNL Data'!$A$2:$A$1500,$A19),""))</f>
        <v>79.2</v>
      </c>
      <c r="I19" s="8" t="n">
        <f aca="false">IF($A19="","",IF(COUNTIFS('UNL Data'!$A$2:$A$1500,$A19,'UNL Data'!$B$2:$B$1500,"Theta Xi",'UNL Data'!$D$2:$D$1500,"&lt;&gt;")=0,"",SUMIFS('UNL Data'!$D$2:$D$1500,'UNL Data'!$A$2:$A$1500,$A19,'UNL Data'!$B$2:$B$1500,"Theta Xi")))</f>
        <v>12</v>
      </c>
      <c r="J19" s="9" t="n">
        <f aca="false">IF($A19="","",IFERROR(AVERAGEIFS('UNL Data'!$D$2:$D$1500,'UNL Data'!$A$2:$A$1500,$A19),""))</f>
        <v>22.04</v>
      </c>
      <c r="K19" s="7" t="str">
        <f aca="false">IF(I19="","",COUNTIFS('UNL Data'!$A$2:$A$1500,$A19,'UNL Data'!$D$2:$D$1500,"&gt;"&amp;I19)+1&amp;" of "&amp;COUNTIFS('UNL Data'!$A$2:$A$1500,$A19,'UNL Data'!$D$2:$D$1500,"&gt;=0"))</f>
        <v>17 of 25</v>
      </c>
    </row>
    <row r="20" customFormat="false" ht="15" hidden="false" customHeight="false" outlineLevel="0" collapsed="false">
      <c r="A20" s="4" t="s">
        <v>28</v>
      </c>
      <c r="B20" s="5" t="n">
        <f aca="false">IF($A20="","",IF(COUNTIFS('UNL Data'!$A$2:$A$1500,$A20,'UNL Data'!$B$2:$B$1500,"Theta Xi",'UNL Data'!$E$2:$E$1500,"&lt;&gt;")=0,"",SUMIFS('UNL Data'!$E$2:$E$1500,'UNL Data'!$A$2:$A$1500,$A20,'UNL Data'!$B$2:$B$1500,"Theta Xi")))</f>
        <v>3.163</v>
      </c>
      <c r="C20" s="5" t="n">
        <f aca="false">IF($A20="","",IFERROR(IF(INDEX('UNL Averages'!$C:$C,MATCH($A20,'UNL Averages'!$A:$A,0))="","",INDEX('UNL Averages'!$C:$C,MATCH($A20,'UNL Averages'!$A:$A,0))),""))</f>
        <v>3.384</v>
      </c>
      <c r="D20" s="6" t="n">
        <f aca="false">IF(OR(B20="",C20=""),"",B20-C20)</f>
        <v>-0.221</v>
      </c>
      <c r="E20" s="5" t="n">
        <f aca="false">IF($A20="","",IFERROR(IF(INDEX('UNL Averages'!$B:$B,MATCH($A20,'UNL Averages'!$A:$A,0))="","",INDEX('UNL Averages'!$B:$B,MATCH($A20,'UNL Averages'!$A:$A,0))),""))</f>
        <v>3.226</v>
      </c>
      <c r="F20" s="7" t="str">
        <f aca="false">IF(B20="","",COUNTIFS('UNL Data'!$A$2:$A$1500,$A20,'UNL Data'!$E$2:$E$1500,"&gt;"&amp;B20)+1&amp;" of "&amp;COUNTIFS('UNL Data'!$A$2:$A$1500,$A20,'UNL Data'!$E$2:$E$1500,"&gt;0"))</f>
        <v>17 of 23</v>
      </c>
      <c r="G20" s="8" t="n">
        <f aca="false">IF($A20="","",IF(COUNTIFS('UNL Data'!$A$2:$A$1500,$A20,'UNL Data'!$B$2:$B$1500,"Theta Xi",'UNL Data'!$C$2:$C$1500,"&lt;&gt;")=0,"",SUMIFS('UNL Data'!$C$2:$C$1500,'UNL Data'!$A$2:$A$1500,$A20,'UNL Data'!$B$2:$B$1500,"Theta Xi")))</f>
        <v>43</v>
      </c>
      <c r="H20" s="8" t="n">
        <f aca="false">IF($A20="","",IFERROR(AVERAGEIFS('UNL Data'!$C$2:$C$1500,'UNL Data'!$A$2:$A$1500,$A20),""))</f>
        <v>76.3478260869565</v>
      </c>
      <c r="I20" s="8" t="n">
        <f aca="false">IF($A20="","",IF(COUNTIFS('UNL Data'!$A$2:$A$1500,$A20,'UNL Data'!$B$2:$B$1500,"Theta Xi",'UNL Data'!$D$2:$D$1500,"&lt;&gt;")=0,"",SUMIFS('UNL Data'!$D$2:$D$1500,'UNL Data'!$A$2:$A$1500,$A20,'UNL Data'!$B$2:$B$1500,"Theta Xi")))</f>
        <v>6</v>
      </c>
      <c r="J20" s="9" t="n">
        <f aca="false">IF($A20="","",IFERROR(AVERAGEIFS('UNL Data'!$D$2:$D$1500,'UNL Data'!$A$2:$A$1500,$A20),""))</f>
        <v>4.1304347826087</v>
      </c>
      <c r="K20" s="7" t="str">
        <f aca="false">IF(I20="","",COUNTIFS('UNL Data'!$A$2:$A$1500,$A20,'UNL Data'!$D$2:$D$1500,"&gt;"&amp;I20)+1&amp;" of "&amp;COUNTIFS('UNL Data'!$A$2:$A$1500,$A20,'UNL Data'!$D$2:$D$1500,"&gt;=0"))</f>
        <v>5 of 23</v>
      </c>
    </row>
    <row r="21" customFormat="false" ht="15" hidden="false" customHeight="false" outlineLevel="0" collapsed="false">
      <c r="A21" s="4"/>
      <c r="B21" s="5" t="str">
        <f aca="false">IF($A21="","",IF(COUNTIFS('UNL Data'!$A$2:$A$1500,$A21,'UNL Data'!$B$2:$B$1500,"Theta Xi",'UNL Data'!$E$2:$E$1500,"&lt;&gt;")=0,"",SUMIFS('UNL Data'!$E$2:$E$1500,'UNL Data'!$A$2:$A$1500,$A21,'UNL Data'!$B$2:$B$1500,"Theta Xi")))</f>
        <v/>
      </c>
      <c r="C21" s="5" t="str">
        <f aca="false">IF($A21="","",IFERROR(IF(INDEX('UNL Averages'!$C:$C,MATCH($A21,'UNL Averages'!$A:$A,0))="","",INDEX('UNL Averages'!$C:$C,MATCH($A21,'UNL Averages'!$A:$A,0))),""))</f>
        <v/>
      </c>
      <c r="D21" s="6" t="str">
        <f aca="false">IF(OR(B21="",C21=""),"",B21-C21)</f>
        <v/>
      </c>
      <c r="E21" s="5" t="str">
        <f aca="false">IF($A21="","",IFERROR(IF(INDEX('UNL Averages'!$B:$B,MATCH($A21,'UNL Averages'!$A:$A,0))="","",INDEX('UNL Averages'!$B:$B,MATCH($A21,'UNL Averages'!$A:$A,0))),""))</f>
        <v/>
      </c>
      <c r="F21" s="7" t="str">
        <f aca="false">IF(B21="","",COUNTIFS('UNL Data'!$A$2:$A$1500,$A21,'UNL Data'!$E$2:$E$1500,"&gt;"&amp;B21)+1&amp;" of "&amp;COUNTIFS('UNL Data'!$A$2:$A$1500,$A21,'UNL Data'!$E$2:$E$1500,"&gt;0"))</f>
        <v/>
      </c>
      <c r="G21" s="8" t="str">
        <f aca="false">IF($A21="","",IF(COUNTIFS('UNL Data'!$A$2:$A$1500,$A21,'UNL Data'!$B$2:$B$1500,"Theta Xi",'UNL Data'!$C$2:$C$1500,"&lt;&gt;")=0,"",SUMIFS('UNL Data'!$C$2:$C$1500,'UNL Data'!$A$2:$A$1500,$A21,'UNL Data'!$B$2:$B$1500,"Theta Xi")))</f>
        <v/>
      </c>
      <c r="H21" s="8" t="str">
        <f aca="false">IF($A21="","",IFERROR(AVERAGEIFS('UNL Data'!$C$2:$C$1500,'UNL Data'!$A$2:$A$1500,$A21),""))</f>
        <v/>
      </c>
      <c r="I21" s="8" t="str">
        <f aca="false">IF($A21="","",IF(COUNTIFS('UNL Data'!$A$2:$A$1500,$A21,'UNL Data'!$B$2:$B$1500,"Theta Xi",'UNL Data'!$D$2:$D$1500,"&lt;&gt;")=0,"",SUMIFS('UNL Data'!$D$2:$D$1500,'UNL Data'!$A$2:$A$1500,$A21,'UNL Data'!$B$2:$B$1500,"Theta Xi")))</f>
        <v/>
      </c>
      <c r="J21" s="9" t="str">
        <f aca="false">IF($A21="","",IFERROR(AVERAGEIFS('UNL Data'!$D$2:$D$1500,'UNL Data'!$A$2:$A$1500,$A21),""))</f>
        <v/>
      </c>
      <c r="K21" s="7" t="str">
        <f aca="false">IF(I21="","",COUNTIFS('UNL Data'!$A$2:$A$1500,$A21,'UNL Data'!$D$2:$D$1500,"&gt;"&amp;I21)+1&amp;" of "&amp;COUNTIFS('UNL Data'!$A$2:$A$1500,$A21,'UNL Data'!$D$2:$D$1500,"&gt;=0"))</f>
        <v/>
      </c>
    </row>
    <row r="22" customFormat="false" ht="15" hidden="false" customHeight="false" outlineLevel="0" collapsed="false">
      <c r="A22" s="4"/>
      <c r="B22" s="5" t="str">
        <f aca="false">IF($A22="","",IF(COUNTIFS('UNL Data'!$A$2:$A$1500,$A22,'UNL Data'!$B$2:$B$1500,"Theta Xi",'UNL Data'!$E$2:$E$1500,"&lt;&gt;")=0,"",SUMIFS('UNL Data'!$E$2:$E$1500,'UNL Data'!$A$2:$A$1500,$A22,'UNL Data'!$B$2:$B$1500,"Theta Xi")))</f>
        <v/>
      </c>
      <c r="C22" s="5" t="str">
        <f aca="false">IF($A22="","",IFERROR(IF(INDEX('UNL Averages'!$C:$C,MATCH($A22,'UNL Averages'!$A:$A,0))="","",INDEX('UNL Averages'!$C:$C,MATCH($A22,'UNL Averages'!$A:$A,0))),""))</f>
        <v/>
      </c>
      <c r="D22" s="6" t="str">
        <f aca="false">IF(OR(B22="",C22=""),"",B22-C22)</f>
        <v/>
      </c>
      <c r="E22" s="5" t="str">
        <f aca="false">IF($A22="","",IFERROR(IF(INDEX('UNL Averages'!$B:$B,MATCH($A22,'UNL Averages'!$A:$A,0))="","",INDEX('UNL Averages'!$B:$B,MATCH($A22,'UNL Averages'!$A:$A,0))),""))</f>
        <v/>
      </c>
      <c r="F22" s="7" t="str">
        <f aca="false">IF(B22="","",COUNTIFS('UNL Data'!$A$2:$A$1500,$A22,'UNL Data'!$E$2:$E$1500,"&gt;"&amp;B22)+1&amp;" of "&amp;COUNTIFS('UNL Data'!$A$2:$A$1500,$A22,'UNL Data'!$E$2:$E$1500,"&gt;0"))</f>
        <v/>
      </c>
      <c r="G22" s="8" t="str">
        <f aca="false">IF($A22="","",IF(COUNTIFS('UNL Data'!$A$2:$A$1500,$A22,'UNL Data'!$B$2:$B$1500,"Theta Xi",'UNL Data'!$C$2:$C$1500,"&lt;&gt;")=0,"",SUMIFS('UNL Data'!$C$2:$C$1500,'UNL Data'!$A$2:$A$1500,$A22,'UNL Data'!$B$2:$B$1500,"Theta Xi")))</f>
        <v/>
      </c>
      <c r="H22" s="8" t="str">
        <f aca="false">IF($A22="","",IFERROR(AVERAGEIFS('UNL Data'!$C$2:$C$1500,'UNL Data'!$A$2:$A$1500,$A22),""))</f>
        <v/>
      </c>
      <c r="I22" s="8" t="str">
        <f aca="false">IF($A22="","",IF(COUNTIFS('UNL Data'!$A$2:$A$1500,$A22,'UNL Data'!$B$2:$B$1500,"Theta Xi",'UNL Data'!$D$2:$D$1500,"&lt;&gt;")=0,"",SUMIFS('UNL Data'!$D$2:$D$1500,'UNL Data'!$A$2:$A$1500,$A22,'UNL Data'!$B$2:$B$1500,"Theta Xi")))</f>
        <v/>
      </c>
      <c r="J22" s="9" t="str">
        <f aca="false">IF($A22="","",IFERROR(AVERAGEIFS('UNL Data'!$D$2:$D$1500,'UNL Data'!$A$2:$A$1500,$A22),""))</f>
        <v/>
      </c>
      <c r="K22" s="7" t="str">
        <f aca="false">IF(I22="","",COUNTIFS('UNL Data'!$A$2:$A$1500,$A22,'UNL Data'!$D$2:$D$1500,"&gt;"&amp;I22)+1&amp;" of "&amp;COUNTIFS('UNL Data'!$A$2:$A$1500,$A22,'UNL Data'!$D$2:$D$1500,"&gt;=0"))</f>
        <v/>
      </c>
    </row>
    <row r="23" customFormat="false" ht="15" hidden="false" customHeight="false" outlineLevel="0" collapsed="false">
      <c r="A23" s="4"/>
      <c r="B23" s="5" t="str">
        <f aca="false">IF($A23="","",IF(COUNTIFS('UNL Data'!$A$2:$A$1500,$A23,'UNL Data'!$B$2:$B$1500,"Theta Xi",'UNL Data'!$E$2:$E$1500,"&lt;&gt;")=0,"",SUMIFS('UNL Data'!$E$2:$E$1500,'UNL Data'!$A$2:$A$1500,$A23,'UNL Data'!$B$2:$B$1500,"Theta Xi")))</f>
        <v/>
      </c>
      <c r="C23" s="5" t="str">
        <f aca="false">IF($A23="","",IFERROR(IF(INDEX('UNL Averages'!$C:$C,MATCH($A23,'UNL Averages'!$A:$A,0))="","",INDEX('UNL Averages'!$C:$C,MATCH($A23,'UNL Averages'!$A:$A,0))),""))</f>
        <v/>
      </c>
      <c r="D23" s="6" t="str">
        <f aca="false">IF(OR(B23="",C23=""),"",B23-C23)</f>
        <v/>
      </c>
      <c r="E23" s="5" t="str">
        <f aca="false">IF($A23="","",IFERROR(IF(INDEX('UNL Averages'!$B:$B,MATCH($A23,'UNL Averages'!$A:$A,0))="","",INDEX('UNL Averages'!$B:$B,MATCH($A23,'UNL Averages'!$A:$A,0))),""))</f>
        <v/>
      </c>
      <c r="F23" s="7" t="str">
        <f aca="false">IF(B23="","",COUNTIFS('UNL Data'!$A$2:$A$1500,$A23,'UNL Data'!$E$2:$E$1500,"&gt;"&amp;B23)+1&amp;" of "&amp;COUNTIFS('UNL Data'!$A$2:$A$1500,$A23,'UNL Data'!$E$2:$E$1500,"&gt;0"))</f>
        <v/>
      </c>
      <c r="G23" s="8" t="str">
        <f aca="false">IF($A23="","",IF(COUNTIFS('UNL Data'!$A$2:$A$1500,$A23,'UNL Data'!$B$2:$B$1500,"Theta Xi",'UNL Data'!$C$2:$C$1500,"&lt;&gt;")=0,"",SUMIFS('UNL Data'!$C$2:$C$1500,'UNL Data'!$A$2:$A$1500,$A23,'UNL Data'!$B$2:$B$1500,"Theta Xi")))</f>
        <v/>
      </c>
      <c r="H23" s="8" t="str">
        <f aca="false">IF($A23="","",IFERROR(AVERAGEIFS('UNL Data'!$C$2:$C$1500,'UNL Data'!$A$2:$A$1500,$A23),""))</f>
        <v/>
      </c>
      <c r="I23" s="8" t="str">
        <f aca="false">IF($A23="","",IF(COUNTIFS('UNL Data'!$A$2:$A$1500,$A23,'UNL Data'!$B$2:$B$1500,"Theta Xi",'UNL Data'!$D$2:$D$1500,"&lt;&gt;")=0,"",SUMIFS('UNL Data'!$D$2:$D$1500,'UNL Data'!$A$2:$A$1500,$A23,'UNL Data'!$B$2:$B$1500,"Theta Xi")))</f>
        <v/>
      </c>
      <c r="J23" s="9" t="str">
        <f aca="false">IF($A23="","",IFERROR(AVERAGEIFS('UNL Data'!$D$2:$D$1500,'UNL Data'!$A$2:$A$1500,$A23),""))</f>
        <v/>
      </c>
      <c r="K23" s="7" t="str">
        <f aca="false">IF(I23="","",COUNTIFS('UNL Data'!$A$2:$A$1500,$A23,'UNL Data'!$D$2:$D$1500,"&gt;"&amp;I23)+1&amp;" of "&amp;COUNTIFS('UNL Data'!$A$2:$A$1500,$A23,'UNL Data'!$D$2:$D$1500,"&gt;=0"))</f>
        <v/>
      </c>
    </row>
    <row r="24" customFormat="false" ht="15" hidden="false" customHeight="false" outlineLevel="0" collapsed="false">
      <c r="A24" s="4"/>
      <c r="B24" s="5" t="str">
        <f aca="false">IF($A24="","",IF(COUNTIFS('UNL Data'!$A$2:$A$1500,$A24,'UNL Data'!$B$2:$B$1500,"Theta Xi",'UNL Data'!$E$2:$E$1500,"&lt;&gt;")=0,"",SUMIFS('UNL Data'!$E$2:$E$1500,'UNL Data'!$A$2:$A$1500,$A24,'UNL Data'!$B$2:$B$1500,"Theta Xi")))</f>
        <v/>
      </c>
      <c r="C24" s="5" t="str">
        <f aca="false">IF($A24="","",IFERROR(IF(INDEX('UNL Averages'!$C:$C,MATCH($A24,'UNL Averages'!$A:$A,0))="","",INDEX('UNL Averages'!$C:$C,MATCH($A24,'UNL Averages'!$A:$A,0))),""))</f>
        <v/>
      </c>
      <c r="D24" s="6" t="str">
        <f aca="false">IF(OR(B24="",C24=""),"",B24-C24)</f>
        <v/>
      </c>
      <c r="E24" s="5" t="str">
        <f aca="false">IF($A24="","",IFERROR(IF(INDEX('UNL Averages'!$B:$B,MATCH($A24,'UNL Averages'!$A:$A,0))="","",INDEX('UNL Averages'!$B:$B,MATCH($A24,'UNL Averages'!$A:$A,0))),""))</f>
        <v/>
      </c>
      <c r="F24" s="7" t="str">
        <f aca="false">IF(B24="","",COUNTIFS('UNL Data'!$A$2:$A$1500,$A24,'UNL Data'!$E$2:$E$1500,"&gt;"&amp;B24)+1&amp;" of "&amp;COUNTIFS('UNL Data'!$A$2:$A$1500,$A24,'UNL Data'!$E$2:$E$1500,"&gt;0"))</f>
        <v/>
      </c>
      <c r="G24" s="8" t="str">
        <f aca="false">IF($A24="","",IF(COUNTIFS('UNL Data'!$A$2:$A$1500,$A24,'UNL Data'!$B$2:$B$1500,"Theta Xi",'UNL Data'!$C$2:$C$1500,"&lt;&gt;")=0,"",SUMIFS('UNL Data'!$C$2:$C$1500,'UNL Data'!$A$2:$A$1500,$A24,'UNL Data'!$B$2:$B$1500,"Theta Xi")))</f>
        <v/>
      </c>
      <c r="H24" s="8" t="str">
        <f aca="false">IF($A24="","",IFERROR(AVERAGEIFS('UNL Data'!$C$2:$C$1500,'UNL Data'!$A$2:$A$1500,$A24),""))</f>
        <v/>
      </c>
      <c r="I24" s="8" t="str">
        <f aca="false">IF($A24="","",IF(COUNTIFS('UNL Data'!$A$2:$A$1500,$A24,'UNL Data'!$B$2:$B$1500,"Theta Xi",'UNL Data'!$D$2:$D$1500,"&lt;&gt;")=0,"",SUMIFS('UNL Data'!$D$2:$D$1500,'UNL Data'!$A$2:$A$1500,$A24,'UNL Data'!$B$2:$B$1500,"Theta Xi")))</f>
        <v/>
      </c>
      <c r="J24" s="9" t="str">
        <f aca="false">IF($A24="","",IFERROR(AVERAGEIFS('UNL Data'!$D$2:$D$1500,'UNL Data'!$A$2:$A$1500,$A24),""))</f>
        <v/>
      </c>
      <c r="K24" s="7" t="str">
        <f aca="false">IF(I24="","",COUNTIFS('UNL Data'!$A$2:$A$1500,$A24,'UNL Data'!$D$2:$D$1500,"&gt;"&amp;I24)+1&amp;" of "&amp;COUNTIFS('UNL Data'!$A$2:$A$1500,$A24,'UNL Data'!$D$2:$D$1500,"&gt;=0"))</f>
        <v/>
      </c>
    </row>
    <row r="25" customFormat="false" ht="15" hidden="false" customHeight="false" outlineLevel="0" collapsed="false">
      <c r="A25" s="2" t="s">
        <v>29</v>
      </c>
    </row>
  </sheetData>
  <conditionalFormatting sqref="D5:D2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48" hidden="false" customHeight="true" outlineLevel="0" collapsed="false">
      <c r="A4" s="3" t="s">
        <v>32</v>
      </c>
      <c r="B4" s="3" t="s">
        <v>10</v>
      </c>
      <c r="C4" s="3" t="s">
        <v>11</v>
      </c>
      <c r="D4" s="3" t="s">
        <v>33</v>
      </c>
      <c r="E4" s="3" t="s">
        <v>34</v>
      </c>
      <c r="F4" s="3" t="s">
        <v>35</v>
      </c>
      <c r="G4" s="3" t="s">
        <v>36</v>
      </c>
    </row>
    <row r="5" customFormat="false" ht="15" hidden="false" customHeight="false" outlineLevel="0" collapsed="false">
      <c r="A5" s="4" t="n">
        <v>2018</v>
      </c>
      <c r="B5" s="8" t="str">
        <f aca="false">IF(OR(COUNTIFS('UNL Data'!$A$2:$A$1500,"Spring "&amp;$A5,'UNL Data'!$B$2:$B$1500,"Theta Xi",'UNL Data'!$D$2:$D$1500,"&lt;&gt;")=0,COUNTIFS('UNL Data'!$A$2:$A$1500,"Fall "&amp;$A5,'UNL Data'!$B$2:$B$1500,"Theta Xi",'UNL Data'!$D$2:$D$1500,"&lt;&gt;")=0),"",SUMIFS('UNL Data'!$D$2:$D$1500,'UNL Data'!$A$2:$A$1500,"Spring "&amp;$A5,'UNL Data'!$B$2:$B$1500,"Theta Xi")+SUMIFS('UNL Data'!$D$2:$D$1500,'UNL Data'!$A$2:$A$1500,"Fall "&amp;$A5,'UNL Data'!$B$2:$B$1500,"Theta Xi"))</f>
        <v/>
      </c>
      <c r="C5" s="9" t="str">
        <f aca="false">IFERROR(AVERAGEIFS('UNL Data'!$D$2:$D$1500,'UNL Data'!$A$2:$A$1500,"Spring "&amp;$A5)+AVERAGEIFS('UNL Data'!$D$2:$D$1500,'UNL Data'!$A$2:$A$1500,"Fall "&amp;$A5),"")</f>
        <v/>
      </c>
      <c r="D5" s="10" t="str">
        <f aca="false">IF(OR(B5="",C5=""),"",B5/C5)</f>
        <v/>
      </c>
      <c r="E5" s="8" t="n">
        <f aca="false">IF(COUNTIFS('UNL Data'!$A$2:$A$1500,"Fall "&amp;$A5,'UNL Data'!$B$2:$B$1500,"Theta Xi",'UNL Data'!$C$2:$C$1500,"&lt;&gt;")=0,"",SUMIFS('UNL Data'!$C$2:$C$1500,'UNL Data'!$A$2:$A$1500,"Fall "&amp;$A5,'UNL Data'!$B$2:$B$1500,"Theta Xi"))</f>
        <v>62</v>
      </c>
      <c r="F5" s="11"/>
      <c r="G5" s="8" t="n">
        <f aca="false">IFERROR(AVERAGEIFS('UNL Data'!$C$2:$C$1500,'UNL Data'!$A$2:$A$1500,"Fall "&amp;$A5),"")</f>
        <v>65.64</v>
      </c>
    </row>
    <row r="6" customFormat="false" ht="15" hidden="false" customHeight="false" outlineLevel="0" collapsed="false">
      <c r="A6" s="4" t="n">
        <v>2019</v>
      </c>
      <c r="B6" s="8" t="n">
        <f aca="false">IF(OR(COUNTIFS('UNL Data'!$A$2:$A$1500,"Spring "&amp;$A6,'UNL Data'!$B$2:$B$1500,"Theta Xi",'UNL Data'!$D$2:$D$1500,"&lt;&gt;")=0,COUNTIFS('UNL Data'!$A$2:$A$1500,"Fall "&amp;$A6,'UNL Data'!$B$2:$B$1500,"Theta Xi",'UNL Data'!$D$2:$D$1500,"&lt;&gt;")=0),"",SUMIFS('UNL Data'!$D$2:$D$1500,'UNL Data'!$A$2:$A$1500,"Spring "&amp;$A6,'UNL Data'!$B$2:$B$1500,"Theta Xi")+SUMIFS('UNL Data'!$D$2:$D$1500,'UNL Data'!$A$2:$A$1500,"Fall "&amp;$A6,'UNL Data'!$B$2:$B$1500,"Theta Xi"))</f>
        <v>34</v>
      </c>
      <c r="C6" s="9" t="n">
        <f aca="false">IFERROR(AVERAGEIFS('UNL Data'!$D$2:$D$1500,'UNL Data'!$A$2:$A$1500,"Spring "&amp;$A6)+AVERAGEIFS('UNL Data'!$D$2:$D$1500,'UNL Data'!$A$2:$A$1500,"Fall "&amp;$A6),"")</f>
        <v>23.72</v>
      </c>
      <c r="D6" s="10" t="n">
        <f aca="false">IF(OR(B6="",C6=""),"",B6/C6)</f>
        <v>1.43338954468803</v>
      </c>
      <c r="E6" s="8" t="n">
        <f aca="false">IF(COUNTIFS('UNL Data'!$A$2:$A$1500,"Fall "&amp;$A6,'UNL Data'!$B$2:$B$1500,"Theta Xi",'UNL Data'!$C$2:$C$1500,"&lt;&gt;")=0,"",SUMIFS('UNL Data'!$C$2:$C$1500,'UNL Data'!$A$2:$A$1500,"Fall "&amp;$A6,'UNL Data'!$B$2:$B$1500,"Theta Xi"))</f>
        <v>86</v>
      </c>
      <c r="F6" s="11" t="n">
        <f aca="false">IF(OR(E6="",E5=""),"",E6-E5)</f>
        <v>24</v>
      </c>
      <c r="G6" s="8" t="n">
        <f aca="false">IFERROR(AVERAGEIFS('UNL Data'!$C$2:$C$1500,'UNL Data'!$A$2:$A$1500,"Fall "&amp;$A6),"")</f>
        <v>71.8518518518519</v>
      </c>
    </row>
    <row r="7" customFormat="false" ht="15" hidden="false" customHeight="false" outlineLevel="0" collapsed="false">
      <c r="A7" s="4" t="n">
        <v>2020</v>
      </c>
      <c r="B7" s="8" t="str">
        <f aca="false">IF(OR(COUNTIFS('UNL Data'!$A$2:$A$1500,"Spring "&amp;$A7,'UNL Data'!$B$2:$B$1500,"Theta Xi",'UNL Data'!$D$2:$D$1500,"&lt;&gt;")=0,COUNTIFS('UNL Data'!$A$2:$A$1500,"Fall "&amp;$A7,'UNL Data'!$B$2:$B$1500,"Theta Xi",'UNL Data'!$D$2:$D$1500,"&lt;&gt;")=0),"",SUMIFS('UNL Data'!$D$2:$D$1500,'UNL Data'!$A$2:$A$1500,"Spring "&amp;$A7,'UNL Data'!$B$2:$B$1500,"Theta Xi")+SUMIFS('UNL Data'!$D$2:$D$1500,'UNL Data'!$A$2:$A$1500,"Fall "&amp;$A7,'UNL Data'!$B$2:$B$1500,"Theta Xi"))</f>
        <v/>
      </c>
      <c r="C7" s="9" t="str">
        <f aca="false">IFERROR(AVERAGEIFS('UNL Data'!$D$2:$D$1500,'UNL Data'!$A$2:$A$1500,"Spring "&amp;$A7)+AVERAGEIFS('UNL Data'!$D$2:$D$1500,'UNL Data'!$A$2:$A$1500,"Fall "&amp;$A7),"")</f>
        <v/>
      </c>
      <c r="D7" s="10" t="str">
        <f aca="false">IF(OR(B7="",C7=""),"",B7/C7)</f>
        <v/>
      </c>
      <c r="E7" s="8" t="n">
        <f aca="false">IF(COUNTIFS('UNL Data'!$A$2:$A$1500,"Fall "&amp;$A7,'UNL Data'!$B$2:$B$1500,"Theta Xi",'UNL Data'!$C$2:$C$1500,"&lt;&gt;")=0,"",SUMIFS('UNL Data'!$C$2:$C$1500,'UNL Data'!$A$2:$A$1500,"Fall "&amp;$A7,'UNL Data'!$B$2:$B$1500,"Theta Xi"))</f>
        <v>78</v>
      </c>
      <c r="F7" s="11" t="n">
        <f aca="false">IF(OR(E7="",E6=""),"",E7-E6)</f>
        <v>-8</v>
      </c>
      <c r="G7" s="8" t="n">
        <f aca="false">IFERROR(AVERAGEIFS('UNL Data'!$C$2:$C$1500,'UNL Data'!$A$2:$A$1500,"Fall "&amp;$A7),"")</f>
        <v>72.0384615384615</v>
      </c>
    </row>
    <row r="8" customFormat="false" ht="15" hidden="false" customHeight="false" outlineLevel="0" collapsed="false">
      <c r="A8" s="4" t="n">
        <v>2021</v>
      </c>
      <c r="B8" s="8" t="n">
        <f aca="false">IF(OR(COUNTIFS('UNL Data'!$A$2:$A$1500,"Spring "&amp;$A8,'UNL Data'!$B$2:$B$1500,"Theta Xi",'UNL Data'!$D$2:$D$1500,"&lt;&gt;")=0,COUNTIFS('UNL Data'!$A$2:$A$1500,"Fall "&amp;$A8,'UNL Data'!$B$2:$B$1500,"Theta Xi",'UNL Data'!$D$2:$D$1500,"&lt;&gt;")=0),"",SUMIFS('UNL Data'!$D$2:$D$1500,'UNL Data'!$A$2:$A$1500,"Spring "&amp;$A8,'UNL Data'!$B$2:$B$1500,"Theta Xi")+SUMIFS('UNL Data'!$D$2:$D$1500,'UNL Data'!$A$2:$A$1500,"Fall "&amp;$A8,'UNL Data'!$B$2:$B$1500,"Theta Xi"))</f>
        <v>24</v>
      </c>
      <c r="C8" s="9" t="n">
        <f aca="false">IFERROR(AVERAGEIFS('UNL Data'!$D$2:$D$1500,'UNL Data'!$A$2:$A$1500,"Spring "&amp;$A8)+AVERAGEIFS('UNL Data'!$D$2:$D$1500,'UNL Data'!$A$2:$A$1500,"Fall "&amp;$A8),"")</f>
        <v>24.3461538461538</v>
      </c>
      <c r="D8" s="10" t="n">
        <f aca="false">IF(OR(B8="",C8=""),"",B8/C8)</f>
        <v>0.985781990521327</v>
      </c>
      <c r="E8" s="8" t="n">
        <f aca="false">IF(COUNTIFS('UNL Data'!$A$2:$A$1500,"Fall "&amp;$A8,'UNL Data'!$B$2:$B$1500,"Theta Xi",'UNL Data'!$C$2:$C$1500,"&lt;&gt;")=0,"",SUMIFS('UNL Data'!$C$2:$C$1500,'UNL Data'!$A$2:$A$1500,"Fall "&amp;$A8,'UNL Data'!$B$2:$B$1500,"Theta Xi"))</f>
        <v>74</v>
      </c>
      <c r="F8" s="11" t="n">
        <f aca="false">IF(OR(E8="",E7=""),"",E8-E7)</f>
        <v>-4</v>
      </c>
      <c r="G8" s="8" t="n">
        <f aca="false">IFERROR(AVERAGEIFS('UNL Data'!$C$2:$C$1500,'UNL Data'!$A$2:$A$1500,"Fall "&amp;$A8),"")</f>
        <v>70.36</v>
      </c>
    </row>
    <row r="9" customFormat="false" ht="15" hidden="false" customHeight="false" outlineLevel="0" collapsed="false">
      <c r="A9" s="4" t="n">
        <v>2022</v>
      </c>
      <c r="B9" s="8" t="str">
        <f aca="false">IF(OR(COUNTIFS('UNL Data'!$A$2:$A$1500,"Spring "&amp;$A9,'UNL Data'!$B$2:$B$1500,"Theta Xi",'UNL Data'!$D$2:$D$1500,"&lt;&gt;")=0,COUNTIFS('UNL Data'!$A$2:$A$1500,"Fall "&amp;$A9,'UNL Data'!$B$2:$B$1500,"Theta Xi",'UNL Data'!$D$2:$D$1500,"&lt;&gt;")=0),"",SUMIFS('UNL Data'!$D$2:$D$1500,'UNL Data'!$A$2:$A$1500,"Spring "&amp;$A9,'UNL Data'!$B$2:$B$1500,"Theta Xi")+SUMIFS('UNL Data'!$D$2:$D$1500,'UNL Data'!$A$2:$A$1500,"Fall "&amp;$A9,'UNL Data'!$B$2:$B$1500,"Theta Xi"))</f>
        <v/>
      </c>
      <c r="C9" s="9" t="str">
        <f aca="false">IFERROR(AVERAGEIFS('UNL Data'!$D$2:$D$1500,'UNL Data'!$A$2:$A$1500,"Spring "&amp;$A9)+AVERAGEIFS('UNL Data'!$D$2:$D$1500,'UNL Data'!$A$2:$A$1500,"Fall "&amp;$A9),"")</f>
        <v/>
      </c>
      <c r="D9" s="10" t="str">
        <f aca="false">IF(OR(B9="",C9=""),"",B9/C9)</f>
        <v/>
      </c>
      <c r="E9" s="8" t="n">
        <f aca="false">IF(COUNTIFS('UNL Data'!$A$2:$A$1500,"Fall "&amp;$A9,'UNL Data'!$B$2:$B$1500,"Theta Xi",'UNL Data'!$C$2:$C$1500,"&lt;&gt;")=0,"",SUMIFS('UNL Data'!$C$2:$C$1500,'UNL Data'!$A$2:$A$1500,"Fall "&amp;$A9,'UNL Data'!$B$2:$B$1500,"Theta Xi"))</f>
        <v>71</v>
      </c>
      <c r="F9" s="11" t="n">
        <f aca="false">IF(OR(E9="",E8=""),"",E9-E8)</f>
        <v>-3</v>
      </c>
      <c r="G9" s="8" t="n">
        <f aca="false">IFERROR(AVERAGEIFS('UNL Data'!$C$2:$C$1500,'UNL Data'!$A$2:$A$1500,"Fall "&amp;$A9),"")</f>
        <v>74.25</v>
      </c>
    </row>
    <row r="10" customFormat="false" ht="15" hidden="false" customHeight="false" outlineLevel="0" collapsed="false">
      <c r="A10" s="4" t="n">
        <v>2023</v>
      </c>
      <c r="B10" s="8" t="str">
        <f aca="false">IF(OR(COUNTIFS('UNL Data'!$A$2:$A$1500,"Spring "&amp;$A10,'UNL Data'!$B$2:$B$1500,"Theta Xi",'UNL Data'!$D$2:$D$1500,"&lt;&gt;")=0,COUNTIFS('UNL Data'!$A$2:$A$1500,"Fall "&amp;$A10,'UNL Data'!$B$2:$B$1500,"Theta Xi",'UNL Data'!$D$2:$D$1500,"&lt;&gt;")=0),"",SUMIFS('UNL Data'!$D$2:$D$1500,'UNL Data'!$A$2:$A$1500,"Spring "&amp;$A10,'UNL Data'!$B$2:$B$1500,"Theta Xi")+SUMIFS('UNL Data'!$D$2:$D$1500,'UNL Data'!$A$2:$A$1500,"Fall "&amp;$A10,'UNL Data'!$B$2:$B$1500,"Theta Xi"))</f>
        <v/>
      </c>
      <c r="C10" s="9" t="str">
        <f aca="false">IFERROR(AVERAGEIFS('UNL Data'!$D$2:$D$1500,'UNL Data'!$A$2:$A$1500,"Spring "&amp;$A10)+AVERAGEIFS('UNL Data'!$D$2:$D$1500,'UNL Data'!$A$2:$A$1500,"Fall "&amp;$A10),"")</f>
        <v/>
      </c>
      <c r="D10" s="10" t="str">
        <f aca="false">IF(OR(B10="",C10=""),"",B10/C10)</f>
        <v/>
      </c>
      <c r="E10" s="8" t="n">
        <f aca="false">IF(COUNTIFS('UNL Data'!$A$2:$A$1500,"Fall "&amp;$A10,'UNL Data'!$B$2:$B$1500,"Theta Xi",'UNL Data'!$C$2:$C$1500,"&lt;&gt;")=0,"",SUMIFS('UNL Data'!$C$2:$C$1500,'UNL Data'!$A$2:$A$1500,"Fall "&amp;$A10,'UNL Data'!$B$2:$B$1500,"Theta Xi"))</f>
        <v>60</v>
      </c>
      <c r="F10" s="11" t="n">
        <f aca="false">IF(OR(E10="",E9=""),"",E10-E9)</f>
        <v>-11</v>
      </c>
      <c r="G10" s="8" t="n">
        <f aca="false">IFERROR(AVERAGEIFS('UNL Data'!$C$2:$C$1500,'UNL Data'!$A$2:$A$1500,"Fall "&amp;$A10),"")</f>
        <v>72.32</v>
      </c>
    </row>
    <row r="11" customFormat="false" ht="15" hidden="false" customHeight="false" outlineLevel="0" collapsed="false">
      <c r="A11" s="4" t="n">
        <v>2024</v>
      </c>
      <c r="B11" s="8" t="n">
        <f aca="false">IF(OR(COUNTIFS('UNL Data'!$A$2:$A$1500,"Spring "&amp;$A11,'UNL Data'!$B$2:$B$1500,"Theta Xi",'UNL Data'!$D$2:$D$1500,"&lt;&gt;")=0,COUNTIFS('UNL Data'!$A$2:$A$1500,"Fall "&amp;$A11,'UNL Data'!$B$2:$B$1500,"Theta Xi",'UNL Data'!$D$2:$D$1500,"&lt;&gt;")=0),"",SUMIFS('UNL Data'!$D$2:$D$1500,'UNL Data'!$A$2:$A$1500,"Spring "&amp;$A11,'UNL Data'!$B$2:$B$1500,"Theta Xi")+SUMIFS('UNL Data'!$D$2:$D$1500,'UNL Data'!$A$2:$A$1500,"Fall "&amp;$A11,'UNL Data'!$B$2:$B$1500,"Theta Xi"))</f>
        <v>17</v>
      </c>
      <c r="C11" s="9" t="n">
        <f aca="false">IFERROR(AVERAGEIFS('UNL Data'!$D$2:$D$1500,'UNL Data'!$A$2:$A$1500,"Spring "&amp;$A11)+AVERAGEIFS('UNL Data'!$D$2:$D$1500,'UNL Data'!$A$2:$A$1500,"Fall "&amp;$A11),"")</f>
        <v>25.0692307692308</v>
      </c>
      <c r="D11" s="10" t="n">
        <f aca="false">IF(OR(B11="",C11=""),"",B11/C11)</f>
        <v>0.678122123350721</v>
      </c>
      <c r="E11" s="8" t="n">
        <f aca="false">IF(COUNTIFS('UNL Data'!$A$2:$A$1500,"Fall "&amp;$A11,'UNL Data'!$B$2:$B$1500,"Theta Xi",'UNL Data'!$C$2:$C$1500,"&lt;&gt;")=0,"",SUMIFS('UNL Data'!$C$2:$C$1500,'UNL Data'!$A$2:$A$1500,"Fall "&amp;$A11,'UNL Data'!$B$2:$B$1500,"Theta Xi"))</f>
        <v>48</v>
      </c>
      <c r="F11" s="11" t="n">
        <f aca="false">IF(OR(E11="",E10=""),"",E11-E10)</f>
        <v>-12</v>
      </c>
      <c r="G11" s="8" t="n">
        <f aca="false">IFERROR(AVERAGEIFS('UNL Data'!$C$2:$C$1500,'UNL Data'!$A$2:$A$1500,"Fall "&amp;$A11),"")</f>
        <v>73.2307692307692</v>
      </c>
    </row>
    <row r="12" customFormat="false" ht="15" hidden="false" customHeight="false" outlineLevel="0" collapsed="false">
      <c r="A12" s="4" t="n">
        <v>2025</v>
      </c>
      <c r="B12" s="8" t="n">
        <f aca="false">IF(OR(COUNTIFS('UNL Data'!$A$2:$A$1500,"Spring "&amp;$A12,'UNL Data'!$B$2:$B$1500,"Theta Xi",'UNL Data'!$D$2:$D$1500,"&lt;&gt;")=0,COUNTIFS('UNL Data'!$A$2:$A$1500,"Fall "&amp;$A12,'UNL Data'!$B$2:$B$1500,"Theta Xi",'UNL Data'!$D$2:$D$1500,"&lt;&gt;")=0),"",SUMIFS('UNL Data'!$D$2:$D$1500,'UNL Data'!$A$2:$A$1500,"Spring "&amp;$A12,'UNL Data'!$B$2:$B$1500,"Theta Xi")+SUMIFS('UNL Data'!$D$2:$D$1500,'UNL Data'!$A$2:$A$1500,"Fall "&amp;$A12,'UNL Data'!$B$2:$B$1500,"Theta Xi"))</f>
        <v>15</v>
      </c>
      <c r="C12" s="9" t="n">
        <f aca="false">IFERROR(AVERAGEIFS('UNL Data'!$D$2:$D$1500,'UNL Data'!$A$2:$A$1500,"Spring "&amp;$A12)+AVERAGEIFS('UNL Data'!$D$2:$D$1500,'UNL Data'!$A$2:$A$1500,"Fall "&amp;$A12),"")</f>
        <v>26.8316666666667</v>
      </c>
      <c r="D12" s="10" t="n">
        <f aca="false">IF(OR(B12="",C12=""),"",B12/C12)</f>
        <v>0.559040934219517</v>
      </c>
      <c r="E12" s="8" t="n">
        <f aca="false">IF(COUNTIFS('UNL Data'!$A$2:$A$1500,"Fall "&amp;$A12,'UNL Data'!$B$2:$B$1500,"Theta Xi",'UNL Data'!$C$2:$C$1500,"&lt;&gt;")=0,"",SUMIFS('UNL Data'!$C$2:$C$1500,'UNL Data'!$A$2:$A$1500,"Fall "&amp;$A12,'UNL Data'!$B$2:$B$1500,"Theta Xi"))</f>
        <v>44</v>
      </c>
      <c r="F12" s="11" t="n">
        <f aca="false">IF(OR(E12="",E11=""),"",E12-E11)</f>
        <v>-4</v>
      </c>
      <c r="G12" s="8" t="n">
        <f aca="false">IFERROR(AVERAGEIFS('UNL Data'!$C$2:$C$1500,'UNL Data'!$A$2:$A$1500,"Fall "&amp;$A12),"")</f>
        <v>79.2</v>
      </c>
    </row>
    <row r="13" customFormat="false" ht="15" hidden="false" customHeight="false" outlineLevel="0" collapsed="false">
      <c r="A13" s="4" t="n">
        <v>2026</v>
      </c>
      <c r="B13" s="8" t="str">
        <f aca="false">IF(OR(COUNTIFS('UNL Data'!$A$2:$A$1500,"Spring "&amp;$A13,'UNL Data'!$B$2:$B$1500,"Theta Xi",'UNL Data'!$D$2:$D$1500,"&lt;&gt;")=0,COUNTIFS('UNL Data'!$A$2:$A$1500,"Fall "&amp;$A13,'UNL Data'!$B$2:$B$1500,"Theta Xi",'UNL Data'!$D$2:$D$1500,"&lt;&gt;")=0),"",SUMIFS('UNL Data'!$D$2:$D$1500,'UNL Data'!$A$2:$A$1500,"Spring "&amp;$A13,'UNL Data'!$B$2:$B$1500,"Theta Xi")+SUMIFS('UNL Data'!$D$2:$D$1500,'UNL Data'!$A$2:$A$1500,"Fall "&amp;$A13,'UNL Data'!$B$2:$B$1500,"Theta Xi"))</f>
        <v/>
      </c>
      <c r="C13" s="9" t="str">
        <f aca="false">IFERROR(AVERAGEIFS('UNL Data'!$D$2:$D$1500,'UNL Data'!$A$2:$A$1500,"Spring "&amp;$A13)+AVERAGEIFS('UNL Data'!$D$2:$D$1500,'UNL Data'!$A$2:$A$1500,"Fall "&amp;$A13),"")</f>
        <v/>
      </c>
      <c r="D13" s="10" t="str">
        <f aca="false">IF(OR(B13="",C13=""),"",B13/C13)</f>
        <v/>
      </c>
      <c r="E13" s="8" t="str">
        <f aca="false">IF(COUNTIFS('UNL Data'!$A$2:$A$1500,"Fall "&amp;$A13,'UNL Data'!$B$2:$B$1500,"Theta Xi",'UNL Data'!$C$2:$C$1500,"&lt;&gt;")=0,"",SUMIFS('UNL Data'!$C$2:$C$1500,'UNL Data'!$A$2:$A$1500,"Fall "&amp;$A13,'UNL Data'!$B$2:$B$1500,"Theta Xi"))</f>
        <v/>
      </c>
      <c r="F13" s="11" t="str">
        <f aca="false">IF(OR(E13="",E12=""),"",E13-E12)</f>
        <v/>
      </c>
      <c r="G13" s="8" t="str">
        <f aca="false">IFERROR(AVERAGEIFS('UNL Data'!$C$2:$C$1500,'UNL Data'!$A$2:$A$1500,"Fall "&amp;$A13),"")</f>
        <v/>
      </c>
    </row>
    <row r="14" customFormat="false" ht="15" hidden="false" customHeight="false" outlineLevel="0" collapsed="false">
      <c r="A14" s="4" t="n">
        <v>2027</v>
      </c>
      <c r="B14" s="8" t="str">
        <f aca="false">IF(OR(COUNTIFS('UNL Data'!$A$2:$A$1500,"Spring "&amp;$A14,'UNL Data'!$B$2:$B$1500,"Theta Xi",'UNL Data'!$D$2:$D$1500,"&lt;&gt;")=0,COUNTIFS('UNL Data'!$A$2:$A$1500,"Fall "&amp;$A14,'UNL Data'!$B$2:$B$1500,"Theta Xi",'UNL Data'!$D$2:$D$1500,"&lt;&gt;")=0),"",SUMIFS('UNL Data'!$D$2:$D$1500,'UNL Data'!$A$2:$A$1500,"Spring "&amp;$A14,'UNL Data'!$B$2:$B$1500,"Theta Xi")+SUMIFS('UNL Data'!$D$2:$D$1500,'UNL Data'!$A$2:$A$1500,"Fall "&amp;$A14,'UNL Data'!$B$2:$B$1500,"Theta Xi"))</f>
        <v/>
      </c>
      <c r="C14" s="9" t="str">
        <f aca="false">IFERROR(AVERAGEIFS('UNL Data'!$D$2:$D$1500,'UNL Data'!$A$2:$A$1500,"Spring "&amp;$A14)+AVERAGEIFS('UNL Data'!$D$2:$D$1500,'UNL Data'!$A$2:$A$1500,"Fall "&amp;$A14),"")</f>
        <v/>
      </c>
      <c r="D14" s="10" t="str">
        <f aca="false">IF(OR(B14="",C14=""),"",B14/C14)</f>
        <v/>
      </c>
      <c r="E14" s="8" t="str">
        <f aca="false">IF(COUNTIFS('UNL Data'!$A$2:$A$1500,"Fall "&amp;$A14,'UNL Data'!$B$2:$B$1500,"Theta Xi",'UNL Data'!$C$2:$C$1500,"&lt;&gt;")=0,"",SUMIFS('UNL Data'!$C$2:$C$1500,'UNL Data'!$A$2:$A$1500,"Fall "&amp;$A14,'UNL Data'!$B$2:$B$1500,"Theta Xi"))</f>
        <v/>
      </c>
      <c r="F14" s="11" t="str">
        <f aca="false">IF(OR(E14="",E13=""),"",E14-E13)</f>
        <v/>
      </c>
      <c r="G14" s="8" t="str">
        <f aca="false">IFERROR(AVERAGEIFS('UNL Data'!$C$2:$C$1500,'UNL Data'!$A$2:$A$1500,"Fall "&amp;$A14),"")</f>
        <v/>
      </c>
    </row>
    <row r="15" customFormat="false" ht="15" hidden="false" customHeight="false" outlineLevel="0" collapsed="false">
      <c r="A15" s="4" t="n">
        <v>2028</v>
      </c>
      <c r="B15" s="8" t="str">
        <f aca="false">IF(OR(COUNTIFS('UNL Data'!$A$2:$A$1500,"Spring "&amp;$A15,'UNL Data'!$B$2:$B$1500,"Theta Xi",'UNL Data'!$D$2:$D$1500,"&lt;&gt;")=0,COUNTIFS('UNL Data'!$A$2:$A$1500,"Fall "&amp;$A15,'UNL Data'!$B$2:$B$1500,"Theta Xi",'UNL Data'!$D$2:$D$1500,"&lt;&gt;")=0),"",SUMIFS('UNL Data'!$D$2:$D$1500,'UNL Data'!$A$2:$A$1500,"Spring "&amp;$A15,'UNL Data'!$B$2:$B$1500,"Theta Xi")+SUMIFS('UNL Data'!$D$2:$D$1500,'UNL Data'!$A$2:$A$1500,"Fall "&amp;$A15,'UNL Data'!$B$2:$B$1500,"Theta Xi"))</f>
        <v/>
      </c>
      <c r="C15" s="9" t="str">
        <f aca="false">IFERROR(AVERAGEIFS('UNL Data'!$D$2:$D$1500,'UNL Data'!$A$2:$A$1500,"Spring "&amp;$A15)+AVERAGEIFS('UNL Data'!$D$2:$D$1500,'UNL Data'!$A$2:$A$1500,"Fall "&amp;$A15),"")</f>
        <v/>
      </c>
      <c r="D15" s="10" t="str">
        <f aca="false">IF(OR(B15="",C15=""),"",B15/C15)</f>
        <v/>
      </c>
      <c r="E15" s="8" t="str">
        <f aca="false">IF(COUNTIFS('UNL Data'!$A$2:$A$1500,"Fall "&amp;$A15,'UNL Data'!$B$2:$B$1500,"Theta Xi",'UNL Data'!$C$2:$C$1500,"&lt;&gt;")=0,"",SUMIFS('UNL Data'!$C$2:$C$1500,'UNL Data'!$A$2:$A$1500,"Fall "&amp;$A15,'UNL Data'!$B$2:$B$1500,"Theta Xi"))</f>
        <v/>
      </c>
      <c r="F15" s="11" t="str">
        <f aca="false">IF(OR(E15="",E14=""),"",E15-E14)</f>
        <v/>
      </c>
      <c r="G15" s="8" t="str">
        <f aca="false">IFERROR(AVERAGEIFS('UNL Data'!$C$2:$C$1500,'UNL Data'!$A$2:$A$1500,"Fall "&amp;$A15),"")</f>
        <v/>
      </c>
    </row>
    <row r="16" customFormat="false" ht="15" hidden="false" customHeight="false" outlineLevel="0" collapsed="false">
      <c r="A16" s="4" t="n">
        <v>2029</v>
      </c>
      <c r="B16" s="8" t="str">
        <f aca="false">IF(OR(COUNTIFS('UNL Data'!$A$2:$A$1500,"Spring "&amp;$A16,'UNL Data'!$B$2:$B$1500,"Theta Xi",'UNL Data'!$D$2:$D$1500,"&lt;&gt;")=0,COUNTIFS('UNL Data'!$A$2:$A$1500,"Fall "&amp;$A16,'UNL Data'!$B$2:$B$1500,"Theta Xi",'UNL Data'!$D$2:$D$1500,"&lt;&gt;")=0),"",SUMIFS('UNL Data'!$D$2:$D$1500,'UNL Data'!$A$2:$A$1500,"Spring "&amp;$A16,'UNL Data'!$B$2:$B$1500,"Theta Xi")+SUMIFS('UNL Data'!$D$2:$D$1500,'UNL Data'!$A$2:$A$1500,"Fall "&amp;$A16,'UNL Data'!$B$2:$B$1500,"Theta Xi"))</f>
        <v/>
      </c>
      <c r="C16" s="9" t="str">
        <f aca="false">IFERROR(AVERAGEIFS('UNL Data'!$D$2:$D$1500,'UNL Data'!$A$2:$A$1500,"Spring "&amp;$A16)+AVERAGEIFS('UNL Data'!$D$2:$D$1500,'UNL Data'!$A$2:$A$1500,"Fall "&amp;$A16),"")</f>
        <v/>
      </c>
      <c r="D16" s="10" t="str">
        <f aca="false">IF(OR(B16="",C16=""),"",B16/C16)</f>
        <v/>
      </c>
      <c r="E16" s="8" t="str">
        <f aca="false">IF(COUNTIFS('UNL Data'!$A$2:$A$1500,"Fall "&amp;$A16,'UNL Data'!$B$2:$B$1500,"Theta Xi",'UNL Data'!$C$2:$C$1500,"&lt;&gt;")=0,"",SUMIFS('UNL Data'!$C$2:$C$1500,'UNL Data'!$A$2:$A$1500,"Fall "&amp;$A16,'UNL Data'!$B$2:$B$1500,"Theta Xi"))</f>
        <v/>
      </c>
      <c r="F16" s="11" t="str">
        <f aca="false">IF(OR(E16="",E15=""),"",E16-E15)</f>
        <v/>
      </c>
      <c r="G16" s="8" t="str">
        <f aca="false">IFERROR(AVERAGEIFS('UNL Data'!$C$2:$C$1500,'UNL Data'!$A$2:$A$1500,"Fall "&amp;$A16),"")</f>
        <v/>
      </c>
    </row>
    <row r="17" customFormat="false" ht="15" hidden="false" customHeight="false" outlineLevel="0" collapsed="false">
      <c r="A17" s="2" t="s">
        <v>37</v>
      </c>
    </row>
  </sheetData>
  <conditionalFormatting sqref="F5:F16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12" t="s">
        <v>40</v>
      </c>
      <c r="C3" s="13" t="s">
        <v>28</v>
      </c>
    </row>
    <row r="4" customFormat="false" ht="15" hidden="false" customHeight="false" outlineLevel="0" collapsed="false">
      <c r="A4" s="12" t="s">
        <v>41</v>
      </c>
      <c r="C4" s="13" t="n">
        <v>2025</v>
      </c>
    </row>
    <row r="6" customFormat="false" ht="48" hidden="false" customHeight="true" outlineLevel="0" collapsed="false">
      <c r="A6" s="3" t="s">
        <v>42</v>
      </c>
      <c r="B6" s="3"/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</row>
    <row r="7" customFormat="false" ht="15" hidden="false" customHeight="false" outlineLevel="0" collapsed="false">
      <c r="A7" s="14" t="s">
        <v>48</v>
      </c>
      <c r="B7" s="14"/>
      <c r="C7" s="5" t="n">
        <f aca="false">IF(COUNTIFS('UNL Data'!$A$2:$A$1500,$C$3,'UNL Data'!$B$2:$B$1500,$A7,'UNL Data'!$E$2:$E$1500,"&lt;&gt;")=0,"",SUMIFS('UNL Data'!$E$2:$E$1500,'UNL Data'!$A$2:$A$1500,$C$3,'UNL Data'!$B$2:$B$1500,$A7))</f>
        <v>3.683</v>
      </c>
      <c r="D7" s="8" t="n">
        <f aca="false">IF(C7="","",COUNTIF($C$7:$C$29,"&gt;"&amp;C7)+1)</f>
        <v>1</v>
      </c>
      <c r="E7" s="8" t="n">
        <f aca="false">IF(COUNTIFS('UNL Data'!$A$2:$A$1500,$C$3,'UNL Data'!$B$2:$B$1500,$A7,'UNL Data'!$C$2:$C$1500,"&lt;&gt;")=0,"",SUMIFS('UNL Data'!$C$2:$C$1500,'UNL Data'!$A$2:$A$1500,$C$3,'UNL Data'!$B$2:$B$1500,$A7))</f>
        <v>109</v>
      </c>
      <c r="F7" s="8" t="n">
        <f aca="false">IF(OR(COUNTIFS('UNL Data'!$A$2:$A$1500,"Spring "&amp;$C$4,'UNL Data'!$B$2:$B$1500,$A7,'UNL Data'!$D$2:$D$1500,"&lt;&gt;")=0,COUNTIFS('UNL Data'!$A$2:$A$1500,"Fall "&amp;$C$4,'UNL Data'!$B$2:$B$1500,$A7,'UNL Data'!$D$2:$D$1500,"&lt;&gt;")=0),"",SUMIFS('UNL Data'!$D$2:$D$1500,'UNL Data'!$A$2:$A$1500,"Spring "&amp;$C$4,'UNL Data'!$B$2:$B$1500,$A7)+SUMIFS('UNL Data'!$D$2:$D$1500,'UNL Data'!$A$2:$A$1500,"Fall "&amp;$C$4,'UNL Data'!$B$2:$B$1500,$A7))</f>
        <v>32</v>
      </c>
      <c r="G7" s="8" t="n">
        <f aca="false">IF(F7="","",COUNTIF($F$7:$F$29,"&gt;"&amp;F7)+1)</f>
        <v>11</v>
      </c>
    </row>
    <row r="8" customFormat="false" ht="15" hidden="false" customHeight="false" outlineLevel="0" collapsed="false">
      <c r="A8" s="14" t="s">
        <v>49</v>
      </c>
      <c r="B8" s="14"/>
      <c r="C8" s="5" t="n">
        <f aca="false">IF(COUNTIFS('UNL Data'!$A$2:$A$1500,$C$3,'UNL Data'!$B$2:$B$1500,$A8,'UNL Data'!$E$2:$E$1500,"&lt;&gt;")=0,"",SUMIFS('UNL Data'!$E$2:$E$1500,'UNL Data'!$A$2:$A$1500,$C$3,'UNL Data'!$B$2:$B$1500,$A8))</f>
        <v>3.664</v>
      </c>
      <c r="D8" s="8" t="n">
        <f aca="false">IF(C8="","",COUNTIF($C$7:$C$29,"&gt;"&amp;C8)+1)</f>
        <v>2</v>
      </c>
      <c r="E8" s="8" t="n">
        <f aca="false">IF(COUNTIFS('UNL Data'!$A$2:$A$1500,$C$3,'UNL Data'!$B$2:$B$1500,$A8,'UNL Data'!$C$2:$C$1500,"&lt;&gt;")=0,"",SUMIFS('UNL Data'!$C$2:$C$1500,'UNL Data'!$A$2:$A$1500,$C$3,'UNL Data'!$B$2:$B$1500,$A8))</f>
        <v>155</v>
      </c>
      <c r="F8" s="8" t="n">
        <f aca="false">IF(OR(COUNTIFS('UNL Data'!$A$2:$A$1500,"Spring "&amp;$C$4,'UNL Data'!$B$2:$B$1500,$A8,'UNL Data'!$D$2:$D$1500,"&lt;&gt;")=0,COUNTIFS('UNL Data'!$A$2:$A$1500,"Fall "&amp;$C$4,'UNL Data'!$B$2:$B$1500,$A8,'UNL Data'!$D$2:$D$1500,"&lt;&gt;")=0),"",SUMIFS('UNL Data'!$D$2:$D$1500,'UNL Data'!$A$2:$A$1500,"Spring "&amp;$C$4,'UNL Data'!$B$2:$B$1500,$A8)+SUMIFS('UNL Data'!$D$2:$D$1500,'UNL Data'!$A$2:$A$1500,"Fall "&amp;$C$4,'UNL Data'!$B$2:$B$1500,$A8))</f>
        <v>45</v>
      </c>
      <c r="G8" s="8" t="n">
        <f aca="false">IF(F8="","",COUNTIF($F$7:$F$29,"&gt;"&amp;F8)+1)</f>
        <v>3</v>
      </c>
    </row>
    <row r="9" customFormat="false" ht="15" hidden="false" customHeight="false" outlineLevel="0" collapsed="false">
      <c r="A9" s="14" t="s">
        <v>50</v>
      </c>
      <c r="B9" s="14"/>
      <c r="C9" s="5" t="n">
        <f aca="false">IF(COUNTIFS('UNL Data'!$A$2:$A$1500,$C$3,'UNL Data'!$B$2:$B$1500,$A9,'UNL Data'!$E$2:$E$1500,"&lt;&gt;")=0,"",SUMIFS('UNL Data'!$E$2:$E$1500,'UNL Data'!$A$2:$A$1500,$C$3,'UNL Data'!$B$2:$B$1500,$A9))</f>
        <v>3.607</v>
      </c>
      <c r="D9" s="8" t="n">
        <f aca="false">IF(C9="","",COUNTIF($C$7:$C$29,"&gt;"&amp;C9)+1)</f>
        <v>3</v>
      </c>
      <c r="E9" s="8" t="n">
        <f aca="false">IF(COUNTIFS('UNL Data'!$A$2:$A$1500,$C$3,'UNL Data'!$B$2:$B$1500,$A9,'UNL Data'!$C$2:$C$1500,"&lt;&gt;")=0,"",SUMIFS('UNL Data'!$C$2:$C$1500,'UNL Data'!$A$2:$A$1500,$C$3,'UNL Data'!$B$2:$B$1500,$A9))</f>
        <v>119</v>
      </c>
      <c r="F9" s="8" t="n">
        <f aca="false">IF(OR(COUNTIFS('UNL Data'!$A$2:$A$1500,"Spring "&amp;$C$4,'UNL Data'!$B$2:$B$1500,$A9,'UNL Data'!$D$2:$D$1500,"&lt;&gt;")=0,COUNTIFS('UNL Data'!$A$2:$A$1500,"Fall "&amp;$C$4,'UNL Data'!$B$2:$B$1500,$A9,'UNL Data'!$D$2:$D$1500,"&lt;&gt;")=0),"",SUMIFS('UNL Data'!$D$2:$D$1500,'UNL Data'!$A$2:$A$1500,"Spring "&amp;$C$4,'UNL Data'!$B$2:$B$1500,$A9)+SUMIFS('UNL Data'!$D$2:$D$1500,'UNL Data'!$A$2:$A$1500,"Fall "&amp;$C$4,'UNL Data'!$B$2:$B$1500,$A9))</f>
        <v>34</v>
      </c>
      <c r="G9" s="8" t="n">
        <f aca="false">IF(F9="","",COUNTIF($F$7:$F$29,"&gt;"&amp;F9)+1)</f>
        <v>10</v>
      </c>
    </row>
    <row r="10" customFormat="false" ht="15" hidden="false" customHeight="false" outlineLevel="0" collapsed="false">
      <c r="A10" s="14" t="s">
        <v>51</v>
      </c>
      <c r="B10" s="14"/>
      <c r="C10" s="5" t="n">
        <f aca="false">IF(COUNTIFS('UNL Data'!$A$2:$A$1500,$C$3,'UNL Data'!$B$2:$B$1500,$A10,'UNL Data'!$E$2:$E$1500,"&lt;&gt;")=0,"",SUMIFS('UNL Data'!$E$2:$E$1500,'UNL Data'!$A$2:$A$1500,$C$3,'UNL Data'!$B$2:$B$1500,$A10))</f>
        <v>3.577</v>
      </c>
      <c r="D10" s="8" t="n">
        <f aca="false">IF(C10="","",COUNTIF($C$7:$C$29,"&gt;"&amp;C10)+1)</f>
        <v>4</v>
      </c>
      <c r="E10" s="8" t="n">
        <f aca="false">IF(COUNTIFS('UNL Data'!$A$2:$A$1500,$C$3,'UNL Data'!$B$2:$B$1500,$A10,'UNL Data'!$C$2:$C$1500,"&lt;&gt;")=0,"",SUMIFS('UNL Data'!$C$2:$C$1500,'UNL Data'!$A$2:$A$1500,$C$3,'UNL Data'!$B$2:$B$1500,$A10))</f>
        <v>165</v>
      </c>
      <c r="F10" s="8" t="n">
        <f aca="false">IF(OR(COUNTIFS('UNL Data'!$A$2:$A$1500,"Spring "&amp;$C$4,'UNL Data'!$B$2:$B$1500,$A10,'UNL Data'!$D$2:$D$1500,"&lt;&gt;")=0,COUNTIFS('UNL Data'!$A$2:$A$1500,"Fall "&amp;$C$4,'UNL Data'!$B$2:$B$1500,$A10,'UNL Data'!$D$2:$D$1500,"&lt;&gt;")=0),"",SUMIFS('UNL Data'!$D$2:$D$1500,'UNL Data'!$A$2:$A$1500,"Spring "&amp;$C$4,'UNL Data'!$B$2:$B$1500,$A10)+SUMIFS('UNL Data'!$D$2:$D$1500,'UNL Data'!$A$2:$A$1500,"Fall "&amp;$C$4,'UNL Data'!$B$2:$B$1500,$A10))</f>
        <v>52</v>
      </c>
      <c r="G10" s="8" t="n">
        <f aca="false">IF(F10="","",COUNTIF($F$7:$F$29,"&gt;"&amp;F10)+1)</f>
        <v>1</v>
      </c>
    </row>
    <row r="11" customFormat="false" ht="15" hidden="false" customHeight="false" outlineLevel="0" collapsed="false">
      <c r="A11" s="14" t="s">
        <v>52</v>
      </c>
      <c r="B11" s="14"/>
      <c r="C11" s="5" t="n">
        <f aca="false">IF(COUNTIFS('UNL Data'!$A$2:$A$1500,$C$3,'UNL Data'!$B$2:$B$1500,$A11,'UNL Data'!$E$2:$E$1500,"&lt;&gt;")=0,"",SUMIFS('UNL Data'!$E$2:$E$1500,'UNL Data'!$A$2:$A$1500,$C$3,'UNL Data'!$B$2:$B$1500,$A11))</f>
        <v>3.509</v>
      </c>
      <c r="D11" s="8" t="n">
        <f aca="false">IF(C11="","",COUNTIF($C$7:$C$29,"&gt;"&amp;C11)+1)</f>
        <v>5</v>
      </c>
      <c r="E11" s="8" t="n">
        <f aca="false">IF(COUNTIFS('UNL Data'!$A$2:$A$1500,$C$3,'UNL Data'!$B$2:$B$1500,$A11,'UNL Data'!$C$2:$C$1500,"&lt;&gt;")=0,"",SUMIFS('UNL Data'!$C$2:$C$1500,'UNL Data'!$A$2:$A$1500,$C$3,'UNL Data'!$B$2:$B$1500,$A11))</f>
        <v>14</v>
      </c>
      <c r="F11" s="8" t="str">
        <f aca="false">IF(OR(COUNTIFS('UNL Data'!$A$2:$A$1500,"Spring "&amp;$C$4,'UNL Data'!$B$2:$B$1500,$A11,'UNL Data'!$D$2:$D$1500,"&lt;&gt;")=0,COUNTIFS('UNL Data'!$A$2:$A$1500,"Fall "&amp;$C$4,'UNL Data'!$B$2:$B$1500,$A11,'UNL Data'!$D$2:$D$1500,"&lt;&gt;")=0),"",SUMIFS('UNL Data'!$D$2:$D$1500,'UNL Data'!$A$2:$A$1500,"Spring "&amp;$C$4,'UNL Data'!$B$2:$B$1500,$A11)+SUMIFS('UNL Data'!$D$2:$D$1500,'UNL Data'!$A$2:$A$1500,"Fall "&amp;$C$4,'UNL Data'!$B$2:$B$1500,$A11))</f>
        <v/>
      </c>
      <c r="G11" s="8" t="str">
        <f aca="false">IF(F11="","",COUNTIF($F$7:$F$29,"&gt;"&amp;F11)+1)</f>
        <v/>
      </c>
    </row>
    <row r="12" customFormat="false" ht="15" hidden="false" customHeight="false" outlineLevel="0" collapsed="false">
      <c r="A12" s="14" t="s">
        <v>53</v>
      </c>
      <c r="B12" s="14"/>
      <c r="C12" s="5" t="n">
        <f aca="false">IF(COUNTIFS('UNL Data'!$A$2:$A$1500,$C$3,'UNL Data'!$B$2:$B$1500,$A12,'UNL Data'!$E$2:$E$1500,"&lt;&gt;")=0,"",SUMIFS('UNL Data'!$E$2:$E$1500,'UNL Data'!$A$2:$A$1500,$C$3,'UNL Data'!$B$2:$B$1500,$A12))</f>
        <v>3.494</v>
      </c>
      <c r="D12" s="8" t="n">
        <f aca="false">IF(C12="","",COUNTIF($C$7:$C$29,"&gt;"&amp;C12)+1)</f>
        <v>6</v>
      </c>
      <c r="E12" s="8" t="n">
        <f aca="false">IF(COUNTIFS('UNL Data'!$A$2:$A$1500,$C$3,'UNL Data'!$B$2:$B$1500,$A12,'UNL Data'!$C$2:$C$1500,"&lt;&gt;")=0,"",SUMIFS('UNL Data'!$C$2:$C$1500,'UNL Data'!$A$2:$A$1500,$C$3,'UNL Data'!$B$2:$B$1500,$A12))</f>
        <v>15</v>
      </c>
      <c r="F12" s="8" t="n">
        <f aca="false">IF(OR(COUNTIFS('UNL Data'!$A$2:$A$1500,"Spring "&amp;$C$4,'UNL Data'!$B$2:$B$1500,$A12,'UNL Data'!$D$2:$D$1500,"&lt;&gt;")=0,COUNTIFS('UNL Data'!$A$2:$A$1500,"Fall "&amp;$C$4,'UNL Data'!$B$2:$B$1500,$A12,'UNL Data'!$D$2:$D$1500,"&lt;&gt;")=0),"",SUMIFS('UNL Data'!$D$2:$D$1500,'UNL Data'!$A$2:$A$1500,"Spring "&amp;$C$4,'UNL Data'!$B$2:$B$1500,$A12)+SUMIFS('UNL Data'!$D$2:$D$1500,'UNL Data'!$A$2:$A$1500,"Fall "&amp;$C$4,'UNL Data'!$B$2:$B$1500,$A12))</f>
        <v>4</v>
      </c>
      <c r="G12" s="8" t="n">
        <f aca="false">IF(F12="","",COUNTIF($F$7:$F$29,"&gt;"&amp;F12)+1)</f>
        <v>22</v>
      </c>
    </row>
    <row r="13" customFormat="false" ht="15" hidden="false" customHeight="false" outlineLevel="0" collapsed="false">
      <c r="A13" s="14" t="s">
        <v>54</v>
      </c>
      <c r="B13" s="14"/>
      <c r="C13" s="5" t="n">
        <f aca="false">IF(COUNTIFS('UNL Data'!$A$2:$A$1500,$C$3,'UNL Data'!$B$2:$B$1500,$A13,'UNL Data'!$E$2:$E$1500,"&lt;&gt;")=0,"",SUMIFS('UNL Data'!$E$2:$E$1500,'UNL Data'!$A$2:$A$1500,$C$3,'UNL Data'!$B$2:$B$1500,$A13))</f>
        <v>3.464</v>
      </c>
      <c r="D13" s="8" t="n">
        <f aca="false">IF(C13="","",COUNTIF($C$7:$C$29,"&gt;"&amp;C13)+1)</f>
        <v>7</v>
      </c>
      <c r="E13" s="8" t="n">
        <f aca="false">IF(COUNTIFS('UNL Data'!$A$2:$A$1500,$C$3,'UNL Data'!$B$2:$B$1500,$A13,'UNL Data'!$C$2:$C$1500,"&lt;&gt;")=0,"",SUMIFS('UNL Data'!$C$2:$C$1500,'UNL Data'!$A$2:$A$1500,$C$3,'UNL Data'!$B$2:$B$1500,$A13))</f>
        <v>112</v>
      </c>
      <c r="F13" s="8" t="n">
        <f aca="false">IF(OR(COUNTIFS('UNL Data'!$A$2:$A$1500,"Spring "&amp;$C$4,'UNL Data'!$B$2:$B$1500,$A13,'UNL Data'!$D$2:$D$1500,"&lt;&gt;")=0,COUNTIFS('UNL Data'!$A$2:$A$1500,"Fall "&amp;$C$4,'UNL Data'!$B$2:$B$1500,$A13,'UNL Data'!$D$2:$D$1500,"&lt;&gt;")=0),"",SUMIFS('UNL Data'!$D$2:$D$1500,'UNL Data'!$A$2:$A$1500,"Spring "&amp;$C$4,'UNL Data'!$B$2:$B$1500,$A13)+SUMIFS('UNL Data'!$D$2:$D$1500,'UNL Data'!$A$2:$A$1500,"Fall "&amp;$C$4,'UNL Data'!$B$2:$B$1500,$A13))</f>
        <v>47</v>
      </c>
      <c r="G13" s="8" t="n">
        <f aca="false">IF(F13="","",COUNTIF($F$7:$F$29,"&gt;"&amp;F13)+1)</f>
        <v>2</v>
      </c>
    </row>
    <row r="14" customFormat="false" ht="15" hidden="false" customHeight="false" outlineLevel="0" collapsed="false">
      <c r="A14" s="14" t="s">
        <v>55</v>
      </c>
      <c r="B14" s="14"/>
      <c r="C14" s="5" t="n">
        <f aca="false">IF(COUNTIFS('UNL Data'!$A$2:$A$1500,$C$3,'UNL Data'!$B$2:$B$1500,$A14,'UNL Data'!$E$2:$E$1500,"&lt;&gt;")=0,"",SUMIFS('UNL Data'!$E$2:$E$1500,'UNL Data'!$A$2:$A$1500,$C$3,'UNL Data'!$B$2:$B$1500,$A14))</f>
        <v>3.454</v>
      </c>
      <c r="D14" s="8" t="n">
        <f aca="false">IF(C14="","",COUNTIF($C$7:$C$29,"&gt;"&amp;C14)+1)</f>
        <v>8</v>
      </c>
      <c r="E14" s="8" t="n">
        <f aca="false">IF(COUNTIFS('UNL Data'!$A$2:$A$1500,$C$3,'UNL Data'!$B$2:$B$1500,$A14,'UNL Data'!$C$2:$C$1500,"&lt;&gt;")=0,"",SUMIFS('UNL Data'!$C$2:$C$1500,'UNL Data'!$A$2:$A$1500,$C$3,'UNL Data'!$B$2:$B$1500,$A14))</f>
        <v>88</v>
      </c>
      <c r="F14" s="8" t="n">
        <f aca="false">IF(OR(COUNTIFS('UNL Data'!$A$2:$A$1500,"Spring "&amp;$C$4,'UNL Data'!$B$2:$B$1500,$A14,'UNL Data'!$D$2:$D$1500,"&lt;&gt;")=0,COUNTIFS('UNL Data'!$A$2:$A$1500,"Fall "&amp;$C$4,'UNL Data'!$B$2:$B$1500,$A14,'UNL Data'!$D$2:$D$1500,"&lt;&gt;")=0),"",SUMIFS('UNL Data'!$D$2:$D$1500,'UNL Data'!$A$2:$A$1500,"Spring "&amp;$C$4,'UNL Data'!$B$2:$B$1500,$A14)+SUMIFS('UNL Data'!$D$2:$D$1500,'UNL Data'!$A$2:$A$1500,"Fall "&amp;$C$4,'UNL Data'!$B$2:$B$1500,$A14))</f>
        <v>37</v>
      </c>
      <c r="G14" s="8" t="n">
        <f aca="false">IF(F14="","",COUNTIF($F$7:$F$29,"&gt;"&amp;F14)+1)</f>
        <v>7</v>
      </c>
    </row>
    <row r="15" customFormat="false" ht="15" hidden="false" customHeight="false" outlineLevel="0" collapsed="false">
      <c r="A15" s="14" t="s">
        <v>56</v>
      </c>
      <c r="B15" s="14"/>
      <c r="C15" s="5" t="n">
        <f aca="false">IF(COUNTIFS('UNL Data'!$A$2:$A$1500,$C$3,'UNL Data'!$B$2:$B$1500,$A15,'UNL Data'!$E$2:$E$1500,"&lt;&gt;")=0,"",SUMIFS('UNL Data'!$E$2:$E$1500,'UNL Data'!$A$2:$A$1500,$C$3,'UNL Data'!$B$2:$B$1500,$A15))</f>
        <v>3.427</v>
      </c>
      <c r="D15" s="8" t="n">
        <f aca="false">IF(C15="","",COUNTIF($C$7:$C$29,"&gt;"&amp;C15)+1)</f>
        <v>9</v>
      </c>
      <c r="E15" s="8" t="n">
        <f aca="false">IF(COUNTIFS('UNL Data'!$A$2:$A$1500,$C$3,'UNL Data'!$B$2:$B$1500,$A15,'UNL Data'!$C$2:$C$1500,"&lt;&gt;")=0,"",SUMIFS('UNL Data'!$C$2:$C$1500,'UNL Data'!$A$2:$A$1500,$C$3,'UNL Data'!$B$2:$B$1500,$A15))</f>
        <v>127</v>
      </c>
      <c r="F15" s="8" t="n">
        <f aca="false">IF(OR(COUNTIFS('UNL Data'!$A$2:$A$1500,"Spring "&amp;$C$4,'UNL Data'!$B$2:$B$1500,$A15,'UNL Data'!$D$2:$D$1500,"&lt;&gt;")=0,COUNTIFS('UNL Data'!$A$2:$A$1500,"Fall "&amp;$C$4,'UNL Data'!$B$2:$B$1500,$A15,'UNL Data'!$D$2:$D$1500,"&lt;&gt;")=0),"",SUMIFS('UNL Data'!$D$2:$D$1500,'UNL Data'!$A$2:$A$1500,"Spring "&amp;$C$4,'UNL Data'!$B$2:$B$1500,$A15)+SUMIFS('UNL Data'!$D$2:$D$1500,'UNL Data'!$A$2:$A$1500,"Fall "&amp;$C$4,'UNL Data'!$B$2:$B$1500,$A15))</f>
        <v>38</v>
      </c>
      <c r="G15" s="8" t="n">
        <f aca="false">IF(F15="","",COUNTIF($F$7:$F$29,"&gt;"&amp;F15)+1)</f>
        <v>6</v>
      </c>
    </row>
    <row r="16" customFormat="false" ht="15" hidden="false" customHeight="false" outlineLevel="0" collapsed="false">
      <c r="A16" s="14" t="s">
        <v>57</v>
      </c>
      <c r="B16" s="14"/>
      <c r="C16" s="5" t="n">
        <f aca="false">IF(COUNTIFS('UNL Data'!$A$2:$A$1500,$C$3,'UNL Data'!$B$2:$B$1500,$A16,'UNL Data'!$E$2:$E$1500,"&lt;&gt;")=0,"",SUMIFS('UNL Data'!$E$2:$E$1500,'UNL Data'!$A$2:$A$1500,$C$3,'UNL Data'!$B$2:$B$1500,$A16))</f>
        <v>3.421</v>
      </c>
      <c r="D16" s="8" t="n">
        <f aca="false">IF(C16="","",COUNTIF($C$7:$C$29,"&gt;"&amp;C16)+1)</f>
        <v>10</v>
      </c>
      <c r="E16" s="8" t="n">
        <f aca="false">IF(COUNTIFS('UNL Data'!$A$2:$A$1500,$C$3,'UNL Data'!$B$2:$B$1500,$A16,'UNL Data'!$C$2:$C$1500,"&lt;&gt;")=0,"",SUMIFS('UNL Data'!$C$2:$C$1500,'UNL Data'!$A$2:$A$1500,$C$3,'UNL Data'!$B$2:$B$1500,$A16))</f>
        <v>92</v>
      </c>
      <c r="F16" s="8" t="n">
        <f aca="false">IF(OR(COUNTIFS('UNL Data'!$A$2:$A$1500,"Spring "&amp;$C$4,'UNL Data'!$B$2:$B$1500,$A16,'UNL Data'!$D$2:$D$1500,"&lt;&gt;")=0,COUNTIFS('UNL Data'!$A$2:$A$1500,"Fall "&amp;$C$4,'UNL Data'!$B$2:$B$1500,$A16,'UNL Data'!$D$2:$D$1500,"&lt;&gt;")=0),"",SUMIFS('UNL Data'!$D$2:$D$1500,'UNL Data'!$A$2:$A$1500,"Spring "&amp;$C$4,'UNL Data'!$B$2:$B$1500,$A16)+SUMIFS('UNL Data'!$D$2:$D$1500,'UNL Data'!$A$2:$A$1500,"Fall "&amp;$C$4,'UNL Data'!$B$2:$B$1500,$A16))</f>
        <v>29</v>
      </c>
      <c r="G16" s="8" t="n">
        <f aca="false">IF(F16="","",COUNTIF($F$7:$F$29,"&gt;"&amp;F16)+1)</f>
        <v>13</v>
      </c>
    </row>
    <row r="17" customFormat="false" ht="15" hidden="false" customHeight="false" outlineLevel="0" collapsed="false">
      <c r="A17" s="14" t="s">
        <v>58</v>
      </c>
      <c r="B17" s="14"/>
      <c r="C17" s="5" t="n">
        <f aca="false">IF(COUNTIFS('UNL Data'!$A$2:$A$1500,$C$3,'UNL Data'!$B$2:$B$1500,$A17,'UNL Data'!$E$2:$E$1500,"&lt;&gt;")=0,"",SUMIFS('UNL Data'!$E$2:$E$1500,'UNL Data'!$A$2:$A$1500,$C$3,'UNL Data'!$B$2:$B$1500,$A17))</f>
        <v>3.376</v>
      </c>
      <c r="D17" s="8" t="n">
        <f aca="false">IF(C17="","",COUNTIF($C$7:$C$29,"&gt;"&amp;C17)+1)</f>
        <v>11</v>
      </c>
      <c r="E17" s="8" t="n">
        <f aca="false">IF(COUNTIFS('UNL Data'!$A$2:$A$1500,$C$3,'UNL Data'!$B$2:$B$1500,$A17,'UNL Data'!$C$2:$C$1500,"&lt;&gt;")=0,"",SUMIFS('UNL Data'!$C$2:$C$1500,'UNL Data'!$A$2:$A$1500,$C$3,'UNL Data'!$B$2:$B$1500,$A17))</f>
        <v>9</v>
      </c>
      <c r="F17" s="8" t="n">
        <f aca="false">IF(OR(COUNTIFS('UNL Data'!$A$2:$A$1500,"Spring "&amp;$C$4,'UNL Data'!$B$2:$B$1500,$A17,'UNL Data'!$D$2:$D$1500,"&lt;&gt;")=0,COUNTIFS('UNL Data'!$A$2:$A$1500,"Fall "&amp;$C$4,'UNL Data'!$B$2:$B$1500,$A17,'UNL Data'!$D$2:$D$1500,"&lt;&gt;")=0),"",SUMIFS('UNL Data'!$D$2:$D$1500,'UNL Data'!$A$2:$A$1500,"Spring "&amp;$C$4,'UNL Data'!$B$2:$B$1500,$A17)+SUMIFS('UNL Data'!$D$2:$D$1500,'UNL Data'!$A$2:$A$1500,"Fall "&amp;$C$4,'UNL Data'!$B$2:$B$1500,$A17))</f>
        <v>5</v>
      </c>
      <c r="G17" s="8" t="n">
        <f aca="false">IF(F17="","",COUNTIF($F$7:$F$29,"&gt;"&amp;F17)+1)</f>
        <v>20</v>
      </c>
    </row>
    <row r="18" customFormat="false" ht="15" hidden="false" customHeight="false" outlineLevel="0" collapsed="false">
      <c r="A18" s="14" t="s">
        <v>59</v>
      </c>
      <c r="B18" s="14"/>
      <c r="C18" s="5" t="n">
        <f aca="false">IF(COUNTIFS('UNL Data'!$A$2:$A$1500,$C$3,'UNL Data'!$B$2:$B$1500,$A18,'UNL Data'!$E$2:$E$1500,"&lt;&gt;")=0,"",SUMIFS('UNL Data'!$E$2:$E$1500,'UNL Data'!$A$2:$A$1500,$C$3,'UNL Data'!$B$2:$B$1500,$A18))</f>
        <v>3.351</v>
      </c>
      <c r="D18" s="8" t="n">
        <f aca="false">IF(C18="","",COUNTIF($C$7:$C$29,"&gt;"&amp;C18)+1)</f>
        <v>12</v>
      </c>
      <c r="E18" s="8" t="n">
        <f aca="false">IF(COUNTIFS('UNL Data'!$A$2:$A$1500,$C$3,'UNL Data'!$B$2:$B$1500,$A18,'UNL Data'!$C$2:$C$1500,"&lt;&gt;")=0,"",SUMIFS('UNL Data'!$C$2:$C$1500,'UNL Data'!$A$2:$A$1500,$C$3,'UNL Data'!$B$2:$B$1500,$A18))</f>
        <v>95</v>
      </c>
      <c r="F18" s="8" t="n">
        <f aca="false">IF(OR(COUNTIFS('UNL Data'!$A$2:$A$1500,"Spring "&amp;$C$4,'UNL Data'!$B$2:$B$1500,$A18,'UNL Data'!$D$2:$D$1500,"&lt;&gt;")=0,COUNTIFS('UNL Data'!$A$2:$A$1500,"Fall "&amp;$C$4,'UNL Data'!$B$2:$B$1500,$A18,'UNL Data'!$D$2:$D$1500,"&lt;&gt;")=0),"",SUMIFS('UNL Data'!$D$2:$D$1500,'UNL Data'!$A$2:$A$1500,"Spring "&amp;$C$4,'UNL Data'!$B$2:$B$1500,$A18)+SUMIFS('UNL Data'!$D$2:$D$1500,'UNL Data'!$A$2:$A$1500,"Fall "&amp;$C$4,'UNL Data'!$B$2:$B$1500,$A18))</f>
        <v>35</v>
      </c>
      <c r="G18" s="8" t="n">
        <f aca="false">IF(F18="","",COUNTIF($F$7:$F$29,"&gt;"&amp;F18)+1)</f>
        <v>9</v>
      </c>
    </row>
    <row r="19" customFormat="false" ht="15" hidden="false" customHeight="false" outlineLevel="0" collapsed="false">
      <c r="A19" s="14" t="s">
        <v>60</v>
      </c>
      <c r="B19" s="14"/>
      <c r="C19" s="5" t="n">
        <f aca="false">IF(COUNTIFS('UNL Data'!$A$2:$A$1500,$C$3,'UNL Data'!$B$2:$B$1500,$A19,'UNL Data'!$E$2:$E$1500,"&lt;&gt;")=0,"",SUMIFS('UNL Data'!$E$2:$E$1500,'UNL Data'!$A$2:$A$1500,$C$3,'UNL Data'!$B$2:$B$1500,$A19))</f>
        <v>3.299</v>
      </c>
      <c r="D19" s="8" t="n">
        <f aca="false">IF(C19="","",COUNTIF($C$7:$C$29,"&gt;"&amp;C19)+1)</f>
        <v>13</v>
      </c>
      <c r="E19" s="8" t="n">
        <f aca="false">IF(COUNTIFS('UNL Data'!$A$2:$A$1500,$C$3,'UNL Data'!$B$2:$B$1500,$A19,'UNL Data'!$C$2:$C$1500,"&lt;&gt;")=0,"",SUMIFS('UNL Data'!$C$2:$C$1500,'UNL Data'!$A$2:$A$1500,$C$3,'UNL Data'!$B$2:$B$1500,$A19))</f>
        <v>142</v>
      </c>
      <c r="F19" s="8" t="n">
        <f aca="false">IF(OR(COUNTIFS('UNL Data'!$A$2:$A$1500,"Spring "&amp;$C$4,'UNL Data'!$B$2:$B$1500,$A19,'UNL Data'!$D$2:$D$1500,"&lt;&gt;")=0,COUNTIFS('UNL Data'!$A$2:$A$1500,"Fall "&amp;$C$4,'UNL Data'!$B$2:$B$1500,$A19,'UNL Data'!$D$2:$D$1500,"&lt;&gt;")=0),"",SUMIFS('UNL Data'!$D$2:$D$1500,'UNL Data'!$A$2:$A$1500,"Spring "&amp;$C$4,'UNL Data'!$B$2:$B$1500,$A19)+SUMIFS('UNL Data'!$D$2:$D$1500,'UNL Data'!$A$2:$A$1500,"Fall "&amp;$C$4,'UNL Data'!$B$2:$B$1500,$A19))</f>
        <v>44</v>
      </c>
      <c r="G19" s="8" t="n">
        <f aca="false">IF(F19="","",COUNTIF($F$7:$F$29,"&gt;"&amp;F19)+1)</f>
        <v>4</v>
      </c>
    </row>
    <row r="20" customFormat="false" ht="15" hidden="false" customHeight="false" outlineLevel="0" collapsed="false">
      <c r="A20" s="14" t="s">
        <v>61</v>
      </c>
      <c r="B20" s="14"/>
      <c r="C20" s="5" t="n">
        <f aca="false">IF(COUNTIFS('UNL Data'!$A$2:$A$1500,$C$3,'UNL Data'!$B$2:$B$1500,$A20,'UNL Data'!$E$2:$E$1500,"&lt;&gt;")=0,"",SUMIFS('UNL Data'!$E$2:$E$1500,'UNL Data'!$A$2:$A$1500,$C$3,'UNL Data'!$B$2:$B$1500,$A20))</f>
        <v>3.296</v>
      </c>
      <c r="D20" s="8" t="n">
        <f aca="false">IF(C20="","",COUNTIF($C$7:$C$29,"&gt;"&amp;C20)+1)</f>
        <v>14</v>
      </c>
      <c r="E20" s="8" t="n">
        <f aca="false">IF(COUNTIFS('UNL Data'!$A$2:$A$1500,$C$3,'UNL Data'!$B$2:$B$1500,$A20,'UNL Data'!$C$2:$C$1500,"&lt;&gt;")=0,"",SUMIFS('UNL Data'!$C$2:$C$1500,'UNL Data'!$A$2:$A$1500,$C$3,'UNL Data'!$B$2:$B$1500,$A20))</f>
        <v>142</v>
      </c>
      <c r="F20" s="8" t="n">
        <f aca="false">IF(OR(COUNTIFS('UNL Data'!$A$2:$A$1500,"Spring "&amp;$C$4,'UNL Data'!$B$2:$B$1500,$A20,'UNL Data'!$D$2:$D$1500,"&lt;&gt;")=0,COUNTIFS('UNL Data'!$A$2:$A$1500,"Fall "&amp;$C$4,'UNL Data'!$B$2:$B$1500,$A20,'UNL Data'!$D$2:$D$1500,"&lt;&gt;")=0),"",SUMIFS('UNL Data'!$D$2:$D$1500,'UNL Data'!$A$2:$A$1500,"Spring "&amp;$C$4,'UNL Data'!$B$2:$B$1500,$A20)+SUMIFS('UNL Data'!$D$2:$D$1500,'UNL Data'!$A$2:$A$1500,"Fall "&amp;$C$4,'UNL Data'!$B$2:$B$1500,$A20))</f>
        <v>40</v>
      </c>
      <c r="G20" s="8" t="n">
        <f aca="false">IF(F20="","",COUNTIF($F$7:$F$29,"&gt;"&amp;F20)+1)</f>
        <v>5</v>
      </c>
    </row>
    <row r="21" customFormat="false" ht="15" hidden="false" customHeight="false" outlineLevel="0" collapsed="false">
      <c r="A21" s="14" t="s">
        <v>62</v>
      </c>
      <c r="B21" s="14"/>
      <c r="C21" s="5" t="n">
        <f aca="false">IF(COUNTIFS('UNL Data'!$A$2:$A$1500,$C$3,'UNL Data'!$B$2:$B$1500,$A21,'UNL Data'!$E$2:$E$1500,"&lt;&gt;")=0,"",SUMIFS('UNL Data'!$E$2:$E$1500,'UNL Data'!$A$2:$A$1500,$C$3,'UNL Data'!$B$2:$B$1500,$A21))</f>
        <v>3.216</v>
      </c>
      <c r="D21" s="8" t="n">
        <f aca="false">IF(C21="","",COUNTIF($C$7:$C$29,"&gt;"&amp;C21)+1)</f>
        <v>15</v>
      </c>
      <c r="E21" s="8" t="n">
        <f aca="false">IF(COUNTIFS('UNL Data'!$A$2:$A$1500,$C$3,'UNL Data'!$B$2:$B$1500,$A21,'UNL Data'!$C$2:$C$1500,"&lt;&gt;")=0,"",SUMIFS('UNL Data'!$C$2:$C$1500,'UNL Data'!$A$2:$A$1500,$C$3,'UNL Data'!$B$2:$B$1500,$A21))</f>
        <v>37</v>
      </c>
      <c r="F21" s="8" t="n">
        <f aca="false">IF(OR(COUNTIFS('UNL Data'!$A$2:$A$1500,"Spring "&amp;$C$4,'UNL Data'!$B$2:$B$1500,$A21,'UNL Data'!$D$2:$D$1500,"&lt;&gt;")=0,COUNTIFS('UNL Data'!$A$2:$A$1500,"Fall "&amp;$C$4,'UNL Data'!$B$2:$B$1500,$A21,'UNL Data'!$D$2:$D$1500,"&lt;&gt;")=0),"",SUMIFS('UNL Data'!$D$2:$D$1500,'UNL Data'!$A$2:$A$1500,"Spring "&amp;$C$4,'UNL Data'!$B$2:$B$1500,$A21)+SUMIFS('UNL Data'!$D$2:$D$1500,'UNL Data'!$A$2:$A$1500,"Fall "&amp;$C$4,'UNL Data'!$B$2:$B$1500,$A21))</f>
        <v>20</v>
      </c>
      <c r="G21" s="8" t="n">
        <f aca="false">IF(F21="","",COUNTIF($F$7:$F$29,"&gt;"&amp;F21)+1)</f>
        <v>14</v>
      </c>
    </row>
    <row r="22" customFormat="false" ht="15" hidden="false" customHeight="false" outlineLevel="0" collapsed="false">
      <c r="A22" s="14" t="s">
        <v>63</v>
      </c>
      <c r="B22" s="14"/>
      <c r="C22" s="5" t="n">
        <f aca="false">IF(COUNTIFS('UNL Data'!$A$2:$A$1500,$C$3,'UNL Data'!$B$2:$B$1500,$A22,'UNL Data'!$E$2:$E$1500,"&lt;&gt;")=0,"",SUMIFS('UNL Data'!$E$2:$E$1500,'UNL Data'!$A$2:$A$1500,$C$3,'UNL Data'!$B$2:$B$1500,$A22))</f>
        <v>3.195</v>
      </c>
      <c r="D22" s="8" t="n">
        <f aca="false">IF(C22="","",COUNTIF($C$7:$C$29,"&gt;"&amp;C22)+1)</f>
        <v>16</v>
      </c>
      <c r="E22" s="8" t="n">
        <f aca="false">IF(COUNTIFS('UNL Data'!$A$2:$A$1500,$C$3,'UNL Data'!$B$2:$B$1500,$A22,'UNL Data'!$C$2:$C$1500,"&lt;&gt;")=0,"",SUMIFS('UNL Data'!$C$2:$C$1500,'UNL Data'!$A$2:$A$1500,$C$3,'UNL Data'!$B$2:$B$1500,$A22))</f>
        <v>78</v>
      </c>
      <c r="F22" s="8" t="n">
        <f aca="false">IF(OR(COUNTIFS('UNL Data'!$A$2:$A$1500,"Spring "&amp;$C$4,'UNL Data'!$B$2:$B$1500,$A22,'UNL Data'!$D$2:$D$1500,"&lt;&gt;")=0,COUNTIFS('UNL Data'!$A$2:$A$1500,"Fall "&amp;$C$4,'UNL Data'!$B$2:$B$1500,$A22,'UNL Data'!$D$2:$D$1500,"&lt;&gt;")=0),"",SUMIFS('UNL Data'!$D$2:$D$1500,'UNL Data'!$A$2:$A$1500,"Spring "&amp;$C$4,'UNL Data'!$B$2:$B$1500,$A22)+SUMIFS('UNL Data'!$D$2:$D$1500,'UNL Data'!$A$2:$A$1500,"Fall "&amp;$C$4,'UNL Data'!$B$2:$B$1500,$A22))</f>
        <v>32</v>
      </c>
      <c r="G22" s="8" t="n">
        <f aca="false">IF(F22="","",COUNTIF($F$7:$F$29,"&gt;"&amp;F22)+1)</f>
        <v>11</v>
      </c>
    </row>
    <row r="23" customFormat="false" ht="15" hidden="false" customHeight="false" outlineLevel="0" collapsed="false">
      <c r="A23" s="15" t="s">
        <v>64</v>
      </c>
      <c r="B23" s="15"/>
      <c r="C23" s="16" t="n">
        <f aca="false">IF(COUNTIFS('UNL Data'!$A$2:$A$1500,$C$3,'UNL Data'!$B$2:$B$1500,$A23,'UNL Data'!$E$2:$E$1500,"&lt;&gt;")=0,"",SUMIFS('UNL Data'!$E$2:$E$1500,'UNL Data'!$A$2:$A$1500,$C$3,'UNL Data'!$B$2:$B$1500,$A23))</f>
        <v>3.163</v>
      </c>
      <c r="D23" s="17" t="n">
        <f aca="false">IF(C23="","",COUNTIF($C$7:$C$29,"&gt;"&amp;C23)+1)</f>
        <v>17</v>
      </c>
      <c r="E23" s="17" t="n">
        <f aca="false">IF(COUNTIFS('UNL Data'!$A$2:$A$1500,$C$3,'UNL Data'!$B$2:$B$1500,$A23,'UNL Data'!$C$2:$C$1500,"&lt;&gt;")=0,"",SUMIFS('UNL Data'!$C$2:$C$1500,'UNL Data'!$A$2:$A$1500,$C$3,'UNL Data'!$B$2:$B$1500,$A23))</f>
        <v>43</v>
      </c>
      <c r="F23" s="17" t="n">
        <f aca="false">IF(OR(COUNTIFS('UNL Data'!$A$2:$A$1500,"Spring "&amp;$C$4,'UNL Data'!$B$2:$B$1500,$A23,'UNL Data'!$D$2:$D$1500,"&lt;&gt;")=0,COUNTIFS('UNL Data'!$A$2:$A$1500,"Fall "&amp;$C$4,'UNL Data'!$B$2:$B$1500,$A23,'UNL Data'!$D$2:$D$1500,"&lt;&gt;")=0),"",SUMIFS('UNL Data'!$D$2:$D$1500,'UNL Data'!$A$2:$A$1500,"Spring "&amp;$C$4,'UNL Data'!$B$2:$B$1500,$A23)+SUMIFS('UNL Data'!$D$2:$D$1500,'UNL Data'!$A$2:$A$1500,"Fall "&amp;$C$4,'UNL Data'!$B$2:$B$1500,$A23))</f>
        <v>15</v>
      </c>
      <c r="G23" s="17" t="n">
        <f aca="false">IF(F23="","",COUNTIF($F$7:$F$29,"&gt;"&amp;F23)+1)</f>
        <v>16</v>
      </c>
    </row>
    <row r="24" customFormat="false" ht="15" hidden="false" customHeight="false" outlineLevel="0" collapsed="false">
      <c r="A24" s="14" t="s">
        <v>65</v>
      </c>
      <c r="B24" s="14"/>
      <c r="C24" s="5" t="n">
        <f aca="false">IF(COUNTIFS('UNL Data'!$A$2:$A$1500,$C$3,'UNL Data'!$B$2:$B$1500,$A24,'UNL Data'!$E$2:$E$1500,"&lt;&gt;")=0,"",SUMIFS('UNL Data'!$E$2:$E$1500,'UNL Data'!$A$2:$A$1500,$C$3,'UNL Data'!$B$2:$B$1500,$A24))</f>
        <v>3.121</v>
      </c>
      <c r="D24" s="8" t="n">
        <f aca="false">IF(C24="","",COUNTIF($C$7:$C$29,"&gt;"&amp;C24)+1)</f>
        <v>18</v>
      </c>
      <c r="E24" s="8" t="n">
        <f aca="false">IF(COUNTIFS('UNL Data'!$A$2:$A$1500,$C$3,'UNL Data'!$B$2:$B$1500,$A24,'UNL Data'!$C$2:$C$1500,"&lt;&gt;")=0,"",SUMIFS('UNL Data'!$C$2:$C$1500,'UNL Data'!$A$2:$A$1500,$C$3,'UNL Data'!$B$2:$B$1500,$A24))</f>
        <v>33</v>
      </c>
      <c r="F24" s="8" t="n">
        <f aca="false">IF(OR(COUNTIFS('UNL Data'!$A$2:$A$1500,"Spring "&amp;$C$4,'UNL Data'!$B$2:$B$1500,$A24,'UNL Data'!$D$2:$D$1500,"&lt;&gt;")=0,COUNTIFS('UNL Data'!$A$2:$A$1500,"Fall "&amp;$C$4,'UNL Data'!$B$2:$B$1500,$A24,'UNL Data'!$D$2:$D$1500,"&lt;&gt;")=0),"",SUMIFS('UNL Data'!$D$2:$D$1500,'UNL Data'!$A$2:$A$1500,"Spring "&amp;$C$4,'UNL Data'!$B$2:$B$1500,$A24)+SUMIFS('UNL Data'!$D$2:$D$1500,'UNL Data'!$A$2:$A$1500,"Fall "&amp;$C$4,'UNL Data'!$B$2:$B$1500,$A24))</f>
        <v>8</v>
      </c>
      <c r="G24" s="8" t="n">
        <f aca="false">IF(F24="","",COUNTIF($F$7:$F$29,"&gt;"&amp;F24)+1)</f>
        <v>19</v>
      </c>
    </row>
    <row r="25" customFormat="false" ht="15" hidden="false" customHeight="false" outlineLevel="0" collapsed="false">
      <c r="A25" s="14" t="s">
        <v>66</v>
      </c>
      <c r="B25" s="14"/>
      <c r="C25" s="5" t="n">
        <f aca="false">IF(COUNTIFS('UNL Data'!$A$2:$A$1500,$C$3,'UNL Data'!$B$2:$B$1500,$A25,'UNL Data'!$E$2:$E$1500,"&lt;&gt;")=0,"",SUMIFS('UNL Data'!$E$2:$E$1500,'UNL Data'!$A$2:$A$1500,$C$3,'UNL Data'!$B$2:$B$1500,$A25))</f>
        <v>3.058</v>
      </c>
      <c r="D25" s="8" t="n">
        <f aca="false">IF(C25="","",COUNTIF($C$7:$C$29,"&gt;"&amp;C25)+1)</f>
        <v>19</v>
      </c>
      <c r="E25" s="8" t="n">
        <f aca="false">IF(COUNTIFS('UNL Data'!$A$2:$A$1500,$C$3,'UNL Data'!$B$2:$B$1500,$A25,'UNL Data'!$C$2:$C$1500,"&lt;&gt;")=0,"",SUMIFS('UNL Data'!$C$2:$C$1500,'UNL Data'!$A$2:$A$1500,$C$3,'UNL Data'!$B$2:$B$1500,$A25))</f>
        <v>28</v>
      </c>
      <c r="F25" s="8" t="n">
        <f aca="false">IF(OR(COUNTIFS('UNL Data'!$A$2:$A$1500,"Spring "&amp;$C$4,'UNL Data'!$B$2:$B$1500,$A25,'UNL Data'!$D$2:$D$1500,"&lt;&gt;")=0,COUNTIFS('UNL Data'!$A$2:$A$1500,"Fall "&amp;$C$4,'UNL Data'!$B$2:$B$1500,$A25,'UNL Data'!$D$2:$D$1500,"&lt;&gt;")=0),"",SUMIFS('UNL Data'!$D$2:$D$1500,'UNL Data'!$A$2:$A$1500,"Spring "&amp;$C$4,'UNL Data'!$B$2:$B$1500,$A25)+SUMIFS('UNL Data'!$D$2:$D$1500,'UNL Data'!$A$2:$A$1500,"Fall "&amp;$C$4,'UNL Data'!$B$2:$B$1500,$A25))</f>
        <v>13</v>
      </c>
      <c r="G25" s="8" t="n">
        <f aca="false">IF(F25="","",COUNTIF($F$7:$F$29,"&gt;"&amp;F25)+1)</f>
        <v>17</v>
      </c>
    </row>
    <row r="26" customFormat="false" ht="15" hidden="false" customHeight="false" outlineLevel="0" collapsed="false">
      <c r="A26" s="14" t="s">
        <v>67</v>
      </c>
      <c r="B26" s="14"/>
      <c r="C26" s="5" t="n">
        <f aca="false">IF(COUNTIFS('UNL Data'!$A$2:$A$1500,$C$3,'UNL Data'!$B$2:$B$1500,$A26,'UNL Data'!$E$2:$E$1500,"&lt;&gt;")=0,"",SUMIFS('UNL Data'!$E$2:$E$1500,'UNL Data'!$A$2:$A$1500,$C$3,'UNL Data'!$B$2:$B$1500,$A26))</f>
        <v>3.041</v>
      </c>
      <c r="D26" s="8" t="n">
        <f aca="false">IF(C26="","",COUNTIF($C$7:$C$29,"&gt;"&amp;C26)+1)</f>
        <v>20</v>
      </c>
      <c r="E26" s="8" t="n">
        <f aca="false">IF(COUNTIFS('UNL Data'!$A$2:$A$1500,$C$3,'UNL Data'!$B$2:$B$1500,$A26,'UNL Data'!$C$2:$C$1500,"&lt;&gt;")=0,"",SUMIFS('UNL Data'!$C$2:$C$1500,'UNL Data'!$A$2:$A$1500,$C$3,'UNL Data'!$B$2:$B$1500,$A26))</f>
        <v>67</v>
      </c>
      <c r="F26" s="8" t="n">
        <f aca="false">IF(OR(COUNTIFS('UNL Data'!$A$2:$A$1500,"Spring "&amp;$C$4,'UNL Data'!$B$2:$B$1500,$A26,'UNL Data'!$D$2:$D$1500,"&lt;&gt;")=0,COUNTIFS('UNL Data'!$A$2:$A$1500,"Fall "&amp;$C$4,'UNL Data'!$B$2:$B$1500,$A26,'UNL Data'!$D$2:$D$1500,"&lt;&gt;")=0),"",SUMIFS('UNL Data'!$D$2:$D$1500,'UNL Data'!$A$2:$A$1500,"Spring "&amp;$C$4,'UNL Data'!$B$2:$B$1500,$A26)+SUMIFS('UNL Data'!$D$2:$D$1500,'UNL Data'!$A$2:$A$1500,"Fall "&amp;$C$4,'UNL Data'!$B$2:$B$1500,$A26))</f>
        <v>36</v>
      </c>
      <c r="G26" s="8" t="n">
        <f aca="false">IF(F26="","",COUNTIF($F$7:$F$29,"&gt;"&amp;F26)+1)</f>
        <v>8</v>
      </c>
    </row>
    <row r="27" customFormat="false" ht="15" hidden="false" customHeight="false" outlineLevel="0" collapsed="false">
      <c r="A27" s="14" t="s">
        <v>68</v>
      </c>
      <c r="B27" s="14"/>
      <c r="C27" s="5" t="n">
        <f aca="false">IF(COUNTIFS('UNL Data'!$A$2:$A$1500,$C$3,'UNL Data'!$B$2:$B$1500,$A27,'UNL Data'!$E$2:$E$1500,"&lt;&gt;")=0,"",SUMIFS('UNL Data'!$E$2:$E$1500,'UNL Data'!$A$2:$A$1500,$C$3,'UNL Data'!$B$2:$B$1500,$A27))</f>
        <v>2.876</v>
      </c>
      <c r="D27" s="8" t="n">
        <f aca="false">IF(C27="","",COUNTIF($C$7:$C$29,"&gt;"&amp;C27)+1)</f>
        <v>21</v>
      </c>
      <c r="E27" s="8" t="n">
        <f aca="false">IF(COUNTIFS('UNL Data'!$A$2:$A$1500,$C$3,'UNL Data'!$B$2:$B$1500,$A27,'UNL Data'!$C$2:$C$1500,"&lt;&gt;")=0,"",SUMIFS('UNL Data'!$C$2:$C$1500,'UNL Data'!$A$2:$A$1500,$C$3,'UNL Data'!$B$2:$B$1500,$A27))</f>
        <v>39</v>
      </c>
      <c r="F27" s="8" t="n">
        <f aca="false">IF(OR(COUNTIFS('UNL Data'!$A$2:$A$1500,"Spring "&amp;$C$4,'UNL Data'!$B$2:$B$1500,$A27,'UNL Data'!$D$2:$D$1500,"&lt;&gt;")=0,COUNTIFS('UNL Data'!$A$2:$A$1500,"Fall "&amp;$C$4,'UNL Data'!$B$2:$B$1500,$A27,'UNL Data'!$D$2:$D$1500,"&lt;&gt;")=0),"",SUMIFS('UNL Data'!$D$2:$D$1500,'UNL Data'!$A$2:$A$1500,"Spring "&amp;$C$4,'UNL Data'!$B$2:$B$1500,$A27)+SUMIFS('UNL Data'!$D$2:$D$1500,'UNL Data'!$A$2:$A$1500,"Fall "&amp;$C$4,'UNL Data'!$B$2:$B$1500,$A27))</f>
        <v>11</v>
      </c>
      <c r="G27" s="8" t="n">
        <f aca="false">IF(F27="","",COUNTIF($F$7:$F$29,"&gt;"&amp;F27)+1)</f>
        <v>18</v>
      </c>
    </row>
    <row r="28" customFormat="false" ht="15" hidden="false" customHeight="false" outlineLevel="0" collapsed="false">
      <c r="A28" s="14" t="s">
        <v>69</v>
      </c>
      <c r="B28" s="14"/>
      <c r="C28" s="5" t="n">
        <f aca="false">IF(COUNTIFS('UNL Data'!$A$2:$A$1500,$C$3,'UNL Data'!$B$2:$B$1500,$A28,'UNL Data'!$E$2:$E$1500,"&lt;&gt;")=0,"",SUMIFS('UNL Data'!$E$2:$E$1500,'UNL Data'!$A$2:$A$1500,$C$3,'UNL Data'!$B$2:$B$1500,$A28))</f>
        <v>2.807</v>
      </c>
      <c r="D28" s="8" t="n">
        <f aca="false">IF(C28="","",COUNTIF($C$7:$C$29,"&gt;"&amp;C28)+1)</f>
        <v>22</v>
      </c>
      <c r="E28" s="8" t="n">
        <f aca="false">IF(COUNTIFS('UNL Data'!$A$2:$A$1500,$C$3,'UNL Data'!$B$2:$B$1500,$A28,'UNL Data'!$C$2:$C$1500,"&lt;&gt;")=0,"",SUMIFS('UNL Data'!$C$2:$C$1500,'UNL Data'!$A$2:$A$1500,$C$3,'UNL Data'!$B$2:$B$1500,$A28))</f>
        <v>32</v>
      </c>
      <c r="F28" s="8" t="n">
        <f aca="false">IF(OR(COUNTIFS('UNL Data'!$A$2:$A$1500,"Spring "&amp;$C$4,'UNL Data'!$B$2:$B$1500,$A28,'UNL Data'!$D$2:$D$1500,"&lt;&gt;")=0,COUNTIFS('UNL Data'!$A$2:$A$1500,"Fall "&amp;$C$4,'UNL Data'!$B$2:$B$1500,$A28,'UNL Data'!$D$2:$D$1500,"&lt;&gt;")=0),"",SUMIFS('UNL Data'!$D$2:$D$1500,'UNL Data'!$A$2:$A$1500,"Spring "&amp;$C$4,'UNL Data'!$B$2:$B$1500,$A28)+SUMIFS('UNL Data'!$D$2:$D$1500,'UNL Data'!$A$2:$A$1500,"Fall "&amp;$C$4,'UNL Data'!$B$2:$B$1500,$A28))</f>
        <v>20</v>
      </c>
      <c r="G28" s="8" t="n">
        <f aca="false">IF(F28="","",COUNTIF($F$7:$F$29,"&gt;"&amp;F28)+1)</f>
        <v>14</v>
      </c>
    </row>
    <row r="29" customFormat="false" ht="15" hidden="false" customHeight="false" outlineLevel="0" collapsed="false">
      <c r="A29" s="14" t="s">
        <v>70</v>
      </c>
      <c r="B29" s="14"/>
      <c r="C29" s="5" t="n">
        <f aca="false">IF(COUNTIFS('UNL Data'!$A$2:$A$1500,$C$3,'UNL Data'!$B$2:$B$1500,$A29,'UNL Data'!$E$2:$E$1500,"&lt;&gt;")=0,"",SUMIFS('UNL Data'!$E$2:$E$1500,'UNL Data'!$A$2:$A$1500,$C$3,'UNL Data'!$B$2:$B$1500,$A29))</f>
        <v>2.687</v>
      </c>
      <c r="D29" s="8" t="n">
        <f aca="false">IF(C29="","",COUNTIF($C$7:$C$29,"&gt;"&amp;C29)+1)</f>
        <v>23</v>
      </c>
      <c r="E29" s="8" t="n">
        <f aca="false">IF(COUNTIFS('UNL Data'!$A$2:$A$1500,$C$3,'UNL Data'!$B$2:$B$1500,$A29,'UNL Data'!$C$2:$C$1500,"&lt;&gt;")=0,"",SUMIFS('UNL Data'!$C$2:$C$1500,'UNL Data'!$A$2:$A$1500,$C$3,'UNL Data'!$B$2:$B$1500,$A29))</f>
        <v>15</v>
      </c>
      <c r="F29" s="8" t="n">
        <f aca="false">IF(OR(COUNTIFS('UNL Data'!$A$2:$A$1500,"Spring "&amp;$C$4,'UNL Data'!$B$2:$B$1500,$A29,'UNL Data'!$D$2:$D$1500,"&lt;&gt;")=0,COUNTIFS('UNL Data'!$A$2:$A$1500,"Fall "&amp;$C$4,'UNL Data'!$B$2:$B$1500,$A29,'UNL Data'!$D$2:$D$1500,"&lt;&gt;")=0),"",SUMIFS('UNL Data'!$D$2:$D$1500,'UNL Data'!$A$2:$A$1500,"Spring "&amp;$C$4,'UNL Data'!$B$2:$B$1500,$A29)+SUMIFS('UNL Data'!$D$2:$D$1500,'UNL Data'!$A$2:$A$1500,"Fall "&amp;$C$4,'UNL Data'!$B$2:$B$1500,$A29))</f>
        <v>5</v>
      </c>
      <c r="G29" s="8" t="n">
        <f aca="false">IF(F29="","",COUNTIF($F$7:$F$29,"&gt;"&amp;F29)+1)</f>
        <v>20</v>
      </c>
    </row>
    <row r="31" customFormat="false" ht="15" hidden="false" customHeight="false" outlineLevel="0" collapsed="false">
      <c r="A31" s="2" t="s">
        <v>71</v>
      </c>
    </row>
  </sheetData>
  <mergeCells count="24"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7" min="7" style="0" width="70"/>
  </cols>
  <sheetData>
    <row r="1" customFormat="false" ht="19.5" hidden="false" customHeight="true" outlineLevel="0" collapsed="false">
      <c r="A1" s="3" t="s">
        <v>2</v>
      </c>
      <c r="B1" s="3" t="s">
        <v>42</v>
      </c>
      <c r="C1" s="3" t="s">
        <v>45</v>
      </c>
      <c r="D1" s="3" t="s">
        <v>72</v>
      </c>
      <c r="E1" s="3" t="s">
        <v>43</v>
      </c>
      <c r="G1" s="2" t="s">
        <v>73</v>
      </c>
    </row>
    <row r="2" customFormat="false" ht="15" hidden="false" customHeight="false" outlineLevel="0" collapsed="false">
      <c r="A2" s="14" t="s">
        <v>13</v>
      </c>
      <c r="B2" s="14" t="s">
        <v>65</v>
      </c>
      <c r="C2" s="8" t="n">
        <v>28</v>
      </c>
      <c r="D2" s="8" t="n">
        <v>12</v>
      </c>
      <c r="E2" s="5" t="n">
        <v>2.946</v>
      </c>
      <c r="G2" s="2" t="s">
        <v>74</v>
      </c>
    </row>
    <row r="3" customFormat="false" ht="15" hidden="false" customHeight="false" outlineLevel="0" collapsed="false">
      <c r="A3" s="14" t="s">
        <v>13</v>
      </c>
      <c r="B3" s="14" t="s">
        <v>75</v>
      </c>
      <c r="C3" s="8" t="n">
        <v>47</v>
      </c>
      <c r="D3" s="8" t="n">
        <v>12</v>
      </c>
      <c r="E3" s="5" t="n">
        <v>2.964</v>
      </c>
      <c r="G3" s="2" t="s">
        <v>76</v>
      </c>
    </row>
    <row r="4" customFormat="false" ht="15" hidden="false" customHeight="false" outlineLevel="0" collapsed="false">
      <c r="A4" s="14" t="s">
        <v>13</v>
      </c>
      <c r="B4" s="14" t="s">
        <v>57</v>
      </c>
      <c r="C4" s="8" t="n">
        <v>96</v>
      </c>
      <c r="D4" s="8" t="n">
        <v>31</v>
      </c>
      <c r="E4" s="5" t="n">
        <v>3.121</v>
      </c>
      <c r="G4" s="2" t="s">
        <v>77</v>
      </c>
    </row>
    <row r="5" customFormat="false" ht="15" hidden="false" customHeight="false" outlineLevel="0" collapsed="false">
      <c r="A5" s="14" t="s">
        <v>13</v>
      </c>
      <c r="B5" s="14" t="s">
        <v>55</v>
      </c>
      <c r="C5" s="8" t="n">
        <v>83</v>
      </c>
      <c r="D5" s="8" t="n">
        <v>23</v>
      </c>
      <c r="E5" s="5" t="n">
        <v>3.057</v>
      </c>
    </row>
    <row r="6" customFormat="false" ht="15" hidden="false" customHeight="false" outlineLevel="0" collapsed="false">
      <c r="A6" s="14" t="s">
        <v>13</v>
      </c>
      <c r="B6" s="14" t="s">
        <v>61</v>
      </c>
      <c r="C6" s="8" t="n">
        <v>71</v>
      </c>
      <c r="D6" s="8" t="n">
        <v>32</v>
      </c>
      <c r="E6" s="5" t="n">
        <v>3.074</v>
      </c>
    </row>
    <row r="7" customFormat="false" ht="15" hidden="false" customHeight="false" outlineLevel="0" collapsed="false">
      <c r="A7" s="14" t="s">
        <v>13</v>
      </c>
      <c r="B7" s="14" t="s">
        <v>53</v>
      </c>
      <c r="C7" s="8" t="n">
        <v>23</v>
      </c>
      <c r="D7" s="8" t="n">
        <v>6</v>
      </c>
      <c r="E7" s="5" t="n">
        <v>3.327</v>
      </c>
    </row>
    <row r="8" customFormat="false" ht="15" hidden="false" customHeight="false" outlineLevel="0" collapsed="false">
      <c r="A8" s="14" t="s">
        <v>13</v>
      </c>
      <c r="B8" s="14" t="s">
        <v>50</v>
      </c>
      <c r="C8" s="8" t="n">
        <v>112</v>
      </c>
      <c r="D8" s="8" t="n">
        <v>32</v>
      </c>
      <c r="E8" s="5" t="n">
        <v>3.426</v>
      </c>
    </row>
    <row r="9" customFormat="false" ht="15" hidden="false" customHeight="false" outlineLevel="0" collapsed="false">
      <c r="A9" s="14" t="s">
        <v>13</v>
      </c>
      <c r="B9" s="14" t="s">
        <v>70</v>
      </c>
      <c r="C9" s="8" t="n">
        <v>15</v>
      </c>
      <c r="D9" s="8" t="n">
        <v>3</v>
      </c>
      <c r="E9" s="5" t="n">
        <v>2.742</v>
      </c>
    </row>
    <row r="10" customFormat="false" ht="15" hidden="false" customHeight="false" outlineLevel="0" collapsed="false">
      <c r="A10" s="14" t="s">
        <v>13</v>
      </c>
      <c r="B10" s="14" t="s">
        <v>78</v>
      </c>
      <c r="C10" s="8"/>
      <c r="D10" s="8"/>
      <c r="E10" s="5"/>
    </row>
    <row r="11" customFormat="false" ht="15" hidden="false" customHeight="false" outlineLevel="0" collapsed="false">
      <c r="A11" s="14" t="s">
        <v>13</v>
      </c>
      <c r="B11" s="14" t="s">
        <v>63</v>
      </c>
      <c r="C11" s="8" t="n">
        <v>113</v>
      </c>
      <c r="D11" s="8" t="n">
        <v>41</v>
      </c>
      <c r="E11" s="5" t="n">
        <v>3.153</v>
      </c>
    </row>
    <row r="12" customFormat="false" ht="15" hidden="false" customHeight="false" outlineLevel="0" collapsed="false">
      <c r="A12" s="14" t="s">
        <v>13</v>
      </c>
      <c r="B12" s="14" t="s">
        <v>48</v>
      </c>
      <c r="C12" s="8" t="n">
        <v>95</v>
      </c>
      <c r="D12" s="8" t="n">
        <v>28</v>
      </c>
      <c r="E12" s="5" t="n">
        <v>3.508</v>
      </c>
    </row>
    <row r="13" customFormat="false" ht="15" hidden="false" customHeight="false" outlineLevel="0" collapsed="false">
      <c r="A13" s="14" t="s">
        <v>13</v>
      </c>
      <c r="B13" s="14" t="s">
        <v>67</v>
      </c>
      <c r="C13" s="8" t="n">
        <v>61</v>
      </c>
      <c r="D13" s="8" t="n">
        <v>9</v>
      </c>
      <c r="E13" s="5" t="n">
        <v>2.677</v>
      </c>
    </row>
    <row r="14" customFormat="false" ht="15" hidden="false" customHeight="false" outlineLevel="0" collapsed="false">
      <c r="A14" s="14" t="s">
        <v>13</v>
      </c>
      <c r="B14" s="14" t="s">
        <v>56</v>
      </c>
      <c r="C14" s="8" t="n">
        <v>114</v>
      </c>
      <c r="D14" s="8" t="n">
        <v>33</v>
      </c>
      <c r="E14" s="5" t="n">
        <v>3.292</v>
      </c>
    </row>
    <row r="15" customFormat="false" ht="15" hidden="false" customHeight="false" outlineLevel="0" collapsed="false">
      <c r="A15" s="14" t="s">
        <v>13</v>
      </c>
      <c r="B15" s="14" t="s">
        <v>52</v>
      </c>
      <c r="C15" s="8"/>
      <c r="D15" s="8"/>
      <c r="E15" s="5"/>
    </row>
    <row r="16" customFormat="false" ht="15" hidden="false" customHeight="false" outlineLevel="0" collapsed="false">
      <c r="A16" s="14" t="s">
        <v>13</v>
      </c>
      <c r="B16" s="14" t="s">
        <v>68</v>
      </c>
      <c r="C16" s="8" t="n">
        <v>31</v>
      </c>
      <c r="D16" s="8" t="n">
        <v>15</v>
      </c>
      <c r="E16" s="5" t="n">
        <v>3.043</v>
      </c>
    </row>
    <row r="17" customFormat="false" ht="15" hidden="false" customHeight="false" outlineLevel="0" collapsed="false">
      <c r="A17" s="14" t="s">
        <v>13</v>
      </c>
      <c r="B17" s="14" t="s">
        <v>59</v>
      </c>
      <c r="C17" s="8" t="n">
        <v>77</v>
      </c>
      <c r="D17" s="8" t="n">
        <v>27</v>
      </c>
      <c r="E17" s="5" t="n">
        <v>3.255</v>
      </c>
    </row>
    <row r="18" customFormat="false" ht="15" hidden="false" customHeight="false" outlineLevel="0" collapsed="false">
      <c r="A18" s="14" t="s">
        <v>13</v>
      </c>
      <c r="B18" s="14" t="s">
        <v>51</v>
      </c>
      <c r="C18" s="8" t="n">
        <v>111</v>
      </c>
      <c r="D18" s="8" t="n">
        <v>24</v>
      </c>
      <c r="E18" s="5" t="n">
        <v>3.387</v>
      </c>
    </row>
    <row r="19" customFormat="false" ht="15" hidden="false" customHeight="false" outlineLevel="0" collapsed="false">
      <c r="A19" s="14" t="s">
        <v>13</v>
      </c>
      <c r="B19" s="14" t="s">
        <v>79</v>
      </c>
      <c r="C19" s="8" t="n">
        <v>56</v>
      </c>
      <c r="D19" s="8" t="n">
        <v>11</v>
      </c>
      <c r="E19" s="5" t="n">
        <v>3.149</v>
      </c>
    </row>
    <row r="20" customFormat="false" ht="15" hidden="false" customHeight="false" outlineLevel="0" collapsed="false">
      <c r="A20" s="14" t="s">
        <v>13</v>
      </c>
      <c r="B20" s="14" t="s">
        <v>60</v>
      </c>
      <c r="C20" s="8" t="n">
        <v>128</v>
      </c>
      <c r="D20" s="8" t="n">
        <v>33</v>
      </c>
      <c r="E20" s="5" t="n">
        <v>2.983</v>
      </c>
    </row>
    <row r="21" customFormat="false" ht="15" hidden="false" customHeight="false" outlineLevel="0" collapsed="false">
      <c r="A21" s="14" t="s">
        <v>13</v>
      </c>
      <c r="B21" s="14" t="s">
        <v>58</v>
      </c>
      <c r="C21" s="8" t="n">
        <v>12</v>
      </c>
      <c r="D21" s="8" t="n">
        <v>4</v>
      </c>
      <c r="E21" s="5" t="n">
        <v>3.162</v>
      </c>
    </row>
    <row r="22" customFormat="false" ht="15" hidden="false" customHeight="false" outlineLevel="0" collapsed="false">
      <c r="A22" s="14" t="s">
        <v>13</v>
      </c>
      <c r="B22" s="14" t="s">
        <v>54</v>
      </c>
      <c r="C22" s="8" t="n">
        <v>76</v>
      </c>
      <c r="D22" s="8" t="n">
        <v>23</v>
      </c>
      <c r="E22" s="5" t="n">
        <v>3.15</v>
      </c>
    </row>
    <row r="23" customFormat="false" ht="15" hidden="false" customHeight="false" outlineLevel="0" collapsed="false">
      <c r="A23" s="14" t="s">
        <v>13</v>
      </c>
      <c r="B23" s="14" t="s">
        <v>80</v>
      </c>
      <c r="C23" s="8" t="n">
        <v>36</v>
      </c>
      <c r="D23" s="8" t="n">
        <v>10</v>
      </c>
      <c r="E23" s="5" t="n">
        <v>2.927</v>
      </c>
    </row>
    <row r="24" customFormat="false" ht="15" hidden="false" customHeight="false" outlineLevel="0" collapsed="false">
      <c r="A24" s="14" t="s">
        <v>13</v>
      </c>
      <c r="B24" s="14" t="s">
        <v>49</v>
      </c>
      <c r="C24" s="8" t="n">
        <v>130</v>
      </c>
      <c r="D24" s="8" t="n">
        <v>43</v>
      </c>
      <c r="E24" s="5" t="n">
        <v>3.437</v>
      </c>
    </row>
    <row r="25" customFormat="false" ht="15" hidden="false" customHeight="false" outlineLevel="0" collapsed="false">
      <c r="A25" s="14" t="s">
        <v>13</v>
      </c>
      <c r="B25" s="14" t="s">
        <v>81</v>
      </c>
      <c r="C25" s="8" t="n">
        <v>28</v>
      </c>
      <c r="D25" s="8" t="n">
        <v>1</v>
      </c>
      <c r="E25" s="5" t="n">
        <v>2.941</v>
      </c>
    </row>
    <row r="26" customFormat="false" ht="15" hidden="false" customHeight="false" outlineLevel="0" collapsed="false">
      <c r="A26" s="14" t="s">
        <v>13</v>
      </c>
      <c r="B26" s="14" t="s">
        <v>69</v>
      </c>
      <c r="C26" s="8" t="n">
        <v>18</v>
      </c>
      <c r="D26" s="8" t="n">
        <v>0</v>
      </c>
      <c r="E26" s="5" t="n">
        <v>2.489</v>
      </c>
    </row>
    <row r="27" customFormat="false" ht="15" hidden="false" customHeight="false" outlineLevel="0" collapsed="false">
      <c r="A27" s="14" t="s">
        <v>13</v>
      </c>
      <c r="B27" s="14" t="s">
        <v>64</v>
      </c>
      <c r="C27" s="8" t="n">
        <v>62</v>
      </c>
      <c r="D27" s="8" t="n">
        <v>22</v>
      </c>
      <c r="E27" s="5" t="n">
        <v>2.733</v>
      </c>
    </row>
    <row r="28" customFormat="false" ht="15" hidden="false" customHeight="false" outlineLevel="0" collapsed="false">
      <c r="A28" s="14" t="s">
        <v>13</v>
      </c>
      <c r="B28" s="14" t="s">
        <v>66</v>
      </c>
      <c r="C28" s="8" t="n">
        <v>18</v>
      </c>
      <c r="D28" s="8" t="n">
        <v>11</v>
      </c>
      <c r="E28" s="5" t="n">
        <v>2.898</v>
      </c>
    </row>
    <row r="29" customFormat="false" ht="15" hidden="false" customHeight="false" outlineLevel="0" collapsed="false">
      <c r="A29" s="14" t="s">
        <v>14</v>
      </c>
      <c r="B29" s="14" t="s">
        <v>65</v>
      </c>
      <c r="C29" s="8" t="n">
        <v>23</v>
      </c>
      <c r="D29" s="8" t="n">
        <v>3</v>
      </c>
      <c r="E29" s="5" t="n">
        <v>3.041</v>
      </c>
    </row>
    <row r="30" customFormat="false" ht="15" hidden="false" customHeight="false" outlineLevel="0" collapsed="false">
      <c r="A30" s="14" t="s">
        <v>14</v>
      </c>
      <c r="B30" s="14" t="s">
        <v>75</v>
      </c>
      <c r="C30" s="8" t="n">
        <v>37</v>
      </c>
      <c r="D30" s="8" t="n">
        <v>3</v>
      </c>
      <c r="E30" s="5" t="n">
        <v>3.013</v>
      </c>
    </row>
    <row r="31" customFormat="false" ht="15" hidden="false" customHeight="false" outlineLevel="0" collapsed="false">
      <c r="A31" s="14" t="s">
        <v>14</v>
      </c>
      <c r="B31" s="14" t="s">
        <v>57</v>
      </c>
      <c r="C31" s="8" t="n">
        <v>90</v>
      </c>
      <c r="D31" s="8" t="n">
        <v>0</v>
      </c>
      <c r="E31" s="5" t="n">
        <v>3.07</v>
      </c>
    </row>
    <row r="32" customFormat="false" ht="15" hidden="false" customHeight="false" outlineLevel="0" collapsed="false">
      <c r="A32" s="14" t="s">
        <v>14</v>
      </c>
      <c r="B32" s="14" t="s">
        <v>55</v>
      </c>
      <c r="C32" s="8" t="n">
        <v>76</v>
      </c>
      <c r="D32" s="8" t="n">
        <v>0</v>
      </c>
      <c r="E32" s="5" t="n">
        <v>3.229</v>
      </c>
    </row>
    <row r="33" customFormat="false" ht="15" hidden="false" customHeight="false" outlineLevel="0" collapsed="false">
      <c r="A33" s="14" t="s">
        <v>14</v>
      </c>
      <c r="B33" s="14" t="s">
        <v>61</v>
      </c>
      <c r="C33" s="8" t="n">
        <v>77</v>
      </c>
      <c r="D33" s="8" t="n">
        <v>10</v>
      </c>
      <c r="E33" s="5" t="n">
        <v>3.108</v>
      </c>
    </row>
    <row r="34" customFormat="false" ht="15" hidden="false" customHeight="false" outlineLevel="0" collapsed="false">
      <c r="A34" s="14" t="s">
        <v>14</v>
      </c>
      <c r="B34" s="14" t="s">
        <v>53</v>
      </c>
      <c r="C34" s="8" t="n">
        <v>18</v>
      </c>
      <c r="D34" s="8" t="n">
        <v>0</v>
      </c>
      <c r="E34" s="5" t="n">
        <v>3.291</v>
      </c>
    </row>
    <row r="35" customFormat="false" ht="15" hidden="false" customHeight="false" outlineLevel="0" collapsed="false">
      <c r="A35" s="14" t="s">
        <v>14</v>
      </c>
      <c r="B35" s="14" t="s">
        <v>50</v>
      </c>
      <c r="C35" s="8" t="n">
        <v>106</v>
      </c>
      <c r="D35" s="8" t="n">
        <v>0</v>
      </c>
      <c r="E35" s="5" t="n">
        <v>3.463</v>
      </c>
    </row>
    <row r="36" customFormat="false" ht="15" hidden="false" customHeight="false" outlineLevel="0" collapsed="false">
      <c r="A36" s="14" t="s">
        <v>14</v>
      </c>
      <c r="B36" s="14" t="s">
        <v>70</v>
      </c>
      <c r="C36" s="8" t="n">
        <v>15</v>
      </c>
      <c r="D36" s="8" t="n">
        <v>0</v>
      </c>
      <c r="E36" s="5" t="n">
        <v>2.772</v>
      </c>
    </row>
    <row r="37" customFormat="false" ht="15" hidden="false" customHeight="false" outlineLevel="0" collapsed="false">
      <c r="A37" s="14" t="s">
        <v>14</v>
      </c>
      <c r="B37" s="14" t="s">
        <v>78</v>
      </c>
      <c r="C37" s="8"/>
      <c r="D37" s="8"/>
      <c r="E37" s="5"/>
    </row>
    <row r="38" customFormat="false" ht="15" hidden="false" customHeight="false" outlineLevel="0" collapsed="false">
      <c r="A38" s="14" t="s">
        <v>14</v>
      </c>
      <c r="B38" s="14" t="s">
        <v>63</v>
      </c>
      <c r="C38" s="8" t="n">
        <v>105</v>
      </c>
      <c r="D38" s="8" t="n">
        <v>1</v>
      </c>
      <c r="E38" s="5" t="n">
        <v>3.147</v>
      </c>
    </row>
    <row r="39" customFormat="false" ht="15" hidden="false" customHeight="false" outlineLevel="0" collapsed="false">
      <c r="A39" s="14" t="s">
        <v>14</v>
      </c>
      <c r="B39" s="14" t="s">
        <v>48</v>
      </c>
      <c r="C39" s="8" t="n">
        <v>90</v>
      </c>
      <c r="D39" s="8" t="n">
        <v>0</v>
      </c>
      <c r="E39" s="5" t="n">
        <v>3.466</v>
      </c>
    </row>
    <row r="40" customFormat="false" ht="15" hidden="false" customHeight="false" outlineLevel="0" collapsed="false">
      <c r="A40" s="14" t="s">
        <v>14</v>
      </c>
      <c r="B40" s="14" t="s">
        <v>67</v>
      </c>
      <c r="C40" s="8" t="n">
        <v>57</v>
      </c>
      <c r="D40" s="8" t="n">
        <v>7</v>
      </c>
      <c r="E40" s="5" t="n">
        <v>2.806</v>
      </c>
    </row>
    <row r="41" customFormat="false" ht="15" hidden="false" customHeight="false" outlineLevel="0" collapsed="false">
      <c r="A41" s="14" t="s">
        <v>14</v>
      </c>
      <c r="B41" s="14" t="s">
        <v>56</v>
      </c>
      <c r="C41" s="8" t="n">
        <v>112</v>
      </c>
      <c r="D41" s="8" t="n">
        <v>1</v>
      </c>
      <c r="E41" s="5" t="n">
        <v>3.256</v>
      </c>
    </row>
    <row r="42" customFormat="false" ht="15" hidden="false" customHeight="false" outlineLevel="0" collapsed="false">
      <c r="A42" s="14" t="s">
        <v>14</v>
      </c>
      <c r="B42" s="14" t="s">
        <v>52</v>
      </c>
      <c r="C42" s="8"/>
      <c r="D42" s="8"/>
      <c r="E42" s="5"/>
    </row>
    <row r="43" customFormat="false" ht="15" hidden="false" customHeight="false" outlineLevel="0" collapsed="false">
      <c r="A43" s="14" t="s">
        <v>14</v>
      </c>
      <c r="B43" s="14" t="s">
        <v>68</v>
      </c>
      <c r="C43" s="8" t="n">
        <v>34</v>
      </c>
      <c r="D43" s="8" t="n">
        <v>3</v>
      </c>
      <c r="E43" s="5" t="n">
        <v>2.936</v>
      </c>
    </row>
    <row r="44" customFormat="false" ht="15" hidden="false" customHeight="false" outlineLevel="0" collapsed="false">
      <c r="A44" s="14" t="s">
        <v>14</v>
      </c>
      <c r="B44" s="14" t="s">
        <v>59</v>
      </c>
      <c r="C44" s="8" t="n">
        <v>76</v>
      </c>
      <c r="D44" s="8" t="n">
        <v>0</v>
      </c>
      <c r="E44" s="5" t="n">
        <v>3.42</v>
      </c>
    </row>
    <row r="45" customFormat="false" ht="15" hidden="false" customHeight="false" outlineLevel="0" collapsed="false">
      <c r="A45" s="14" t="s">
        <v>14</v>
      </c>
      <c r="B45" s="14" t="s">
        <v>51</v>
      </c>
      <c r="C45" s="8" t="n">
        <v>132</v>
      </c>
      <c r="D45" s="8" t="n">
        <v>21</v>
      </c>
      <c r="E45" s="5" t="n">
        <v>3.355</v>
      </c>
    </row>
    <row r="46" customFormat="false" ht="15" hidden="false" customHeight="false" outlineLevel="0" collapsed="false">
      <c r="A46" s="14" t="s">
        <v>14</v>
      </c>
      <c r="B46" s="14" t="s">
        <v>79</v>
      </c>
      <c r="C46" s="8" t="n">
        <v>55</v>
      </c>
      <c r="D46" s="8" t="n">
        <v>2</v>
      </c>
      <c r="E46" s="5" t="n">
        <v>3.05</v>
      </c>
    </row>
    <row r="47" customFormat="false" ht="15" hidden="false" customHeight="false" outlineLevel="0" collapsed="false">
      <c r="A47" s="14" t="s">
        <v>14</v>
      </c>
      <c r="B47" s="14" t="s">
        <v>60</v>
      </c>
      <c r="C47" s="8" t="n">
        <v>130</v>
      </c>
      <c r="D47" s="8" t="n">
        <v>0</v>
      </c>
      <c r="E47" s="5" t="n">
        <v>3.007</v>
      </c>
    </row>
    <row r="48" customFormat="false" ht="15" hidden="false" customHeight="false" outlineLevel="0" collapsed="false">
      <c r="A48" s="14" t="s">
        <v>14</v>
      </c>
      <c r="B48" s="14" t="s">
        <v>58</v>
      </c>
      <c r="C48" s="8" t="n">
        <v>12</v>
      </c>
      <c r="D48" s="8" t="n">
        <v>0</v>
      </c>
      <c r="E48" s="5" t="n">
        <v>3.114</v>
      </c>
    </row>
    <row r="49" customFormat="false" ht="15" hidden="false" customHeight="false" outlineLevel="0" collapsed="false">
      <c r="A49" s="14" t="s">
        <v>14</v>
      </c>
      <c r="B49" s="14" t="s">
        <v>54</v>
      </c>
      <c r="C49" s="8" t="n">
        <v>82</v>
      </c>
      <c r="D49" s="8" t="n">
        <v>4</v>
      </c>
      <c r="E49" s="5" t="n">
        <v>2.935</v>
      </c>
    </row>
    <row r="50" customFormat="false" ht="15" hidden="false" customHeight="false" outlineLevel="0" collapsed="false">
      <c r="A50" s="14" t="s">
        <v>14</v>
      </c>
      <c r="B50" s="14" t="s">
        <v>80</v>
      </c>
      <c r="C50" s="8" t="n">
        <v>37</v>
      </c>
      <c r="D50" s="8" t="n">
        <v>2</v>
      </c>
      <c r="E50" s="5" t="n">
        <v>3.012</v>
      </c>
    </row>
    <row r="51" customFormat="false" ht="15" hidden="false" customHeight="false" outlineLevel="0" collapsed="false">
      <c r="A51" s="14" t="s">
        <v>14</v>
      </c>
      <c r="B51" s="14" t="s">
        <v>49</v>
      </c>
      <c r="C51" s="8" t="n">
        <v>122</v>
      </c>
      <c r="D51" s="8" t="n">
        <v>0</v>
      </c>
      <c r="E51" s="5" t="n">
        <v>3.333</v>
      </c>
    </row>
    <row r="52" customFormat="false" ht="15" hidden="false" customHeight="false" outlineLevel="0" collapsed="false">
      <c r="A52" s="14" t="s">
        <v>14</v>
      </c>
      <c r="B52" s="14" t="s">
        <v>81</v>
      </c>
      <c r="C52" s="8" t="n">
        <v>27</v>
      </c>
      <c r="D52" s="8" t="n">
        <v>2</v>
      </c>
      <c r="E52" s="5" t="n">
        <v>3.012</v>
      </c>
    </row>
    <row r="53" customFormat="false" ht="15" hidden="false" customHeight="false" outlineLevel="0" collapsed="false">
      <c r="A53" s="14" t="s">
        <v>14</v>
      </c>
      <c r="B53" s="14" t="s">
        <v>69</v>
      </c>
      <c r="C53" s="8" t="n">
        <v>6</v>
      </c>
      <c r="D53" s="8" t="n">
        <v>0</v>
      </c>
      <c r="E53" s="5"/>
    </row>
    <row r="54" customFormat="false" ht="15" hidden="false" customHeight="false" outlineLevel="0" collapsed="false">
      <c r="A54" s="14" t="s">
        <v>14</v>
      </c>
      <c r="B54" s="14" t="s">
        <v>64</v>
      </c>
      <c r="C54" s="8" t="n">
        <v>64</v>
      </c>
      <c r="D54" s="8" t="n">
        <v>9</v>
      </c>
      <c r="E54" s="5" t="n">
        <v>2.919</v>
      </c>
    </row>
    <row r="55" customFormat="false" ht="15" hidden="false" customHeight="false" outlineLevel="0" collapsed="false">
      <c r="A55" s="14" t="s">
        <v>14</v>
      </c>
      <c r="B55" s="14" t="s">
        <v>66</v>
      </c>
      <c r="C55" s="8" t="n">
        <v>18</v>
      </c>
      <c r="D55" s="8" t="n">
        <v>0</v>
      </c>
      <c r="E55" s="5" t="n">
        <v>2.695</v>
      </c>
    </row>
    <row r="56" customFormat="false" ht="15" hidden="false" customHeight="false" outlineLevel="0" collapsed="false">
      <c r="A56" s="14" t="s">
        <v>15</v>
      </c>
      <c r="B56" s="14" t="s">
        <v>65</v>
      </c>
      <c r="C56" s="8" t="n">
        <v>33</v>
      </c>
      <c r="D56" s="8" t="n">
        <v>14</v>
      </c>
      <c r="E56" s="5" t="n">
        <v>2.62</v>
      </c>
    </row>
    <row r="57" customFormat="false" ht="15" hidden="false" customHeight="false" outlineLevel="0" collapsed="false">
      <c r="A57" s="14" t="s">
        <v>15</v>
      </c>
      <c r="B57" s="14" t="s">
        <v>75</v>
      </c>
      <c r="C57" s="8" t="n">
        <v>29</v>
      </c>
      <c r="D57" s="8" t="n">
        <v>4</v>
      </c>
      <c r="E57" s="5" t="n">
        <v>3.231</v>
      </c>
    </row>
    <row r="58" customFormat="false" ht="15" hidden="false" customHeight="false" outlineLevel="0" collapsed="false">
      <c r="A58" s="14" t="s">
        <v>15</v>
      </c>
      <c r="B58" s="14" t="s">
        <v>57</v>
      </c>
      <c r="C58" s="8" t="n">
        <v>98</v>
      </c>
      <c r="D58" s="8" t="n">
        <v>27</v>
      </c>
      <c r="E58" s="5" t="n">
        <v>2.922</v>
      </c>
    </row>
    <row r="59" customFormat="false" ht="15" hidden="false" customHeight="false" outlineLevel="0" collapsed="false">
      <c r="A59" s="14" t="s">
        <v>15</v>
      </c>
      <c r="B59" s="14" t="s">
        <v>55</v>
      </c>
      <c r="C59" s="8" t="n">
        <v>83</v>
      </c>
      <c r="D59" s="8" t="n">
        <v>26</v>
      </c>
      <c r="E59" s="5" t="n">
        <v>3.223</v>
      </c>
    </row>
    <row r="60" customFormat="false" ht="15" hidden="false" customHeight="false" outlineLevel="0" collapsed="false">
      <c r="A60" s="14" t="s">
        <v>15</v>
      </c>
      <c r="B60" s="14" t="s">
        <v>61</v>
      </c>
      <c r="C60" s="8" t="n">
        <v>108</v>
      </c>
      <c r="D60" s="8" t="n">
        <v>35</v>
      </c>
      <c r="E60" s="5" t="n">
        <v>3.057</v>
      </c>
    </row>
    <row r="61" customFormat="false" ht="15" hidden="false" customHeight="false" outlineLevel="0" collapsed="false">
      <c r="A61" s="14" t="s">
        <v>15</v>
      </c>
      <c r="B61" s="14" t="s">
        <v>53</v>
      </c>
      <c r="C61" s="8" t="n">
        <v>17</v>
      </c>
      <c r="D61" s="8" t="n">
        <v>5</v>
      </c>
      <c r="E61" s="5" t="n">
        <v>3.285</v>
      </c>
    </row>
    <row r="62" customFormat="false" ht="15" hidden="false" customHeight="false" outlineLevel="0" collapsed="false">
      <c r="A62" s="14" t="s">
        <v>15</v>
      </c>
      <c r="B62" s="14" t="s">
        <v>50</v>
      </c>
      <c r="C62" s="8" t="n">
        <v>108</v>
      </c>
      <c r="D62" s="8" t="n">
        <v>30</v>
      </c>
      <c r="E62" s="5" t="n">
        <v>3.442</v>
      </c>
    </row>
    <row r="63" customFormat="false" ht="15" hidden="false" customHeight="false" outlineLevel="0" collapsed="false">
      <c r="A63" s="14" t="s">
        <v>15</v>
      </c>
      <c r="B63" s="14" t="s">
        <v>70</v>
      </c>
      <c r="C63" s="8" t="n">
        <v>11</v>
      </c>
      <c r="D63" s="8" t="n">
        <v>0</v>
      </c>
      <c r="E63" s="5" t="n">
        <v>3.336</v>
      </c>
    </row>
    <row r="64" customFormat="false" ht="15" hidden="false" customHeight="false" outlineLevel="0" collapsed="false">
      <c r="A64" s="14" t="s">
        <v>15</v>
      </c>
      <c r="B64" s="14" t="s">
        <v>78</v>
      </c>
      <c r="C64" s="8" t="n">
        <v>83</v>
      </c>
      <c r="D64" s="8" t="n">
        <v>21</v>
      </c>
      <c r="E64" s="5" t="n">
        <v>3.075</v>
      </c>
    </row>
    <row r="65" customFormat="false" ht="15" hidden="false" customHeight="false" outlineLevel="0" collapsed="false">
      <c r="A65" s="14" t="s">
        <v>15</v>
      </c>
      <c r="B65" s="14" t="s">
        <v>63</v>
      </c>
      <c r="C65" s="8" t="n">
        <v>101</v>
      </c>
      <c r="D65" s="8" t="n">
        <v>30</v>
      </c>
      <c r="E65" s="5" t="n">
        <v>3.189</v>
      </c>
    </row>
    <row r="66" customFormat="false" ht="15" hidden="false" customHeight="false" outlineLevel="0" collapsed="false">
      <c r="A66" s="14" t="s">
        <v>15</v>
      </c>
      <c r="B66" s="14" t="s">
        <v>48</v>
      </c>
      <c r="C66" s="8" t="n">
        <v>101</v>
      </c>
      <c r="D66" s="8" t="n">
        <v>29</v>
      </c>
      <c r="E66" s="5" t="n">
        <v>3.546</v>
      </c>
    </row>
    <row r="67" customFormat="false" ht="15" hidden="false" customHeight="false" outlineLevel="0" collapsed="false">
      <c r="A67" s="14" t="s">
        <v>15</v>
      </c>
      <c r="B67" s="14" t="s">
        <v>67</v>
      </c>
      <c r="C67" s="8" t="n">
        <v>65</v>
      </c>
      <c r="D67" s="8" t="n">
        <v>24</v>
      </c>
      <c r="E67" s="5" t="n">
        <v>2.741</v>
      </c>
    </row>
    <row r="68" customFormat="false" ht="15" hidden="false" customHeight="false" outlineLevel="0" collapsed="false">
      <c r="A68" s="14" t="s">
        <v>15</v>
      </c>
      <c r="B68" s="14" t="s">
        <v>56</v>
      </c>
      <c r="C68" s="8" t="n">
        <v>125</v>
      </c>
      <c r="D68" s="8" t="n">
        <v>44</v>
      </c>
      <c r="E68" s="5" t="n">
        <v>3.245</v>
      </c>
    </row>
    <row r="69" customFormat="false" ht="15" hidden="false" customHeight="false" outlineLevel="0" collapsed="false">
      <c r="A69" s="14" t="s">
        <v>15</v>
      </c>
      <c r="B69" s="14" t="s">
        <v>52</v>
      </c>
      <c r="C69" s="8" t="n">
        <v>99</v>
      </c>
      <c r="D69" s="8" t="n">
        <v>33</v>
      </c>
      <c r="E69" s="5" t="n">
        <v>2.832</v>
      </c>
    </row>
    <row r="70" customFormat="false" ht="15" hidden="false" customHeight="false" outlineLevel="0" collapsed="false">
      <c r="A70" s="14" t="s">
        <v>15</v>
      </c>
      <c r="B70" s="14" t="s">
        <v>68</v>
      </c>
      <c r="C70" s="8" t="n">
        <v>51</v>
      </c>
      <c r="D70" s="8" t="n">
        <v>17</v>
      </c>
      <c r="E70" s="5" t="n">
        <v>2.868</v>
      </c>
    </row>
    <row r="71" customFormat="false" ht="15" hidden="false" customHeight="false" outlineLevel="0" collapsed="false">
      <c r="A71" s="14" t="s">
        <v>15</v>
      </c>
      <c r="B71" s="14" t="s">
        <v>59</v>
      </c>
      <c r="C71" s="8" t="n">
        <v>84</v>
      </c>
      <c r="D71" s="8" t="n">
        <v>26</v>
      </c>
      <c r="E71" s="5" t="n">
        <v>3.419</v>
      </c>
    </row>
    <row r="72" customFormat="false" ht="15" hidden="false" customHeight="false" outlineLevel="0" collapsed="false">
      <c r="A72" s="14" t="s">
        <v>15</v>
      </c>
      <c r="B72" s="14" t="s">
        <v>51</v>
      </c>
      <c r="C72" s="8" t="n">
        <v>137</v>
      </c>
      <c r="D72" s="8" t="n">
        <v>35</v>
      </c>
      <c r="E72" s="5" t="n">
        <v>3.457</v>
      </c>
    </row>
    <row r="73" customFormat="false" ht="15" hidden="false" customHeight="false" outlineLevel="0" collapsed="false">
      <c r="A73" s="14" t="s">
        <v>15</v>
      </c>
      <c r="B73" s="14" t="s">
        <v>79</v>
      </c>
      <c r="C73" s="8" t="n">
        <v>66</v>
      </c>
      <c r="D73" s="8" t="n">
        <v>18</v>
      </c>
      <c r="E73" s="5" t="n">
        <v>3.02</v>
      </c>
    </row>
    <row r="74" customFormat="false" ht="15" hidden="false" customHeight="false" outlineLevel="0" collapsed="false">
      <c r="A74" s="14" t="s">
        <v>15</v>
      </c>
      <c r="B74" s="14" t="s">
        <v>60</v>
      </c>
      <c r="C74" s="8" t="n">
        <v>129</v>
      </c>
      <c r="D74" s="8" t="n">
        <v>38</v>
      </c>
      <c r="E74" s="5" t="n">
        <v>3.084</v>
      </c>
    </row>
    <row r="75" customFormat="false" ht="15" hidden="false" customHeight="false" outlineLevel="0" collapsed="false">
      <c r="A75" s="14" t="s">
        <v>15</v>
      </c>
      <c r="B75" s="14" t="s">
        <v>58</v>
      </c>
      <c r="C75" s="8" t="n">
        <v>12</v>
      </c>
      <c r="D75" s="8" t="n">
        <v>3</v>
      </c>
      <c r="E75" s="5" t="n">
        <v>2.941</v>
      </c>
    </row>
    <row r="76" customFormat="false" ht="15" hidden="false" customHeight="false" outlineLevel="0" collapsed="false">
      <c r="A76" s="14" t="s">
        <v>15</v>
      </c>
      <c r="B76" s="14" t="s">
        <v>54</v>
      </c>
      <c r="C76" s="8" t="n">
        <v>87</v>
      </c>
      <c r="D76" s="8" t="n">
        <v>30</v>
      </c>
      <c r="E76" s="5" t="n">
        <v>3.041</v>
      </c>
    </row>
    <row r="77" customFormat="false" ht="15" hidden="false" customHeight="false" outlineLevel="0" collapsed="false">
      <c r="A77" s="14" t="s">
        <v>15</v>
      </c>
      <c r="B77" s="14" t="s">
        <v>80</v>
      </c>
      <c r="C77" s="8" t="n">
        <v>45</v>
      </c>
      <c r="D77" s="8" t="n">
        <v>13</v>
      </c>
      <c r="E77" s="5" t="n">
        <v>2.922</v>
      </c>
    </row>
    <row r="78" customFormat="false" ht="15" hidden="false" customHeight="false" outlineLevel="0" collapsed="false">
      <c r="A78" s="14" t="s">
        <v>15</v>
      </c>
      <c r="B78" s="14" t="s">
        <v>49</v>
      </c>
      <c r="C78" s="8" t="n">
        <v>134</v>
      </c>
      <c r="D78" s="8" t="n">
        <v>39</v>
      </c>
      <c r="E78" s="5" t="n">
        <v>3.345</v>
      </c>
    </row>
    <row r="79" customFormat="false" ht="15" hidden="false" customHeight="false" outlineLevel="0" collapsed="false">
      <c r="A79" s="14" t="s">
        <v>15</v>
      </c>
      <c r="B79" s="14" t="s">
        <v>81</v>
      </c>
      <c r="C79" s="8" t="n">
        <v>14</v>
      </c>
      <c r="D79" s="8" t="n">
        <v>0</v>
      </c>
      <c r="E79" s="5" t="n">
        <v>3.196</v>
      </c>
    </row>
    <row r="80" customFormat="false" ht="15" hidden="false" customHeight="false" outlineLevel="0" collapsed="false">
      <c r="A80" s="14" t="s">
        <v>15</v>
      </c>
      <c r="B80" s="14" t="s">
        <v>69</v>
      </c>
      <c r="C80" s="8" t="n">
        <v>10</v>
      </c>
      <c r="D80" s="8" t="n">
        <v>1</v>
      </c>
      <c r="E80" s="5" t="n">
        <v>2.281</v>
      </c>
    </row>
    <row r="81" customFormat="false" ht="15" hidden="false" customHeight="false" outlineLevel="0" collapsed="false">
      <c r="A81" s="14" t="s">
        <v>15</v>
      </c>
      <c r="B81" s="14" t="s">
        <v>64</v>
      </c>
      <c r="C81" s="8" t="n">
        <v>86</v>
      </c>
      <c r="D81" s="8" t="n">
        <v>25</v>
      </c>
      <c r="E81" s="5" t="n">
        <v>2.819</v>
      </c>
    </row>
    <row r="82" customFormat="false" ht="15" hidden="false" customHeight="false" outlineLevel="0" collapsed="false">
      <c r="A82" s="14" t="s">
        <v>15</v>
      </c>
      <c r="B82" s="14" t="s">
        <v>66</v>
      </c>
      <c r="C82" s="8" t="n">
        <v>24</v>
      </c>
      <c r="D82" s="8" t="n">
        <v>0</v>
      </c>
      <c r="E82" s="5" t="n">
        <v>3.152</v>
      </c>
    </row>
    <row r="83" customFormat="false" ht="15" hidden="false" customHeight="false" outlineLevel="0" collapsed="false">
      <c r="A83" s="14" t="s">
        <v>16</v>
      </c>
      <c r="B83" s="14" t="s">
        <v>65</v>
      </c>
      <c r="C83" s="8" t="n">
        <v>31</v>
      </c>
      <c r="D83" s="8"/>
      <c r="E83" s="5"/>
    </row>
    <row r="84" customFormat="false" ht="15" hidden="false" customHeight="false" outlineLevel="0" collapsed="false">
      <c r="A84" s="14" t="s">
        <v>16</v>
      </c>
      <c r="B84" s="14" t="s">
        <v>75</v>
      </c>
      <c r="C84" s="8" t="n">
        <v>23</v>
      </c>
      <c r="D84" s="8"/>
      <c r="E84" s="5"/>
    </row>
    <row r="85" customFormat="false" ht="15" hidden="false" customHeight="false" outlineLevel="0" collapsed="false">
      <c r="A85" s="14" t="s">
        <v>16</v>
      </c>
      <c r="B85" s="14" t="s">
        <v>57</v>
      </c>
      <c r="C85" s="8" t="n">
        <v>95</v>
      </c>
      <c r="D85" s="8"/>
      <c r="E85" s="5"/>
    </row>
    <row r="86" customFormat="false" ht="15" hidden="false" customHeight="false" outlineLevel="0" collapsed="false">
      <c r="A86" s="14" t="s">
        <v>16</v>
      </c>
      <c r="B86" s="14" t="s">
        <v>55</v>
      </c>
      <c r="C86" s="8" t="n">
        <v>80</v>
      </c>
      <c r="D86" s="8"/>
      <c r="E86" s="5"/>
    </row>
    <row r="87" customFormat="false" ht="15" hidden="false" customHeight="false" outlineLevel="0" collapsed="false">
      <c r="A87" s="14" t="s">
        <v>16</v>
      </c>
      <c r="B87" s="14" t="s">
        <v>61</v>
      </c>
      <c r="C87" s="8" t="n">
        <v>105</v>
      </c>
      <c r="D87" s="8"/>
      <c r="E87" s="5"/>
    </row>
    <row r="88" customFormat="false" ht="15" hidden="false" customHeight="false" outlineLevel="0" collapsed="false">
      <c r="A88" s="14" t="s">
        <v>16</v>
      </c>
      <c r="B88" s="14" t="s">
        <v>53</v>
      </c>
      <c r="C88" s="8" t="n">
        <v>17</v>
      </c>
      <c r="D88" s="8"/>
      <c r="E88" s="5"/>
    </row>
    <row r="89" customFormat="false" ht="15" hidden="false" customHeight="false" outlineLevel="0" collapsed="false">
      <c r="A89" s="14" t="s">
        <v>16</v>
      </c>
      <c r="B89" s="14" t="s">
        <v>50</v>
      </c>
      <c r="C89" s="8" t="n">
        <v>109</v>
      </c>
      <c r="D89" s="8"/>
      <c r="E89" s="5"/>
    </row>
    <row r="90" customFormat="false" ht="15" hidden="false" customHeight="false" outlineLevel="0" collapsed="false">
      <c r="A90" s="14" t="s">
        <v>16</v>
      </c>
      <c r="B90" s="14" t="s">
        <v>70</v>
      </c>
      <c r="C90" s="8" t="n">
        <v>8</v>
      </c>
      <c r="D90" s="8"/>
      <c r="E90" s="5"/>
    </row>
    <row r="91" customFormat="false" ht="15" hidden="false" customHeight="false" outlineLevel="0" collapsed="false">
      <c r="A91" s="14" t="s">
        <v>16</v>
      </c>
      <c r="B91" s="14" t="s">
        <v>78</v>
      </c>
      <c r="C91" s="8" t="n">
        <v>83</v>
      </c>
      <c r="D91" s="8"/>
      <c r="E91" s="5"/>
    </row>
    <row r="92" customFormat="false" ht="15" hidden="false" customHeight="false" outlineLevel="0" collapsed="false">
      <c r="A92" s="14" t="s">
        <v>16</v>
      </c>
      <c r="B92" s="14" t="s">
        <v>63</v>
      </c>
      <c r="C92" s="8" t="n">
        <v>100</v>
      </c>
      <c r="D92" s="8"/>
      <c r="E92" s="5"/>
    </row>
    <row r="93" customFormat="false" ht="15" hidden="false" customHeight="false" outlineLevel="0" collapsed="false">
      <c r="A93" s="14" t="s">
        <v>16</v>
      </c>
      <c r="B93" s="14" t="s">
        <v>48</v>
      </c>
      <c r="C93" s="8" t="n">
        <v>99</v>
      </c>
      <c r="D93" s="8"/>
      <c r="E93" s="5"/>
    </row>
    <row r="94" customFormat="false" ht="15" hidden="false" customHeight="false" outlineLevel="0" collapsed="false">
      <c r="A94" s="14" t="s">
        <v>16</v>
      </c>
      <c r="B94" s="14" t="s">
        <v>67</v>
      </c>
      <c r="C94" s="8" t="n">
        <v>58</v>
      </c>
      <c r="D94" s="8"/>
      <c r="E94" s="5"/>
    </row>
    <row r="95" customFormat="false" ht="15" hidden="false" customHeight="false" outlineLevel="0" collapsed="false">
      <c r="A95" s="14" t="s">
        <v>16</v>
      </c>
      <c r="B95" s="14" t="s">
        <v>56</v>
      </c>
      <c r="C95" s="8" t="n">
        <v>121</v>
      </c>
      <c r="D95" s="8"/>
      <c r="E95" s="5"/>
    </row>
    <row r="96" customFormat="false" ht="15" hidden="false" customHeight="false" outlineLevel="0" collapsed="false">
      <c r="A96" s="14" t="s">
        <v>16</v>
      </c>
      <c r="B96" s="14" t="s">
        <v>52</v>
      </c>
      <c r="C96" s="8" t="n">
        <v>97</v>
      </c>
      <c r="D96" s="8"/>
      <c r="E96" s="5"/>
    </row>
    <row r="97" customFormat="false" ht="15" hidden="false" customHeight="false" outlineLevel="0" collapsed="false">
      <c r="A97" s="14" t="s">
        <v>16</v>
      </c>
      <c r="B97" s="14" t="s">
        <v>68</v>
      </c>
      <c r="C97" s="8" t="n">
        <v>47</v>
      </c>
      <c r="D97" s="8"/>
      <c r="E97" s="5"/>
    </row>
    <row r="98" customFormat="false" ht="15" hidden="false" customHeight="false" outlineLevel="0" collapsed="false">
      <c r="A98" s="14" t="s">
        <v>16</v>
      </c>
      <c r="B98" s="14" t="s">
        <v>59</v>
      </c>
      <c r="C98" s="8" t="n">
        <v>79</v>
      </c>
      <c r="D98" s="8"/>
      <c r="E98" s="5"/>
    </row>
    <row r="99" customFormat="false" ht="15" hidden="false" customHeight="false" outlineLevel="0" collapsed="false">
      <c r="A99" s="14" t="s">
        <v>16</v>
      </c>
      <c r="B99" s="14" t="s">
        <v>51</v>
      </c>
      <c r="C99" s="8" t="n">
        <v>143</v>
      </c>
      <c r="D99" s="8"/>
      <c r="E99" s="5"/>
    </row>
    <row r="100" customFormat="false" ht="15" hidden="false" customHeight="false" outlineLevel="0" collapsed="false">
      <c r="A100" s="14" t="s">
        <v>16</v>
      </c>
      <c r="B100" s="14" t="s">
        <v>79</v>
      </c>
      <c r="C100" s="8" t="n">
        <v>48</v>
      </c>
      <c r="D100" s="8"/>
      <c r="E100" s="5"/>
    </row>
    <row r="101" customFormat="false" ht="15" hidden="false" customHeight="false" outlineLevel="0" collapsed="false">
      <c r="A101" s="14" t="s">
        <v>16</v>
      </c>
      <c r="B101" s="14" t="s">
        <v>60</v>
      </c>
      <c r="C101" s="8" t="n">
        <v>78</v>
      </c>
      <c r="D101" s="8"/>
      <c r="E101" s="5"/>
    </row>
    <row r="102" customFormat="false" ht="15" hidden="false" customHeight="false" outlineLevel="0" collapsed="false">
      <c r="A102" s="14" t="s">
        <v>16</v>
      </c>
      <c r="B102" s="14" t="s">
        <v>58</v>
      </c>
      <c r="C102" s="8" t="n">
        <v>10</v>
      </c>
      <c r="D102" s="8"/>
      <c r="E102" s="5"/>
    </row>
    <row r="103" customFormat="false" ht="15" hidden="false" customHeight="false" outlineLevel="0" collapsed="false">
      <c r="A103" s="14" t="s">
        <v>16</v>
      </c>
      <c r="B103" s="14" t="s">
        <v>54</v>
      </c>
      <c r="C103" s="8" t="n">
        <v>83</v>
      </c>
      <c r="D103" s="8"/>
      <c r="E103" s="5"/>
    </row>
    <row r="104" customFormat="false" ht="15" hidden="false" customHeight="false" outlineLevel="0" collapsed="false">
      <c r="A104" s="14" t="s">
        <v>16</v>
      </c>
      <c r="B104" s="14" t="s">
        <v>80</v>
      </c>
      <c r="C104" s="8" t="n">
        <v>42</v>
      </c>
      <c r="D104" s="8"/>
      <c r="E104" s="5"/>
    </row>
    <row r="105" customFormat="false" ht="15" hidden="false" customHeight="false" outlineLevel="0" collapsed="false">
      <c r="A105" s="14" t="s">
        <v>16</v>
      </c>
      <c r="B105" s="14" t="s">
        <v>49</v>
      </c>
      <c r="C105" s="8" t="n">
        <v>126</v>
      </c>
      <c r="D105" s="8"/>
      <c r="E105" s="5"/>
    </row>
    <row r="106" customFormat="false" ht="15" hidden="false" customHeight="false" outlineLevel="0" collapsed="false">
      <c r="A106" s="14" t="s">
        <v>16</v>
      </c>
      <c r="B106" s="14" t="s">
        <v>82</v>
      </c>
      <c r="C106" s="8" t="n">
        <v>14</v>
      </c>
      <c r="D106" s="8"/>
      <c r="E106" s="5"/>
    </row>
    <row r="107" customFormat="false" ht="15" hidden="false" customHeight="false" outlineLevel="0" collapsed="false">
      <c r="A107" s="14" t="s">
        <v>16</v>
      </c>
      <c r="B107" s="14" t="s">
        <v>81</v>
      </c>
      <c r="C107" s="8" t="n">
        <v>13</v>
      </c>
      <c r="D107" s="8"/>
      <c r="E107" s="5"/>
    </row>
    <row r="108" customFormat="false" ht="15" hidden="false" customHeight="false" outlineLevel="0" collapsed="false">
      <c r="A108" s="14" t="s">
        <v>16</v>
      </c>
      <c r="B108" s="14" t="s">
        <v>69</v>
      </c>
      <c r="C108" s="8" t="n">
        <v>6</v>
      </c>
      <c r="D108" s="8"/>
      <c r="E108" s="5"/>
    </row>
    <row r="109" customFormat="false" ht="15" hidden="false" customHeight="false" outlineLevel="0" collapsed="false">
      <c r="A109" s="14" t="s">
        <v>16</v>
      </c>
      <c r="B109" s="14" t="s">
        <v>64</v>
      </c>
      <c r="C109" s="8" t="n">
        <v>73</v>
      </c>
      <c r="D109" s="8"/>
      <c r="E109" s="5"/>
    </row>
    <row r="110" customFormat="false" ht="15" hidden="false" customHeight="false" outlineLevel="0" collapsed="false">
      <c r="A110" s="14" t="s">
        <v>16</v>
      </c>
      <c r="B110" s="14" t="s">
        <v>66</v>
      </c>
      <c r="C110" s="8" t="n">
        <v>25</v>
      </c>
      <c r="D110" s="8"/>
      <c r="E110" s="5"/>
    </row>
    <row r="111" customFormat="false" ht="15" hidden="false" customHeight="false" outlineLevel="0" collapsed="false">
      <c r="A111" s="14" t="s">
        <v>17</v>
      </c>
      <c r="B111" s="14" t="s">
        <v>65</v>
      </c>
      <c r="C111" s="8" t="n">
        <v>44</v>
      </c>
      <c r="D111" s="8" t="n">
        <v>16</v>
      </c>
      <c r="E111" s="5" t="n">
        <v>2.74</v>
      </c>
    </row>
    <row r="112" customFormat="false" ht="15" hidden="false" customHeight="false" outlineLevel="0" collapsed="false">
      <c r="A112" s="14" t="s">
        <v>17</v>
      </c>
      <c r="B112" s="14" t="s">
        <v>75</v>
      </c>
      <c r="C112" s="8" t="n">
        <v>8</v>
      </c>
      <c r="D112" s="8" t="n">
        <v>0</v>
      </c>
      <c r="E112" s="5" t="n">
        <v>3.331</v>
      </c>
    </row>
    <row r="113" customFormat="false" ht="15" hidden="false" customHeight="false" outlineLevel="0" collapsed="false">
      <c r="A113" s="14" t="s">
        <v>17</v>
      </c>
      <c r="B113" s="14" t="s">
        <v>57</v>
      </c>
      <c r="C113" s="8" t="n">
        <v>98</v>
      </c>
      <c r="D113" s="8" t="n">
        <v>28</v>
      </c>
      <c r="E113" s="5" t="n">
        <v>3.228</v>
      </c>
    </row>
    <row r="114" customFormat="false" ht="15" hidden="false" customHeight="false" outlineLevel="0" collapsed="false">
      <c r="A114" s="14" t="s">
        <v>17</v>
      </c>
      <c r="B114" s="14" t="s">
        <v>55</v>
      </c>
      <c r="C114" s="8" t="n">
        <v>76</v>
      </c>
      <c r="D114" s="8" t="n">
        <v>25</v>
      </c>
      <c r="E114" s="5" t="n">
        <v>3.056</v>
      </c>
    </row>
    <row r="115" customFormat="false" ht="15" hidden="false" customHeight="false" outlineLevel="0" collapsed="false">
      <c r="A115" s="14" t="s">
        <v>17</v>
      </c>
      <c r="B115" s="14" t="s">
        <v>61</v>
      </c>
      <c r="C115" s="8" t="n">
        <v>128</v>
      </c>
      <c r="D115" s="8" t="n">
        <v>38</v>
      </c>
      <c r="E115" s="5" t="n">
        <v>3.276</v>
      </c>
    </row>
    <row r="116" customFormat="false" ht="15" hidden="false" customHeight="false" outlineLevel="0" collapsed="false">
      <c r="A116" s="14" t="s">
        <v>17</v>
      </c>
      <c r="B116" s="14" t="s">
        <v>53</v>
      </c>
      <c r="C116" s="8" t="n">
        <v>13</v>
      </c>
      <c r="D116" s="8" t="n">
        <v>5</v>
      </c>
      <c r="E116" s="5" t="n">
        <v>3.29</v>
      </c>
    </row>
    <row r="117" customFormat="false" ht="15" hidden="false" customHeight="false" outlineLevel="0" collapsed="false">
      <c r="A117" s="14" t="s">
        <v>17</v>
      </c>
      <c r="B117" s="14" t="s">
        <v>50</v>
      </c>
      <c r="C117" s="8" t="n">
        <v>117</v>
      </c>
      <c r="D117" s="8" t="n">
        <v>31</v>
      </c>
      <c r="E117" s="5" t="n">
        <v>3.457</v>
      </c>
    </row>
    <row r="118" customFormat="false" ht="15" hidden="false" customHeight="false" outlineLevel="0" collapsed="false">
      <c r="A118" s="14" t="s">
        <v>17</v>
      </c>
      <c r="B118" s="14" t="s">
        <v>70</v>
      </c>
      <c r="C118" s="8" t="n">
        <v>10</v>
      </c>
      <c r="D118" s="8" t="n">
        <v>5</v>
      </c>
      <c r="E118" s="5" t="n">
        <v>3.269</v>
      </c>
    </row>
    <row r="119" customFormat="false" ht="15" hidden="false" customHeight="false" outlineLevel="0" collapsed="false">
      <c r="A119" s="14" t="s">
        <v>17</v>
      </c>
      <c r="B119" s="14" t="s">
        <v>78</v>
      </c>
      <c r="C119" s="8" t="n">
        <v>79</v>
      </c>
      <c r="D119" s="8" t="n">
        <v>19</v>
      </c>
      <c r="E119" s="5" t="n">
        <v>2.992</v>
      </c>
    </row>
    <row r="120" customFormat="false" ht="15" hidden="false" customHeight="false" outlineLevel="0" collapsed="false">
      <c r="A120" s="14" t="s">
        <v>17</v>
      </c>
      <c r="B120" s="14" t="s">
        <v>63</v>
      </c>
      <c r="C120" s="8" t="n">
        <v>109</v>
      </c>
      <c r="D120" s="8" t="n">
        <v>30</v>
      </c>
      <c r="E120" s="5" t="n">
        <v>3.315</v>
      </c>
    </row>
    <row r="121" customFormat="false" ht="15" hidden="false" customHeight="false" outlineLevel="0" collapsed="false">
      <c r="A121" s="14" t="s">
        <v>17</v>
      </c>
      <c r="B121" s="14" t="s">
        <v>48</v>
      </c>
      <c r="C121" s="8" t="n">
        <v>107</v>
      </c>
      <c r="D121" s="8" t="n">
        <v>27</v>
      </c>
      <c r="E121" s="5" t="n">
        <v>3.502</v>
      </c>
    </row>
    <row r="122" customFormat="false" ht="15" hidden="false" customHeight="false" outlineLevel="0" collapsed="false">
      <c r="A122" s="14" t="s">
        <v>17</v>
      </c>
      <c r="B122" s="14" t="s">
        <v>67</v>
      </c>
      <c r="C122" s="8" t="n">
        <v>55</v>
      </c>
      <c r="D122" s="8" t="n">
        <v>38</v>
      </c>
      <c r="E122" s="5" t="n">
        <v>2.838</v>
      </c>
    </row>
    <row r="123" customFormat="false" ht="15" hidden="false" customHeight="false" outlineLevel="0" collapsed="false">
      <c r="A123" s="14" t="s">
        <v>17</v>
      </c>
      <c r="B123" s="14" t="s">
        <v>56</v>
      </c>
      <c r="C123" s="8" t="n">
        <v>124</v>
      </c>
      <c r="D123" s="8" t="n">
        <v>33</v>
      </c>
      <c r="E123" s="5" t="n">
        <v>3.271</v>
      </c>
    </row>
    <row r="124" customFormat="false" ht="15" hidden="false" customHeight="false" outlineLevel="0" collapsed="false">
      <c r="A124" s="14" t="s">
        <v>17</v>
      </c>
      <c r="B124" s="14" t="s">
        <v>52</v>
      </c>
      <c r="C124" s="8" t="n">
        <v>106</v>
      </c>
      <c r="D124" s="8" t="n">
        <v>35</v>
      </c>
      <c r="E124" s="5" t="n">
        <v>3.069</v>
      </c>
    </row>
    <row r="125" customFormat="false" ht="15" hidden="false" customHeight="false" outlineLevel="0" collapsed="false">
      <c r="A125" s="14" t="s">
        <v>17</v>
      </c>
      <c r="B125" s="14" t="s">
        <v>68</v>
      </c>
      <c r="C125" s="8" t="n">
        <v>45</v>
      </c>
      <c r="D125" s="8" t="n">
        <v>10</v>
      </c>
      <c r="E125" s="5" t="n">
        <v>2.66</v>
      </c>
    </row>
    <row r="126" customFormat="false" ht="15" hidden="false" customHeight="false" outlineLevel="0" collapsed="false">
      <c r="A126" s="14" t="s">
        <v>17</v>
      </c>
      <c r="B126" s="14" t="s">
        <v>59</v>
      </c>
      <c r="C126" s="8" t="n">
        <v>77</v>
      </c>
      <c r="D126" s="8" t="n">
        <v>21</v>
      </c>
      <c r="E126" s="5" t="n">
        <v>3.399</v>
      </c>
    </row>
    <row r="127" customFormat="false" ht="15" hidden="false" customHeight="false" outlineLevel="0" collapsed="false">
      <c r="A127" s="14" t="s">
        <v>17</v>
      </c>
      <c r="B127" s="14" t="s">
        <v>51</v>
      </c>
      <c r="C127" s="8" t="n">
        <v>139</v>
      </c>
      <c r="D127" s="8" t="n">
        <v>33</v>
      </c>
      <c r="E127" s="5" t="n">
        <v>3.382</v>
      </c>
    </row>
    <row r="128" customFormat="false" ht="15" hidden="false" customHeight="false" outlineLevel="0" collapsed="false">
      <c r="A128" s="14" t="s">
        <v>17</v>
      </c>
      <c r="B128" s="14" t="s">
        <v>79</v>
      </c>
      <c r="C128" s="8" t="n">
        <v>34</v>
      </c>
      <c r="D128" s="8" t="n">
        <v>0</v>
      </c>
      <c r="E128" s="5" t="n">
        <v>3.071</v>
      </c>
    </row>
    <row r="129" customFormat="false" ht="15" hidden="false" customHeight="false" outlineLevel="0" collapsed="false">
      <c r="A129" s="14" t="s">
        <v>17</v>
      </c>
      <c r="B129" s="14" t="s">
        <v>60</v>
      </c>
      <c r="C129" s="8" t="n">
        <v>106</v>
      </c>
      <c r="D129" s="8" t="n">
        <v>28</v>
      </c>
      <c r="E129" s="5" t="n">
        <v>3.218</v>
      </c>
    </row>
    <row r="130" customFormat="false" ht="15" hidden="false" customHeight="false" outlineLevel="0" collapsed="false">
      <c r="A130" s="14" t="s">
        <v>17</v>
      </c>
      <c r="B130" s="14" t="s">
        <v>58</v>
      </c>
      <c r="C130" s="8" t="n">
        <v>9</v>
      </c>
      <c r="D130" s="8" t="n">
        <v>3</v>
      </c>
      <c r="E130" s="5"/>
    </row>
    <row r="131" customFormat="false" ht="15" hidden="false" customHeight="false" outlineLevel="0" collapsed="false">
      <c r="A131" s="14" t="s">
        <v>17</v>
      </c>
      <c r="B131" s="14" t="s">
        <v>54</v>
      </c>
      <c r="C131" s="8" t="n">
        <v>99</v>
      </c>
      <c r="D131" s="8" t="n">
        <v>23</v>
      </c>
      <c r="E131" s="5" t="n">
        <v>2.966</v>
      </c>
    </row>
    <row r="132" customFormat="false" ht="15" hidden="false" customHeight="false" outlineLevel="0" collapsed="false">
      <c r="A132" s="14" t="s">
        <v>17</v>
      </c>
      <c r="B132" s="14" t="s">
        <v>80</v>
      </c>
      <c r="C132" s="8" t="n">
        <v>40</v>
      </c>
      <c r="D132" s="8" t="n">
        <v>19</v>
      </c>
      <c r="E132" s="5" t="n">
        <v>2.792</v>
      </c>
    </row>
    <row r="133" customFormat="false" ht="15" hidden="false" customHeight="false" outlineLevel="0" collapsed="false">
      <c r="A133" s="14" t="s">
        <v>17</v>
      </c>
      <c r="B133" s="14" t="s">
        <v>49</v>
      </c>
      <c r="C133" s="8" t="n">
        <v>135</v>
      </c>
      <c r="D133" s="8" t="n">
        <v>44</v>
      </c>
      <c r="E133" s="5" t="n">
        <v>3.444</v>
      </c>
    </row>
    <row r="134" customFormat="false" ht="15" hidden="false" customHeight="false" outlineLevel="0" collapsed="false">
      <c r="A134" s="14" t="s">
        <v>17</v>
      </c>
      <c r="B134" s="14" t="s">
        <v>82</v>
      </c>
      <c r="C134" s="8" t="n">
        <v>10</v>
      </c>
      <c r="D134" s="8" t="n">
        <v>4</v>
      </c>
      <c r="E134" s="5"/>
    </row>
    <row r="135" customFormat="false" ht="15" hidden="false" customHeight="false" outlineLevel="0" collapsed="false">
      <c r="A135" s="14" t="s">
        <v>17</v>
      </c>
      <c r="B135" s="14" t="s">
        <v>64</v>
      </c>
      <c r="C135" s="8" t="n">
        <v>78</v>
      </c>
      <c r="D135" s="8" t="n">
        <v>28</v>
      </c>
      <c r="E135" s="5" t="n">
        <v>2.957</v>
      </c>
    </row>
    <row r="136" customFormat="false" ht="15" hidden="false" customHeight="false" outlineLevel="0" collapsed="false">
      <c r="A136" s="14" t="s">
        <v>17</v>
      </c>
      <c r="B136" s="14" t="s">
        <v>66</v>
      </c>
      <c r="C136" s="8" t="n">
        <v>27</v>
      </c>
      <c r="D136" s="8" t="n">
        <v>3</v>
      </c>
      <c r="E136" s="5" t="n">
        <v>2.97</v>
      </c>
    </row>
    <row r="137" customFormat="false" ht="15" hidden="false" customHeight="false" outlineLevel="0" collapsed="false">
      <c r="A137" s="14" t="s">
        <v>18</v>
      </c>
      <c r="B137" s="14" t="s">
        <v>65</v>
      </c>
      <c r="C137" s="8" t="n">
        <v>40</v>
      </c>
      <c r="D137" s="8" t="n">
        <v>10</v>
      </c>
      <c r="E137" s="5" t="n">
        <v>3.247</v>
      </c>
    </row>
    <row r="138" customFormat="false" ht="15" hidden="false" customHeight="false" outlineLevel="0" collapsed="false">
      <c r="A138" s="14" t="s">
        <v>18</v>
      </c>
      <c r="B138" s="14" t="s">
        <v>75</v>
      </c>
      <c r="C138" s="8" t="n">
        <v>7</v>
      </c>
      <c r="D138" s="8" t="n">
        <v>0</v>
      </c>
      <c r="E138" s="5" t="n">
        <v>3.698</v>
      </c>
    </row>
    <row r="139" customFormat="false" ht="15" hidden="false" customHeight="false" outlineLevel="0" collapsed="false">
      <c r="A139" s="14" t="s">
        <v>18</v>
      </c>
      <c r="B139" s="14" t="s">
        <v>57</v>
      </c>
      <c r="C139" s="8" t="n">
        <v>94</v>
      </c>
      <c r="D139" s="8" t="n">
        <v>4</v>
      </c>
      <c r="E139" s="5" t="n">
        <v>3.137</v>
      </c>
    </row>
    <row r="140" customFormat="false" ht="15" hidden="false" customHeight="false" outlineLevel="0" collapsed="false">
      <c r="A140" s="14" t="s">
        <v>18</v>
      </c>
      <c r="B140" s="14" t="s">
        <v>55</v>
      </c>
      <c r="C140" s="8" t="n">
        <v>69</v>
      </c>
      <c r="D140" s="8" t="n">
        <v>3</v>
      </c>
      <c r="E140" s="5" t="n">
        <v>3.41</v>
      </c>
    </row>
    <row r="141" customFormat="false" ht="15" hidden="false" customHeight="false" outlineLevel="0" collapsed="false">
      <c r="A141" s="14" t="s">
        <v>18</v>
      </c>
      <c r="B141" s="14" t="s">
        <v>61</v>
      </c>
      <c r="C141" s="8" t="n">
        <v>119</v>
      </c>
      <c r="D141" s="8" t="n">
        <v>3</v>
      </c>
      <c r="E141" s="5" t="n">
        <v>3.293</v>
      </c>
    </row>
    <row r="142" customFormat="false" ht="15" hidden="false" customHeight="false" outlineLevel="0" collapsed="false">
      <c r="A142" s="14" t="s">
        <v>18</v>
      </c>
      <c r="B142" s="14" t="s">
        <v>53</v>
      </c>
      <c r="C142" s="8" t="n">
        <v>13</v>
      </c>
      <c r="D142" s="8" t="n">
        <v>1</v>
      </c>
      <c r="E142" s="5" t="n">
        <v>3.372</v>
      </c>
    </row>
    <row r="143" customFormat="false" ht="15" hidden="false" customHeight="false" outlineLevel="0" collapsed="false">
      <c r="A143" s="14" t="s">
        <v>18</v>
      </c>
      <c r="B143" s="14" t="s">
        <v>50</v>
      </c>
      <c r="C143" s="8" t="n">
        <v>106</v>
      </c>
      <c r="D143" s="8" t="n">
        <v>1</v>
      </c>
      <c r="E143" s="5" t="n">
        <v>3.51</v>
      </c>
    </row>
    <row r="144" customFormat="false" ht="15" hidden="false" customHeight="false" outlineLevel="0" collapsed="false">
      <c r="A144" s="14" t="s">
        <v>18</v>
      </c>
      <c r="B144" s="14" t="s">
        <v>70</v>
      </c>
      <c r="C144" s="8" t="n">
        <v>11</v>
      </c>
      <c r="D144" s="8" t="n">
        <v>3</v>
      </c>
      <c r="E144" s="5" t="n">
        <v>3.135</v>
      </c>
    </row>
    <row r="145" customFormat="false" ht="15" hidden="false" customHeight="false" outlineLevel="0" collapsed="false">
      <c r="A145" s="14" t="s">
        <v>18</v>
      </c>
      <c r="B145" s="14" t="s">
        <v>78</v>
      </c>
      <c r="C145" s="8" t="n">
        <v>75</v>
      </c>
      <c r="D145" s="8" t="n">
        <v>10</v>
      </c>
      <c r="E145" s="5" t="n">
        <v>3.059</v>
      </c>
    </row>
    <row r="146" customFormat="false" ht="15" hidden="false" customHeight="false" outlineLevel="0" collapsed="false">
      <c r="A146" s="14" t="s">
        <v>18</v>
      </c>
      <c r="B146" s="14" t="s">
        <v>63</v>
      </c>
      <c r="C146" s="8" t="n">
        <v>93</v>
      </c>
      <c r="D146" s="8" t="n">
        <v>1</v>
      </c>
      <c r="E146" s="5" t="n">
        <v>3.338</v>
      </c>
    </row>
    <row r="147" customFormat="false" ht="15" hidden="false" customHeight="false" outlineLevel="0" collapsed="false">
      <c r="A147" s="14" t="s">
        <v>18</v>
      </c>
      <c r="B147" s="14" t="s">
        <v>48</v>
      </c>
      <c r="C147" s="8" t="n">
        <v>104</v>
      </c>
      <c r="D147" s="8" t="n">
        <v>2</v>
      </c>
      <c r="E147" s="5" t="n">
        <v>3.525</v>
      </c>
    </row>
    <row r="148" customFormat="false" ht="15" hidden="false" customHeight="false" outlineLevel="0" collapsed="false">
      <c r="A148" s="14" t="s">
        <v>18</v>
      </c>
      <c r="B148" s="14" t="s">
        <v>67</v>
      </c>
      <c r="C148" s="8" t="n">
        <v>66</v>
      </c>
      <c r="D148" s="8" t="n">
        <v>11</v>
      </c>
      <c r="E148" s="5" t="n">
        <v>3.019</v>
      </c>
    </row>
    <row r="149" customFormat="false" ht="15" hidden="false" customHeight="false" outlineLevel="0" collapsed="false">
      <c r="A149" s="14" t="s">
        <v>18</v>
      </c>
      <c r="B149" s="14" t="s">
        <v>56</v>
      </c>
      <c r="C149" s="8" t="n">
        <v>110</v>
      </c>
      <c r="D149" s="8" t="n">
        <v>2</v>
      </c>
      <c r="E149" s="5" t="n">
        <v>3.458</v>
      </c>
    </row>
    <row r="150" customFormat="false" ht="15" hidden="false" customHeight="false" outlineLevel="0" collapsed="false">
      <c r="A150" s="14" t="s">
        <v>18</v>
      </c>
      <c r="B150" s="14" t="s">
        <v>52</v>
      </c>
      <c r="C150" s="8" t="n">
        <v>101</v>
      </c>
      <c r="D150" s="8" t="n">
        <v>2</v>
      </c>
      <c r="E150" s="5" t="n">
        <v>3.082</v>
      </c>
    </row>
    <row r="151" customFormat="false" ht="15" hidden="false" customHeight="false" outlineLevel="0" collapsed="false">
      <c r="A151" s="14" t="s">
        <v>18</v>
      </c>
      <c r="B151" s="14" t="s">
        <v>68</v>
      </c>
      <c r="C151" s="8" t="n">
        <v>41</v>
      </c>
      <c r="D151" s="8" t="n">
        <v>1</v>
      </c>
      <c r="E151" s="5" t="n">
        <v>2.935</v>
      </c>
    </row>
    <row r="152" customFormat="false" ht="15" hidden="false" customHeight="false" outlineLevel="0" collapsed="false">
      <c r="A152" s="14" t="s">
        <v>18</v>
      </c>
      <c r="B152" s="14" t="s">
        <v>59</v>
      </c>
      <c r="C152" s="8" t="n">
        <v>74</v>
      </c>
      <c r="D152" s="8" t="n">
        <v>1</v>
      </c>
      <c r="E152" s="5" t="n">
        <v>3.382</v>
      </c>
    </row>
    <row r="153" customFormat="false" ht="15" hidden="false" customHeight="false" outlineLevel="0" collapsed="false">
      <c r="A153" s="14" t="s">
        <v>18</v>
      </c>
      <c r="B153" s="14" t="s">
        <v>51</v>
      </c>
      <c r="C153" s="8" t="n">
        <v>142</v>
      </c>
      <c r="D153" s="8" t="n">
        <v>9</v>
      </c>
      <c r="E153" s="5" t="n">
        <v>3.546</v>
      </c>
    </row>
    <row r="154" customFormat="false" ht="15" hidden="false" customHeight="false" outlineLevel="0" collapsed="false">
      <c r="A154" s="14" t="s">
        <v>18</v>
      </c>
      <c r="B154" s="14" t="s">
        <v>79</v>
      </c>
      <c r="C154" s="8" t="n">
        <v>53</v>
      </c>
      <c r="D154" s="8" t="n">
        <v>0</v>
      </c>
      <c r="E154" s="5" t="n">
        <v>2.906</v>
      </c>
    </row>
    <row r="155" customFormat="false" ht="15" hidden="false" customHeight="false" outlineLevel="0" collapsed="false">
      <c r="A155" s="14" t="s">
        <v>18</v>
      </c>
      <c r="B155" s="14" t="s">
        <v>60</v>
      </c>
      <c r="C155" s="8" t="n">
        <v>104</v>
      </c>
      <c r="D155" s="8" t="n">
        <v>4</v>
      </c>
      <c r="E155" s="5" t="n">
        <v>3.329</v>
      </c>
    </row>
    <row r="156" customFormat="false" ht="15" hidden="false" customHeight="false" outlineLevel="0" collapsed="false">
      <c r="A156" s="14" t="s">
        <v>18</v>
      </c>
      <c r="B156" s="14" t="s">
        <v>58</v>
      </c>
      <c r="C156" s="8" t="n">
        <v>12</v>
      </c>
      <c r="D156" s="8" t="n">
        <v>0</v>
      </c>
      <c r="E156" s="5" t="n">
        <v>3.349</v>
      </c>
    </row>
    <row r="157" customFormat="false" ht="15" hidden="false" customHeight="false" outlineLevel="0" collapsed="false">
      <c r="A157" s="14" t="s">
        <v>18</v>
      </c>
      <c r="B157" s="14" t="s">
        <v>54</v>
      </c>
      <c r="C157" s="8" t="n">
        <v>74</v>
      </c>
      <c r="D157" s="8" t="n">
        <v>4</v>
      </c>
      <c r="E157" s="5" t="n">
        <v>3.405</v>
      </c>
    </row>
    <row r="158" customFormat="false" ht="15" hidden="false" customHeight="false" outlineLevel="0" collapsed="false">
      <c r="A158" s="14" t="s">
        <v>18</v>
      </c>
      <c r="B158" s="14" t="s">
        <v>80</v>
      </c>
      <c r="C158" s="8" t="n">
        <v>46</v>
      </c>
      <c r="D158" s="8" t="n">
        <v>5</v>
      </c>
      <c r="E158" s="5" t="n">
        <v>3.098</v>
      </c>
    </row>
    <row r="159" customFormat="false" ht="15" hidden="false" customHeight="false" outlineLevel="0" collapsed="false">
      <c r="A159" s="14" t="s">
        <v>18</v>
      </c>
      <c r="B159" s="14" t="s">
        <v>49</v>
      </c>
      <c r="C159" s="8" t="n">
        <v>128</v>
      </c>
      <c r="D159" s="8" t="n">
        <v>0</v>
      </c>
      <c r="E159" s="5" t="n">
        <v>3.551</v>
      </c>
    </row>
    <row r="160" customFormat="false" ht="15" hidden="false" customHeight="false" outlineLevel="0" collapsed="false">
      <c r="A160" s="14" t="s">
        <v>18</v>
      </c>
      <c r="B160" s="14" t="s">
        <v>82</v>
      </c>
      <c r="C160" s="8" t="n">
        <v>8</v>
      </c>
      <c r="D160" s="8" t="n">
        <v>0</v>
      </c>
      <c r="E160" s="5" t="n">
        <v>2.8</v>
      </c>
    </row>
    <row r="161" customFormat="false" ht="15" hidden="false" customHeight="false" outlineLevel="0" collapsed="false">
      <c r="A161" s="14" t="s">
        <v>18</v>
      </c>
      <c r="B161" s="14" t="s">
        <v>64</v>
      </c>
      <c r="C161" s="8" t="n">
        <v>74</v>
      </c>
      <c r="D161" s="8" t="n">
        <v>10</v>
      </c>
      <c r="E161" s="5" t="n">
        <v>3.267</v>
      </c>
    </row>
    <row r="162" customFormat="false" ht="15" hidden="false" customHeight="false" outlineLevel="0" collapsed="false">
      <c r="A162" s="14" t="s">
        <v>18</v>
      </c>
      <c r="B162" s="14" t="s">
        <v>66</v>
      </c>
      <c r="C162" s="8" t="n">
        <v>24</v>
      </c>
      <c r="D162" s="8" t="n">
        <v>0</v>
      </c>
      <c r="E162" s="5" t="n">
        <v>3.15</v>
      </c>
    </row>
    <row r="163" customFormat="false" ht="15" hidden="false" customHeight="false" outlineLevel="0" collapsed="false">
      <c r="A163" s="14" t="s">
        <v>19</v>
      </c>
      <c r="B163" s="14" t="s">
        <v>65</v>
      </c>
      <c r="C163" s="8" t="n">
        <v>48</v>
      </c>
      <c r="D163" s="8" t="n">
        <v>13</v>
      </c>
      <c r="E163" s="5" t="n">
        <v>3.087</v>
      </c>
    </row>
    <row r="164" customFormat="false" ht="15" hidden="false" customHeight="false" outlineLevel="0" collapsed="false">
      <c r="A164" s="14" t="s">
        <v>19</v>
      </c>
      <c r="B164" s="14" t="s">
        <v>57</v>
      </c>
      <c r="C164" s="8" t="n">
        <v>96</v>
      </c>
      <c r="D164" s="8" t="n">
        <v>30</v>
      </c>
      <c r="E164" s="5" t="n">
        <v>3.196</v>
      </c>
    </row>
    <row r="165" customFormat="false" ht="15" hidden="false" customHeight="false" outlineLevel="0" collapsed="false">
      <c r="A165" s="14" t="s">
        <v>19</v>
      </c>
      <c r="B165" s="14" t="s">
        <v>55</v>
      </c>
      <c r="C165" s="8" t="n">
        <v>78</v>
      </c>
      <c r="D165" s="8" t="n">
        <v>25</v>
      </c>
      <c r="E165" s="5" t="n">
        <v>3.183</v>
      </c>
    </row>
    <row r="166" customFormat="false" ht="15" hidden="false" customHeight="false" outlineLevel="0" collapsed="false">
      <c r="A166" s="14" t="s">
        <v>19</v>
      </c>
      <c r="B166" s="14" t="s">
        <v>61</v>
      </c>
      <c r="C166" s="8" t="n">
        <v>108</v>
      </c>
      <c r="D166" s="8" t="n">
        <v>19</v>
      </c>
      <c r="E166" s="5" t="n">
        <v>3.129</v>
      </c>
    </row>
    <row r="167" customFormat="false" ht="15" hidden="false" customHeight="false" outlineLevel="0" collapsed="false">
      <c r="A167" s="14" t="s">
        <v>19</v>
      </c>
      <c r="B167" s="14" t="s">
        <v>53</v>
      </c>
      <c r="C167" s="8" t="n">
        <v>12</v>
      </c>
      <c r="D167" s="8" t="n">
        <v>5</v>
      </c>
      <c r="E167" s="5" t="n">
        <v>3.539</v>
      </c>
    </row>
    <row r="168" customFormat="false" ht="15" hidden="false" customHeight="false" outlineLevel="0" collapsed="false">
      <c r="A168" s="14" t="s">
        <v>19</v>
      </c>
      <c r="B168" s="14" t="s">
        <v>50</v>
      </c>
      <c r="C168" s="8" t="n">
        <v>115</v>
      </c>
      <c r="D168" s="8" t="n">
        <v>30</v>
      </c>
      <c r="E168" s="5" t="n">
        <v>3.281</v>
      </c>
    </row>
    <row r="169" customFormat="false" ht="15" hidden="false" customHeight="false" outlineLevel="0" collapsed="false">
      <c r="A169" s="14" t="s">
        <v>19</v>
      </c>
      <c r="B169" s="14" t="s">
        <v>70</v>
      </c>
      <c r="C169" s="8" t="n">
        <v>10</v>
      </c>
      <c r="D169" s="8" t="n">
        <v>5</v>
      </c>
      <c r="E169" s="5" t="n">
        <v>3.724</v>
      </c>
    </row>
    <row r="170" customFormat="false" ht="15" hidden="false" customHeight="false" outlineLevel="0" collapsed="false">
      <c r="A170" s="14" t="s">
        <v>19</v>
      </c>
      <c r="B170" s="14" t="s">
        <v>83</v>
      </c>
      <c r="C170" s="8" t="n">
        <v>18</v>
      </c>
      <c r="D170" s="8" t="n">
        <v>18</v>
      </c>
      <c r="E170" s="5" t="n">
        <v>3.057</v>
      </c>
    </row>
    <row r="171" customFormat="false" ht="15" hidden="false" customHeight="false" outlineLevel="0" collapsed="false">
      <c r="A171" s="14" t="s">
        <v>19</v>
      </c>
      <c r="B171" s="14" t="s">
        <v>78</v>
      </c>
      <c r="C171" s="8" t="n">
        <v>64</v>
      </c>
      <c r="D171" s="8" t="n">
        <v>20</v>
      </c>
      <c r="E171" s="5" t="n">
        <v>3.006</v>
      </c>
    </row>
    <row r="172" customFormat="false" ht="15" hidden="false" customHeight="false" outlineLevel="0" collapsed="false">
      <c r="A172" s="14" t="s">
        <v>19</v>
      </c>
      <c r="B172" s="14" t="s">
        <v>63</v>
      </c>
      <c r="C172" s="8" t="n">
        <v>91</v>
      </c>
      <c r="D172" s="8" t="n">
        <v>31</v>
      </c>
      <c r="E172" s="5" t="n">
        <v>3.227</v>
      </c>
    </row>
    <row r="173" customFormat="false" ht="15" hidden="false" customHeight="false" outlineLevel="0" collapsed="false">
      <c r="A173" s="14" t="s">
        <v>19</v>
      </c>
      <c r="B173" s="14" t="s">
        <v>48</v>
      </c>
      <c r="C173" s="8" t="n">
        <v>106</v>
      </c>
      <c r="D173" s="8" t="n">
        <v>31</v>
      </c>
      <c r="E173" s="5" t="n">
        <v>3.598</v>
      </c>
    </row>
    <row r="174" customFormat="false" ht="15" hidden="false" customHeight="false" outlineLevel="0" collapsed="false">
      <c r="A174" s="14" t="s">
        <v>19</v>
      </c>
      <c r="B174" s="14" t="s">
        <v>67</v>
      </c>
      <c r="C174" s="8" t="n">
        <v>59</v>
      </c>
      <c r="D174" s="8" t="n">
        <v>13</v>
      </c>
      <c r="E174" s="5" t="n">
        <v>2.801</v>
      </c>
    </row>
    <row r="175" customFormat="false" ht="15" hidden="false" customHeight="false" outlineLevel="0" collapsed="false">
      <c r="A175" s="14" t="s">
        <v>19</v>
      </c>
      <c r="B175" s="14" t="s">
        <v>56</v>
      </c>
      <c r="C175" s="8" t="n">
        <v>128</v>
      </c>
      <c r="D175" s="8" t="n">
        <v>40</v>
      </c>
      <c r="E175" s="5" t="n">
        <v>3.346</v>
      </c>
    </row>
    <row r="176" customFormat="false" ht="15" hidden="false" customHeight="false" outlineLevel="0" collapsed="false">
      <c r="A176" s="14" t="s">
        <v>19</v>
      </c>
      <c r="B176" s="14" t="s">
        <v>52</v>
      </c>
      <c r="C176" s="8"/>
      <c r="D176" s="8"/>
      <c r="E176" s="5"/>
    </row>
    <row r="177" customFormat="false" ht="15" hidden="false" customHeight="false" outlineLevel="0" collapsed="false">
      <c r="A177" s="14" t="s">
        <v>19</v>
      </c>
      <c r="B177" s="14" t="s">
        <v>68</v>
      </c>
      <c r="C177" s="8" t="n">
        <v>49</v>
      </c>
      <c r="D177" s="8" t="n">
        <v>14</v>
      </c>
      <c r="E177" s="5" t="n">
        <v>2.798</v>
      </c>
    </row>
    <row r="178" customFormat="false" ht="15" hidden="false" customHeight="false" outlineLevel="0" collapsed="false">
      <c r="A178" s="14" t="s">
        <v>19</v>
      </c>
      <c r="B178" s="14" t="s">
        <v>59</v>
      </c>
      <c r="C178" s="8" t="n">
        <v>79</v>
      </c>
      <c r="D178" s="8" t="n">
        <v>26</v>
      </c>
      <c r="E178" s="5" t="n">
        <v>3.267</v>
      </c>
    </row>
    <row r="179" customFormat="false" ht="15" hidden="false" customHeight="false" outlineLevel="0" collapsed="false">
      <c r="A179" s="14" t="s">
        <v>19</v>
      </c>
      <c r="B179" s="14" t="s">
        <v>51</v>
      </c>
      <c r="C179" s="8" t="n">
        <v>134</v>
      </c>
      <c r="D179" s="8" t="n">
        <v>32</v>
      </c>
      <c r="E179" s="5" t="n">
        <v>3.43</v>
      </c>
    </row>
    <row r="180" customFormat="false" ht="15" hidden="false" customHeight="false" outlineLevel="0" collapsed="false">
      <c r="A180" s="14" t="s">
        <v>19</v>
      </c>
      <c r="B180" s="14" t="s">
        <v>79</v>
      </c>
      <c r="C180" s="8" t="n">
        <v>51</v>
      </c>
      <c r="D180" s="8" t="n">
        <v>23</v>
      </c>
      <c r="E180" s="5" t="n">
        <v>2.644</v>
      </c>
    </row>
    <row r="181" customFormat="false" ht="15" hidden="false" customHeight="false" outlineLevel="0" collapsed="false">
      <c r="A181" s="14" t="s">
        <v>19</v>
      </c>
      <c r="B181" s="14" t="s">
        <v>60</v>
      </c>
      <c r="C181" s="8" t="n">
        <v>121</v>
      </c>
      <c r="D181" s="8" t="n">
        <v>32</v>
      </c>
      <c r="E181" s="5" t="n">
        <v>3.296</v>
      </c>
    </row>
    <row r="182" customFormat="false" ht="15" hidden="false" customHeight="false" outlineLevel="0" collapsed="false">
      <c r="A182" s="14" t="s">
        <v>19</v>
      </c>
      <c r="B182" s="14" t="s">
        <v>58</v>
      </c>
      <c r="C182" s="8" t="n">
        <v>11</v>
      </c>
      <c r="D182" s="8" t="n">
        <v>3</v>
      </c>
      <c r="E182" s="5" t="n">
        <v>3.009</v>
      </c>
    </row>
    <row r="183" customFormat="false" ht="15" hidden="false" customHeight="false" outlineLevel="0" collapsed="false">
      <c r="A183" s="14" t="s">
        <v>19</v>
      </c>
      <c r="B183" s="14" t="s">
        <v>54</v>
      </c>
      <c r="C183" s="8" t="n">
        <v>84</v>
      </c>
      <c r="D183" s="8" t="n">
        <v>42</v>
      </c>
      <c r="E183" s="5" t="n">
        <v>3.247</v>
      </c>
    </row>
    <row r="184" customFormat="false" ht="15" hidden="false" customHeight="false" outlineLevel="0" collapsed="false">
      <c r="A184" s="14" t="s">
        <v>19</v>
      </c>
      <c r="B184" s="14" t="s">
        <v>80</v>
      </c>
      <c r="C184" s="8" t="n">
        <v>43</v>
      </c>
      <c r="D184" s="8" t="n">
        <v>13</v>
      </c>
      <c r="E184" s="5" t="n">
        <v>2.864</v>
      </c>
    </row>
    <row r="185" customFormat="false" ht="15" hidden="false" customHeight="false" outlineLevel="0" collapsed="false">
      <c r="A185" s="14" t="s">
        <v>19</v>
      </c>
      <c r="B185" s="14" t="s">
        <v>49</v>
      </c>
      <c r="C185" s="8" t="n">
        <v>143</v>
      </c>
      <c r="D185" s="8" t="n">
        <v>40</v>
      </c>
      <c r="E185" s="5" t="n">
        <v>3.459</v>
      </c>
    </row>
    <row r="186" customFormat="false" ht="15" hidden="false" customHeight="false" outlineLevel="0" collapsed="false">
      <c r="A186" s="14" t="s">
        <v>19</v>
      </c>
      <c r="B186" s="14" t="s">
        <v>82</v>
      </c>
      <c r="C186" s="8" t="n">
        <v>16</v>
      </c>
      <c r="D186" s="8" t="n">
        <v>1</v>
      </c>
      <c r="E186" s="5" t="n">
        <v>2.888</v>
      </c>
    </row>
    <row r="187" customFormat="false" ht="15" hidden="false" customHeight="false" outlineLevel="0" collapsed="false">
      <c r="A187" s="14" t="s">
        <v>19</v>
      </c>
      <c r="B187" s="14" t="s">
        <v>64</v>
      </c>
      <c r="C187" s="8" t="n">
        <v>74</v>
      </c>
      <c r="D187" s="8" t="n">
        <v>14</v>
      </c>
      <c r="E187" s="5" t="n">
        <v>3.167</v>
      </c>
    </row>
    <row r="188" customFormat="false" ht="15" hidden="false" customHeight="false" outlineLevel="0" collapsed="false">
      <c r="A188" s="14" t="s">
        <v>19</v>
      </c>
      <c r="B188" s="14" t="s">
        <v>66</v>
      </c>
      <c r="C188" s="8" t="n">
        <v>21</v>
      </c>
      <c r="D188" s="8" t="n">
        <v>5</v>
      </c>
      <c r="E188" s="5" t="n">
        <v>3.055</v>
      </c>
    </row>
    <row r="189" customFormat="false" ht="15" hidden="false" customHeight="false" outlineLevel="0" collapsed="false">
      <c r="A189" s="14" t="s">
        <v>20</v>
      </c>
      <c r="B189" s="14" t="s">
        <v>65</v>
      </c>
      <c r="C189" s="8" t="n">
        <v>45</v>
      </c>
      <c r="D189" s="8"/>
      <c r="E189" s="5" t="n">
        <v>3.126</v>
      </c>
    </row>
    <row r="190" customFormat="false" ht="15" hidden="false" customHeight="false" outlineLevel="0" collapsed="false">
      <c r="A190" s="14" t="s">
        <v>20</v>
      </c>
      <c r="B190" s="14" t="s">
        <v>57</v>
      </c>
      <c r="C190" s="8" t="n">
        <v>90</v>
      </c>
      <c r="D190" s="8"/>
      <c r="E190" s="5" t="n">
        <v>3.367</v>
      </c>
    </row>
    <row r="191" customFormat="false" ht="15" hidden="false" customHeight="false" outlineLevel="0" collapsed="false">
      <c r="A191" s="14" t="s">
        <v>20</v>
      </c>
      <c r="B191" s="14" t="s">
        <v>55</v>
      </c>
      <c r="C191" s="8" t="n">
        <v>79</v>
      </c>
      <c r="D191" s="8"/>
      <c r="E191" s="5" t="n">
        <v>3.214</v>
      </c>
    </row>
    <row r="192" customFormat="false" ht="15" hidden="false" customHeight="false" outlineLevel="0" collapsed="false">
      <c r="A192" s="14" t="s">
        <v>20</v>
      </c>
      <c r="B192" s="14" t="s">
        <v>61</v>
      </c>
      <c r="C192" s="8" t="n">
        <v>116</v>
      </c>
      <c r="D192" s="8"/>
      <c r="E192" s="5" t="n">
        <v>3.142</v>
      </c>
    </row>
    <row r="193" customFormat="false" ht="15" hidden="false" customHeight="false" outlineLevel="0" collapsed="false">
      <c r="A193" s="14" t="s">
        <v>20</v>
      </c>
      <c r="B193" s="14" t="s">
        <v>53</v>
      </c>
      <c r="C193" s="8" t="n">
        <v>11</v>
      </c>
      <c r="D193" s="8"/>
      <c r="E193" s="5" t="n">
        <v>3.298</v>
      </c>
    </row>
    <row r="194" customFormat="false" ht="15" hidden="false" customHeight="false" outlineLevel="0" collapsed="false">
      <c r="A194" s="14" t="s">
        <v>20</v>
      </c>
      <c r="B194" s="14" t="s">
        <v>50</v>
      </c>
      <c r="C194" s="8" t="n">
        <v>108</v>
      </c>
      <c r="D194" s="8"/>
      <c r="E194" s="5" t="n">
        <v>3.446</v>
      </c>
    </row>
    <row r="195" customFormat="false" ht="15" hidden="false" customHeight="false" outlineLevel="0" collapsed="false">
      <c r="A195" s="14" t="s">
        <v>20</v>
      </c>
      <c r="B195" s="14" t="s">
        <v>70</v>
      </c>
      <c r="C195" s="8" t="n">
        <v>12</v>
      </c>
      <c r="D195" s="8"/>
      <c r="E195" s="5" t="n">
        <v>3.632</v>
      </c>
    </row>
    <row r="196" customFormat="false" ht="15" hidden="false" customHeight="false" outlineLevel="0" collapsed="false">
      <c r="A196" s="14" t="s">
        <v>20</v>
      </c>
      <c r="B196" s="14" t="s">
        <v>83</v>
      </c>
      <c r="C196" s="8" t="n">
        <v>17</v>
      </c>
      <c r="D196" s="8"/>
      <c r="E196" s="5" t="n">
        <v>3.263</v>
      </c>
    </row>
    <row r="197" customFormat="false" ht="15" hidden="false" customHeight="false" outlineLevel="0" collapsed="false">
      <c r="A197" s="14" t="s">
        <v>20</v>
      </c>
      <c r="B197" s="14" t="s">
        <v>78</v>
      </c>
      <c r="C197" s="8" t="n">
        <v>63</v>
      </c>
      <c r="D197" s="8"/>
      <c r="E197" s="5" t="n">
        <v>3.29</v>
      </c>
    </row>
    <row r="198" customFormat="false" ht="15" hidden="false" customHeight="false" outlineLevel="0" collapsed="false">
      <c r="A198" s="14" t="s">
        <v>20</v>
      </c>
      <c r="B198" s="14" t="s">
        <v>63</v>
      </c>
      <c r="C198" s="8" t="n">
        <v>90</v>
      </c>
      <c r="D198" s="8"/>
      <c r="E198" s="5" t="n">
        <v>3.263</v>
      </c>
    </row>
    <row r="199" customFormat="false" ht="15" hidden="false" customHeight="false" outlineLevel="0" collapsed="false">
      <c r="A199" s="14" t="s">
        <v>20</v>
      </c>
      <c r="B199" s="14" t="s">
        <v>48</v>
      </c>
      <c r="C199" s="8" t="n">
        <v>103</v>
      </c>
      <c r="D199" s="8"/>
      <c r="E199" s="5" t="n">
        <v>3.6</v>
      </c>
    </row>
    <row r="200" customFormat="false" ht="15" hidden="false" customHeight="false" outlineLevel="0" collapsed="false">
      <c r="A200" s="14" t="s">
        <v>20</v>
      </c>
      <c r="B200" s="14" t="s">
        <v>67</v>
      </c>
      <c r="C200" s="8" t="n">
        <v>42</v>
      </c>
      <c r="D200" s="8"/>
      <c r="E200" s="5" t="n">
        <v>2.901</v>
      </c>
    </row>
    <row r="201" customFormat="false" ht="15" hidden="false" customHeight="false" outlineLevel="0" collapsed="false">
      <c r="A201" s="14" t="s">
        <v>20</v>
      </c>
      <c r="B201" s="14" t="s">
        <v>56</v>
      </c>
      <c r="C201" s="8" t="n">
        <v>128</v>
      </c>
      <c r="D201" s="8"/>
      <c r="E201" s="5" t="n">
        <v>3.352</v>
      </c>
    </row>
    <row r="202" customFormat="false" ht="15" hidden="false" customHeight="false" outlineLevel="0" collapsed="false">
      <c r="A202" s="14" t="s">
        <v>20</v>
      </c>
      <c r="B202" s="14" t="s">
        <v>52</v>
      </c>
      <c r="C202" s="8"/>
      <c r="D202" s="8"/>
      <c r="E202" s="5"/>
    </row>
    <row r="203" customFormat="false" ht="15" hidden="false" customHeight="false" outlineLevel="0" collapsed="false">
      <c r="A203" s="14" t="s">
        <v>20</v>
      </c>
      <c r="B203" s="14" t="s">
        <v>68</v>
      </c>
      <c r="C203" s="8" t="n">
        <v>52</v>
      </c>
      <c r="D203" s="8"/>
      <c r="E203" s="5" t="n">
        <v>2.841</v>
      </c>
    </row>
    <row r="204" customFormat="false" ht="15" hidden="false" customHeight="false" outlineLevel="0" collapsed="false">
      <c r="A204" s="14" t="s">
        <v>20</v>
      </c>
      <c r="B204" s="14" t="s">
        <v>59</v>
      </c>
      <c r="C204" s="8" t="n">
        <v>81</v>
      </c>
      <c r="D204" s="8"/>
      <c r="E204" s="5" t="n">
        <v>3.505</v>
      </c>
    </row>
    <row r="205" customFormat="false" ht="15" hidden="false" customHeight="false" outlineLevel="0" collapsed="false">
      <c r="A205" s="14" t="s">
        <v>20</v>
      </c>
      <c r="B205" s="14" t="s">
        <v>51</v>
      </c>
      <c r="C205" s="8" t="n">
        <v>143</v>
      </c>
      <c r="D205" s="8"/>
      <c r="E205" s="5" t="n">
        <v>3.478</v>
      </c>
    </row>
    <row r="206" customFormat="false" ht="15" hidden="false" customHeight="false" outlineLevel="0" collapsed="false">
      <c r="A206" s="14" t="s">
        <v>20</v>
      </c>
      <c r="B206" s="14" t="s">
        <v>79</v>
      </c>
      <c r="C206" s="8" t="n">
        <v>46</v>
      </c>
      <c r="D206" s="8"/>
      <c r="E206" s="5" t="n">
        <v>2.793</v>
      </c>
    </row>
    <row r="207" customFormat="false" ht="15" hidden="false" customHeight="false" outlineLevel="0" collapsed="false">
      <c r="A207" s="14" t="s">
        <v>20</v>
      </c>
      <c r="B207" s="14" t="s">
        <v>60</v>
      </c>
      <c r="C207" s="8" t="n">
        <v>123</v>
      </c>
      <c r="D207" s="8"/>
      <c r="E207" s="5" t="n">
        <v>3.266</v>
      </c>
    </row>
    <row r="208" customFormat="false" ht="15" hidden="false" customHeight="false" outlineLevel="0" collapsed="false">
      <c r="A208" s="14" t="s">
        <v>20</v>
      </c>
      <c r="B208" s="14" t="s">
        <v>58</v>
      </c>
      <c r="C208" s="8" t="n">
        <v>11</v>
      </c>
      <c r="D208" s="8"/>
      <c r="E208" s="5" t="n">
        <v>2.979</v>
      </c>
    </row>
    <row r="209" customFormat="false" ht="15" hidden="false" customHeight="false" outlineLevel="0" collapsed="false">
      <c r="A209" s="14" t="s">
        <v>20</v>
      </c>
      <c r="B209" s="14" t="s">
        <v>54</v>
      </c>
      <c r="C209" s="8" t="n">
        <v>74</v>
      </c>
      <c r="D209" s="8"/>
      <c r="E209" s="5" t="n">
        <v>3.428</v>
      </c>
    </row>
    <row r="210" customFormat="false" ht="15" hidden="false" customHeight="false" outlineLevel="0" collapsed="false">
      <c r="A210" s="14" t="s">
        <v>20</v>
      </c>
      <c r="B210" s="14" t="s">
        <v>80</v>
      </c>
      <c r="C210" s="8" t="n">
        <v>48</v>
      </c>
      <c r="D210" s="8"/>
      <c r="E210" s="5" t="n">
        <v>2.884</v>
      </c>
    </row>
    <row r="211" customFormat="false" ht="15" hidden="false" customHeight="false" outlineLevel="0" collapsed="false">
      <c r="A211" s="14" t="s">
        <v>20</v>
      </c>
      <c r="B211" s="14" t="s">
        <v>49</v>
      </c>
      <c r="C211" s="8" t="n">
        <v>133</v>
      </c>
      <c r="D211" s="8"/>
      <c r="E211" s="5" t="n">
        <v>3.527</v>
      </c>
    </row>
    <row r="212" customFormat="false" ht="15" hidden="false" customHeight="false" outlineLevel="0" collapsed="false">
      <c r="A212" s="14" t="s">
        <v>20</v>
      </c>
      <c r="B212" s="14" t="s">
        <v>82</v>
      </c>
      <c r="C212" s="8" t="n">
        <v>8</v>
      </c>
      <c r="D212" s="8"/>
      <c r="E212" s="5" t="n">
        <v>2.755</v>
      </c>
    </row>
    <row r="213" customFormat="false" ht="15" hidden="false" customHeight="false" outlineLevel="0" collapsed="false">
      <c r="A213" s="14" t="s">
        <v>20</v>
      </c>
      <c r="B213" s="14" t="s">
        <v>64</v>
      </c>
      <c r="C213" s="8" t="n">
        <v>68</v>
      </c>
      <c r="D213" s="8"/>
      <c r="E213" s="5" t="n">
        <v>3.316</v>
      </c>
    </row>
    <row r="214" customFormat="false" ht="15" hidden="false" customHeight="false" outlineLevel="0" collapsed="false">
      <c r="A214" s="14" t="s">
        <v>20</v>
      </c>
      <c r="B214" s="14" t="s">
        <v>66</v>
      </c>
      <c r="C214" s="8" t="n">
        <v>23</v>
      </c>
      <c r="D214" s="8"/>
      <c r="E214" s="5" t="n">
        <v>3.223</v>
      </c>
    </row>
    <row r="215" customFormat="false" ht="15" hidden="false" customHeight="false" outlineLevel="0" collapsed="false">
      <c r="A215" s="14" t="s">
        <v>21</v>
      </c>
      <c r="B215" s="14" t="s">
        <v>65</v>
      </c>
      <c r="C215" s="8" t="n">
        <v>39</v>
      </c>
      <c r="D215" s="8" t="n">
        <v>7</v>
      </c>
      <c r="E215" s="5" t="n">
        <v>3.17</v>
      </c>
    </row>
    <row r="216" customFormat="false" ht="15" hidden="false" customHeight="false" outlineLevel="0" collapsed="false">
      <c r="A216" s="14" t="s">
        <v>21</v>
      </c>
      <c r="B216" s="14" t="s">
        <v>57</v>
      </c>
      <c r="C216" s="8" t="n">
        <v>97</v>
      </c>
      <c r="D216" s="8" t="n">
        <v>23</v>
      </c>
      <c r="E216" s="5" t="n">
        <v>3.295</v>
      </c>
    </row>
    <row r="217" customFormat="false" ht="15" hidden="false" customHeight="false" outlineLevel="0" collapsed="false">
      <c r="A217" s="14" t="s">
        <v>21</v>
      </c>
      <c r="B217" s="14" t="s">
        <v>55</v>
      </c>
      <c r="C217" s="8" t="n">
        <v>91</v>
      </c>
      <c r="D217" s="8" t="n">
        <v>32</v>
      </c>
      <c r="E217" s="5" t="n">
        <v>3.389</v>
      </c>
    </row>
    <row r="218" customFormat="false" ht="15" hidden="false" customHeight="false" outlineLevel="0" collapsed="false">
      <c r="A218" s="14" t="s">
        <v>21</v>
      </c>
      <c r="B218" s="14" t="s">
        <v>61</v>
      </c>
      <c r="C218" s="8" t="n">
        <v>118</v>
      </c>
      <c r="D218" s="8" t="n">
        <v>35</v>
      </c>
      <c r="E218" s="5" t="n">
        <v>3.061</v>
      </c>
    </row>
    <row r="219" customFormat="false" ht="15" hidden="false" customHeight="false" outlineLevel="0" collapsed="false">
      <c r="A219" s="14" t="s">
        <v>21</v>
      </c>
      <c r="B219" s="14" t="s">
        <v>53</v>
      </c>
      <c r="C219" s="8" t="n">
        <v>16</v>
      </c>
      <c r="D219" s="8" t="n">
        <v>8</v>
      </c>
      <c r="E219" s="5" t="n">
        <v>3.55</v>
      </c>
    </row>
    <row r="220" customFormat="false" ht="15" hidden="false" customHeight="false" outlineLevel="0" collapsed="false">
      <c r="A220" s="14" t="s">
        <v>21</v>
      </c>
      <c r="B220" s="14" t="s">
        <v>50</v>
      </c>
      <c r="C220" s="8" t="n">
        <v>105</v>
      </c>
      <c r="D220" s="8" t="n">
        <v>34</v>
      </c>
      <c r="E220" s="5" t="n">
        <v>3.572</v>
      </c>
    </row>
    <row r="221" customFormat="false" ht="15" hidden="false" customHeight="false" outlineLevel="0" collapsed="false">
      <c r="A221" s="14" t="s">
        <v>21</v>
      </c>
      <c r="B221" s="14" t="s">
        <v>70</v>
      </c>
      <c r="C221" s="8" t="n">
        <v>17</v>
      </c>
      <c r="D221" s="8" t="n">
        <v>3</v>
      </c>
      <c r="E221" s="5" t="n">
        <v>3.379</v>
      </c>
    </row>
    <row r="222" customFormat="false" ht="15" hidden="false" customHeight="false" outlineLevel="0" collapsed="false">
      <c r="A222" s="14" t="s">
        <v>21</v>
      </c>
      <c r="B222" s="14" t="s">
        <v>83</v>
      </c>
      <c r="C222" s="8" t="n">
        <v>25</v>
      </c>
      <c r="D222" s="8" t="n">
        <v>6</v>
      </c>
      <c r="E222" s="5" t="n">
        <v>3.146</v>
      </c>
    </row>
    <row r="223" customFormat="false" ht="15" hidden="false" customHeight="false" outlineLevel="0" collapsed="false">
      <c r="A223" s="14" t="s">
        <v>21</v>
      </c>
      <c r="B223" s="14" t="s">
        <v>78</v>
      </c>
      <c r="C223" s="8" t="n">
        <v>83</v>
      </c>
      <c r="D223" s="8" t="n">
        <v>22</v>
      </c>
      <c r="E223" s="5" t="n">
        <v>3.156</v>
      </c>
    </row>
    <row r="224" customFormat="false" ht="15" hidden="false" customHeight="false" outlineLevel="0" collapsed="false">
      <c r="A224" s="14" t="s">
        <v>21</v>
      </c>
      <c r="B224" s="14" t="s">
        <v>63</v>
      </c>
      <c r="C224" s="8" t="n">
        <v>50</v>
      </c>
      <c r="D224" s="8" t="n">
        <v>8</v>
      </c>
      <c r="E224" s="5" t="n">
        <v>3.255</v>
      </c>
    </row>
    <row r="225" customFormat="false" ht="15" hidden="false" customHeight="false" outlineLevel="0" collapsed="false">
      <c r="A225" s="14" t="s">
        <v>21</v>
      </c>
      <c r="B225" s="14" t="s">
        <v>48</v>
      </c>
      <c r="C225" s="8" t="n">
        <v>104</v>
      </c>
      <c r="D225" s="8" t="n">
        <v>22</v>
      </c>
      <c r="E225" s="5" t="n">
        <v>3.758</v>
      </c>
    </row>
    <row r="226" customFormat="false" ht="15" hidden="false" customHeight="false" outlineLevel="0" collapsed="false">
      <c r="A226" s="14" t="s">
        <v>21</v>
      </c>
      <c r="B226" s="14" t="s">
        <v>67</v>
      </c>
      <c r="C226" s="8" t="n">
        <v>49</v>
      </c>
      <c r="D226" s="8" t="n">
        <v>1</v>
      </c>
      <c r="E226" s="5" t="n">
        <v>2.724</v>
      </c>
    </row>
    <row r="227" customFormat="false" ht="15" hidden="false" customHeight="false" outlineLevel="0" collapsed="false">
      <c r="A227" s="14" t="s">
        <v>21</v>
      </c>
      <c r="B227" s="14" t="s">
        <v>56</v>
      </c>
      <c r="C227" s="8" t="n">
        <v>153</v>
      </c>
      <c r="D227" s="8" t="n">
        <v>45</v>
      </c>
      <c r="E227" s="5" t="n">
        <v>3.224</v>
      </c>
    </row>
    <row r="228" customFormat="false" ht="15" hidden="false" customHeight="false" outlineLevel="0" collapsed="false">
      <c r="A228" s="14" t="s">
        <v>21</v>
      </c>
      <c r="B228" s="14" t="s">
        <v>52</v>
      </c>
      <c r="C228" s="8"/>
      <c r="D228" s="8"/>
      <c r="E228" s="5"/>
    </row>
    <row r="229" customFormat="false" ht="15" hidden="false" customHeight="false" outlineLevel="0" collapsed="false">
      <c r="A229" s="14" t="s">
        <v>21</v>
      </c>
      <c r="B229" s="14" t="s">
        <v>68</v>
      </c>
      <c r="C229" s="8" t="n">
        <v>50</v>
      </c>
      <c r="D229" s="8" t="n">
        <v>11</v>
      </c>
      <c r="E229" s="5" t="n">
        <v>2.681</v>
      </c>
    </row>
    <row r="230" customFormat="false" ht="15" hidden="false" customHeight="false" outlineLevel="0" collapsed="false">
      <c r="A230" s="14" t="s">
        <v>21</v>
      </c>
      <c r="B230" s="14" t="s">
        <v>59</v>
      </c>
      <c r="C230" s="8" t="n">
        <v>83</v>
      </c>
      <c r="D230" s="8" t="n">
        <v>21</v>
      </c>
      <c r="E230" s="5" t="n">
        <v>3.508</v>
      </c>
    </row>
    <row r="231" customFormat="false" ht="15" hidden="false" customHeight="false" outlineLevel="0" collapsed="false">
      <c r="A231" s="14" t="s">
        <v>21</v>
      </c>
      <c r="B231" s="14" t="s">
        <v>51</v>
      </c>
      <c r="C231" s="8" t="n">
        <v>139</v>
      </c>
      <c r="D231" s="8" t="n">
        <v>25</v>
      </c>
      <c r="E231" s="5" t="n">
        <v>3.48</v>
      </c>
    </row>
    <row r="232" customFormat="false" ht="15" hidden="false" customHeight="false" outlineLevel="0" collapsed="false">
      <c r="A232" s="14" t="s">
        <v>21</v>
      </c>
      <c r="B232" s="14" t="s">
        <v>79</v>
      </c>
      <c r="C232" s="8" t="n">
        <v>53</v>
      </c>
      <c r="D232" s="8" t="n">
        <v>27</v>
      </c>
      <c r="E232" s="5" t="n">
        <v>2.64</v>
      </c>
    </row>
    <row r="233" customFormat="false" ht="15" hidden="false" customHeight="false" outlineLevel="0" collapsed="false">
      <c r="A233" s="14" t="s">
        <v>21</v>
      </c>
      <c r="B233" s="14" t="s">
        <v>60</v>
      </c>
      <c r="C233" s="8" t="n">
        <v>127</v>
      </c>
      <c r="D233" s="8" t="n">
        <v>35</v>
      </c>
      <c r="E233" s="5" t="n">
        <v>3.228</v>
      </c>
    </row>
    <row r="234" customFormat="false" ht="15" hidden="false" customHeight="false" outlineLevel="0" collapsed="false">
      <c r="A234" s="14" t="s">
        <v>21</v>
      </c>
      <c r="B234" s="14" t="s">
        <v>58</v>
      </c>
      <c r="C234" s="8" t="n">
        <v>12</v>
      </c>
      <c r="D234" s="8" t="n">
        <v>3</v>
      </c>
      <c r="E234" s="5" t="n">
        <v>3.319</v>
      </c>
    </row>
    <row r="235" customFormat="false" ht="15" hidden="false" customHeight="false" outlineLevel="0" collapsed="false">
      <c r="A235" s="14" t="s">
        <v>21</v>
      </c>
      <c r="B235" s="14" t="s">
        <v>54</v>
      </c>
      <c r="C235" s="8" t="n">
        <v>96</v>
      </c>
      <c r="D235" s="8" t="n">
        <v>40</v>
      </c>
      <c r="E235" s="5" t="n">
        <v>3.325</v>
      </c>
    </row>
    <row r="236" customFormat="false" ht="15" hidden="false" customHeight="false" outlineLevel="0" collapsed="false">
      <c r="A236" s="14" t="s">
        <v>21</v>
      </c>
      <c r="B236" s="14" t="s">
        <v>80</v>
      </c>
      <c r="C236" s="8" t="n">
        <v>37</v>
      </c>
      <c r="D236" s="8" t="n">
        <v>1</v>
      </c>
      <c r="E236" s="5" t="n">
        <v>2.827</v>
      </c>
    </row>
    <row r="237" customFormat="false" ht="15" hidden="false" customHeight="false" outlineLevel="0" collapsed="false">
      <c r="A237" s="14" t="s">
        <v>21</v>
      </c>
      <c r="B237" s="14" t="s">
        <v>49</v>
      </c>
      <c r="C237" s="8" t="n">
        <v>146</v>
      </c>
      <c r="D237" s="8" t="n">
        <v>43</v>
      </c>
      <c r="E237" s="5" t="n">
        <v>3.533</v>
      </c>
    </row>
    <row r="238" customFormat="false" ht="15" hidden="false" customHeight="false" outlineLevel="0" collapsed="false">
      <c r="A238" s="14" t="s">
        <v>21</v>
      </c>
      <c r="B238" s="14" t="s">
        <v>82</v>
      </c>
      <c r="C238" s="8"/>
      <c r="D238" s="8"/>
      <c r="E238" s="5"/>
    </row>
    <row r="239" customFormat="false" ht="15" hidden="false" customHeight="false" outlineLevel="0" collapsed="false">
      <c r="A239" s="14" t="s">
        <v>21</v>
      </c>
      <c r="B239" s="14" t="s">
        <v>64</v>
      </c>
      <c r="C239" s="8" t="n">
        <v>71</v>
      </c>
      <c r="D239" s="8" t="n">
        <v>17</v>
      </c>
      <c r="E239" s="5" t="n">
        <v>3.096</v>
      </c>
    </row>
    <row r="240" customFormat="false" ht="15" hidden="false" customHeight="false" outlineLevel="0" collapsed="false">
      <c r="A240" s="14" t="s">
        <v>21</v>
      </c>
      <c r="B240" s="14" t="s">
        <v>66</v>
      </c>
      <c r="C240" s="8" t="n">
        <v>21</v>
      </c>
      <c r="D240" s="8" t="n">
        <v>6</v>
      </c>
      <c r="E240" s="5" t="n">
        <v>3.058</v>
      </c>
    </row>
    <row r="241" customFormat="false" ht="15" hidden="false" customHeight="false" outlineLevel="0" collapsed="false">
      <c r="A241" s="14" t="s">
        <v>22</v>
      </c>
      <c r="B241" s="14" t="s">
        <v>65</v>
      </c>
      <c r="C241" s="8" t="n">
        <v>39</v>
      </c>
      <c r="D241" s="8" t="n">
        <v>1</v>
      </c>
      <c r="E241" s="5" t="n">
        <v>3.441</v>
      </c>
    </row>
    <row r="242" customFormat="false" ht="15" hidden="false" customHeight="false" outlineLevel="0" collapsed="false">
      <c r="A242" s="14" t="s">
        <v>22</v>
      </c>
      <c r="B242" s="14" t="s">
        <v>57</v>
      </c>
      <c r="C242" s="8" t="n">
        <v>96</v>
      </c>
      <c r="D242" s="8" t="n">
        <v>2</v>
      </c>
      <c r="E242" s="5" t="n">
        <v>3.326</v>
      </c>
    </row>
    <row r="243" customFormat="false" ht="15" hidden="false" customHeight="false" outlineLevel="0" collapsed="false">
      <c r="A243" s="14" t="s">
        <v>22</v>
      </c>
      <c r="B243" s="14" t="s">
        <v>55</v>
      </c>
      <c r="C243" s="8" t="n">
        <v>88</v>
      </c>
      <c r="D243" s="8"/>
      <c r="E243" s="5" t="n">
        <v>3.416</v>
      </c>
    </row>
    <row r="244" customFormat="false" ht="15" hidden="false" customHeight="false" outlineLevel="0" collapsed="false">
      <c r="A244" s="14" t="s">
        <v>22</v>
      </c>
      <c r="B244" s="14" t="s">
        <v>61</v>
      </c>
      <c r="C244" s="8" t="n">
        <v>106</v>
      </c>
      <c r="D244" s="8" t="n">
        <v>6</v>
      </c>
      <c r="E244" s="5" t="n">
        <v>3.176</v>
      </c>
    </row>
    <row r="245" customFormat="false" ht="15" hidden="false" customHeight="false" outlineLevel="0" collapsed="false">
      <c r="A245" s="14" t="s">
        <v>22</v>
      </c>
      <c r="B245" s="14" t="s">
        <v>53</v>
      </c>
      <c r="C245" s="8" t="n">
        <v>12</v>
      </c>
      <c r="D245" s="8"/>
      <c r="E245" s="5" t="n">
        <v>3.287</v>
      </c>
    </row>
    <row r="246" customFormat="false" ht="15" hidden="false" customHeight="false" outlineLevel="0" collapsed="false">
      <c r="A246" s="14" t="s">
        <v>22</v>
      </c>
      <c r="B246" s="14" t="s">
        <v>50</v>
      </c>
      <c r="C246" s="8" t="n">
        <v>101</v>
      </c>
      <c r="D246" s="8"/>
      <c r="E246" s="5" t="n">
        <v>3.539</v>
      </c>
    </row>
    <row r="247" customFormat="false" ht="15" hidden="false" customHeight="false" outlineLevel="0" collapsed="false">
      <c r="A247" s="14" t="s">
        <v>22</v>
      </c>
      <c r="B247" s="14" t="s">
        <v>70</v>
      </c>
      <c r="C247" s="8" t="n">
        <v>17</v>
      </c>
      <c r="D247" s="8"/>
      <c r="E247" s="5" t="n">
        <v>3.288</v>
      </c>
    </row>
    <row r="248" customFormat="false" ht="15" hidden="false" customHeight="false" outlineLevel="0" collapsed="false">
      <c r="A248" s="14" t="s">
        <v>22</v>
      </c>
      <c r="B248" s="14" t="s">
        <v>83</v>
      </c>
      <c r="C248" s="8" t="n">
        <v>23</v>
      </c>
      <c r="D248" s="8"/>
      <c r="E248" s="5" t="n">
        <v>3.225</v>
      </c>
    </row>
    <row r="249" customFormat="false" ht="15" hidden="false" customHeight="false" outlineLevel="0" collapsed="false">
      <c r="A249" s="14" t="s">
        <v>22</v>
      </c>
      <c r="B249" s="14" t="s">
        <v>78</v>
      </c>
      <c r="C249" s="8" t="n">
        <v>83</v>
      </c>
      <c r="D249" s="8" t="n">
        <v>10</v>
      </c>
      <c r="E249" s="5" t="n">
        <v>3.23</v>
      </c>
    </row>
    <row r="250" customFormat="false" ht="15" hidden="false" customHeight="false" outlineLevel="0" collapsed="false">
      <c r="A250" s="14" t="s">
        <v>22</v>
      </c>
      <c r="B250" s="14" t="s">
        <v>63</v>
      </c>
      <c r="C250" s="8" t="n">
        <v>47</v>
      </c>
      <c r="D250" s="8" t="n">
        <v>2</v>
      </c>
      <c r="E250" s="5" t="n">
        <v>3.427</v>
      </c>
    </row>
    <row r="251" customFormat="false" ht="15" hidden="false" customHeight="false" outlineLevel="0" collapsed="false">
      <c r="A251" s="14" t="s">
        <v>22</v>
      </c>
      <c r="B251" s="14" t="s">
        <v>48</v>
      </c>
      <c r="C251" s="8" t="n">
        <v>103</v>
      </c>
      <c r="D251" s="8" t="n">
        <v>4</v>
      </c>
      <c r="E251" s="5" t="n">
        <v>3.695</v>
      </c>
    </row>
    <row r="252" customFormat="false" ht="15" hidden="false" customHeight="false" outlineLevel="0" collapsed="false">
      <c r="A252" s="14" t="s">
        <v>22</v>
      </c>
      <c r="B252" s="14" t="s">
        <v>67</v>
      </c>
      <c r="C252" s="8" t="n">
        <v>44</v>
      </c>
      <c r="D252" s="8" t="n">
        <v>9</v>
      </c>
      <c r="E252" s="5" t="n">
        <v>2.878</v>
      </c>
    </row>
    <row r="253" customFormat="false" ht="15" hidden="false" customHeight="false" outlineLevel="0" collapsed="false">
      <c r="A253" s="14" t="s">
        <v>22</v>
      </c>
      <c r="B253" s="14" t="s">
        <v>56</v>
      </c>
      <c r="C253" s="8" t="n">
        <v>135</v>
      </c>
      <c r="D253" s="8" t="n">
        <v>5</v>
      </c>
      <c r="E253" s="5" t="n">
        <v>3.315</v>
      </c>
    </row>
    <row r="254" customFormat="false" ht="15" hidden="false" customHeight="false" outlineLevel="0" collapsed="false">
      <c r="A254" s="14" t="s">
        <v>22</v>
      </c>
      <c r="B254" s="14" t="s">
        <v>68</v>
      </c>
      <c r="C254" s="8" t="n">
        <v>35</v>
      </c>
      <c r="D254" s="8" t="n">
        <v>2</v>
      </c>
      <c r="E254" s="5" t="n">
        <v>2.974</v>
      </c>
    </row>
    <row r="255" customFormat="false" ht="15" hidden="false" customHeight="false" outlineLevel="0" collapsed="false">
      <c r="A255" s="14" t="s">
        <v>22</v>
      </c>
      <c r="B255" s="14" t="s">
        <v>59</v>
      </c>
      <c r="C255" s="8" t="n">
        <v>81</v>
      </c>
      <c r="D255" s="8"/>
      <c r="E255" s="5" t="n">
        <v>3.529</v>
      </c>
    </row>
    <row r="256" customFormat="false" ht="15" hidden="false" customHeight="false" outlineLevel="0" collapsed="false">
      <c r="A256" s="14" t="s">
        <v>22</v>
      </c>
      <c r="B256" s="14" t="s">
        <v>51</v>
      </c>
      <c r="C256" s="8" t="n">
        <v>134</v>
      </c>
      <c r="D256" s="8" t="n">
        <v>21</v>
      </c>
      <c r="E256" s="5" t="n">
        <v>3.58</v>
      </c>
    </row>
    <row r="257" customFormat="false" ht="15" hidden="false" customHeight="false" outlineLevel="0" collapsed="false">
      <c r="A257" s="14" t="s">
        <v>22</v>
      </c>
      <c r="B257" s="14" t="s">
        <v>79</v>
      </c>
      <c r="C257" s="8" t="n">
        <v>51</v>
      </c>
      <c r="D257" s="8" t="n">
        <v>10</v>
      </c>
      <c r="E257" s="5" t="n">
        <v>2.964</v>
      </c>
    </row>
    <row r="258" customFormat="false" ht="15" hidden="false" customHeight="false" outlineLevel="0" collapsed="false">
      <c r="A258" s="14" t="s">
        <v>22</v>
      </c>
      <c r="B258" s="14" t="s">
        <v>60</v>
      </c>
      <c r="C258" s="8" t="n">
        <v>125</v>
      </c>
      <c r="D258" s="8" t="n">
        <v>5</v>
      </c>
      <c r="E258" s="5" t="n">
        <v>3.257</v>
      </c>
    </row>
    <row r="259" customFormat="false" ht="15" hidden="false" customHeight="false" outlineLevel="0" collapsed="false">
      <c r="A259" s="14" t="s">
        <v>22</v>
      </c>
      <c r="B259" s="14" t="s">
        <v>58</v>
      </c>
      <c r="C259" s="8" t="n">
        <v>13</v>
      </c>
      <c r="D259" s="8" t="n">
        <v>4</v>
      </c>
      <c r="E259" s="5" t="n">
        <v>3.02</v>
      </c>
    </row>
    <row r="260" customFormat="false" ht="15" hidden="false" customHeight="false" outlineLevel="0" collapsed="false">
      <c r="A260" s="14" t="s">
        <v>22</v>
      </c>
      <c r="B260" s="14" t="s">
        <v>54</v>
      </c>
      <c r="C260" s="8" t="n">
        <v>91</v>
      </c>
      <c r="D260" s="8"/>
      <c r="E260" s="5" t="n">
        <v>3.463</v>
      </c>
    </row>
    <row r="261" customFormat="false" ht="15" hidden="false" customHeight="false" outlineLevel="0" collapsed="false">
      <c r="A261" s="14" t="s">
        <v>22</v>
      </c>
      <c r="B261" s="14" t="s">
        <v>80</v>
      </c>
      <c r="C261" s="8" t="n">
        <v>21</v>
      </c>
      <c r="D261" s="8" t="n">
        <v>1</v>
      </c>
      <c r="E261" s="5" t="n">
        <v>3.125</v>
      </c>
    </row>
    <row r="262" customFormat="false" ht="15" hidden="false" customHeight="false" outlineLevel="0" collapsed="false">
      <c r="A262" s="14" t="s">
        <v>22</v>
      </c>
      <c r="B262" s="14" t="s">
        <v>49</v>
      </c>
      <c r="C262" s="8" t="n">
        <v>140</v>
      </c>
      <c r="D262" s="8"/>
      <c r="E262" s="5" t="n">
        <v>3.573</v>
      </c>
    </row>
    <row r="263" customFormat="false" ht="15" hidden="false" customHeight="false" outlineLevel="0" collapsed="false">
      <c r="A263" s="14" t="s">
        <v>22</v>
      </c>
      <c r="B263" s="14" t="s">
        <v>69</v>
      </c>
      <c r="C263" s="8" t="n">
        <v>12</v>
      </c>
      <c r="D263" s="8" t="n">
        <v>10</v>
      </c>
      <c r="E263" s="5" t="n">
        <v>3.115</v>
      </c>
    </row>
    <row r="264" customFormat="false" ht="15" hidden="false" customHeight="false" outlineLevel="0" collapsed="false">
      <c r="A264" s="14" t="s">
        <v>22</v>
      </c>
      <c r="B264" s="14" t="s">
        <v>64</v>
      </c>
      <c r="C264" s="8" t="n">
        <v>71</v>
      </c>
      <c r="D264" s="8" t="n">
        <v>6</v>
      </c>
      <c r="E264" s="5" t="n">
        <v>3.121</v>
      </c>
    </row>
    <row r="265" customFormat="false" ht="15" hidden="false" customHeight="false" outlineLevel="0" collapsed="false">
      <c r="A265" s="14" t="s">
        <v>22</v>
      </c>
      <c r="B265" s="14" t="s">
        <v>66</v>
      </c>
      <c r="C265" s="8" t="n">
        <v>25</v>
      </c>
      <c r="D265" s="8" t="n">
        <v>3</v>
      </c>
      <c r="E265" s="5" t="n">
        <v>2.843</v>
      </c>
    </row>
    <row r="266" customFormat="false" ht="15" hidden="false" customHeight="false" outlineLevel="0" collapsed="false">
      <c r="A266" s="14" t="s">
        <v>23</v>
      </c>
      <c r="B266" s="14" t="s">
        <v>65</v>
      </c>
      <c r="C266" s="8" t="n">
        <v>39</v>
      </c>
      <c r="D266" s="8"/>
      <c r="E266" s="5" t="n">
        <v>3.214</v>
      </c>
    </row>
    <row r="267" customFormat="false" ht="15" hidden="false" customHeight="false" outlineLevel="0" collapsed="false">
      <c r="A267" s="14" t="s">
        <v>23</v>
      </c>
      <c r="B267" s="14" t="s">
        <v>57</v>
      </c>
      <c r="C267" s="8" t="n">
        <v>104</v>
      </c>
      <c r="D267" s="8"/>
      <c r="E267" s="5" t="n">
        <v>3.345</v>
      </c>
    </row>
    <row r="268" customFormat="false" ht="15" hidden="false" customHeight="false" outlineLevel="0" collapsed="false">
      <c r="A268" s="14" t="s">
        <v>23</v>
      </c>
      <c r="B268" s="14" t="s">
        <v>55</v>
      </c>
      <c r="C268" s="8" t="n">
        <v>93</v>
      </c>
      <c r="D268" s="8"/>
      <c r="E268" s="5" t="n">
        <v>3.342</v>
      </c>
    </row>
    <row r="269" customFormat="false" ht="15" hidden="false" customHeight="false" outlineLevel="0" collapsed="false">
      <c r="A269" s="14" t="s">
        <v>23</v>
      </c>
      <c r="B269" s="14" t="s">
        <v>61</v>
      </c>
      <c r="C269" s="8" t="n">
        <v>116</v>
      </c>
      <c r="D269" s="8"/>
      <c r="E269" s="5" t="n">
        <v>3.071</v>
      </c>
    </row>
    <row r="270" customFormat="false" ht="15" hidden="false" customHeight="false" outlineLevel="0" collapsed="false">
      <c r="A270" s="14" t="s">
        <v>23</v>
      </c>
      <c r="B270" s="14" t="s">
        <v>53</v>
      </c>
      <c r="C270" s="8" t="n">
        <v>12</v>
      </c>
      <c r="D270" s="8"/>
      <c r="E270" s="5" t="n">
        <v>3.257</v>
      </c>
    </row>
    <row r="271" customFormat="false" ht="15" hidden="false" customHeight="false" outlineLevel="0" collapsed="false">
      <c r="A271" s="14" t="s">
        <v>23</v>
      </c>
      <c r="B271" s="14" t="s">
        <v>50</v>
      </c>
      <c r="C271" s="8" t="n">
        <v>116</v>
      </c>
      <c r="D271" s="8"/>
      <c r="E271" s="5" t="n">
        <v>3.583</v>
      </c>
    </row>
    <row r="272" customFormat="false" ht="15" hidden="false" customHeight="false" outlineLevel="0" collapsed="false">
      <c r="A272" s="14" t="s">
        <v>23</v>
      </c>
      <c r="B272" s="14" t="s">
        <v>70</v>
      </c>
      <c r="C272" s="8" t="n">
        <v>18</v>
      </c>
      <c r="D272" s="8"/>
      <c r="E272" s="5" t="n">
        <v>2.643</v>
      </c>
    </row>
    <row r="273" customFormat="false" ht="15" hidden="false" customHeight="false" outlineLevel="0" collapsed="false">
      <c r="A273" s="14" t="s">
        <v>23</v>
      </c>
      <c r="B273" s="14" t="s">
        <v>83</v>
      </c>
      <c r="C273" s="8" t="n">
        <v>17</v>
      </c>
      <c r="D273" s="8"/>
      <c r="E273" s="5" t="n">
        <v>3.18</v>
      </c>
    </row>
    <row r="274" customFormat="false" ht="15" hidden="false" customHeight="false" outlineLevel="0" collapsed="false">
      <c r="A274" s="14" t="s">
        <v>23</v>
      </c>
      <c r="B274" s="14" t="s">
        <v>78</v>
      </c>
      <c r="C274" s="8" t="n">
        <v>109</v>
      </c>
      <c r="D274" s="8"/>
      <c r="E274" s="5" t="n">
        <v>3.03</v>
      </c>
    </row>
    <row r="275" customFormat="false" ht="15" hidden="false" customHeight="false" outlineLevel="0" collapsed="false">
      <c r="A275" s="14" t="s">
        <v>23</v>
      </c>
      <c r="B275" s="14" t="s">
        <v>63</v>
      </c>
      <c r="C275" s="8" t="n">
        <v>66</v>
      </c>
      <c r="D275" s="8"/>
      <c r="E275" s="5" t="n">
        <v>3.249</v>
      </c>
    </row>
    <row r="276" customFormat="false" ht="15" hidden="false" customHeight="false" outlineLevel="0" collapsed="false">
      <c r="A276" s="14" t="s">
        <v>23</v>
      </c>
      <c r="B276" s="14" t="s">
        <v>48</v>
      </c>
      <c r="C276" s="8" t="n">
        <v>111</v>
      </c>
      <c r="D276" s="8"/>
      <c r="E276" s="5" t="n">
        <v>3.678</v>
      </c>
    </row>
    <row r="277" customFormat="false" ht="15" hidden="false" customHeight="false" outlineLevel="0" collapsed="false">
      <c r="A277" s="14" t="s">
        <v>23</v>
      </c>
      <c r="B277" s="14" t="s">
        <v>67</v>
      </c>
      <c r="C277" s="8" t="n">
        <v>45</v>
      </c>
      <c r="D277" s="8"/>
      <c r="E277" s="5" t="n">
        <v>2.965</v>
      </c>
    </row>
    <row r="278" customFormat="false" ht="15" hidden="false" customHeight="false" outlineLevel="0" collapsed="false">
      <c r="A278" s="14" t="s">
        <v>23</v>
      </c>
      <c r="B278" s="14" t="s">
        <v>56</v>
      </c>
      <c r="C278" s="8" t="n">
        <v>142</v>
      </c>
      <c r="D278" s="8"/>
      <c r="E278" s="5" t="n">
        <v>3.199</v>
      </c>
    </row>
    <row r="279" customFormat="false" ht="15" hidden="false" customHeight="false" outlineLevel="0" collapsed="false">
      <c r="A279" s="14" t="s">
        <v>23</v>
      </c>
      <c r="B279" s="14" t="s">
        <v>68</v>
      </c>
      <c r="C279" s="8" t="n">
        <v>40</v>
      </c>
      <c r="D279" s="8"/>
      <c r="E279" s="5" t="n">
        <v>2.998</v>
      </c>
    </row>
    <row r="280" customFormat="false" ht="15" hidden="false" customHeight="false" outlineLevel="0" collapsed="false">
      <c r="A280" s="14" t="s">
        <v>23</v>
      </c>
      <c r="B280" s="14" t="s">
        <v>59</v>
      </c>
      <c r="C280" s="8" t="n">
        <v>80</v>
      </c>
      <c r="D280" s="8"/>
      <c r="E280" s="5" t="n">
        <v>3.443</v>
      </c>
    </row>
    <row r="281" customFormat="false" ht="15" hidden="false" customHeight="false" outlineLevel="0" collapsed="false">
      <c r="A281" s="14" t="s">
        <v>23</v>
      </c>
      <c r="B281" s="14" t="s">
        <v>51</v>
      </c>
      <c r="C281" s="8" t="n">
        <v>134</v>
      </c>
      <c r="D281" s="8"/>
      <c r="E281" s="5" t="n">
        <v>3.47</v>
      </c>
    </row>
    <row r="282" customFormat="false" ht="15" hidden="false" customHeight="false" outlineLevel="0" collapsed="false">
      <c r="A282" s="14" t="s">
        <v>23</v>
      </c>
      <c r="B282" s="14" t="s">
        <v>79</v>
      </c>
      <c r="C282" s="8" t="n">
        <v>65</v>
      </c>
      <c r="D282" s="8"/>
      <c r="E282" s="5" t="n">
        <v>2.856</v>
      </c>
    </row>
    <row r="283" customFormat="false" ht="15" hidden="false" customHeight="false" outlineLevel="0" collapsed="false">
      <c r="A283" s="14" t="s">
        <v>23</v>
      </c>
      <c r="B283" s="14" t="s">
        <v>60</v>
      </c>
      <c r="C283" s="8" t="n">
        <v>128</v>
      </c>
      <c r="D283" s="8"/>
      <c r="E283" s="5" t="n">
        <v>3.23</v>
      </c>
    </row>
    <row r="284" customFormat="false" ht="15" hidden="false" customHeight="false" outlineLevel="0" collapsed="false">
      <c r="A284" s="14" t="s">
        <v>23</v>
      </c>
      <c r="B284" s="14" t="s">
        <v>58</v>
      </c>
      <c r="C284" s="8" t="n">
        <v>9</v>
      </c>
      <c r="D284" s="8"/>
      <c r="E284" s="5" t="n">
        <v>2.967</v>
      </c>
    </row>
    <row r="285" customFormat="false" ht="15" hidden="false" customHeight="false" outlineLevel="0" collapsed="false">
      <c r="A285" s="14" t="s">
        <v>23</v>
      </c>
      <c r="B285" s="14" t="s">
        <v>54</v>
      </c>
      <c r="C285" s="8" t="n">
        <v>97</v>
      </c>
      <c r="D285" s="8"/>
      <c r="E285" s="5" t="n">
        <v>3.311</v>
      </c>
    </row>
    <row r="286" customFormat="false" ht="15" hidden="false" customHeight="false" outlineLevel="0" collapsed="false">
      <c r="A286" s="14" t="s">
        <v>23</v>
      </c>
      <c r="B286" s="14" t="s">
        <v>80</v>
      </c>
      <c r="C286" s="8" t="n">
        <v>12</v>
      </c>
      <c r="D286" s="8"/>
      <c r="E286" s="5" t="n">
        <v>3.094</v>
      </c>
    </row>
    <row r="287" customFormat="false" ht="15" hidden="false" customHeight="false" outlineLevel="0" collapsed="false">
      <c r="A287" s="14" t="s">
        <v>23</v>
      </c>
      <c r="B287" s="14" t="s">
        <v>49</v>
      </c>
      <c r="C287" s="8" t="n">
        <v>157</v>
      </c>
      <c r="D287" s="8"/>
      <c r="E287" s="5" t="n">
        <v>3.612</v>
      </c>
    </row>
    <row r="288" customFormat="false" ht="15" hidden="false" customHeight="false" outlineLevel="0" collapsed="false">
      <c r="A288" s="14" t="s">
        <v>23</v>
      </c>
      <c r="B288" s="14" t="s">
        <v>69</v>
      </c>
      <c r="C288" s="8" t="n">
        <v>18</v>
      </c>
      <c r="D288" s="8"/>
      <c r="E288" s="5" t="n">
        <v>2.746</v>
      </c>
    </row>
    <row r="289" customFormat="false" ht="15" hidden="false" customHeight="false" outlineLevel="0" collapsed="false">
      <c r="A289" s="14" t="s">
        <v>23</v>
      </c>
      <c r="B289" s="14" t="s">
        <v>64</v>
      </c>
      <c r="C289" s="8" t="n">
        <v>60</v>
      </c>
      <c r="D289" s="8"/>
      <c r="E289" s="5" t="n">
        <v>2.997</v>
      </c>
    </row>
    <row r="290" customFormat="false" ht="15" hidden="false" customHeight="false" outlineLevel="0" collapsed="false">
      <c r="A290" s="14" t="s">
        <v>23</v>
      </c>
      <c r="B290" s="14" t="s">
        <v>66</v>
      </c>
      <c r="C290" s="8" t="n">
        <v>20</v>
      </c>
      <c r="D290" s="8"/>
      <c r="E290" s="5" t="n">
        <v>2.763</v>
      </c>
    </row>
    <row r="291" customFormat="false" ht="15" hidden="false" customHeight="false" outlineLevel="0" collapsed="false">
      <c r="A291" s="14" t="s">
        <v>24</v>
      </c>
      <c r="B291" s="14" t="s">
        <v>65</v>
      </c>
      <c r="C291" s="8" t="n">
        <v>37</v>
      </c>
      <c r="D291" s="8" t="n">
        <v>4</v>
      </c>
      <c r="E291" s="5" t="n">
        <v>3.27</v>
      </c>
    </row>
    <row r="292" customFormat="false" ht="15" hidden="false" customHeight="false" outlineLevel="0" collapsed="false">
      <c r="A292" s="14" t="s">
        <v>24</v>
      </c>
      <c r="B292" s="14" t="s">
        <v>57</v>
      </c>
      <c r="C292" s="8" t="n">
        <v>101</v>
      </c>
      <c r="D292" s="8" t="n">
        <v>4</v>
      </c>
      <c r="E292" s="5" t="n">
        <v>3.371</v>
      </c>
    </row>
    <row r="293" customFormat="false" ht="15" hidden="false" customHeight="false" outlineLevel="0" collapsed="false">
      <c r="A293" s="14" t="s">
        <v>24</v>
      </c>
      <c r="B293" s="14" t="s">
        <v>55</v>
      </c>
      <c r="C293" s="8" t="n">
        <v>90</v>
      </c>
      <c r="D293" s="8" t="n">
        <v>0</v>
      </c>
      <c r="E293" s="5" t="n">
        <v>3.313</v>
      </c>
    </row>
    <row r="294" customFormat="false" ht="15" hidden="false" customHeight="false" outlineLevel="0" collapsed="false">
      <c r="A294" s="14" t="s">
        <v>24</v>
      </c>
      <c r="B294" s="14" t="s">
        <v>61</v>
      </c>
      <c r="C294" s="8" t="n">
        <v>116</v>
      </c>
      <c r="D294" s="8" t="n">
        <v>2</v>
      </c>
      <c r="E294" s="5" t="n">
        <v>3.222</v>
      </c>
    </row>
    <row r="295" customFormat="false" ht="15" hidden="false" customHeight="false" outlineLevel="0" collapsed="false">
      <c r="A295" s="14" t="s">
        <v>24</v>
      </c>
      <c r="B295" s="14" t="s">
        <v>53</v>
      </c>
      <c r="C295" s="8" t="n">
        <v>12</v>
      </c>
      <c r="D295" s="8" t="n">
        <v>1</v>
      </c>
      <c r="E295" s="5" t="n">
        <v>3.079</v>
      </c>
    </row>
    <row r="296" customFormat="false" ht="15" hidden="false" customHeight="false" outlineLevel="0" collapsed="false">
      <c r="A296" s="14" t="s">
        <v>24</v>
      </c>
      <c r="B296" s="14" t="s">
        <v>50</v>
      </c>
      <c r="C296" s="8" t="n">
        <v>116</v>
      </c>
      <c r="D296" s="8" t="n">
        <v>0</v>
      </c>
      <c r="E296" s="5" t="n">
        <v>3.524</v>
      </c>
    </row>
    <row r="297" customFormat="false" ht="15" hidden="false" customHeight="false" outlineLevel="0" collapsed="false">
      <c r="A297" s="14" t="s">
        <v>24</v>
      </c>
      <c r="B297" s="14" t="s">
        <v>70</v>
      </c>
      <c r="C297" s="8" t="n">
        <v>16</v>
      </c>
      <c r="D297" s="8" t="n">
        <v>2</v>
      </c>
      <c r="E297" s="5" t="n">
        <v>2.985</v>
      </c>
    </row>
    <row r="298" customFormat="false" ht="15" hidden="false" customHeight="false" outlineLevel="0" collapsed="false">
      <c r="A298" s="14" t="s">
        <v>24</v>
      </c>
      <c r="B298" s="14" t="s">
        <v>83</v>
      </c>
      <c r="C298" s="8" t="n">
        <v>15</v>
      </c>
      <c r="D298" s="8" t="n">
        <v>0</v>
      </c>
      <c r="E298" s="5" t="n">
        <v>3.434</v>
      </c>
    </row>
    <row r="299" customFormat="false" ht="15" hidden="false" customHeight="false" outlineLevel="0" collapsed="false">
      <c r="A299" s="14" t="s">
        <v>24</v>
      </c>
      <c r="B299" s="14" t="s">
        <v>78</v>
      </c>
      <c r="C299" s="8" t="n">
        <v>104</v>
      </c>
      <c r="D299" s="8" t="n">
        <v>5</v>
      </c>
      <c r="E299" s="5" t="n">
        <v>3.364</v>
      </c>
    </row>
    <row r="300" customFormat="false" ht="15" hidden="false" customHeight="false" outlineLevel="0" collapsed="false">
      <c r="A300" s="14" t="s">
        <v>24</v>
      </c>
      <c r="B300" s="14" t="s">
        <v>63</v>
      </c>
      <c r="C300" s="8" t="n">
        <v>68</v>
      </c>
      <c r="D300" s="8" t="n">
        <v>3</v>
      </c>
      <c r="E300" s="5" t="n">
        <v>3.31</v>
      </c>
    </row>
    <row r="301" customFormat="false" ht="15" hidden="false" customHeight="false" outlineLevel="0" collapsed="false">
      <c r="A301" s="14" t="s">
        <v>24</v>
      </c>
      <c r="B301" s="14" t="s">
        <v>48</v>
      </c>
      <c r="C301" s="8" t="n">
        <v>107</v>
      </c>
      <c r="D301" s="8" t="n">
        <v>1</v>
      </c>
      <c r="E301" s="5" t="n">
        <v>3.656</v>
      </c>
    </row>
    <row r="302" customFormat="false" ht="15" hidden="false" customHeight="false" outlineLevel="0" collapsed="false">
      <c r="A302" s="14" t="s">
        <v>24</v>
      </c>
      <c r="B302" s="14" t="s">
        <v>67</v>
      </c>
      <c r="C302" s="8" t="n">
        <v>32</v>
      </c>
      <c r="D302" s="8" t="n">
        <v>0</v>
      </c>
      <c r="E302" s="5" t="n">
        <v>2.756</v>
      </c>
    </row>
    <row r="303" customFormat="false" ht="15" hidden="false" customHeight="false" outlineLevel="0" collapsed="false">
      <c r="A303" s="14" t="s">
        <v>24</v>
      </c>
      <c r="B303" s="14" t="s">
        <v>56</v>
      </c>
      <c r="C303" s="8" t="n">
        <v>133</v>
      </c>
      <c r="D303" s="8" t="n">
        <v>7</v>
      </c>
      <c r="E303" s="5" t="n">
        <v>3.357</v>
      </c>
    </row>
    <row r="304" customFormat="false" ht="15" hidden="false" customHeight="false" outlineLevel="0" collapsed="false">
      <c r="A304" s="14" t="s">
        <v>24</v>
      </c>
      <c r="B304" s="14" t="s">
        <v>68</v>
      </c>
      <c r="C304" s="8" t="n">
        <v>39</v>
      </c>
      <c r="D304" s="8" t="n">
        <v>3</v>
      </c>
      <c r="E304" s="5" t="n">
        <v>2.99</v>
      </c>
    </row>
    <row r="305" customFormat="false" ht="15" hidden="false" customHeight="false" outlineLevel="0" collapsed="false">
      <c r="A305" s="14" t="s">
        <v>24</v>
      </c>
      <c r="B305" s="14" t="s">
        <v>59</v>
      </c>
      <c r="C305" s="8" t="n">
        <v>80</v>
      </c>
      <c r="D305" s="8" t="n">
        <v>9</v>
      </c>
      <c r="E305" s="5" t="n">
        <v>3.35</v>
      </c>
    </row>
    <row r="306" customFormat="false" ht="15" hidden="false" customHeight="false" outlineLevel="0" collapsed="false">
      <c r="A306" s="14" t="s">
        <v>24</v>
      </c>
      <c r="B306" s="14" t="s">
        <v>51</v>
      </c>
      <c r="C306" s="8" t="n">
        <v>140</v>
      </c>
      <c r="D306" s="8" t="n">
        <v>18</v>
      </c>
      <c r="E306" s="5" t="n">
        <v>3.485</v>
      </c>
    </row>
    <row r="307" customFormat="false" ht="15" hidden="false" customHeight="false" outlineLevel="0" collapsed="false">
      <c r="A307" s="14" t="s">
        <v>24</v>
      </c>
      <c r="B307" s="14" t="s">
        <v>79</v>
      </c>
      <c r="C307" s="8" t="n">
        <v>61</v>
      </c>
      <c r="D307" s="8" t="n">
        <v>4</v>
      </c>
      <c r="E307" s="5" t="n">
        <v>2.955</v>
      </c>
    </row>
    <row r="308" customFormat="false" ht="15" hidden="false" customHeight="false" outlineLevel="0" collapsed="false">
      <c r="A308" s="14" t="s">
        <v>24</v>
      </c>
      <c r="B308" s="14" t="s">
        <v>60</v>
      </c>
      <c r="C308" s="8" t="n">
        <v>124</v>
      </c>
      <c r="D308" s="8" t="n">
        <v>4</v>
      </c>
      <c r="E308" s="5" t="n">
        <v>3.321</v>
      </c>
    </row>
    <row r="309" customFormat="false" ht="15" hidden="false" customHeight="false" outlineLevel="0" collapsed="false">
      <c r="A309" s="14" t="s">
        <v>24</v>
      </c>
      <c r="B309" s="14" t="s">
        <v>58</v>
      </c>
      <c r="C309" s="8" t="n">
        <v>13</v>
      </c>
      <c r="D309" s="8" t="n">
        <v>3</v>
      </c>
      <c r="E309" s="5" t="n">
        <v>3.14</v>
      </c>
    </row>
    <row r="310" customFormat="false" ht="15" hidden="false" customHeight="false" outlineLevel="0" collapsed="false">
      <c r="A310" s="14" t="s">
        <v>24</v>
      </c>
      <c r="B310" s="14" t="s">
        <v>54</v>
      </c>
      <c r="C310" s="8" t="n">
        <v>92</v>
      </c>
      <c r="D310" s="8" t="n">
        <v>3</v>
      </c>
      <c r="E310" s="5" t="n">
        <v>3.363</v>
      </c>
    </row>
    <row r="311" customFormat="false" ht="15" hidden="false" customHeight="false" outlineLevel="0" collapsed="false">
      <c r="A311" s="14" t="s">
        <v>24</v>
      </c>
      <c r="B311" s="14" t="s">
        <v>80</v>
      </c>
      <c r="C311" s="8" t="n">
        <v>12</v>
      </c>
      <c r="D311" s="8" t="n">
        <v>0</v>
      </c>
      <c r="E311" s="5" t="n">
        <v>3.234</v>
      </c>
    </row>
    <row r="312" customFormat="false" ht="15" hidden="false" customHeight="false" outlineLevel="0" collapsed="false">
      <c r="A312" s="14" t="s">
        <v>24</v>
      </c>
      <c r="B312" s="14" t="s">
        <v>49</v>
      </c>
      <c r="C312" s="8" t="n">
        <v>153</v>
      </c>
      <c r="D312" s="8" t="n">
        <v>0</v>
      </c>
      <c r="E312" s="5" t="n">
        <v>3.637</v>
      </c>
    </row>
    <row r="313" customFormat="false" ht="15" hidden="false" customHeight="false" outlineLevel="0" collapsed="false">
      <c r="A313" s="14" t="s">
        <v>24</v>
      </c>
      <c r="B313" s="14" t="s">
        <v>69</v>
      </c>
      <c r="C313" s="8" t="n">
        <v>27</v>
      </c>
      <c r="D313" s="8" t="n">
        <v>13</v>
      </c>
      <c r="E313" s="5" t="n">
        <v>2.668</v>
      </c>
    </row>
    <row r="314" customFormat="false" ht="15" hidden="false" customHeight="false" outlineLevel="0" collapsed="false">
      <c r="A314" s="14" t="s">
        <v>24</v>
      </c>
      <c r="B314" s="14" t="s">
        <v>64</v>
      </c>
      <c r="C314" s="8" t="n">
        <v>48</v>
      </c>
      <c r="D314" s="8" t="n">
        <v>5</v>
      </c>
      <c r="E314" s="5" t="n">
        <v>3.321</v>
      </c>
    </row>
    <row r="315" customFormat="false" ht="15" hidden="false" customHeight="false" outlineLevel="0" collapsed="false">
      <c r="A315" s="14" t="s">
        <v>24</v>
      </c>
      <c r="B315" s="14" t="s">
        <v>66</v>
      </c>
      <c r="C315" s="8" t="n">
        <v>23</v>
      </c>
      <c r="D315" s="8" t="n">
        <v>4</v>
      </c>
      <c r="E315" s="5" t="n">
        <v>2.495</v>
      </c>
    </row>
    <row r="316" customFormat="false" ht="15" hidden="false" customHeight="false" outlineLevel="0" collapsed="false">
      <c r="A316" s="14" t="s">
        <v>25</v>
      </c>
      <c r="B316" s="14" t="s">
        <v>65</v>
      </c>
      <c r="C316" s="8" t="n">
        <v>37</v>
      </c>
      <c r="D316" s="8" t="n">
        <v>12</v>
      </c>
      <c r="E316" s="5" t="n">
        <v>3.244</v>
      </c>
    </row>
    <row r="317" customFormat="false" ht="15" hidden="false" customHeight="false" outlineLevel="0" collapsed="false">
      <c r="A317" s="14" t="s">
        <v>25</v>
      </c>
      <c r="B317" s="14" t="s">
        <v>57</v>
      </c>
      <c r="C317" s="8" t="n">
        <v>107</v>
      </c>
      <c r="D317" s="8" t="n">
        <v>33</v>
      </c>
      <c r="E317" s="5" t="n">
        <v>3.271</v>
      </c>
    </row>
    <row r="318" customFormat="false" ht="15" hidden="false" customHeight="false" outlineLevel="0" collapsed="false">
      <c r="A318" s="14" t="s">
        <v>25</v>
      </c>
      <c r="B318" s="14" t="s">
        <v>55</v>
      </c>
      <c r="C318" s="8" t="n">
        <v>96</v>
      </c>
      <c r="D318" s="8" t="n">
        <v>27</v>
      </c>
      <c r="E318" s="5" t="n">
        <v>3.267</v>
      </c>
    </row>
    <row r="319" customFormat="false" ht="15" hidden="false" customHeight="false" outlineLevel="0" collapsed="false">
      <c r="A319" s="14" t="s">
        <v>25</v>
      </c>
      <c r="B319" s="14" t="s">
        <v>61</v>
      </c>
      <c r="C319" s="8" t="n">
        <v>124</v>
      </c>
      <c r="D319" s="8" t="n">
        <v>39</v>
      </c>
      <c r="E319" s="5" t="n">
        <v>3.384</v>
      </c>
    </row>
    <row r="320" customFormat="false" ht="15" hidden="false" customHeight="false" outlineLevel="0" collapsed="false">
      <c r="A320" s="14" t="s">
        <v>25</v>
      </c>
      <c r="B320" s="14" t="s">
        <v>53</v>
      </c>
      <c r="C320" s="8" t="n">
        <v>15</v>
      </c>
      <c r="D320" s="8" t="n">
        <v>4</v>
      </c>
      <c r="E320" s="5" t="n">
        <v>3.35</v>
      </c>
    </row>
    <row r="321" customFormat="false" ht="15" hidden="false" customHeight="false" outlineLevel="0" collapsed="false">
      <c r="A321" s="14" t="s">
        <v>25</v>
      </c>
      <c r="B321" s="14" t="s">
        <v>50</v>
      </c>
      <c r="C321" s="8" t="n">
        <v>126</v>
      </c>
      <c r="D321" s="8" t="n">
        <v>34</v>
      </c>
      <c r="E321" s="5" t="n">
        <v>3.623</v>
      </c>
    </row>
    <row r="322" customFormat="false" ht="15" hidden="false" customHeight="false" outlineLevel="0" collapsed="false">
      <c r="A322" s="14" t="s">
        <v>25</v>
      </c>
      <c r="B322" s="14" t="s">
        <v>70</v>
      </c>
      <c r="C322" s="8" t="n">
        <v>15</v>
      </c>
      <c r="D322" s="8" t="n">
        <v>2</v>
      </c>
      <c r="E322" s="5" t="n">
        <v>2.78</v>
      </c>
    </row>
    <row r="323" customFormat="false" ht="15" hidden="false" customHeight="false" outlineLevel="0" collapsed="false">
      <c r="A323" s="14" t="s">
        <v>25</v>
      </c>
      <c r="B323" s="14" t="s">
        <v>83</v>
      </c>
      <c r="C323" s="8" t="n">
        <v>9</v>
      </c>
      <c r="D323" s="8" t="n">
        <v>0</v>
      </c>
      <c r="E323" s="5" t="n">
        <v>2.967</v>
      </c>
    </row>
    <row r="324" customFormat="false" ht="15" hidden="false" customHeight="false" outlineLevel="0" collapsed="false">
      <c r="A324" s="14" t="s">
        <v>25</v>
      </c>
      <c r="B324" s="14" t="s">
        <v>78</v>
      </c>
      <c r="C324" s="8" t="n">
        <v>121</v>
      </c>
      <c r="D324" s="8" t="n">
        <v>31</v>
      </c>
      <c r="E324" s="5" t="n">
        <v>3.278</v>
      </c>
    </row>
    <row r="325" customFormat="false" ht="15" hidden="false" customHeight="false" outlineLevel="0" collapsed="false">
      <c r="A325" s="14" t="s">
        <v>25</v>
      </c>
      <c r="B325" s="14" t="s">
        <v>63</v>
      </c>
      <c r="C325" s="8" t="n">
        <v>77</v>
      </c>
      <c r="D325" s="8" t="n">
        <v>29</v>
      </c>
      <c r="E325" s="5" t="n">
        <v>3.327</v>
      </c>
    </row>
    <row r="326" customFormat="false" ht="15" hidden="false" customHeight="false" outlineLevel="0" collapsed="false">
      <c r="A326" s="14" t="s">
        <v>25</v>
      </c>
      <c r="B326" s="14" t="s">
        <v>48</v>
      </c>
      <c r="C326" s="8" t="n">
        <v>114</v>
      </c>
      <c r="D326" s="8" t="n">
        <v>33</v>
      </c>
      <c r="E326" s="5" t="n">
        <v>3.707</v>
      </c>
    </row>
    <row r="327" customFormat="false" ht="15" hidden="false" customHeight="false" outlineLevel="0" collapsed="false">
      <c r="A327" s="14" t="s">
        <v>25</v>
      </c>
      <c r="B327" s="14" t="s">
        <v>67</v>
      </c>
      <c r="C327" s="8" t="n">
        <v>51</v>
      </c>
      <c r="D327" s="8" t="n">
        <v>23</v>
      </c>
      <c r="E327" s="5" t="n">
        <v>2.956</v>
      </c>
    </row>
    <row r="328" customFormat="false" ht="15" hidden="false" customHeight="false" outlineLevel="0" collapsed="false">
      <c r="A328" s="14" t="s">
        <v>25</v>
      </c>
      <c r="B328" s="14" t="s">
        <v>62</v>
      </c>
      <c r="C328" s="8" t="n">
        <v>24</v>
      </c>
      <c r="D328" s="8" t="n">
        <v>24</v>
      </c>
      <c r="E328" s="5" t="n">
        <v>3.12</v>
      </c>
    </row>
    <row r="329" customFormat="false" ht="15" hidden="false" customHeight="false" outlineLevel="0" collapsed="false">
      <c r="A329" s="14" t="s">
        <v>25</v>
      </c>
      <c r="B329" s="14" t="s">
        <v>56</v>
      </c>
      <c r="C329" s="8" t="n">
        <v>155</v>
      </c>
      <c r="D329" s="8" t="n">
        <v>42</v>
      </c>
      <c r="E329" s="5" t="n">
        <v>3.298</v>
      </c>
    </row>
    <row r="330" customFormat="false" ht="15" hidden="false" customHeight="false" outlineLevel="0" collapsed="false">
      <c r="A330" s="14" t="s">
        <v>25</v>
      </c>
      <c r="B330" s="14" t="s">
        <v>68</v>
      </c>
      <c r="C330" s="8" t="n">
        <v>42</v>
      </c>
      <c r="D330" s="8" t="n">
        <v>10</v>
      </c>
      <c r="E330" s="5" t="n">
        <v>3.13</v>
      </c>
    </row>
    <row r="331" customFormat="false" ht="15" hidden="false" customHeight="false" outlineLevel="0" collapsed="false">
      <c r="A331" s="14" t="s">
        <v>25</v>
      </c>
      <c r="B331" s="14" t="s">
        <v>59</v>
      </c>
      <c r="C331" s="8" t="n">
        <v>91</v>
      </c>
      <c r="D331" s="8" t="n">
        <v>33</v>
      </c>
      <c r="E331" s="5" t="n">
        <v>3.474</v>
      </c>
    </row>
    <row r="332" customFormat="false" ht="15" hidden="false" customHeight="false" outlineLevel="0" collapsed="false">
      <c r="A332" s="14" t="s">
        <v>25</v>
      </c>
      <c r="B332" s="14" t="s">
        <v>51</v>
      </c>
      <c r="C332" s="8" t="n">
        <v>139</v>
      </c>
      <c r="D332" s="8" t="n">
        <v>27</v>
      </c>
      <c r="E332" s="5" t="n">
        <v>3.533</v>
      </c>
    </row>
    <row r="333" customFormat="false" ht="15" hidden="false" customHeight="false" outlineLevel="0" collapsed="false">
      <c r="A333" s="14" t="s">
        <v>25</v>
      </c>
      <c r="B333" s="14" t="s">
        <v>79</v>
      </c>
      <c r="C333" s="8" t="n">
        <v>56</v>
      </c>
      <c r="D333" s="8" t="n">
        <v>11</v>
      </c>
      <c r="E333" s="5" t="n">
        <v>2.789</v>
      </c>
    </row>
    <row r="334" customFormat="false" ht="15" hidden="false" customHeight="false" outlineLevel="0" collapsed="false">
      <c r="A334" s="14" t="s">
        <v>25</v>
      </c>
      <c r="B334" s="14" t="s">
        <v>60</v>
      </c>
      <c r="C334" s="8" t="n">
        <v>132</v>
      </c>
      <c r="D334" s="8" t="n">
        <v>37</v>
      </c>
      <c r="E334" s="5" t="n">
        <v>3.341</v>
      </c>
    </row>
    <row r="335" customFormat="false" ht="15" hidden="false" customHeight="false" outlineLevel="0" collapsed="false">
      <c r="A335" s="14" t="s">
        <v>25</v>
      </c>
      <c r="B335" s="14" t="s">
        <v>58</v>
      </c>
      <c r="C335" s="8" t="n">
        <v>12</v>
      </c>
      <c r="D335" s="8" t="n">
        <v>0</v>
      </c>
      <c r="E335" s="5" t="n">
        <v>3.082</v>
      </c>
    </row>
    <row r="336" customFormat="false" ht="15" hidden="false" customHeight="false" outlineLevel="0" collapsed="false">
      <c r="A336" s="14" t="s">
        <v>25</v>
      </c>
      <c r="B336" s="14" t="s">
        <v>54</v>
      </c>
      <c r="C336" s="8" t="n">
        <v>111</v>
      </c>
      <c r="D336" s="8" t="n">
        <v>38</v>
      </c>
      <c r="E336" s="5" t="n">
        <v>3.384</v>
      </c>
    </row>
    <row r="337" customFormat="false" ht="15" hidden="false" customHeight="false" outlineLevel="0" collapsed="false">
      <c r="A337" s="14" t="s">
        <v>25</v>
      </c>
      <c r="B337" s="14" t="s">
        <v>80</v>
      </c>
      <c r="C337" s="8" t="n">
        <v>4</v>
      </c>
      <c r="D337" s="8" t="n">
        <v>0</v>
      </c>
      <c r="E337" s="5"/>
    </row>
    <row r="338" customFormat="false" ht="15" hidden="false" customHeight="false" outlineLevel="0" collapsed="false">
      <c r="A338" s="14" t="s">
        <v>25</v>
      </c>
      <c r="B338" s="14" t="s">
        <v>49</v>
      </c>
      <c r="C338" s="8" t="n">
        <v>151</v>
      </c>
      <c r="D338" s="8" t="n">
        <v>39</v>
      </c>
      <c r="E338" s="5" t="n">
        <v>3.693</v>
      </c>
    </row>
    <row r="339" customFormat="false" ht="15" hidden="false" customHeight="false" outlineLevel="0" collapsed="false">
      <c r="A339" s="14" t="s">
        <v>25</v>
      </c>
      <c r="B339" s="14" t="s">
        <v>69</v>
      </c>
      <c r="C339" s="8" t="n">
        <v>27</v>
      </c>
      <c r="D339" s="8" t="n">
        <v>8</v>
      </c>
      <c r="E339" s="5" t="n">
        <v>2.948</v>
      </c>
    </row>
    <row r="340" customFormat="false" ht="15" hidden="false" customHeight="false" outlineLevel="0" collapsed="false">
      <c r="A340" s="14" t="s">
        <v>25</v>
      </c>
      <c r="B340" s="14" t="s">
        <v>64</v>
      </c>
      <c r="C340" s="8" t="n">
        <v>48</v>
      </c>
      <c r="D340" s="8" t="n">
        <v>12</v>
      </c>
      <c r="E340" s="5" t="n">
        <v>3.216</v>
      </c>
    </row>
    <row r="341" customFormat="false" ht="15" hidden="false" customHeight="false" outlineLevel="0" collapsed="false">
      <c r="A341" s="14" t="s">
        <v>25</v>
      </c>
      <c r="B341" s="14" t="s">
        <v>66</v>
      </c>
      <c r="C341" s="8" t="n">
        <v>20</v>
      </c>
      <c r="D341" s="8" t="n">
        <v>5</v>
      </c>
      <c r="E341" s="5" t="n">
        <v>2.862</v>
      </c>
    </row>
    <row r="342" customFormat="false" ht="15" hidden="false" customHeight="false" outlineLevel="0" collapsed="false">
      <c r="A342" s="14" t="s">
        <v>26</v>
      </c>
      <c r="B342" s="14" t="s">
        <v>65</v>
      </c>
      <c r="C342" s="8" t="n">
        <v>36</v>
      </c>
      <c r="D342" s="8" t="n">
        <v>3</v>
      </c>
      <c r="E342" s="5" t="n">
        <v>3.344</v>
      </c>
    </row>
    <row r="343" customFormat="false" ht="15" hidden="false" customHeight="false" outlineLevel="0" collapsed="false">
      <c r="A343" s="14" t="s">
        <v>26</v>
      </c>
      <c r="B343" s="14" t="s">
        <v>57</v>
      </c>
      <c r="C343" s="8" t="n">
        <v>101</v>
      </c>
      <c r="D343" s="8" t="n">
        <v>4</v>
      </c>
      <c r="E343" s="5" t="n">
        <v>3.259</v>
      </c>
    </row>
    <row r="344" customFormat="false" ht="15" hidden="false" customHeight="false" outlineLevel="0" collapsed="false">
      <c r="A344" s="14" t="s">
        <v>26</v>
      </c>
      <c r="B344" s="14" t="s">
        <v>55</v>
      </c>
      <c r="C344" s="8" t="n">
        <v>85</v>
      </c>
      <c r="D344" s="8" t="n">
        <v>0</v>
      </c>
      <c r="E344" s="5" t="n">
        <v>3.458</v>
      </c>
    </row>
    <row r="345" customFormat="false" ht="15" hidden="false" customHeight="false" outlineLevel="0" collapsed="false">
      <c r="A345" s="14" t="s">
        <v>26</v>
      </c>
      <c r="B345" s="14" t="s">
        <v>61</v>
      </c>
      <c r="C345" s="8" t="n">
        <v>125</v>
      </c>
      <c r="D345" s="8" t="n">
        <v>4</v>
      </c>
      <c r="E345" s="5" t="n">
        <v>3.37</v>
      </c>
    </row>
    <row r="346" customFormat="false" ht="15" hidden="false" customHeight="false" outlineLevel="0" collapsed="false">
      <c r="A346" s="14" t="s">
        <v>26</v>
      </c>
      <c r="B346" s="14" t="s">
        <v>53</v>
      </c>
      <c r="C346" s="8" t="n">
        <v>15</v>
      </c>
      <c r="D346" s="8" t="n">
        <v>1</v>
      </c>
      <c r="E346" s="5" t="n">
        <v>3.313</v>
      </c>
    </row>
    <row r="347" customFormat="false" ht="15" hidden="false" customHeight="false" outlineLevel="0" collapsed="false">
      <c r="A347" s="14" t="s">
        <v>26</v>
      </c>
      <c r="B347" s="14" t="s">
        <v>50</v>
      </c>
      <c r="C347" s="8" t="n">
        <v>122</v>
      </c>
      <c r="D347" s="8" t="n">
        <v>0</v>
      </c>
      <c r="E347" s="5" t="n">
        <v>3.624</v>
      </c>
    </row>
    <row r="348" customFormat="false" ht="15" hidden="false" customHeight="false" outlineLevel="0" collapsed="false">
      <c r="A348" s="14" t="s">
        <v>26</v>
      </c>
      <c r="B348" s="14" t="s">
        <v>70</v>
      </c>
      <c r="C348" s="8" t="n">
        <v>14</v>
      </c>
      <c r="D348" s="8" t="n">
        <v>2</v>
      </c>
      <c r="E348" s="5" t="n">
        <v>3.019</v>
      </c>
    </row>
    <row r="349" customFormat="false" ht="15" hidden="false" customHeight="false" outlineLevel="0" collapsed="false">
      <c r="A349" s="14" t="s">
        <v>26</v>
      </c>
      <c r="B349" s="14" t="s">
        <v>78</v>
      </c>
      <c r="C349" s="8" t="n">
        <v>122</v>
      </c>
      <c r="D349" s="8" t="n">
        <v>8</v>
      </c>
      <c r="E349" s="5" t="n">
        <v>3.3</v>
      </c>
    </row>
    <row r="350" customFormat="false" ht="15" hidden="false" customHeight="false" outlineLevel="0" collapsed="false">
      <c r="A350" s="14" t="s">
        <v>26</v>
      </c>
      <c r="B350" s="14" t="s">
        <v>63</v>
      </c>
      <c r="C350" s="8" t="n">
        <v>81</v>
      </c>
      <c r="D350" s="8" t="n">
        <v>6</v>
      </c>
      <c r="E350" s="5" t="n">
        <v>3.29</v>
      </c>
    </row>
    <row r="351" customFormat="false" ht="15" hidden="false" customHeight="false" outlineLevel="0" collapsed="false">
      <c r="A351" s="14" t="s">
        <v>26</v>
      </c>
      <c r="B351" s="14" t="s">
        <v>48</v>
      </c>
      <c r="C351" s="8" t="n">
        <v>109</v>
      </c>
      <c r="D351" s="8" t="n">
        <v>4</v>
      </c>
      <c r="E351" s="5" t="n">
        <v>3.722</v>
      </c>
    </row>
    <row r="352" customFormat="false" ht="15" hidden="false" customHeight="false" outlineLevel="0" collapsed="false">
      <c r="A352" s="14" t="s">
        <v>26</v>
      </c>
      <c r="B352" s="14" t="s">
        <v>67</v>
      </c>
      <c r="C352" s="8" t="n">
        <v>58</v>
      </c>
      <c r="D352" s="8" t="n">
        <v>13</v>
      </c>
      <c r="E352" s="5" t="n">
        <v>2.919</v>
      </c>
    </row>
    <row r="353" customFormat="false" ht="15" hidden="false" customHeight="false" outlineLevel="0" collapsed="false">
      <c r="A353" s="14" t="s">
        <v>26</v>
      </c>
      <c r="B353" s="14" t="s">
        <v>62</v>
      </c>
      <c r="C353" s="8" t="n">
        <v>27</v>
      </c>
      <c r="D353" s="8" t="n">
        <v>7</v>
      </c>
      <c r="E353" s="5" t="n">
        <v>3.378</v>
      </c>
    </row>
    <row r="354" customFormat="false" ht="15" hidden="false" customHeight="false" outlineLevel="0" collapsed="false">
      <c r="A354" s="14" t="s">
        <v>26</v>
      </c>
      <c r="B354" s="14" t="s">
        <v>56</v>
      </c>
      <c r="C354" s="8" t="n">
        <v>142</v>
      </c>
      <c r="D354" s="8" t="n">
        <v>4</v>
      </c>
      <c r="E354" s="5" t="n">
        <v>3.339</v>
      </c>
    </row>
    <row r="355" customFormat="false" ht="15" hidden="false" customHeight="false" outlineLevel="0" collapsed="false">
      <c r="A355" s="14" t="s">
        <v>26</v>
      </c>
      <c r="B355" s="14" t="s">
        <v>68</v>
      </c>
      <c r="C355" s="8" t="n">
        <v>46</v>
      </c>
      <c r="D355" s="8" t="n">
        <v>5</v>
      </c>
      <c r="E355" s="5" t="n">
        <v>3.211</v>
      </c>
    </row>
    <row r="356" customFormat="false" ht="15" hidden="false" customHeight="false" outlineLevel="0" collapsed="false">
      <c r="A356" s="14" t="s">
        <v>26</v>
      </c>
      <c r="B356" s="14" t="s">
        <v>59</v>
      </c>
      <c r="C356" s="8" t="n">
        <v>88</v>
      </c>
      <c r="D356" s="8" t="n">
        <v>4</v>
      </c>
      <c r="E356" s="5" t="n">
        <v>3.383</v>
      </c>
    </row>
    <row r="357" customFormat="false" ht="15" hidden="false" customHeight="false" outlineLevel="0" collapsed="false">
      <c r="A357" s="14" t="s">
        <v>26</v>
      </c>
      <c r="B357" s="14" t="s">
        <v>51</v>
      </c>
      <c r="C357" s="8" t="n">
        <v>146</v>
      </c>
      <c r="D357" s="8" t="n">
        <v>14</v>
      </c>
      <c r="E357" s="5" t="n">
        <v>3.548</v>
      </c>
    </row>
    <row r="358" customFormat="false" ht="15" hidden="false" customHeight="false" outlineLevel="0" collapsed="false">
      <c r="A358" s="14" t="s">
        <v>26</v>
      </c>
      <c r="B358" s="14" t="s">
        <v>79</v>
      </c>
      <c r="C358" s="8" t="n">
        <v>56</v>
      </c>
      <c r="D358" s="8" t="n">
        <v>5</v>
      </c>
      <c r="E358" s="5" t="n">
        <v>2.684</v>
      </c>
    </row>
    <row r="359" customFormat="false" ht="15" hidden="false" customHeight="false" outlineLevel="0" collapsed="false">
      <c r="A359" s="14" t="s">
        <v>26</v>
      </c>
      <c r="B359" s="14" t="s">
        <v>60</v>
      </c>
      <c r="C359" s="8" t="n">
        <v>130</v>
      </c>
      <c r="D359" s="8" t="n">
        <v>3</v>
      </c>
      <c r="E359" s="5" t="n">
        <v>3.394</v>
      </c>
    </row>
    <row r="360" customFormat="false" ht="15" hidden="false" customHeight="false" outlineLevel="0" collapsed="false">
      <c r="A360" s="14" t="s">
        <v>26</v>
      </c>
      <c r="B360" s="14" t="s">
        <v>58</v>
      </c>
      <c r="C360" s="8" t="n">
        <v>16</v>
      </c>
      <c r="D360" s="8" t="n">
        <v>3</v>
      </c>
      <c r="E360" s="5" t="n">
        <v>3.207</v>
      </c>
    </row>
    <row r="361" customFormat="false" ht="15" hidden="false" customHeight="false" outlineLevel="0" collapsed="false">
      <c r="A361" s="14" t="s">
        <v>26</v>
      </c>
      <c r="B361" s="14" t="s">
        <v>54</v>
      </c>
      <c r="C361" s="8" t="n">
        <v>110</v>
      </c>
      <c r="D361" s="8" t="n">
        <v>6</v>
      </c>
      <c r="E361" s="5" t="n">
        <v>3.433</v>
      </c>
    </row>
    <row r="362" customFormat="false" ht="15" hidden="false" customHeight="false" outlineLevel="0" collapsed="false">
      <c r="A362" s="14" t="s">
        <v>26</v>
      </c>
      <c r="B362" s="14" t="s">
        <v>49</v>
      </c>
      <c r="C362" s="8" t="n">
        <v>147</v>
      </c>
      <c r="D362" s="8" t="n">
        <v>0</v>
      </c>
      <c r="E362" s="5" t="n">
        <v>3.684</v>
      </c>
    </row>
    <row r="363" customFormat="false" ht="15" hidden="false" customHeight="false" outlineLevel="0" collapsed="false">
      <c r="A363" s="14" t="s">
        <v>26</v>
      </c>
      <c r="B363" s="14" t="s">
        <v>69</v>
      </c>
      <c r="C363" s="8" t="n">
        <v>34</v>
      </c>
      <c r="D363" s="8" t="n">
        <v>11</v>
      </c>
      <c r="E363" s="5" t="n">
        <v>3.088</v>
      </c>
    </row>
    <row r="364" customFormat="false" ht="15" hidden="false" customHeight="false" outlineLevel="0" collapsed="false">
      <c r="A364" s="14" t="s">
        <v>26</v>
      </c>
      <c r="B364" s="14" t="s">
        <v>64</v>
      </c>
      <c r="C364" s="8" t="n">
        <v>48</v>
      </c>
      <c r="D364" s="8" t="n">
        <v>3</v>
      </c>
      <c r="E364" s="5" t="n">
        <v>3.053</v>
      </c>
    </row>
    <row r="365" customFormat="false" ht="15" hidden="false" customHeight="false" outlineLevel="0" collapsed="false">
      <c r="A365" s="14" t="s">
        <v>26</v>
      </c>
      <c r="B365" s="14" t="s">
        <v>66</v>
      </c>
      <c r="C365" s="8" t="n">
        <v>24</v>
      </c>
      <c r="D365" s="8" t="n">
        <v>5</v>
      </c>
      <c r="E365" s="5" t="n">
        <v>2.706</v>
      </c>
    </row>
    <row r="366" customFormat="false" ht="15" hidden="false" customHeight="false" outlineLevel="0" collapsed="false">
      <c r="A366" s="14" t="s">
        <v>27</v>
      </c>
      <c r="B366" s="14" t="s">
        <v>65</v>
      </c>
      <c r="C366" s="8" t="n">
        <v>34</v>
      </c>
      <c r="D366" s="8" t="n">
        <v>5</v>
      </c>
      <c r="E366" s="5" t="n">
        <v>3.314</v>
      </c>
    </row>
    <row r="367" customFormat="false" ht="15" hidden="false" customHeight="false" outlineLevel="0" collapsed="false">
      <c r="A367" s="14" t="s">
        <v>27</v>
      </c>
      <c r="B367" s="14" t="s">
        <v>57</v>
      </c>
      <c r="C367" s="8" t="n">
        <v>95</v>
      </c>
      <c r="D367" s="8" t="n">
        <v>25</v>
      </c>
      <c r="E367" s="5" t="n">
        <v>3.444</v>
      </c>
    </row>
    <row r="368" customFormat="false" ht="15" hidden="false" customHeight="false" outlineLevel="0" collapsed="false">
      <c r="A368" s="14" t="s">
        <v>27</v>
      </c>
      <c r="B368" s="14" t="s">
        <v>55</v>
      </c>
      <c r="C368" s="8" t="n">
        <v>94</v>
      </c>
      <c r="D368" s="8" t="n">
        <v>37</v>
      </c>
      <c r="E368" s="5" t="n">
        <v>3.447</v>
      </c>
    </row>
    <row r="369" customFormat="false" ht="15" hidden="false" customHeight="false" outlineLevel="0" collapsed="false">
      <c r="A369" s="14" t="s">
        <v>27</v>
      </c>
      <c r="B369" s="14" t="s">
        <v>61</v>
      </c>
      <c r="C369" s="8" t="n">
        <v>142</v>
      </c>
      <c r="D369" s="8" t="n">
        <v>36</v>
      </c>
      <c r="E369" s="5" t="n">
        <v>3.383</v>
      </c>
    </row>
    <row r="370" customFormat="false" ht="15" hidden="false" customHeight="false" outlineLevel="0" collapsed="false">
      <c r="A370" s="14" t="s">
        <v>27</v>
      </c>
      <c r="B370" s="14" t="s">
        <v>53</v>
      </c>
      <c r="C370" s="8" t="n">
        <v>15</v>
      </c>
      <c r="D370" s="8" t="n">
        <v>3</v>
      </c>
      <c r="E370" s="5" t="n">
        <v>3.309</v>
      </c>
    </row>
    <row r="371" customFormat="false" ht="15" hidden="false" customHeight="false" outlineLevel="0" collapsed="false">
      <c r="A371" s="14" t="s">
        <v>27</v>
      </c>
      <c r="B371" s="14" t="s">
        <v>50</v>
      </c>
      <c r="C371" s="8" t="n">
        <v>128</v>
      </c>
      <c r="D371" s="8" t="n">
        <v>34</v>
      </c>
      <c r="E371" s="5" t="n">
        <v>3.65</v>
      </c>
    </row>
    <row r="372" customFormat="false" ht="15" hidden="false" customHeight="false" outlineLevel="0" collapsed="false">
      <c r="A372" s="14" t="s">
        <v>27</v>
      </c>
      <c r="B372" s="14" t="s">
        <v>70</v>
      </c>
      <c r="C372" s="8" t="n">
        <v>13</v>
      </c>
      <c r="D372" s="8" t="n">
        <v>3</v>
      </c>
      <c r="E372" s="5" t="n">
        <v>2.903</v>
      </c>
    </row>
    <row r="373" customFormat="false" ht="15" hidden="false" customHeight="false" outlineLevel="0" collapsed="false">
      <c r="A373" s="14" t="s">
        <v>27</v>
      </c>
      <c r="B373" s="14" t="s">
        <v>78</v>
      </c>
      <c r="C373" s="8" t="n">
        <v>128</v>
      </c>
      <c r="D373" s="8" t="n">
        <v>29</v>
      </c>
      <c r="E373" s="5" t="n">
        <v>3.243</v>
      </c>
    </row>
    <row r="374" customFormat="false" ht="15" hidden="false" customHeight="false" outlineLevel="0" collapsed="false">
      <c r="A374" s="14" t="s">
        <v>27</v>
      </c>
      <c r="B374" s="14" t="s">
        <v>63</v>
      </c>
      <c r="C374" s="8" t="n">
        <v>87</v>
      </c>
      <c r="D374" s="8" t="n">
        <v>26</v>
      </c>
      <c r="E374" s="5" t="n">
        <v>3.134</v>
      </c>
    </row>
    <row r="375" customFormat="false" ht="15" hidden="false" customHeight="false" outlineLevel="0" collapsed="false">
      <c r="A375" s="14" t="s">
        <v>27</v>
      </c>
      <c r="B375" s="14" t="s">
        <v>48</v>
      </c>
      <c r="C375" s="8" t="n">
        <v>113</v>
      </c>
      <c r="D375" s="8" t="n">
        <v>28</v>
      </c>
      <c r="E375" s="5" t="n">
        <v>3.653</v>
      </c>
    </row>
    <row r="376" customFormat="false" ht="15" hidden="false" customHeight="false" outlineLevel="0" collapsed="false">
      <c r="A376" s="14" t="s">
        <v>27</v>
      </c>
      <c r="B376" s="14" t="s">
        <v>67</v>
      </c>
      <c r="C376" s="8" t="n">
        <v>74</v>
      </c>
      <c r="D376" s="8" t="n">
        <v>23</v>
      </c>
      <c r="E376" s="5" t="n">
        <v>2.671</v>
      </c>
    </row>
    <row r="377" customFormat="false" ht="15" hidden="false" customHeight="false" outlineLevel="0" collapsed="false">
      <c r="A377" s="14" t="s">
        <v>27</v>
      </c>
      <c r="B377" s="14" t="s">
        <v>62</v>
      </c>
      <c r="C377" s="8" t="n">
        <v>38</v>
      </c>
      <c r="D377" s="8" t="n">
        <v>13</v>
      </c>
      <c r="E377" s="5" t="n">
        <v>3.052</v>
      </c>
    </row>
    <row r="378" customFormat="false" ht="15" hidden="false" customHeight="false" outlineLevel="0" collapsed="false">
      <c r="A378" s="14" t="s">
        <v>27</v>
      </c>
      <c r="B378" s="14" t="s">
        <v>56</v>
      </c>
      <c r="C378" s="8" t="n">
        <v>138</v>
      </c>
      <c r="D378" s="8" t="n">
        <v>34</v>
      </c>
      <c r="E378" s="5" t="n">
        <v>3.191</v>
      </c>
    </row>
    <row r="379" customFormat="false" ht="15" hidden="false" customHeight="false" outlineLevel="0" collapsed="false">
      <c r="A379" s="14" t="s">
        <v>27</v>
      </c>
      <c r="B379" s="14" t="s">
        <v>52</v>
      </c>
      <c r="C379" s="8" t="n">
        <v>15</v>
      </c>
      <c r="D379" s="8" t="n">
        <v>15</v>
      </c>
      <c r="E379" s="5" t="n">
        <v>3.101</v>
      </c>
    </row>
    <row r="380" customFormat="false" ht="15" hidden="false" customHeight="false" outlineLevel="0" collapsed="false">
      <c r="A380" s="14" t="s">
        <v>27</v>
      </c>
      <c r="B380" s="14" t="s">
        <v>68</v>
      </c>
      <c r="C380" s="8" t="n">
        <v>42</v>
      </c>
      <c r="D380" s="8" t="n">
        <v>6</v>
      </c>
      <c r="E380" s="5" t="n">
        <v>2.929</v>
      </c>
    </row>
    <row r="381" customFormat="false" ht="15" hidden="false" customHeight="false" outlineLevel="0" collapsed="false">
      <c r="A381" s="14" t="s">
        <v>27</v>
      </c>
      <c r="B381" s="14" t="s">
        <v>59</v>
      </c>
      <c r="C381" s="8" t="n">
        <v>95</v>
      </c>
      <c r="D381" s="8" t="n">
        <v>31</v>
      </c>
      <c r="E381" s="5" t="n">
        <v>3.458</v>
      </c>
    </row>
    <row r="382" customFormat="false" ht="15" hidden="false" customHeight="false" outlineLevel="0" collapsed="false">
      <c r="A382" s="14" t="s">
        <v>27</v>
      </c>
      <c r="B382" s="14" t="s">
        <v>51</v>
      </c>
      <c r="C382" s="8" t="n">
        <v>153</v>
      </c>
      <c r="D382" s="8" t="n">
        <v>38</v>
      </c>
      <c r="E382" s="5" t="n">
        <v>3.556</v>
      </c>
    </row>
    <row r="383" customFormat="false" ht="15" hidden="false" customHeight="false" outlineLevel="0" collapsed="false">
      <c r="A383" s="14" t="s">
        <v>27</v>
      </c>
      <c r="B383" s="14" t="s">
        <v>79</v>
      </c>
      <c r="C383" s="8" t="n">
        <v>36</v>
      </c>
      <c r="D383" s="8" t="n">
        <v>7</v>
      </c>
      <c r="E383" s="5" t="n">
        <v>2.844</v>
      </c>
    </row>
    <row r="384" customFormat="false" ht="15" hidden="false" customHeight="false" outlineLevel="0" collapsed="false">
      <c r="A384" s="14" t="s">
        <v>27</v>
      </c>
      <c r="B384" s="14" t="s">
        <v>60</v>
      </c>
      <c r="C384" s="8" t="n">
        <v>146</v>
      </c>
      <c r="D384" s="8" t="n">
        <v>41</v>
      </c>
      <c r="E384" s="5" t="n">
        <v>3.286</v>
      </c>
    </row>
    <row r="385" customFormat="false" ht="15" hidden="false" customHeight="false" outlineLevel="0" collapsed="false">
      <c r="A385" s="14" t="s">
        <v>27</v>
      </c>
      <c r="B385" s="14" t="s">
        <v>58</v>
      </c>
      <c r="C385" s="8" t="n">
        <v>12</v>
      </c>
      <c r="D385" s="8" t="n">
        <v>2</v>
      </c>
      <c r="E385" s="5" t="n">
        <v>3.332</v>
      </c>
    </row>
    <row r="386" customFormat="false" ht="15" hidden="false" customHeight="false" outlineLevel="0" collapsed="false">
      <c r="A386" s="14" t="s">
        <v>27</v>
      </c>
      <c r="B386" s="14" t="s">
        <v>54</v>
      </c>
      <c r="C386" s="8" t="n">
        <v>120</v>
      </c>
      <c r="D386" s="8" t="n">
        <v>41</v>
      </c>
      <c r="E386" s="5" t="n">
        <v>3.288</v>
      </c>
    </row>
    <row r="387" customFormat="false" ht="15" hidden="false" customHeight="false" outlineLevel="0" collapsed="false">
      <c r="A387" s="14" t="s">
        <v>27</v>
      </c>
      <c r="B387" s="14" t="s">
        <v>49</v>
      </c>
      <c r="C387" s="8" t="n">
        <v>160</v>
      </c>
      <c r="D387" s="8" t="n">
        <v>45</v>
      </c>
      <c r="E387" s="5" t="n">
        <v>3.606</v>
      </c>
    </row>
    <row r="388" customFormat="false" ht="15" hidden="false" customHeight="false" outlineLevel="0" collapsed="false">
      <c r="A388" s="14" t="s">
        <v>27</v>
      </c>
      <c r="B388" s="14" t="s">
        <v>69</v>
      </c>
      <c r="C388" s="8" t="n">
        <v>33</v>
      </c>
      <c r="D388" s="8" t="n">
        <v>9</v>
      </c>
      <c r="E388" s="5" t="n">
        <v>2.922</v>
      </c>
    </row>
    <row r="389" customFormat="false" ht="15" hidden="false" customHeight="false" outlineLevel="0" collapsed="false">
      <c r="A389" s="14" t="s">
        <v>27</v>
      </c>
      <c r="B389" s="14" t="s">
        <v>64</v>
      </c>
      <c r="C389" s="8" t="n">
        <v>44</v>
      </c>
      <c r="D389" s="8" t="n">
        <v>12</v>
      </c>
      <c r="E389" s="5" t="n">
        <v>3.033</v>
      </c>
    </row>
    <row r="390" customFormat="false" ht="15" hidden="false" customHeight="false" outlineLevel="0" collapsed="false">
      <c r="A390" s="14" t="s">
        <v>27</v>
      </c>
      <c r="B390" s="14" t="s">
        <v>66</v>
      </c>
      <c r="C390" s="8" t="n">
        <v>25</v>
      </c>
      <c r="D390" s="8" t="n">
        <v>8</v>
      </c>
      <c r="E390" s="5" t="n">
        <v>2.782</v>
      </c>
    </row>
    <row r="391" customFormat="false" ht="15" hidden="false" customHeight="false" outlineLevel="0" collapsed="false">
      <c r="A391" s="14" t="s">
        <v>28</v>
      </c>
      <c r="B391" s="14" t="s">
        <v>65</v>
      </c>
      <c r="C391" s="8" t="n">
        <v>33</v>
      </c>
      <c r="D391" s="8" t="n">
        <v>1</v>
      </c>
      <c r="E391" s="5" t="n">
        <v>3.121</v>
      </c>
    </row>
    <row r="392" customFormat="false" ht="15" hidden="false" customHeight="false" outlineLevel="0" collapsed="false">
      <c r="A392" s="14" t="s">
        <v>28</v>
      </c>
      <c r="B392" s="14" t="s">
        <v>57</v>
      </c>
      <c r="C392" s="8" t="n">
        <v>92</v>
      </c>
      <c r="D392" s="8" t="n">
        <v>2</v>
      </c>
      <c r="E392" s="5" t="n">
        <v>3.421</v>
      </c>
    </row>
    <row r="393" customFormat="false" ht="15" hidden="false" customHeight="false" outlineLevel="0" collapsed="false">
      <c r="A393" s="14" t="s">
        <v>28</v>
      </c>
      <c r="B393" s="14" t="s">
        <v>55</v>
      </c>
      <c r="C393" s="8" t="n">
        <v>88</v>
      </c>
      <c r="D393" s="8" t="n">
        <v>4</v>
      </c>
      <c r="E393" s="5" t="n">
        <v>3.454</v>
      </c>
    </row>
    <row r="394" customFormat="false" ht="15" hidden="false" customHeight="false" outlineLevel="0" collapsed="false">
      <c r="A394" s="14" t="s">
        <v>28</v>
      </c>
      <c r="B394" s="14" t="s">
        <v>61</v>
      </c>
      <c r="C394" s="8" t="n">
        <v>142</v>
      </c>
      <c r="D394" s="8" t="n">
        <v>4</v>
      </c>
      <c r="E394" s="5" t="n">
        <v>3.296</v>
      </c>
    </row>
    <row r="395" customFormat="false" ht="15" hidden="false" customHeight="false" outlineLevel="0" collapsed="false">
      <c r="A395" s="14" t="s">
        <v>28</v>
      </c>
      <c r="B395" s="14" t="s">
        <v>53</v>
      </c>
      <c r="C395" s="8" t="n">
        <v>15</v>
      </c>
      <c r="D395" s="8" t="n">
        <v>0</v>
      </c>
      <c r="E395" s="5" t="n">
        <v>3.494</v>
      </c>
    </row>
    <row r="396" customFormat="false" ht="15" hidden="false" customHeight="false" outlineLevel="0" collapsed="false">
      <c r="A396" s="14" t="s">
        <v>28</v>
      </c>
      <c r="B396" s="14" t="s">
        <v>50</v>
      </c>
      <c r="C396" s="8" t="n">
        <v>119</v>
      </c>
      <c r="D396" s="8" t="n">
        <v>0</v>
      </c>
      <c r="E396" s="5" t="n">
        <v>3.607</v>
      </c>
    </row>
    <row r="397" customFormat="false" ht="15" hidden="false" customHeight="false" outlineLevel="0" collapsed="false">
      <c r="A397" s="14" t="s">
        <v>28</v>
      </c>
      <c r="B397" s="14" t="s">
        <v>70</v>
      </c>
      <c r="C397" s="8" t="n">
        <v>15</v>
      </c>
      <c r="D397" s="8" t="n">
        <v>4</v>
      </c>
      <c r="E397" s="5" t="n">
        <v>2.687</v>
      </c>
    </row>
    <row r="398" customFormat="false" ht="15" hidden="false" customHeight="false" outlineLevel="0" collapsed="false">
      <c r="A398" s="14" t="s">
        <v>28</v>
      </c>
      <c r="B398" s="14" t="s">
        <v>63</v>
      </c>
      <c r="C398" s="8" t="n">
        <v>78</v>
      </c>
      <c r="D398" s="8" t="n">
        <v>4</v>
      </c>
      <c r="E398" s="5" t="n">
        <v>3.195</v>
      </c>
    </row>
    <row r="399" customFormat="false" ht="15" hidden="false" customHeight="false" outlineLevel="0" collapsed="false">
      <c r="A399" s="14" t="s">
        <v>28</v>
      </c>
      <c r="B399" s="14" t="s">
        <v>48</v>
      </c>
      <c r="C399" s="8" t="n">
        <v>109</v>
      </c>
      <c r="D399" s="8" t="n">
        <v>2</v>
      </c>
      <c r="E399" s="5" t="n">
        <v>3.683</v>
      </c>
    </row>
    <row r="400" customFormat="false" ht="15" hidden="false" customHeight="false" outlineLevel="0" collapsed="false">
      <c r="A400" s="14" t="s">
        <v>28</v>
      </c>
      <c r="B400" s="14" t="s">
        <v>67</v>
      </c>
      <c r="C400" s="8" t="n">
        <v>67</v>
      </c>
      <c r="D400" s="8" t="n">
        <v>8</v>
      </c>
      <c r="E400" s="5" t="n">
        <v>3.041</v>
      </c>
    </row>
    <row r="401" customFormat="false" ht="15" hidden="false" customHeight="false" outlineLevel="0" collapsed="false">
      <c r="A401" s="14" t="s">
        <v>28</v>
      </c>
      <c r="B401" s="14" t="s">
        <v>62</v>
      </c>
      <c r="C401" s="8" t="n">
        <v>37</v>
      </c>
      <c r="D401" s="8" t="n">
        <v>4</v>
      </c>
      <c r="E401" s="5" t="n">
        <v>3.216</v>
      </c>
    </row>
    <row r="402" customFormat="false" ht="15" hidden="false" customHeight="false" outlineLevel="0" collapsed="false">
      <c r="A402" s="14" t="s">
        <v>28</v>
      </c>
      <c r="B402" s="14" t="s">
        <v>56</v>
      </c>
      <c r="C402" s="8" t="n">
        <v>127</v>
      </c>
      <c r="D402" s="8" t="n">
        <v>10</v>
      </c>
      <c r="E402" s="5" t="n">
        <v>3.427</v>
      </c>
    </row>
    <row r="403" customFormat="false" ht="15" hidden="false" customHeight="false" outlineLevel="0" collapsed="false">
      <c r="A403" s="14" t="s">
        <v>28</v>
      </c>
      <c r="B403" s="14" t="s">
        <v>52</v>
      </c>
      <c r="C403" s="8" t="n">
        <v>14</v>
      </c>
      <c r="D403" s="8" t="n">
        <v>2</v>
      </c>
      <c r="E403" s="5" t="n">
        <v>3.509</v>
      </c>
    </row>
    <row r="404" customFormat="false" ht="15" hidden="false" customHeight="false" outlineLevel="0" collapsed="false">
      <c r="A404" s="14" t="s">
        <v>28</v>
      </c>
      <c r="B404" s="14" t="s">
        <v>68</v>
      </c>
      <c r="C404" s="8" t="n">
        <v>39</v>
      </c>
      <c r="D404" s="8" t="n">
        <v>2</v>
      </c>
      <c r="E404" s="5" t="n">
        <v>2.876</v>
      </c>
    </row>
    <row r="405" customFormat="false" ht="15" hidden="false" customHeight="false" outlineLevel="0" collapsed="false">
      <c r="A405" s="14" t="s">
        <v>28</v>
      </c>
      <c r="B405" s="14" t="s">
        <v>59</v>
      </c>
      <c r="C405" s="8" t="n">
        <v>95</v>
      </c>
      <c r="D405" s="8" t="n">
        <v>5</v>
      </c>
      <c r="E405" s="5" t="n">
        <v>3.351</v>
      </c>
    </row>
    <row r="406" customFormat="false" ht="15" hidden="false" customHeight="false" outlineLevel="0" collapsed="false">
      <c r="A406" s="14" t="s">
        <v>28</v>
      </c>
      <c r="B406" s="14" t="s">
        <v>51</v>
      </c>
      <c r="C406" s="8" t="n">
        <v>165</v>
      </c>
      <c r="D406" s="8" t="n">
        <v>18</v>
      </c>
      <c r="E406" s="5" t="n">
        <v>3.577</v>
      </c>
    </row>
    <row r="407" customFormat="false" ht="15" hidden="false" customHeight="false" outlineLevel="0" collapsed="false">
      <c r="A407" s="14" t="s">
        <v>28</v>
      </c>
      <c r="B407" s="14" t="s">
        <v>60</v>
      </c>
      <c r="C407" s="8" t="n">
        <v>142</v>
      </c>
      <c r="D407" s="8" t="n">
        <v>1</v>
      </c>
      <c r="E407" s="5" t="n">
        <v>3.299</v>
      </c>
    </row>
    <row r="408" customFormat="false" ht="15" hidden="false" customHeight="false" outlineLevel="0" collapsed="false">
      <c r="A408" s="14" t="s">
        <v>28</v>
      </c>
      <c r="B408" s="14" t="s">
        <v>58</v>
      </c>
      <c r="C408" s="8" t="n">
        <v>9</v>
      </c>
      <c r="D408" s="8" t="n">
        <v>1</v>
      </c>
      <c r="E408" s="5" t="n">
        <v>3.376</v>
      </c>
    </row>
    <row r="409" customFormat="false" ht="15" hidden="false" customHeight="false" outlineLevel="0" collapsed="false">
      <c r="A409" s="14" t="s">
        <v>28</v>
      </c>
      <c r="B409" s="14" t="s">
        <v>54</v>
      </c>
      <c r="C409" s="8" t="n">
        <v>112</v>
      </c>
      <c r="D409" s="8" t="n">
        <v>3</v>
      </c>
      <c r="E409" s="5" t="n">
        <v>3.464</v>
      </c>
    </row>
    <row r="410" customFormat="false" ht="15" hidden="false" customHeight="false" outlineLevel="0" collapsed="false">
      <c r="A410" s="14" t="s">
        <v>28</v>
      </c>
      <c r="B410" s="14" t="s">
        <v>49</v>
      </c>
      <c r="C410" s="8" t="n">
        <v>155</v>
      </c>
      <c r="D410" s="8" t="n">
        <v>1</v>
      </c>
      <c r="E410" s="5" t="n">
        <v>3.664</v>
      </c>
    </row>
    <row r="411" customFormat="false" ht="15" hidden="false" customHeight="false" outlineLevel="0" collapsed="false">
      <c r="A411" s="14" t="s">
        <v>28</v>
      </c>
      <c r="B411" s="14" t="s">
        <v>69</v>
      </c>
      <c r="C411" s="8" t="n">
        <v>32</v>
      </c>
      <c r="D411" s="8" t="n">
        <v>6</v>
      </c>
      <c r="E411" s="5" t="n">
        <v>2.807</v>
      </c>
    </row>
    <row r="412" customFormat="false" ht="15" hidden="false" customHeight="false" outlineLevel="0" collapsed="false">
      <c r="A412" s="14" t="s">
        <v>28</v>
      </c>
      <c r="B412" s="14" t="s">
        <v>64</v>
      </c>
      <c r="C412" s="8" t="n">
        <v>43</v>
      </c>
      <c r="D412" s="8" t="n">
        <v>6</v>
      </c>
      <c r="E412" s="5" t="n">
        <v>3.163</v>
      </c>
    </row>
    <row r="413" customFormat="false" ht="15" hidden="false" customHeight="false" outlineLevel="0" collapsed="false">
      <c r="A413" s="14" t="s">
        <v>28</v>
      </c>
      <c r="B413" s="14" t="s">
        <v>66</v>
      </c>
      <c r="C413" s="8" t="n">
        <v>28</v>
      </c>
      <c r="D413" s="8" t="n">
        <v>7</v>
      </c>
      <c r="E413" s="5" t="n">
        <v>3.058</v>
      </c>
    </row>
  </sheetData>
  <autoFilter ref="A1:E4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9.5" hidden="false" customHeight="true" outlineLevel="0" collapsed="false">
      <c r="A1" s="3" t="s">
        <v>2</v>
      </c>
      <c r="B1" s="3" t="s">
        <v>84</v>
      </c>
      <c r="C1" s="3" t="s">
        <v>85</v>
      </c>
      <c r="D1" s="3" t="s">
        <v>86</v>
      </c>
      <c r="F1" s="2" t="s">
        <v>87</v>
      </c>
    </row>
    <row r="2" customFormat="false" ht="15" hidden="false" customHeight="false" outlineLevel="0" collapsed="false">
      <c r="A2" s="14" t="s">
        <v>13</v>
      </c>
      <c r="B2" s="5" t="n">
        <v>2.976</v>
      </c>
      <c r="C2" s="5" t="n">
        <v>3.149</v>
      </c>
      <c r="D2" s="5" t="n">
        <v>3.106</v>
      </c>
    </row>
    <row r="3" customFormat="false" ht="15" hidden="false" customHeight="false" outlineLevel="0" collapsed="false">
      <c r="A3" s="14" t="s">
        <v>14</v>
      </c>
      <c r="B3" s="5" t="n">
        <v>3.012</v>
      </c>
      <c r="C3" s="5" t="n">
        <v>3.154</v>
      </c>
      <c r="D3" s="5" t="n">
        <v>3.149</v>
      </c>
    </row>
    <row r="4" customFormat="false" ht="15" hidden="false" customHeight="false" outlineLevel="0" collapsed="false">
      <c r="A4" s="14" t="s">
        <v>15</v>
      </c>
      <c r="B4" s="5" t="n">
        <v>3.032</v>
      </c>
      <c r="C4" s="5" t="n">
        <v>3.133</v>
      </c>
      <c r="D4" s="5" t="n">
        <v>3.152</v>
      </c>
    </row>
    <row r="5" customFormat="false" ht="15" hidden="false" customHeight="false" outlineLevel="0" collapsed="false">
      <c r="A5" s="14" t="s">
        <v>16</v>
      </c>
      <c r="B5" s="5" t="n">
        <v>3.365</v>
      </c>
      <c r="C5" s="5" t="n">
        <v>3.439</v>
      </c>
      <c r="D5" s="5" t="n">
        <v>3.439</v>
      </c>
    </row>
    <row r="6" customFormat="false" ht="15" hidden="false" customHeight="false" outlineLevel="0" collapsed="false">
      <c r="A6" s="14" t="s">
        <v>17</v>
      </c>
      <c r="B6" s="5" t="n">
        <v>3.032</v>
      </c>
      <c r="C6" s="5" t="n">
        <v>3.213</v>
      </c>
      <c r="D6" s="5" t="n">
        <v>3.12</v>
      </c>
    </row>
    <row r="7" customFormat="false" ht="15" hidden="false" customHeight="false" outlineLevel="0" collapsed="false">
      <c r="A7" s="14" t="s">
        <v>18</v>
      </c>
      <c r="B7" s="5" t="n">
        <v>3.187</v>
      </c>
      <c r="C7" s="5" t="n">
        <v>3.307</v>
      </c>
      <c r="D7" s="5" t="n">
        <v>3.288</v>
      </c>
    </row>
    <row r="8" customFormat="false" ht="15" hidden="false" customHeight="false" outlineLevel="0" collapsed="false">
      <c r="A8" s="14" t="s">
        <v>19</v>
      </c>
      <c r="B8" s="5" t="n">
        <v>3.084</v>
      </c>
      <c r="C8" s="5" t="n">
        <v>3.221</v>
      </c>
      <c r="D8" s="5" t="n">
        <v>3.189</v>
      </c>
    </row>
    <row r="9" customFormat="false" ht="15" hidden="false" customHeight="false" outlineLevel="0" collapsed="false">
      <c r="A9" s="14" t="s">
        <v>20</v>
      </c>
      <c r="B9" s="5" t="n">
        <v>3.161</v>
      </c>
      <c r="C9" s="5" t="n">
        <v>3.29</v>
      </c>
      <c r="D9" s="5" t="n">
        <v>3.253</v>
      </c>
    </row>
    <row r="10" customFormat="false" ht="15" hidden="false" customHeight="false" outlineLevel="0" collapsed="false">
      <c r="A10" s="14" t="s">
        <v>21</v>
      </c>
      <c r="B10" s="5" t="n">
        <v>3.131</v>
      </c>
      <c r="C10" s="5" t="n">
        <v>3.265</v>
      </c>
      <c r="D10" s="5" t="n">
        <v>3.24</v>
      </c>
    </row>
    <row r="11" customFormat="false" ht="15" hidden="false" customHeight="false" outlineLevel="0" collapsed="false">
      <c r="A11" s="14" t="s">
        <v>22</v>
      </c>
      <c r="B11" s="5" t="n">
        <v>3.198</v>
      </c>
      <c r="C11" s="5" t="n">
        <v>3.337</v>
      </c>
      <c r="D11" s="5" t="n">
        <v>3.296</v>
      </c>
    </row>
    <row r="12" customFormat="false" ht="15" hidden="false" customHeight="false" outlineLevel="0" collapsed="false">
      <c r="A12" s="14" t="s">
        <v>23</v>
      </c>
      <c r="B12" s="5" t="n">
        <v>3.132</v>
      </c>
      <c r="C12" s="5" t="n">
        <v>3.257</v>
      </c>
      <c r="D12" s="5" t="n">
        <v>3.241</v>
      </c>
    </row>
    <row r="13" customFormat="false" ht="15" hidden="false" customHeight="false" outlineLevel="0" collapsed="false">
      <c r="A13" s="14" t="s">
        <v>24</v>
      </c>
      <c r="B13" s="5" t="n">
        <v>3.208</v>
      </c>
      <c r="C13" s="5" t="n">
        <v>3.328</v>
      </c>
      <c r="D13" s="5" t="n">
        <v>3.305</v>
      </c>
    </row>
    <row r="14" customFormat="false" ht="15" hidden="false" customHeight="false" outlineLevel="0" collapsed="false">
      <c r="A14" s="14" t="s">
        <v>25</v>
      </c>
      <c r="B14" s="5" t="n">
        <v>3.187</v>
      </c>
      <c r="C14" s="5" t="n">
        <v>3.35</v>
      </c>
      <c r="D14" s="5" t="n">
        <v>3.277</v>
      </c>
    </row>
    <row r="15" customFormat="false" ht="15" hidden="false" customHeight="false" outlineLevel="0" collapsed="false">
      <c r="A15" s="14" t="s">
        <v>26</v>
      </c>
      <c r="B15" s="5" t="n">
        <v>3.22</v>
      </c>
      <c r="C15" s="5" t="n">
        <v>3.367</v>
      </c>
      <c r="D15" s="5" t="n">
        <v>3.313</v>
      </c>
    </row>
    <row r="16" customFormat="false" ht="15" hidden="false" customHeight="false" outlineLevel="0" collapsed="false">
      <c r="A16" s="14" t="s">
        <v>27</v>
      </c>
      <c r="B16" s="5" t="n">
        <v>3.196</v>
      </c>
      <c r="C16" s="5" t="n">
        <v>3.316</v>
      </c>
      <c r="D16" s="5" t="n">
        <v>3.294</v>
      </c>
    </row>
    <row r="17" customFormat="false" ht="15" hidden="false" customHeight="false" outlineLevel="0" collapsed="false">
      <c r="A17" s="14" t="s">
        <v>28</v>
      </c>
      <c r="B17" s="5" t="n">
        <v>3.226</v>
      </c>
      <c r="C17" s="5" t="n">
        <v>3.384</v>
      </c>
      <c r="D17" s="5" t="n">
        <v>3.27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2026-09-29T17:38:18Z</dcterms:created>
  <dc:creator>openpyxl</dc:creator>
  <dc:description/>
  <dc:language>en-US</dc:language>
  <cp:lastModifiedBy/>
  <dcterms:modified xsi:type="dcterms:W3CDTF">2026-09-29T17:38:20Z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