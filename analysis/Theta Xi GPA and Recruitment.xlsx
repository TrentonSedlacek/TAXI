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y Semester" sheetId="1" state="visible" r:id="rId3"/>
    <sheet name="Recruitment by Year" sheetId="2" state="visible" r:id="rId4"/>
    <sheet name="GPA by Year" sheetId="3" state="visible" r:id="rId5"/>
    <sheet name="IFC Houses" sheetId="4" state="visible" r:id="rId6"/>
    <sheet name="Data" sheetId="5" state="visible" r:id="rId7"/>
    <sheet name="UNL Averages" sheetId="6" state="visible" r:id="rId8"/>
  </sheets>
  <definedNames>
    <definedName function="false" hidden="true" localSheetId="4" name="_xlnm._FilterDatabase" vbProcedure="false">Data!$A$1:$F$429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<sst xmlns="http://schemas.openxmlformats.org/spreadsheetml/2006/main" count="1433" uniqueCount="130">
  <si>
    <t xml:space="preserve">Theta Xi vs the IFC</t>
  </si>
  <si>
    <t xml:space="preserve">Every semester since Fall 2018. IFC Avg = the average IFC house that semester.</t>
  </si>
  <si>
    <t xml:space="preserve">Semester</t>
  </si>
  <si>
    <t xml:space="preserve">TX GPA</t>
  </si>
  <si>
    <t xml:space="preserve">Greek Men GPA</t>
  </si>
  <si>
    <t xml:space="preserve">TX vs Greek Men</t>
  </si>
  <si>
    <t xml:space="preserve">All UNL Men GPA</t>
  </si>
  <si>
    <t xml:space="preserve">TX Rank in IFC</t>
  </si>
  <si>
    <t xml:space="preserve">TX Members</t>
  </si>
  <si>
    <t xml:space="preserve">IFC Avg Members</t>
  </si>
  <si>
    <t xml:space="preserve">TX New Members</t>
  </si>
  <si>
    <t xml:space="preserve">IFC Avg New Members</t>
  </si>
  <si>
    <t xml:space="preserve">Fall 2018</t>
  </si>
  <si>
    <t xml:space="preserve">Spring 2019</t>
  </si>
  <si>
    <t xml:space="preserve">Fall 2019</t>
  </si>
  <si>
    <t xml:space="preserve">Spring 2020</t>
  </si>
  <si>
    <t xml:space="preserve">Fall 2020</t>
  </si>
  <si>
    <t xml:space="preserve">Spring 2021</t>
  </si>
  <si>
    <t xml:space="preserve">Fall 2021</t>
  </si>
  <si>
    <t xml:space="preserve">Spring 2022</t>
  </si>
  <si>
    <t xml:space="preserve">Fall 2022</t>
  </si>
  <si>
    <t xml:space="preserve">Spring 2023</t>
  </si>
  <si>
    <t xml:space="preserve">Fall 2023</t>
  </si>
  <si>
    <t xml:space="preserve">Spring 2024</t>
  </si>
  <si>
    <t xml:space="preserve">Fall 2024</t>
  </si>
  <si>
    <t xml:space="preserve">Spring 2025</t>
  </si>
  <si>
    <t xml:space="preserve">Fall 2025</t>
  </si>
  <si>
    <t xml:space="preserve">Spring 2026</t>
  </si>
  <si>
    <t xml:space="preserve">Blank = not reported. Spring 2020 was pass/no-pass, so UNL has no GPAs for other houses.</t>
  </si>
  <si>
    <t xml:space="preserve">Recruitment by Year</t>
  </si>
  <si>
    <t xml:space="preserve">Each year = spring + fall recruitment, one exec board (elected in November). Green = best, red = worst.</t>
  </si>
  <si>
    <t xml:space="preserve">Year</t>
  </si>
  <si>
    <t xml:space="preserve">Rush Chairs</t>
  </si>
  <si>
    <t xml:space="preserve">New Members</t>
  </si>
  <si>
    <t xml:space="preserve">TX vs Avg House</t>
  </si>
  <si>
    <t xml:space="preserve">Members Last Fall</t>
  </si>
  <si>
    <t xml:space="preserve">Class Size vs House</t>
  </si>
  <si>
    <t xml:space="preserve">Members This Fall</t>
  </si>
  <si>
    <t xml:space="preserve">Change</t>
  </si>
  <si>
    <t xml:space="preserve">Tyler Brattain</t>
  </si>
  <si>
    <t xml:space="preserve">Nick Mason</t>
  </si>
  <si>
    <t xml:space="preserve">Brennan, Evan Cox</t>
  </si>
  <si>
    <t xml:space="preserve">Eli Soell, Austin Bennet</t>
  </si>
  <si>
    <t xml:space="preserve">Tyler Lechner, Eli Soell</t>
  </si>
  <si>
    <t xml:space="preserve">Max Dikker, Connor Wieseman</t>
  </si>
  <si>
    <t xml:space="preserve">Elijah Doyle, Michael Leiting</t>
  </si>
  <si>
    <t xml:space="preserve">Ben Morse, Owen Micek</t>
  </si>
  <si>
    <t xml:space="preserve">Sebastian, Miles</t>
  </si>
  <si>
    <t xml:space="preserve">TX vs Avg House: 100% = as many new members as the average IFC house. Only from 2019 (needs every house's numbers).</t>
  </si>
  <si>
    <t xml:space="preserve">Class Size vs House: new members that year divided by the house size the fall before.</t>
  </si>
  <si>
    <t xml:space="preserve">Rush chair names are from the AE List sheet. Add missing ones in column B.</t>
  </si>
  <si>
    <t xml:space="preserve">GPA by Year</t>
  </si>
  <si>
    <t xml:space="preserve">Each year = spring + fall semesters, one exec board. Compared with all Greek men that year, since grades across campus rise and fall. Green = best, red = worst.</t>
  </si>
  <si>
    <t xml:space="preserve">Scholarship Chair</t>
  </si>
  <si>
    <t xml:space="preserve">Spring GPA</t>
  </si>
  <si>
    <t xml:space="preserve">Fall GPA</t>
  </si>
  <si>
    <t xml:space="preserve">TX Year GPA</t>
  </si>
  <si>
    <t xml:space="preserve">Spring Rank in IFC</t>
  </si>
  <si>
    <t xml:space="preserve">Fall Rank in IFC</t>
  </si>
  <si>
    <t xml:space="preserve">Add scholarship chairs in column B. IFC ranks start in Fall 2018.</t>
  </si>
  <si>
    <t xml:space="preserve">Every IFC House</t>
  </si>
  <si>
    <t xml:space="preserve">Change the two blue cells to see a different semester or year.</t>
  </si>
  <si>
    <t xml:space="preserve">GPA and members for</t>
  </si>
  <si>
    <t xml:space="preserve">New members for year</t>
  </si>
  <si>
    <t xml:space="preserve">House</t>
  </si>
  <si>
    <t xml:space="preserve">GPA</t>
  </si>
  <si>
    <t xml:space="preserve">GPA Rank</t>
  </si>
  <si>
    <t xml:space="preserve">Members</t>
  </si>
  <si>
    <t xml:space="preserve">New Members (Spring + Fall)</t>
  </si>
  <si>
    <t xml:space="preserve">New Member Rank</t>
  </si>
  <si>
    <t xml:space="preserve">Farmhouse</t>
  </si>
  <si>
    <t xml:space="preserve">Sigma Phi Epsilon</t>
  </si>
  <si>
    <t xml:space="preserve">Beta Theta Pi</t>
  </si>
  <si>
    <t xml:space="preserve">Pi Kappa Alpha</t>
  </si>
  <si>
    <t xml:space="preserve">Phi Gamma Delta</t>
  </si>
  <si>
    <t xml:space="preserve">Beta Sigma Psi</t>
  </si>
  <si>
    <t xml:space="preserve">Sigma Chi</t>
  </si>
  <si>
    <t xml:space="preserve">Alpha Gamma Sigma</t>
  </si>
  <si>
    <t xml:space="preserve">Phi Delta Theta</t>
  </si>
  <si>
    <t xml:space="preserve">Alpha Gamma Rho</t>
  </si>
  <si>
    <t xml:space="preserve">Sigma Alpha Mu</t>
  </si>
  <si>
    <t xml:space="preserve">Phi Kappa Theta</t>
  </si>
  <si>
    <t xml:space="preserve">Sigma Alpha Epsilon</t>
  </si>
  <si>
    <t xml:space="preserve">Alpha Tau Omega</t>
  </si>
  <si>
    <t xml:space="preserve">Lambda Chi Alpha</t>
  </si>
  <si>
    <t xml:space="preserve">Delta Upsilon</t>
  </si>
  <si>
    <t xml:space="preserve">Theta Xi</t>
  </si>
  <si>
    <t xml:space="preserve">Acacia</t>
  </si>
  <si>
    <t xml:space="preserve">Triangle</t>
  </si>
  <si>
    <t xml:space="preserve">Kappa Sigma</t>
  </si>
  <si>
    <t xml:space="preserve">Phi Kappa Psi</t>
  </si>
  <si>
    <t xml:space="preserve">Theta Chi</t>
  </si>
  <si>
    <t xml:space="preserve">Chi Phi</t>
  </si>
  <si>
    <t xml:space="preserve">Houses on the Spring 2026 report, sorted by Spring 2026 GPA.</t>
  </si>
  <si>
    <t xml:space="preserve">Source</t>
  </si>
  <si>
    <t xml:space="preserve">IFC houses from UNL's report cards, Fall 2018 on. Theta Xi before that is from our own records.</t>
  </si>
  <si>
    <t xml:space="preserve">Fall 2010</t>
  </si>
  <si>
    <t xml:space="preserve">Our records</t>
  </si>
  <si>
    <t xml:space="preserve">Gray italics = our own records. UNL left these blank for us: Spring 2020 GPA and new members,</t>
  </si>
  <si>
    <t xml:space="preserve">Spring 2011</t>
  </si>
  <si>
    <t xml:space="preserve">Spring 2022 new members, Fall 2023 new members.</t>
  </si>
  <si>
    <t xml:space="preserve">Fall 2011</t>
  </si>
  <si>
    <t xml:space="preserve">Fall 2023 has no UNL scorecard, so that semester is from UNL's grade report.</t>
  </si>
  <si>
    <t xml:space="preserve">Spring 2012</t>
  </si>
  <si>
    <t xml:space="preserve">To add a semester, paste the new IFC rows at the bottom.</t>
  </si>
  <si>
    <t xml:space="preserve">Fall 2012</t>
  </si>
  <si>
    <t xml:space="preserve">Spring 2013</t>
  </si>
  <si>
    <t xml:space="preserve">Fall 2013</t>
  </si>
  <si>
    <t xml:space="preserve">Spring 2014</t>
  </si>
  <si>
    <t xml:space="preserve">Fall 2014</t>
  </si>
  <si>
    <t xml:space="preserve">Spring 2015</t>
  </si>
  <si>
    <t xml:space="preserve">Fall 2015</t>
  </si>
  <si>
    <t xml:space="preserve">Spring 2016</t>
  </si>
  <si>
    <t xml:space="preserve">Fall 2016</t>
  </si>
  <si>
    <t xml:space="preserve">Spring 2017</t>
  </si>
  <si>
    <t xml:space="preserve">Fall 2017</t>
  </si>
  <si>
    <t xml:space="preserve">Spring 2018</t>
  </si>
  <si>
    <t xml:space="preserve">UNL</t>
  </si>
  <si>
    <t xml:space="preserve">Alpha Gamma Nu</t>
  </si>
  <si>
    <t xml:space="preserve">Delta Tau Delta</t>
  </si>
  <si>
    <t xml:space="preserve">Pi Kappa Phi</t>
  </si>
  <si>
    <t xml:space="preserve">Sigma Nu</t>
  </si>
  <si>
    <t xml:space="preserve">Tau Kappa Epsilon</t>
  </si>
  <si>
    <t xml:space="preserve">Sigma Tau Gamma</t>
  </si>
  <si>
    <t xml:space="preserve">UNL + our records</t>
  </si>
  <si>
    <t xml:space="preserve">Delta Sigma Phi</t>
  </si>
  <si>
    <t xml:space="preserve">All UNL Men</t>
  </si>
  <si>
    <t xml:space="preserve">All Greek Men</t>
  </si>
  <si>
    <t xml:space="preserve">All UNL Students</t>
  </si>
  <si>
    <t xml:space="preserve">From UNL's All-Community Grade Report each semester.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</si>
</sst>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\+0.000;\-0.000;0.000"/>
    <numFmt numFmtId="167" formatCode="0"/>
    <numFmt numFmtId="168" formatCode="0.0"/>
    <numFmt numFmtId="169" formatCode="0%"/>
    <numFmt numFmtId="170" formatCode="\+0;\-0;0"/>
    <numFmt numFmtId="171" formatCode="\+0.00;\-0.00;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607F"/>
      <name val="Arial"/>
      <family val="0"/>
      <charset val="1"/>
    </font>
    <font>
      <sz val="9"/>
      <color rgb="FF4D4D4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4D4D4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607F"/>
        <bgColor rgb="FF008080"/>
      </patternFill>
    </fill>
    <fill>
      <patternFill patternType="solid">
        <fgColor rgb="FFFFC843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9C8D3"/>
      </left>
      <right style="thin">
        <color rgb="FFB9C8D3"/>
      </right>
      <top style="thin">
        <color rgb="FFB9C8D3"/>
      </top>
      <bottom style="thin">
        <color rgb="FFB9C8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BB1F53"/>
      </font>
    </dxf>
    <dxf>
      <font>
        <b val="1"/>
      </font>
      <fill>
        <patternFill>
          <bgColor rgb="FFBABF33"/>
        </patternFill>
      </fill>
    </dxf>
    <dxf>
      <font>
        <b val="1"/>
        <color rgb="FFFFFFFF"/>
      </font>
      <fill>
        <patternFill>
          <bgColor rgb="FFBB1F53"/>
        </patternFill>
      </fill>
    </dxf>
    <dxf>
      <fill>
        <patternFill patternType="solid">
          <fgColor rgb="FF00607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4D4D4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07F"/>
      <rgbColor rgb="FFB9C8D3"/>
      <rgbColor rgb="FF878787"/>
      <rgbColor rgb="FF9999FF"/>
      <rgbColor rgb="FFBB1F53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ABF33"/>
      <rgbColor rgb="FFFFC843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D4D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GPA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'By Semester'!B4</c:f>
              <c:strCache>
                <c:ptCount val="1"/>
                <c:pt idx="0">
                  <c:v>TX GPA</c:v>
                </c:pt>
              </c:strCache>
            </c:strRef>
          </c:tx>
          <c:spPr>
            <a:solidFill>
              <a:srgbClr val="00607f"/>
            </a:solidFill>
            <a:ln w="0">
              <a:solidFill>
                <a:srgbClr val="00607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Semester'!$A$5:$A$20</c:f>
              <c:strCache>
                <c:ptCount val="16"/>
                <c:pt idx="0">
                  <c:v>Fall 2018</c:v>
                </c:pt>
                <c:pt idx="1">
                  <c:v>Spring 2019</c:v>
                </c:pt>
                <c:pt idx="2">
                  <c:v>Fall 2019</c:v>
                </c:pt>
                <c:pt idx="3">
                  <c:v>Spring 2020</c:v>
                </c:pt>
                <c:pt idx="4">
                  <c:v>Fall 2020</c:v>
                </c:pt>
                <c:pt idx="5">
                  <c:v>Spring 2021</c:v>
                </c:pt>
                <c:pt idx="6">
                  <c:v>Fall 2021</c:v>
                </c:pt>
                <c:pt idx="7">
                  <c:v>Spring 2022</c:v>
                </c:pt>
                <c:pt idx="8">
                  <c:v>Fall 2022</c:v>
                </c:pt>
                <c:pt idx="9">
                  <c:v>Spring 2023</c:v>
                </c:pt>
                <c:pt idx="10">
                  <c:v>Fall 2023</c:v>
                </c:pt>
                <c:pt idx="11">
                  <c:v>Spring 2024</c:v>
                </c:pt>
                <c:pt idx="12">
                  <c:v>Fall 2024</c:v>
                </c:pt>
                <c:pt idx="13">
                  <c:v>Spring 2025</c:v>
                </c:pt>
                <c:pt idx="14">
                  <c:v>Fall 2025</c:v>
                </c:pt>
                <c:pt idx="15">
                  <c:v>Spring 2026</c:v>
                </c:pt>
              </c:strCache>
            </c:strRef>
          </c:cat>
          <c:val>
            <c:numRef>
              <c:f>'By Semester'!$B$5:$B$20</c:f>
              <c:numCache>
                <c:formatCode>0.000</c:formatCode>
                <c:ptCount val="16"/>
                <c:pt idx="0">
                  <c:v>2.733</c:v>
                </c:pt>
                <c:pt idx="1">
                  <c:v>2.919</c:v>
                </c:pt>
                <c:pt idx="2">
                  <c:v>2.819</c:v>
                </c:pt>
                <c:pt idx="3">
                  <c:v>3.25</c:v>
                </c:pt>
                <c:pt idx="4">
                  <c:v>2.957</c:v>
                </c:pt>
                <c:pt idx="5">
                  <c:v>3.267</c:v>
                </c:pt>
                <c:pt idx="6">
                  <c:v>3.167</c:v>
                </c:pt>
                <c:pt idx="7">
                  <c:v>3.316</c:v>
                </c:pt>
                <c:pt idx="8">
                  <c:v>3.096</c:v>
                </c:pt>
                <c:pt idx="9">
                  <c:v>3.121</c:v>
                </c:pt>
                <c:pt idx="10">
                  <c:v>2.997</c:v>
                </c:pt>
                <c:pt idx="11">
                  <c:v>3.321</c:v>
                </c:pt>
                <c:pt idx="12">
                  <c:v>3.216</c:v>
                </c:pt>
                <c:pt idx="13">
                  <c:v>3.053</c:v>
                </c:pt>
                <c:pt idx="14">
                  <c:v>3.033</c:v>
                </c:pt>
                <c:pt idx="15">
                  <c:v>3.163</c:v>
                </c:pt>
              </c:numCache>
            </c:numRef>
          </c:val>
        </c:ser>
        <c:ser>
          <c:idx val="1"/>
          <c:order val="1"/>
          <c:tx>
            <c:strRef>
              <c:f>'By Semester'!C4</c:f>
              <c:strCache>
                <c:ptCount val="1"/>
                <c:pt idx="0">
                  <c:v>Greek Men GPA</c:v>
                </c:pt>
              </c:strCache>
            </c:strRef>
          </c:tx>
          <c:spPr>
            <a:solidFill>
              <a:srgbClr val="ffc843"/>
            </a:solidFill>
            <a:ln w="0">
              <a:solidFill>
                <a:srgbClr val="ffc84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Semester'!$A$5:$A$20</c:f>
              <c:strCache>
                <c:ptCount val="16"/>
                <c:pt idx="0">
                  <c:v>Fall 2018</c:v>
                </c:pt>
                <c:pt idx="1">
                  <c:v>Spring 2019</c:v>
                </c:pt>
                <c:pt idx="2">
                  <c:v>Fall 2019</c:v>
                </c:pt>
                <c:pt idx="3">
                  <c:v>Spring 2020</c:v>
                </c:pt>
                <c:pt idx="4">
                  <c:v>Fall 2020</c:v>
                </c:pt>
                <c:pt idx="5">
                  <c:v>Spring 2021</c:v>
                </c:pt>
                <c:pt idx="6">
                  <c:v>Fall 2021</c:v>
                </c:pt>
                <c:pt idx="7">
                  <c:v>Spring 2022</c:v>
                </c:pt>
                <c:pt idx="8">
                  <c:v>Fall 2022</c:v>
                </c:pt>
                <c:pt idx="9">
                  <c:v>Spring 2023</c:v>
                </c:pt>
                <c:pt idx="10">
                  <c:v>Fall 2023</c:v>
                </c:pt>
                <c:pt idx="11">
                  <c:v>Spring 2024</c:v>
                </c:pt>
                <c:pt idx="12">
                  <c:v>Fall 2024</c:v>
                </c:pt>
                <c:pt idx="13">
                  <c:v>Spring 2025</c:v>
                </c:pt>
                <c:pt idx="14">
                  <c:v>Fall 2025</c:v>
                </c:pt>
                <c:pt idx="15">
                  <c:v>Spring 2026</c:v>
                </c:pt>
              </c:strCache>
            </c:strRef>
          </c:cat>
          <c:val>
            <c:numRef>
              <c:f>'By Semester'!$C$5:$C$20</c:f>
              <c:numCache>
                <c:formatCode>0.000</c:formatCode>
                <c:ptCount val="16"/>
                <c:pt idx="0">
                  <c:v>3.149</c:v>
                </c:pt>
                <c:pt idx="1">
                  <c:v>3.154</c:v>
                </c:pt>
                <c:pt idx="2">
                  <c:v>3.133</c:v>
                </c:pt>
                <c:pt idx="3">
                  <c:v>3.439</c:v>
                </c:pt>
                <c:pt idx="4">
                  <c:v>3.213</c:v>
                </c:pt>
                <c:pt idx="5">
                  <c:v>3.307</c:v>
                </c:pt>
                <c:pt idx="6">
                  <c:v>3.221</c:v>
                </c:pt>
                <c:pt idx="7">
                  <c:v>3.29</c:v>
                </c:pt>
                <c:pt idx="8">
                  <c:v>3.265</c:v>
                </c:pt>
                <c:pt idx="9">
                  <c:v>3.337</c:v>
                </c:pt>
                <c:pt idx="10">
                  <c:v>3.257</c:v>
                </c:pt>
                <c:pt idx="11">
                  <c:v>3.328</c:v>
                </c:pt>
                <c:pt idx="12">
                  <c:v>3.35</c:v>
                </c:pt>
                <c:pt idx="13">
                  <c:v>3.367</c:v>
                </c:pt>
                <c:pt idx="14">
                  <c:v>3.316</c:v>
                </c:pt>
                <c:pt idx="15">
                  <c:v>3.384</c:v>
                </c:pt>
              </c:numCache>
            </c:numRef>
          </c:val>
        </c:ser>
        <c:gapWidth val="150"/>
        <c:overlap val="0"/>
        <c:axId val="94272364"/>
        <c:axId val="25104898"/>
      </c:barChart>
      <c:catAx>
        <c:axId val="942723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04898"/>
        <c:crosses val="autoZero"/>
        <c:auto val="1"/>
        <c:lblAlgn val="ctr"/>
        <c:lblOffset val="100"/>
        <c:noMultiLvlLbl val="0"/>
      </c:catAx>
      <c:valAx>
        <c:axId val="25104898"/>
        <c:scaling>
          <c:orientation val="minMax"/>
          <c:max val="3.6"/>
          <c:min val="2.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723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New Members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'By Semester'!I4</c:f>
              <c:strCache>
                <c:ptCount val="1"/>
                <c:pt idx="0">
                  <c:v>TX New Members</c:v>
                </c:pt>
              </c:strCache>
            </c:strRef>
          </c:tx>
          <c:spPr>
            <a:solidFill>
              <a:srgbClr val="00607f"/>
            </a:solidFill>
            <a:ln w="0">
              <a:solidFill>
                <a:srgbClr val="00607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Semester'!$A$5:$A$20</c:f>
              <c:strCache>
                <c:ptCount val="16"/>
                <c:pt idx="0">
                  <c:v>Fall 2018</c:v>
                </c:pt>
                <c:pt idx="1">
                  <c:v>Spring 2019</c:v>
                </c:pt>
                <c:pt idx="2">
                  <c:v>Fall 2019</c:v>
                </c:pt>
                <c:pt idx="3">
                  <c:v>Spring 2020</c:v>
                </c:pt>
                <c:pt idx="4">
                  <c:v>Fall 2020</c:v>
                </c:pt>
                <c:pt idx="5">
                  <c:v>Spring 2021</c:v>
                </c:pt>
                <c:pt idx="6">
                  <c:v>Fall 2021</c:v>
                </c:pt>
                <c:pt idx="7">
                  <c:v>Spring 2022</c:v>
                </c:pt>
                <c:pt idx="8">
                  <c:v>Fall 2022</c:v>
                </c:pt>
                <c:pt idx="9">
                  <c:v>Spring 2023</c:v>
                </c:pt>
                <c:pt idx="10">
                  <c:v>Fall 2023</c:v>
                </c:pt>
                <c:pt idx="11">
                  <c:v>Spring 2024</c:v>
                </c:pt>
                <c:pt idx="12">
                  <c:v>Fall 2024</c:v>
                </c:pt>
                <c:pt idx="13">
                  <c:v>Spring 2025</c:v>
                </c:pt>
                <c:pt idx="14">
                  <c:v>Fall 2025</c:v>
                </c:pt>
                <c:pt idx="15">
                  <c:v>Spring 2026</c:v>
                </c:pt>
              </c:strCache>
            </c:strRef>
          </c:cat>
          <c:val>
            <c:numRef>
              <c:f>'By Semester'!$I$5:$I$20</c:f>
              <c:numCache>
                <c:formatCode>0</c:formatCode>
                <c:ptCount val="16"/>
                <c:pt idx="0">
                  <c:v>22</c:v>
                </c:pt>
                <c:pt idx="1">
                  <c:v>9</c:v>
                </c:pt>
                <c:pt idx="2">
                  <c:v>25</c:v>
                </c:pt>
                <c:pt idx="3">
                  <c:v>6</c:v>
                </c:pt>
                <c:pt idx="4">
                  <c:v>28</c:v>
                </c:pt>
                <c:pt idx="5">
                  <c:v>10</c:v>
                </c:pt>
                <c:pt idx="6">
                  <c:v>14</c:v>
                </c:pt>
                <c:pt idx="7">
                  <c:v>4</c:v>
                </c:pt>
                <c:pt idx="8">
                  <c:v>17</c:v>
                </c:pt>
                <c:pt idx="9">
                  <c:v>6</c:v>
                </c:pt>
                <c:pt idx="10">
                  <c:v>13</c:v>
                </c:pt>
                <c:pt idx="11">
                  <c:v>5</c:v>
                </c:pt>
                <c:pt idx="12">
                  <c:v>12</c:v>
                </c:pt>
                <c:pt idx="13">
                  <c:v>3</c:v>
                </c:pt>
                <c:pt idx="14">
                  <c:v>12</c:v>
                </c:pt>
                <c:pt idx="15">
                  <c:v>6</c:v>
                </c:pt>
              </c:numCache>
            </c:numRef>
          </c:val>
        </c:ser>
        <c:ser>
          <c:idx val="1"/>
          <c:order val="1"/>
          <c:tx>
            <c:strRef>
              <c:f>'By Semester'!J4</c:f>
              <c:strCache>
                <c:ptCount val="1"/>
                <c:pt idx="0">
                  <c:v>IFC Avg New Members</c:v>
                </c:pt>
              </c:strCache>
            </c:strRef>
          </c:tx>
          <c:spPr>
            <a:solidFill>
              <a:srgbClr val="ffc843"/>
            </a:solidFill>
            <a:ln w="0">
              <a:solidFill>
                <a:srgbClr val="ffc84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Semester'!$A$5:$A$20</c:f>
              <c:strCache>
                <c:ptCount val="16"/>
                <c:pt idx="0">
                  <c:v>Fall 2018</c:v>
                </c:pt>
                <c:pt idx="1">
                  <c:v>Spring 2019</c:v>
                </c:pt>
                <c:pt idx="2">
                  <c:v>Fall 2019</c:v>
                </c:pt>
                <c:pt idx="3">
                  <c:v>Spring 2020</c:v>
                </c:pt>
                <c:pt idx="4">
                  <c:v>Fall 2020</c:v>
                </c:pt>
                <c:pt idx="5">
                  <c:v>Spring 2021</c:v>
                </c:pt>
                <c:pt idx="6">
                  <c:v>Fall 2021</c:v>
                </c:pt>
                <c:pt idx="7">
                  <c:v>Spring 2022</c:v>
                </c:pt>
                <c:pt idx="8">
                  <c:v>Fall 2022</c:v>
                </c:pt>
                <c:pt idx="9">
                  <c:v>Spring 2023</c:v>
                </c:pt>
                <c:pt idx="10">
                  <c:v>Fall 2023</c:v>
                </c:pt>
                <c:pt idx="11">
                  <c:v>Spring 2024</c:v>
                </c:pt>
                <c:pt idx="12">
                  <c:v>Fall 2024</c:v>
                </c:pt>
                <c:pt idx="13">
                  <c:v>Spring 2025</c:v>
                </c:pt>
                <c:pt idx="14">
                  <c:v>Fall 2025</c:v>
                </c:pt>
                <c:pt idx="15">
                  <c:v>Spring 2026</c:v>
                </c:pt>
              </c:strCache>
            </c:strRef>
          </c:cat>
          <c:val>
            <c:numRef>
              <c:f>'By Semester'!$J$5:$J$20</c:f>
              <c:numCache>
                <c:formatCode>0.0</c:formatCode>
                <c:ptCount val="16"/>
                <c:pt idx="0">
                  <c:v>19.44</c:v>
                </c:pt>
                <c:pt idx="1">
                  <c:v>2.72</c:v>
                </c:pt>
                <c:pt idx="2">
                  <c:v>21</c:v>
                </c:pt>
                <c:pt idx="4">
                  <c:v>21</c:v>
                </c:pt>
                <c:pt idx="5">
                  <c:v>3.34615384615385</c:v>
                </c:pt>
                <c:pt idx="6">
                  <c:v>21</c:v>
                </c:pt>
                <c:pt idx="8">
                  <c:v>19.7916666666667</c:v>
                </c:pt>
                <c:pt idx="9">
                  <c:v>5.94117647058824</c:v>
                </c:pt>
                <c:pt idx="11">
                  <c:v>3.8</c:v>
                </c:pt>
                <c:pt idx="12">
                  <c:v>21.2692307692308</c:v>
                </c:pt>
                <c:pt idx="13">
                  <c:v>4.79166666666667</c:v>
                </c:pt>
                <c:pt idx="14">
                  <c:v>22.04</c:v>
                </c:pt>
                <c:pt idx="15">
                  <c:v>4.1304347826087</c:v>
                </c:pt>
              </c:numCache>
            </c:numRef>
          </c:val>
        </c:ser>
        <c:gapWidth val="150"/>
        <c:overlap val="0"/>
        <c:axId val="57202246"/>
        <c:axId val="58828719"/>
      </c:barChart>
      <c:catAx>
        <c:axId val="572022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28719"/>
        <c:crosses val="autoZero"/>
        <c:auto val="1"/>
        <c:lblAlgn val="ctr"/>
        <c:lblOffset val="100"/>
        <c:noMultiLvlLbl val="0"/>
      </c:catAx>
      <c:valAx>
        <c:axId val="588287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022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New Members per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'Recruitment by Year'!C4</c:f>
              <c:strCache>
                <c:ptCount val="1"/>
                <c:pt idx="0">
                  <c:v>New Members</c:v>
                </c:pt>
              </c:strCache>
            </c:strRef>
          </c:tx>
          <c:spPr>
            <a:solidFill>
              <a:srgbClr val="00607f"/>
            </a:solidFill>
            <a:ln w="0">
              <a:solidFill>
                <a:srgbClr val="00607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'Recruitment by Year'!$A$5:$A$19</c:f>
              <c:strCach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strCache>
            </c:strRef>
          </c:cat>
          <c:val>
            <c:numRef>
              <c:f>'Recruitment by Year'!$C$5:$C$19</c:f>
              <c:numCache>
                <c:formatCode>0</c:formatCode>
                <c:ptCount val="15"/>
                <c:pt idx="0">
                  <c:v>15</c:v>
                </c:pt>
                <c:pt idx="1">
                  <c:v>7</c:v>
                </c:pt>
                <c:pt idx="2">
                  <c:v>12</c:v>
                </c:pt>
                <c:pt idx="3">
                  <c:v>6</c:v>
                </c:pt>
                <c:pt idx="4">
                  <c:v>18</c:v>
                </c:pt>
                <c:pt idx="5">
                  <c:v>14</c:v>
                </c:pt>
                <c:pt idx="6">
                  <c:v>15</c:v>
                </c:pt>
                <c:pt idx="7">
                  <c:v>23</c:v>
                </c:pt>
                <c:pt idx="8">
                  <c:v>34</c:v>
                </c:pt>
                <c:pt idx="9">
                  <c:v>34</c:v>
                </c:pt>
                <c:pt idx="10">
                  <c:v>24</c:v>
                </c:pt>
                <c:pt idx="11">
                  <c:v>21</c:v>
                </c:pt>
                <c:pt idx="12">
                  <c:v>19</c:v>
                </c:pt>
                <c:pt idx="13">
                  <c:v>17</c:v>
                </c:pt>
                <c:pt idx="14">
                  <c:v>15</c:v>
                </c:pt>
              </c:numCache>
            </c:numRef>
          </c:val>
        </c:ser>
        <c:gapWidth val="150"/>
        <c:overlap val="0"/>
        <c:axId val="62490106"/>
        <c:axId val="10169052"/>
      </c:barChart>
      <c:catAx>
        <c:axId val="624901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169052"/>
        <c:crosses val="autoZero"/>
        <c:auto val="1"/>
        <c:lblAlgn val="ctr"/>
        <c:lblOffset val="100"/>
        <c:noMultiLvlLbl val="0"/>
      </c:catAx>
      <c:valAx>
        <c:axId val="10169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901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Members Each 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'Recruitment by Year'!H4</c:f>
              <c:strCache>
                <c:ptCount val="1"/>
                <c:pt idx="0">
                  <c:v>Members This Fall</c:v>
                </c:pt>
              </c:strCache>
            </c:strRef>
          </c:tx>
          <c:spPr>
            <a:solidFill>
              <a:srgbClr val="ffc843"/>
            </a:solidFill>
            <a:ln w="0">
              <a:solidFill>
                <a:srgbClr val="ffc84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'Recruitment by Year'!$A$5:$A$19</c:f>
              <c:strCach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strCache>
            </c:strRef>
          </c:cat>
          <c:val>
            <c:numRef>
              <c:f>'Recruitment by Year'!$H$5:$H$19</c:f>
              <c:numCache>
                <c:formatCode>0</c:formatCode>
                <c:ptCount val="15"/>
                <c:pt idx="0">
                  <c:v>37</c:v>
                </c:pt>
                <c:pt idx="1">
                  <c:v>36</c:v>
                </c:pt>
                <c:pt idx="2">
                  <c:v>29</c:v>
                </c:pt>
                <c:pt idx="3">
                  <c:v>24</c:v>
                </c:pt>
                <c:pt idx="4">
                  <c:v>34</c:v>
                </c:pt>
                <c:pt idx="5">
                  <c:v>38</c:v>
                </c:pt>
                <c:pt idx="6">
                  <c:v>43</c:v>
                </c:pt>
                <c:pt idx="7">
                  <c:v>62</c:v>
                </c:pt>
                <c:pt idx="8">
                  <c:v>86</c:v>
                </c:pt>
                <c:pt idx="9">
                  <c:v>78</c:v>
                </c:pt>
                <c:pt idx="10">
                  <c:v>74</c:v>
                </c:pt>
                <c:pt idx="11">
                  <c:v>71</c:v>
                </c:pt>
                <c:pt idx="12">
                  <c:v>60</c:v>
                </c:pt>
                <c:pt idx="13">
                  <c:v>48</c:v>
                </c:pt>
                <c:pt idx="14">
                  <c:v>44</c:v>
                </c:pt>
              </c:numCache>
            </c:numRef>
          </c:val>
        </c:ser>
        <c:gapWidth val="150"/>
        <c:overlap val="0"/>
        <c:axId val="90264963"/>
        <c:axId val="69874683"/>
      </c:barChart>
      <c:catAx>
        <c:axId val="902649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74683"/>
        <c:crosses val="autoZero"/>
        <c:auto val="1"/>
        <c:lblAlgn val="ctr"/>
        <c:lblOffset val="100"/>
        <c:noMultiLvlLbl val="0"/>
      </c:catAx>
      <c:valAx>
        <c:axId val="698746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2649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TX GPA vs Greek Men,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'GPA by Year'!G4</c:f>
              <c:strCache>
                <c:ptCount val="1"/>
                <c:pt idx="0">
                  <c:v>TX vs Greek Men</c:v>
                </c:pt>
              </c:strCache>
            </c:strRef>
          </c:tx>
          <c:spPr>
            <a:solidFill>
              <a:srgbClr val="00607f"/>
            </a:solidFill>
            <a:ln w="0">
              <a:solidFill>
                <a:srgbClr val="00607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'GPA by Year'!$A$5:$A$19</c:f>
              <c:strCach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strCache>
            </c:strRef>
          </c:cat>
          <c:val>
            <c:numRef>
              <c:f>'GPA by Year'!$G$5:$G$19</c:f>
              <c:numCache>
                <c:formatCode>\+0.000;\-0.000;0.000</c:formatCode>
                <c:ptCount val="15"/>
                <c:pt idx="0">
                  <c:v>-0.3385</c:v>
                </c:pt>
                <c:pt idx="1">
                  <c:v>-0.237</c:v>
                </c:pt>
                <c:pt idx="2">
                  <c:v>-0.379</c:v>
                </c:pt>
                <c:pt idx="3">
                  <c:v>-0.1275</c:v>
                </c:pt>
                <c:pt idx="4">
                  <c:v>-0.3675</c:v>
                </c:pt>
                <c:pt idx="5">
                  <c:v>-0.344</c:v>
                </c:pt>
                <c:pt idx="6">
                  <c:v>-0.121</c:v>
                </c:pt>
                <c:pt idx="7">
                  <c:v>-0.325</c:v>
                </c:pt>
                <c:pt idx="8">
                  <c:v>-0.2745</c:v>
                </c:pt>
                <c:pt idx="9">
                  <c:v>-0.2225</c:v>
                </c:pt>
                <c:pt idx="10">
                  <c:v>-0.0470000000000006</c:v>
                </c:pt>
                <c:pt idx="11">
                  <c:v>-0.0714999999999999</c:v>
                </c:pt>
                <c:pt idx="12">
                  <c:v>-0.238</c:v>
                </c:pt>
                <c:pt idx="13">
                  <c:v>-0.0704999999999996</c:v>
                </c:pt>
                <c:pt idx="14">
                  <c:v>-0.2985</c:v>
                </c:pt>
              </c:numCache>
            </c:numRef>
          </c:val>
        </c:ser>
        <c:gapWidth val="150"/>
        <c:overlap val="0"/>
        <c:axId val="16188035"/>
        <c:axId val="48240397"/>
      </c:barChart>
      <c:catAx>
        <c:axId val="161880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40397"/>
        <c:crosses val="autoZero"/>
        <c:auto val="1"/>
        <c:lblAlgn val="ctr"/>
        <c:lblOffset val="100"/>
        <c:noMultiLvlLbl val="0"/>
      </c:catAx>
      <c:valAx>
        <c:axId val="48240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0;\-0.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880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131040</xdr:rowOff>
    </xdr:from>
    <xdr:to>
      <xdr:col>7</xdr:col>
      <xdr:colOff>252360</xdr:colOff>
      <xdr:row>39</xdr:row>
      <xdr:rowOff>163440</xdr:rowOff>
    </xdr:to>
    <xdr:graphicFrame>
      <xdr:nvGraphicFramePr>
        <xdr:cNvPr id="0" name="Chart 1"/>
        <xdr:cNvGraphicFramePr/>
      </xdr:nvGraphicFramePr>
      <xdr:xfrm>
        <a:off x="0" y="529596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25</xdr:row>
      <xdr:rowOff>131040</xdr:rowOff>
    </xdr:from>
    <xdr:to>
      <xdr:col>13</xdr:col>
      <xdr:colOff>601560</xdr:colOff>
      <xdr:row>39</xdr:row>
      <xdr:rowOff>163440</xdr:rowOff>
    </xdr:to>
    <xdr:graphicFrame>
      <xdr:nvGraphicFramePr>
        <xdr:cNvPr id="1" name="Chart 2"/>
        <xdr:cNvGraphicFramePr/>
      </xdr:nvGraphicFramePr>
      <xdr:xfrm>
        <a:off x="5067360" y="529596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23</xdr:row>
      <xdr:rowOff>131040</xdr:rowOff>
    </xdr:from>
    <xdr:to>
      <xdr:col>4</xdr:col>
      <xdr:colOff>870120</xdr:colOff>
      <xdr:row>37</xdr:row>
      <xdr:rowOff>163800</xdr:rowOff>
    </xdr:to>
    <xdr:graphicFrame>
      <xdr:nvGraphicFramePr>
        <xdr:cNvPr id="2" name="Chart 1"/>
        <xdr:cNvGraphicFramePr/>
      </xdr:nvGraphicFramePr>
      <xdr:xfrm>
        <a:off x="0" y="49150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23</xdr:row>
      <xdr:rowOff>131040</xdr:rowOff>
    </xdr:from>
    <xdr:to>
      <xdr:col>10</xdr:col>
      <xdr:colOff>644760</xdr:colOff>
      <xdr:row>37</xdr:row>
      <xdr:rowOff>163800</xdr:rowOff>
    </xdr:to>
    <xdr:graphicFrame>
      <xdr:nvGraphicFramePr>
        <xdr:cNvPr id="3" name="Chart 2"/>
        <xdr:cNvGraphicFramePr/>
      </xdr:nvGraphicFramePr>
      <xdr:xfrm>
        <a:off x="4889520" y="49150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130680</xdr:rowOff>
    </xdr:from>
    <xdr:to>
      <xdr:col>5</xdr:col>
      <xdr:colOff>781200</xdr:colOff>
      <xdr:row>36</xdr:row>
      <xdr:rowOff>163440</xdr:rowOff>
    </xdr:to>
    <xdr:graphicFrame>
      <xdr:nvGraphicFramePr>
        <xdr:cNvPr id="4" name="Chart 1"/>
        <xdr:cNvGraphicFramePr/>
      </xdr:nvGraphicFramePr>
      <xdr:xfrm>
        <a:off x="0" y="4724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07F"/>
    <pageSetUpPr fitToPage="true"/>
  </sheetPr>
  <dimension ref="A1:K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11" min="3" style="0" width="9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7</v>
      </c>
    </row>
    <row r="5" customFormat="false" ht="15" hidden="false" customHeight="false" outlineLevel="0" collapsed="false">
      <c r="A5" s="4" t="s">
        <v>12</v>
      </c>
      <c r="B5" s="5" t="n">
        <f aca="false">IF($A5="","",IF(COUNTIFS(Data!$A$2:$A$1500,$A5,Data!$B$2:$B$1500,"Theta Xi",Data!$E$2:$E$1500,"&lt;&gt;")=0,"",SUMIFS(Data!$E$2:$E$1500,Data!$A$2:$A$1500,$A5,Data!$B$2:$B$1500,"Theta Xi")))</f>
        <v>2.733</v>
      </c>
      <c r="C5" s="5" t="n">
        <f aca="false">IF($A5="","",IFERROR(IF(INDEX('UNL Averages'!$C:$C,MATCH($A5,'UNL Averages'!$A:$A,0))="","",INDEX('UNL Averages'!$C:$C,MATCH($A5,'UNL Averages'!$A:$A,0))),""))</f>
        <v>3.149</v>
      </c>
      <c r="D5" s="6" t="n">
        <f aca="false">IF(OR(B5="",C5=""),"",B5-C5)</f>
        <v>-0.416</v>
      </c>
      <c r="E5" s="5" t="n">
        <f aca="false">IF($A5="","",IFERROR(IF(INDEX('UNL Averages'!$B:$B,MATCH($A5,'UNL Averages'!$A:$A,0))="","",INDEX('UNL Averages'!$B:$B,MATCH($A5,'UNL Averages'!$A:$A,0))),""))</f>
        <v>2.976</v>
      </c>
      <c r="F5" s="7" t="str">
        <f aca="false">IF(OR(B5="",COUNTIFS(Data!$A$2:$A$1500,$A5,Data!$E$2:$E$1500,"&gt;0")&lt;5),"",COUNTIFS(Data!$A$2:$A$1500,$A5,Data!$E$2:$E$1500,"&gt;"&amp;B5)+1&amp;" of "&amp;COUNTIFS(Data!$A$2:$A$1500,$A5,Data!$E$2:$E$1500,"&gt;0"))</f>
        <v>23 of 25</v>
      </c>
      <c r="G5" s="8" t="n">
        <f aca="false">IF($A5="","",IF(COUNTIFS(Data!$A$2:$A$1500,$A5,Data!$B$2:$B$1500,"Theta Xi",Data!$C$2:$C$1500,"&lt;&gt;")=0,"",SUMIFS(Data!$C$2:$C$1500,Data!$A$2:$A$1500,$A5,Data!$B$2:$B$1500,"Theta Xi")))</f>
        <v>62</v>
      </c>
      <c r="H5" s="8" t="n">
        <f aca="false">IF($A5="","",IF(COUNTIFS(Data!$A$2:$A$1500,$A5,Data!$C$2:$C$1500,"&lt;&gt;")&lt;5,"",AVERAGEIFS(Data!$C$2:$C$1500,Data!$A$2:$A$1500,$A5)))</f>
        <v>65.64</v>
      </c>
      <c r="I5" s="8" t="n">
        <f aca="false">IF($A5="","",IF(COUNTIFS(Data!$A$2:$A$1500,$A5,Data!$B$2:$B$1500,"Theta Xi",Data!$D$2:$D$1500,"&lt;&gt;")=0,"",SUMIFS(Data!$D$2:$D$1500,Data!$A$2:$A$1500,$A5,Data!$B$2:$B$1500,"Theta Xi")))</f>
        <v>22</v>
      </c>
      <c r="J5" s="9" t="n">
        <f aca="false">IF($A5="","",IF(COUNTIFS(Data!$A$2:$A$1500,$A5,Data!$D$2:$D$1500,"&lt;&gt;")&lt;5,"",AVERAGEIFS(Data!$D$2:$D$1500,Data!$A$2:$A$1500,$A5)))</f>
        <v>19.44</v>
      </c>
      <c r="K5" s="7" t="str">
        <f aca="false">IF(OR(I5="",J5=""),"",COUNTIFS(Data!$A$2:$A$1500,$A5,Data!$D$2:$D$1500,"&gt;"&amp;I5)+1&amp;" of "&amp;COUNTIFS(Data!$A$2:$A$1500,$A5,Data!$D$2:$D$1500,"&gt;=0"))</f>
        <v>13 of 25</v>
      </c>
    </row>
    <row r="6" customFormat="false" ht="15" hidden="false" customHeight="false" outlineLevel="0" collapsed="false">
      <c r="A6" s="4" t="s">
        <v>13</v>
      </c>
      <c r="B6" s="5" t="n">
        <f aca="false">IF($A6="","",IF(COUNTIFS(Data!$A$2:$A$1500,$A6,Data!$B$2:$B$1500,"Theta Xi",Data!$E$2:$E$1500,"&lt;&gt;")=0,"",SUMIFS(Data!$E$2:$E$1500,Data!$A$2:$A$1500,$A6,Data!$B$2:$B$1500,"Theta Xi")))</f>
        <v>2.919</v>
      </c>
      <c r="C6" s="5" t="n">
        <f aca="false">IF($A6="","",IFERROR(IF(INDEX('UNL Averages'!$C:$C,MATCH($A6,'UNL Averages'!$A:$A,0))="","",INDEX('UNL Averages'!$C:$C,MATCH($A6,'UNL Averages'!$A:$A,0))),""))</f>
        <v>3.154</v>
      </c>
      <c r="D6" s="6" t="n">
        <f aca="false">IF(OR(B6="",C6=""),"",B6-C6)</f>
        <v>-0.235</v>
      </c>
      <c r="E6" s="5" t="n">
        <f aca="false">IF($A6="","",IFERROR(IF(INDEX('UNL Averages'!$B:$B,MATCH($A6,'UNL Averages'!$A:$A,0))="","",INDEX('UNL Averages'!$B:$B,MATCH($A6,'UNL Averages'!$A:$A,0))),""))</f>
        <v>3.012</v>
      </c>
      <c r="F6" s="7" t="str">
        <f aca="false">IF(OR(B6="",COUNTIFS(Data!$A$2:$A$1500,$A6,Data!$E$2:$E$1500,"&gt;0")&lt;5),"",COUNTIFS(Data!$A$2:$A$1500,$A6,Data!$E$2:$E$1500,"&gt;"&amp;B6)+1&amp;" of "&amp;COUNTIFS(Data!$A$2:$A$1500,$A6,Data!$E$2:$E$1500,"&gt;0"))</f>
        <v>21 of 24</v>
      </c>
      <c r="G6" s="8" t="n">
        <f aca="false">IF($A6="","",IF(COUNTIFS(Data!$A$2:$A$1500,$A6,Data!$B$2:$B$1500,"Theta Xi",Data!$C$2:$C$1500,"&lt;&gt;")=0,"",SUMIFS(Data!$C$2:$C$1500,Data!$A$2:$A$1500,$A6,Data!$B$2:$B$1500,"Theta Xi")))</f>
        <v>64</v>
      </c>
      <c r="H6" s="8" t="n">
        <f aca="false">IF($A6="","",IF(COUNTIFS(Data!$A$2:$A$1500,$A6,Data!$C$2:$C$1500,"&lt;&gt;")&lt;5,"",AVERAGEIFS(Data!$C$2:$C$1500,Data!$A$2:$A$1500,$A6)))</f>
        <v>64.04</v>
      </c>
      <c r="I6" s="8" t="n">
        <f aca="false">IF($A6="","",IF(COUNTIFS(Data!$A$2:$A$1500,$A6,Data!$B$2:$B$1500,"Theta Xi",Data!$D$2:$D$1500,"&lt;&gt;")=0,"",SUMIFS(Data!$D$2:$D$1500,Data!$A$2:$A$1500,$A6,Data!$B$2:$B$1500,"Theta Xi")))</f>
        <v>9</v>
      </c>
      <c r="J6" s="9" t="n">
        <f aca="false">IF($A6="","",IF(COUNTIFS(Data!$A$2:$A$1500,$A6,Data!$D$2:$D$1500,"&lt;&gt;")&lt;5,"",AVERAGEIFS(Data!$D$2:$D$1500,Data!$A$2:$A$1500,$A6)))</f>
        <v>2.72</v>
      </c>
      <c r="K6" s="7" t="str">
        <f aca="false">IF(OR(I6="",J6=""),"",COUNTIFS(Data!$A$2:$A$1500,$A6,Data!$D$2:$D$1500,"&gt;"&amp;I6)+1&amp;" of "&amp;COUNTIFS(Data!$A$2:$A$1500,$A6,Data!$D$2:$D$1500,"&gt;=0"))</f>
        <v>3 of 25</v>
      </c>
    </row>
    <row r="7" customFormat="false" ht="15" hidden="false" customHeight="false" outlineLevel="0" collapsed="false">
      <c r="A7" s="4" t="s">
        <v>14</v>
      </c>
      <c r="B7" s="5" t="n">
        <f aca="false">IF($A7="","",IF(COUNTIFS(Data!$A$2:$A$1500,$A7,Data!$B$2:$B$1500,"Theta Xi",Data!$E$2:$E$1500,"&lt;&gt;")=0,"",SUMIFS(Data!$E$2:$E$1500,Data!$A$2:$A$1500,$A7,Data!$B$2:$B$1500,"Theta Xi")))</f>
        <v>2.819</v>
      </c>
      <c r="C7" s="5" t="n">
        <f aca="false">IF($A7="","",IFERROR(IF(INDEX('UNL Averages'!$C:$C,MATCH($A7,'UNL Averages'!$A:$A,0))="","",INDEX('UNL Averages'!$C:$C,MATCH($A7,'UNL Averages'!$A:$A,0))),""))</f>
        <v>3.133</v>
      </c>
      <c r="D7" s="6" t="n">
        <f aca="false">IF(OR(B7="",C7=""),"",B7-C7)</f>
        <v>-0.314</v>
      </c>
      <c r="E7" s="5" t="n">
        <f aca="false">IF($A7="","",IFERROR(IF(INDEX('UNL Averages'!$B:$B,MATCH($A7,'UNL Averages'!$A:$A,0))="","",INDEX('UNL Averages'!$B:$B,MATCH($A7,'UNL Averages'!$A:$A,0))),""))</f>
        <v>3.032</v>
      </c>
      <c r="F7" s="7" t="str">
        <f aca="false">IF(OR(B7="",COUNTIFS(Data!$A$2:$A$1500,$A7,Data!$E$2:$E$1500,"&gt;0")&lt;5),"",COUNTIFS(Data!$A$2:$A$1500,$A7,Data!$E$2:$E$1500,"&gt;"&amp;B7)+1&amp;" of "&amp;COUNTIFS(Data!$A$2:$A$1500,$A7,Data!$E$2:$E$1500,"&gt;0"))</f>
        <v>24 of 27</v>
      </c>
      <c r="G7" s="8" t="n">
        <f aca="false">IF($A7="","",IF(COUNTIFS(Data!$A$2:$A$1500,$A7,Data!$B$2:$B$1500,"Theta Xi",Data!$C$2:$C$1500,"&lt;&gt;")=0,"",SUMIFS(Data!$C$2:$C$1500,Data!$A$2:$A$1500,$A7,Data!$B$2:$B$1500,"Theta Xi")))</f>
        <v>86</v>
      </c>
      <c r="H7" s="8" t="n">
        <f aca="false">IF($A7="","",IF(COUNTIFS(Data!$A$2:$A$1500,$A7,Data!$C$2:$C$1500,"&lt;&gt;")&lt;5,"",AVERAGEIFS(Data!$C$2:$C$1500,Data!$A$2:$A$1500,$A7)))</f>
        <v>71.8518518518519</v>
      </c>
      <c r="I7" s="8" t="n">
        <f aca="false">IF($A7="","",IF(COUNTIFS(Data!$A$2:$A$1500,$A7,Data!$B$2:$B$1500,"Theta Xi",Data!$D$2:$D$1500,"&lt;&gt;")=0,"",SUMIFS(Data!$D$2:$D$1500,Data!$A$2:$A$1500,$A7,Data!$B$2:$B$1500,"Theta Xi")))</f>
        <v>25</v>
      </c>
      <c r="J7" s="9" t="n">
        <f aca="false">IF($A7="","",IF(COUNTIFS(Data!$A$2:$A$1500,$A7,Data!$D$2:$D$1500,"&lt;&gt;")&lt;5,"",AVERAGEIFS(Data!$D$2:$D$1500,Data!$A$2:$A$1500,$A7)))</f>
        <v>21</v>
      </c>
      <c r="K7" s="7" t="str">
        <f aca="false">IF(OR(I7="",J7=""),"",COUNTIFS(Data!$A$2:$A$1500,$A7,Data!$D$2:$D$1500,"&gt;"&amp;I7)+1&amp;" of "&amp;COUNTIFS(Data!$A$2:$A$1500,$A7,Data!$D$2:$D$1500,"&gt;=0"))</f>
        <v>14 of 27</v>
      </c>
    </row>
    <row r="8" customFormat="false" ht="15" hidden="false" customHeight="false" outlineLevel="0" collapsed="false">
      <c r="A8" s="4" t="s">
        <v>15</v>
      </c>
      <c r="B8" s="5" t="n">
        <f aca="false">IF($A8="","",IF(COUNTIFS(Data!$A$2:$A$1500,$A8,Data!$B$2:$B$1500,"Theta Xi",Data!$E$2:$E$1500,"&lt;&gt;")=0,"",SUMIFS(Data!$E$2:$E$1500,Data!$A$2:$A$1500,$A8,Data!$B$2:$B$1500,"Theta Xi")))</f>
        <v>3.25</v>
      </c>
      <c r="C8" s="5" t="n">
        <f aca="false">IF($A8="","",IFERROR(IF(INDEX('UNL Averages'!$C:$C,MATCH($A8,'UNL Averages'!$A:$A,0))="","",INDEX('UNL Averages'!$C:$C,MATCH($A8,'UNL Averages'!$A:$A,0))),""))</f>
        <v>3.439</v>
      </c>
      <c r="D8" s="6" t="n">
        <f aca="false">IF(OR(B8="",C8=""),"",B8-C8)</f>
        <v>-0.189</v>
      </c>
      <c r="E8" s="5" t="n">
        <f aca="false">IF($A8="","",IFERROR(IF(INDEX('UNL Averages'!$B:$B,MATCH($A8,'UNL Averages'!$A:$A,0))="","",INDEX('UNL Averages'!$B:$B,MATCH($A8,'UNL Averages'!$A:$A,0))),""))</f>
        <v>3.365</v>
      </c>
      <c r="F8" s="7" t="str">
        <f aca="false">IF(OR(B8="",COUNTIFS(Data!$A$2:$A$1500,$A8,Data!$E$2:$E$1500,"&gt;0")&lt;5),"",COUNTIFS(Data!$A$2:$A$1500,$A8,Data!$E$2:$E$1500,"&gt;"&amp;B8)+1&amp;" of "&amp;COUNTIFS(Data!$A$2:$A$1500,$A8,Data!$E$2:$E$1500,"&gt;0"))</f>
        <v/>
      </c>
      <c r="G8" s="8" t="n">
        <f aca="false">IF($A8="","",IF(COUNTIFS(Data!$A$2:$A$1500,$A8,Data!$B$2:$B$1500,"Theta Xi",Data!$C$2:$C$1500,"&lt;&gt;")=0,"",SUMIFS(Data!$C$2:$C$1500,Data!$A$2:$A$1500,$A8,Data!$B$2:$B$1500,"Theta Xi")))</f>
        <v>73</v>
      </c>
      <c r="H8" s="8" t="n">
        <f aca="false">IF($A8="","",IF(COUNTIFS(Data!$A$2:$A$1500,$A8,Data!$C$2:$C$1500,"&lt;&gt;")&lt;5,"",AVERAGEIFS(Data!$C$2:$C$1500,Data!$A$2:$A$1500,$A8)))</f>
        <v>64.75</v>
      </c>
      <c r="I8" s="8" t="n">
        <f aca="false">IF($A8="","",IF(COUNTIFS(Data!$A$2:$A$1500,$A8,Data!$B$2:$B$1500,"Theta Xi",Data!$D$2:$D$1500,"&lt;&gt;")=0,"",SUMIFS(Data!$D$2:$D$1500,Data!$A$2:$A$1500,$A8,Data!$B$2:$B$1500,"Theta Xi")))</f>
        <v>6</v>
      </c>
      <c r="J8" s="9" t="str">
        <f aca="false">IF($A8="","",IF(COUNTIFS(Data!$A$2:$A$1500,$A8,Data!$D$2:$D$1500,"&lt;&gt;")&lt;5,"",AVERAGEIFS(Data!$D$2:$D$1500,Data!$A$2:$A$1500,$A8)))</f>
        <v/>
      </c>
      <c r="K8" s="7" t="str">
        <f aca="false">IF(OR(I8="",J8=""),"",COUNTIFS(Data!$A$2:$A$1500,$A8,Data!$D$2:$D$1500,"&gt;"&amp;I8)+1&amp;" of "&amp;COUNTIFS(Data!$A$2:$A$1500,$A8,Data!$D$2:$D$1500,"&gt;=0"))</f>
        <v/>
      </c>
    </row>
    <row r="9" customFormat="false" ht="15" hidden="false" customHeight="false" outlineLevel="0" collapsed="false">
      <c r="A9" s="4" t="s">
        <v>16</v>
      </c>
      <c r="B9" s="5" t="n">
        <f aca="false">IF($A9="","",IF(COUNTIFS(Data!$A$2:$A$1500,$A9,Data!$B$2:$B$1500,"Theta Xi",Data!$E$2:$E$1500,"&lt;&gt;")=0,"",SUMIFS(Data!$E$2:$E$1500,Data!$A$2:$A$1500,$A9,Data!$B$2:$B$1500,"Theta Xi")))</f>
        <v>2.957</v>
      </c>
      <c r="C9" s="5" t="n">
        <f aca="false">IF($A9="","",IFERROR(IF(INDEX('UNL Averages'!$C:$C,MATCH($A9,'UNL Averages'!$A:$A,0))="","",INDEX('UNL Averages'!$C:$C,MATCH($A9,'UNL Averages'!$A:$A,0))),""))</f>
        <v>3.213</v>
      </c>
      <c r="D9" s="6" t="n">
        <f aca="false">IF(OR(B9="",C9=""),"",B9-C9)</f>
        <v>-0.256</v>
      </c>
      <c r="E9" s="5" t="n">
        <f aca="false">IF($A9="","",IFERROR(IF(INDEX('UNL Averages'!$B:$B,MATCH($A9,'UNL Averages'!$A:$A,0))="","",INDEX('UNL Averages'!$B:$B,MATCH($A9,'UNL Averages'!$A:$A,0))),""))</f>
        <v>3.032</v>
      </c>
      <c r="F9" s="7" t="str">
        <f aca="false">IF(OR(B9="",COUNTIFS(Data!$A$2:$A$1500,$A9,Data!$E$2:$E$1500,"&gt;0")&lt;5),"",COUNTIFS(Data!$A$2:$A$1500,$A9,Data!$E$2:$E$1500,"&gt;"&amp;B9)+1&amp;" of "&amp;COUNTIFS(Data!$A$2:$A$1500,$A9,Data!$E$2:$E$1500,"&gt;0"))</f>
        <v>20 of 24</v>
      </c>
      <c r="G9" s="8" t="n">
        <f aca="false">IF($A9="","",IF(COUNTIFS(Data!$A$2:$A$1500,$A9,Data!$B$2:$B$1500,"Theta Xi",Data!$C$2:$C$1500,"&lt;&gt;")=0,"",SUMIFS(Data!$C$2:$C$1500,Data!$A$2:$A$1500,$A9,Data!$B$2:$B$1500,"Theta Xi")))</f>
        <v>78</v>
      </c>
      <c r="H9" s="8" t="n">
        <f aca="false">IF($A9="","",IF(COUNTIFS(Data!$A$2:$A$1500,$A9,Data!$C$2:$C$1500,"&lt;&gt;")&lt;5,"",AVERAGEIFS(Data!$C$2:$C$1500,Data!$A$2:$A$1500,$A9)))</f>
        <v>72.0384615384615</v>
      </c>
      <c r="I9" s="8" t="n">
        <f aca="false">IF($A9="","",IF(COUNTIFS(Data!$A$2:$A$1500,$A9,Data!$B$2:$B$1500,"Theta Xi",Data!$D$2:$D$1500,"&lt;&gt;")=0,"",SUMIFS(Data!$D$2:$D$1500,Data!$A$2:$A$1500,$A9,Data!$B$2:$B$1500,"Theta Xi")))</f>
        <v>28</v>
      </c>
      <c r="J9" s="9" t="n">
        <f aca="false">IF($A9="","",IF(COUNTIFS(Data!$A$2:$A$1500,$A9,Data!$D$2:$D$1500,"&lt;&gt;")&lt;5,"",AVERAGEIFS(Data!$D$2:$D$1500,Data!$A$2:$A$1500,$A9)))</f>
        <v>21</v>
      </c>
      <c r="K9" s="7" t="str">
        <f aca="false">IF(OR(I9="",J9=""),"",COUNTIFS(Data!$A$2:$A$1500,$A9,Data!$D$2:$D$1500,"&gt;"&amp;I9)+1&amp;" of "&amp;COUNTIFS(Data!$A$2:$A$1500,$A9,Data!$D$2:$D$1500,"&gt;=0"))</f>
        <v>9 of 26</v>
      </c>
    </row>
    <row r="10" customFormat="false" ht="15" hidden="false" customHeight="false" outlineLevel="0" collapsed="false">
      <c r="A10" s="4" t="s">
        <v>17</v>
      </c>
      <c r="B10" s="5" t="n">
        <f aca="false">IF($A10="","",IF(COUNTIFS(Data!$A$2:$A$1500,$A10,Data!$B$2:$B$1500,"Theta Xi",Data!$E$2:$E$1500,"&lt;&gt;")=0,"",SUMIFS(Data!$E$2:$E$1500,Data!$A$2:$A$1500,$A10,Data!$B$2:$B$1500,"Theta Xi")))</f>
        <v>3.267</v>
      </c>
      <c r="C10" s="5" t="n">
        <f aca="false">IF($A10="","",IFERROR(IF(INDEX('UNL Averages'!$C:$C,MATCH($A10,'UNL Averages'!$A:$A,0))="","",INDEX('UNL Averages'!$C:$C,MATCH($A10,'UNL Averages'!$A:$A,0))),""))</f>
        <v>3.307</v>
      </c>
      <c r="D10" s="6" t="n">
        <f aca="false">IF(OR(B10="",C10=""),"",B10-C10)</f>
        <v>-0.04</v>
      </c>
      <c r="E10" s="5" t="n">
        <f aca="false">IF($A10="","",IFERROR(IF(INDEX('UNL Averages'!$B:$B,MATCH($A10,'UNL Averages'!$A:$A,0))="","",INDEX('UNL Averages'!$B:$B,MATCH($A10,'UNL Averages'!$A:$A,0))),""))</f>
        <v>3.187</v>
      </c>
      <c r="F10" s="7" t="str">
        <f aca="false">IF(OR(B10="",COUNTIFS(Data!$A$2:$A$1500,$A10,Data!$E$2:$E$1500,"&gt;0")&lt;5),"",COUNTIFS(Data!$A$2:$A$1500,$A10,Data!$E$2:$E$1500,"&gt;"&amp;B10)+1&amp;" of "&amp;COUNTIFS(Data!$A$2:$A$1500,$A10,Data!$E$2:$E$1500,"&gt;0"))</f>
        <v>15 of 26</v>
      </c>
      <c r="G10" s="8" t="n">
        <f aca="false">IF($A10="","",IF(COUNTIFS(Data!$A$2:$A$1500,$A10,Data!$B$2:$B$1500,"Theta Xi",Data!$C$2:$C$1500,"&lt;&gt;")=0,"",SUMIFS(Data!$C$2:$C$1500,Data!$A$2:$A$1500,$A10,Data!$B$2:$B$1500,"Theta Xi")))</f>
        <v>74</v>
      </c>
      <c r="H10" s="8" t="n">
        <f aca="false">IF($A10="","",IF(COUNTIFS(Data!$A$2:$A$1500,$A10,Data!$C$2:$C$1500,"&lt;&gt;")&lt;5,"",AVERAGEIFS(Data!$C$2:$C$1500,Data!$A$2:$A$1500,$A10)))</f>
        <v>68.7692307692308</v>
      </c>
      <c r="I10" s="8" t="n">
        <f aca="false">IF($A10="","",IF(COUNTIFS(Data!$A$2:$A$1500,$A10,Data!$B$2:$B$1500,"Theta Xi",Data!$D$2:$D$1500,"&lt;&gt;")=0,"",SUMIFS(Data!$D$2:$D$1500,Data!$A$2:$A$1500,$A10,Data!$B$2:$B$1500,"Theta Xi")))</f>
        <v>10</v>
      </c>
      <c r="J10" s="9" t="n">
        <f aca="false">IF($A10="","",IF(COUNTIFS(Data!$A$2:$A$1500,$A10,Data!$D$2:$D$1500,"&lt;&gt;")&lt;5,"",AVERAGEIFS(Data!$D$2:$D$1500,Data!$A$2:$A$1500,$A10)))</f>
        <v>3.34615384615385</v>
      </c>
      <c r="K10" s="7" t="str">
        <f aca="false">IF(OR(I10="",J10=""),"",COUNTIFS(Data!$A$2:$A$1500,$A10,Data!$D$2:$D$1500,"&gt;"&amp;I10)+1&amp;" of "&amp;COUNTIFS(Data!$A$2:$A$1500,$A10,Data!$D$2:$D$1500,"&gt;=0"))</f>
        <v>2 of 26</v>
      </c>
    </row>
    <row r="11" customFormat="false" ht="15" hidden="false" customHeight="false" outlineLevel="0" collapsed="false">
      <c r="A11" s="4" t="s">
        <v>18</v>
      </c>
      <c r="B11" s="5" t="n">
        <f aca="false">IF($A11="","",IF(COUNTIFS(Data!$A$2:$A$1500,$A11,Data!$B$2:$B$1500,"Theta Xi",Data!$E$2:$E$1500,"&lt;&gt;")=0,"",SUMIFS(Data!$E$2:$E$1500,Data!$A$2:$A$1500,$A11,Data!$B$2:$B$1500,"Theta Xi")))</f>
        <v>3.167</v>
      </c>
      <c r="C11" s="5" t="n">
        <f aca="false">IF($A11="","",IFERROR(IF(INDEX('UNL Averages'!$C:$C,MATCH($A11,'UNL Averages'!$A:$A,0))="","",INDEX('UNL Averages'!$C:$C,MATCH($A11,'UNL Averages'!$A:$A,0))),""))</f>
        <v>3.221</v>
      </c>
      <c r="D11" s="6" t="n">
        <f aca="false">IF(OR(B11="",C11=""),"",B11-C11)</f>
        <v>-0.0540000000000003</v>
      </c>
      <c r="E11" s="5" t="n">
        <f aca="false">IF($A11="","",IFERROR(IF(INDEX('UNL Averages'!$B:$B,MATCH($A11,'UNL Averages'!$A:$A,0))="","",INDEX('UNL Averages'!$B:$B,MATCH($A11,'UNL Averages'!$A:$A,0))),""))</f>
        <v>3.084</v>
      </c>
      <c r="F11" s="7" t="str">
        <f aca="false">IF(OR(B11="",COUNTIFS(Data!$A$2:$A$1500,$A11,Data!$E$2:$E$1500,"&gt;0")&lt;5),"",COUNTIFS(Data!$A$2:$A$1500,$A11,Data!$E$2:$E$1500,"&gt;"&amp;B11)+1&amp;" of "&amp;COUNTIFS(Data!$A$2:$A$1500,$A11,Data!$E$2:$E$1500,"&gt;0"))</f>
        <v>14 of 25</v>
      </c>
      <c r="G11" s="8" t="n">
        <f aca="false">IF($A11="","",IF(COUNTIFS(Data!$A$2:$A$1500,$A11,Data!$B$2:$B$1500,"Theta Xi",Data!$C$2:$C$1500,"&lt;&gt;")=0,"",SUMIFS(Data!$C$2:$C$1500,Data!$A$2:$A$1500,$A11,Data!$B$2:$B$1500,"Theta Xi")))</f>
        <v>74</v>
      </c>
      <c r="H11" s="8" t="n">
        <f aca="false">IF($A11="","",IF(COUNTIFS(Data!$A$2:$A$1500,$A11,Data!$C$2:$C$1500,"&lt;&gt;")&lt;5,"",AVERAGEIFS(Data!$C$2:$C$1500,Data!$A$2:$A$1500,$A11)))</f>
        <v>70.36</v>
      </c>
      <c r="I11" s="8" t="n">
        <f aca="false">IF($A11="","",IF(COUNTIFS(Data!$A$2:$A$1500,$A11,Data!$B$2:$B$1500,"Theta Xi",Data!$D$2:$D$1500,"&lt;&gt;")=0,"",SUMIFS(Data!$D$2:$D$1500,Data!$A$2:$A$1500,$A11,Data!$B$2:$B$1500,"Theta Xi")))</f>
        <v>14</v>
      </c>
      <c r="J11" s="9" t="n">
        <f aca="false">IF($A11="","",IF(COUNTIFS(Data!$A$2:$A$1500,$A11,Data!$D$2:$D$1500,"&lt;&gt;")&lt;5,"",AVERAGEIFS(Data!$D$2:$D$1500,Data!$A$2:$A$1500,$A11)))</f>
        <v>21</v>
      </c>
      <c r="K11" s="7" t="str">
        <f aca="false">IF(OR(I11="",J11=""),"",COUNTIFS(Data!$A$2:$A$1500,$A11,Data!$D$2:$D$1500,"&gt;"&amp;I11)+1&amp;" of "&amp;COUNTIFS(Data!$A$2:$A$1500,$A11,Data!$D$2:$D$1500,"&gt;=0"))</f>
        <v>16 of 25</v>
      </c>
    </row>
    <row r="12" customFormat="false" ht="15" hidden="false" customHeight="false" outlineLevel="0" collapsed="false">
      <c r="A12" s="4" t="s">
        <v>19</v>
      </c>
      <c r="B12" s="5" t="n">
        <f aca="false">IF($A12="","",IF(COUNTIFS(Data!$A$2:$A$1500,$A12,Data!$B$2:$B$1500,"Theta Xi",Data!$E$2:$E$1500,"&lt;&gt;")=0,"",SUMIFS(Data!$E$2:$E$1500,Data!$A$2:$A$1500,$A12,Data!$B$2:$B$1500,"Theta Xi")))</f>
        <v>3.316</v>
      </c>
      <c r="C12" s="5" t="n">
        <f aca="false">IF($A12="","",IFERROR(IF(INDEX('UNL Averages'!$C:$C,MATCH($A12,'UNL Averages'!$A:$A,0))="","",INDEX('UNL Averages'!$C:$C,MATCH($A12,'UNL Averages'!$A:$A,0))),""))</f>
        <v>3.29</v>
      </c>
      <c r="D12" s="6" t="n">
        <f aca="false">IF(OR(B12="",C12=""),"",B12-C12)</f>
        <v>0.0259999999999998</v>
      </c>
      <c r="E12" s="5" t="n">
        <f aca="false">IF($A12="","",IFERROR(IF(INDEX('UNL Averages'!$B:$B,MATCH($A12,'UNL Averages'!$A:$A,0))="","",INDEX('UNL Averages'!$B:$B,MATCH($A12,'UNL Averages'!$A:$A,0))),""))</f>
        <v>3.161</v>
      </c>
      <c r="F12" s="7" t="str">
        <f aca="false">IF(OR(B12="",COUNTIFS(Data!$A$2:$A$1500,$A12,Data!$E$2:$E$1500,"&gt;0")&lt;5),"",COUNTIFS(Data!$A$2:$A$1500,$A12,Data!$E$2:$E$1500,"&gt;"&amp;B12)+1&amp;" of "&amp;COUNTIFS(Data!$A$2:$A$1500,$A12,Data!$E$2:$E$1500,"&gt;0"))</f>
        <v>10 of 25</v>
      </c>
      <c r="G12" s="8" t="n">
        <f aca="false">IF($A12="","",IF(COUNTIFS(Data!$A$2:$A$1500,$A12,Data!$B$2:$B$1500,"Theta Xi",Data!$C$2:$C$1500,"&lt;&gt;")=0,"",SUMIFS(Data!$C$2:$C$1500,Data!$A$2:$A$1500,$A12,Data!$B$2:$B$1500,"Theta Xi")))</f>
        <v>68</v>
      </c>
      <c r="H12" s="8" t="n">
        <f aca="false">IF($A12="","",IF(COUNTIFS(Data!$A$2:$A$1500,$A12,Data!$C$2:$C$1500,"&lt;&gt;")&lt;5,"",AVERAGEIFS(Data!$C$2:$C$1500,Data!$A$2:$A$1500,$A12)))</f>
        <v>68.56</v>
      </c>
      <c r="I12" s="8" t="n">
        <f aca="false">IF($A12="","",IF(COUNTIFS(Data!$A$2:$A$1500,$A12,Data!$B$2:$B$1500,"Theta Xi",Data!$D$2:$D$1500,"&lt;&gt;")=0,"",SUMIFS(Data!$D$2:$D$1500,Data!$A$2:$A$1500,$A12,Data!$B$2:$B$1500,"Theta Xi")))</f>
        <v>4</v>
      </c>
      <c r="J12" s="9" t="str">
        <f aca="false">IF($A12="","",IF(COUNTIFS(Data!$A$2:$A$1500,$A12,Data!$D$2:$D$1500,"&lt;&gt;")&lt;5,"",AVERAGEIFS(Data!$D$2:$D$1500,Data!$A$2:$A$1500,$A12)))</f>
        <v/>
      </c>
      <c r="K12" s="7" t="str">
        <f aca="false">IF(OR(I12="",J12=""),"",COUNTIFS(Data!$A$2:$A$1500,$A12,Data!$D$2:$D$1500,"&gt;"&amp;I12)+1&amp;" of "&amp;COUNTIFS(Data!$A$2:$A$1500,$A12,Data!$D$2:$D$1500,"&gt;=0"))</f>
        <v/>
      </c>
    </row>
    <row r="13" customFormat="false" ht="15" hidden="false" customHeight="false" outlineLevel="0" collapsed="false">
      <c r="A13" s="4" t="s">
        <v>20</v>
      </c>
      <c r="B13" s="5" t="n">
        <f aca="false">IF($A13="","",IF(COUNTIFS(Data!$A$2:$A$1500,$A13,Data!$B$2:$B$1500,"Theta Xi",Data!$E$2:$E$1500,"&lt;&gt;")=0,"",SUMIFS(Data!$E$2:$E$1500,Data!$A$2:$A$1500,$A13,Data!$B$2:$B$1500,"Theta Xi")))</f>
        <v>3.096</v>
      </c>
      <c r="C13" s="5" t="n">
        <f aca="false">IF($A13="","",IFERROR(IF(INDEX('UNL Averages'!$C:$C,MATCH($A13,'UNL Averages'!$A:$A,0))="","",INDEX('UNL Averages'!$C:$C,MATCH($A13,'UNL Averages'!$A:$A,0))),""))</f>
        <v>3.265</v>
      </c>
      <c r="D13" s="6" t="n">
        <f aca="false">IF(OR(B13="",C13=""),"",B13-C13)</f>
        <v>-0.169</v>
      </c>
      <c r="E13" s="5" t="n">
        <f aca="false">IF($A13="","",IFERROR(IF(INDEX('UNL Averages'!$B:$B,MATCH($A13,'UNL Averages'!$A:$A,0))="","",INDEX('UNL Averages'!$B:$B,MATCH($A13,'UNL Averages'!$A:$A,0))),""))</f>
        <v>3.131</v>
      </c>
      <c r="F13" s="7" t="str">
        <f aca="false">IF(OR(B13="",COUNTIFS(Data!$A$2:$A$1500,$A13,Data!$E$2:$E$1500,"&gt;0")&lt;5),"",COUNTIFS(Data!$A$2:$A$1500,$A13,Data!$E$2:$E$1500,"&gt;"&amp;B13)+1&amp;" of "&amp;COUNTIFS(Data!$A$2:$A$1500,$A13,Data!$E$2:$E$1500,"&gt;0"))</f>
        <v>18 of 24</v>
      </c>
      <c r="G13" s="8" t="n">
        <f aca="false">IF($A13="","",IF(COUNTIFS(Data!$A$2:$A$1500,$A13,Data!$B$2:$B$1500,"Theta Xi",Data!$C$2:$C$1500,"&lt;&gt;")=0,"",SUMIFS(Data!$C$2:$C$1500,Data!$A$2:$A$1500,$A13,Data!$B$2:$B$1500,"Theta Xi")))</f>
        <v>71</v>
      </c>
      <c r="H13" s="8" t="n">
        <f aca="false">IF($A13="","",IF(COUNTIFS(Data!$A$2:$A$1500,$A13,Data!$C$2:$C$1500,"&lt;&gt;")&lt;5,"",AVERAGEIFS(Data!$C$2:$C$1500,Data!$A$2:$A$1500,$A13)))</f>
        <v>74.25</v>
      </c>
      <c r="I13" s="8" t="n">
        <f aca="false">IF($A13="","",IF(COUNTIFS(Data!$A$2:$A$1500,$A13,Data!$B$2:$B$1500,"Theta Xi",Data!$D$2:$D$1500,"&lt;&gt;")=0,"",SUMIFS(Data!$D$2:$D$1500,Data!$A$2:$A$1500,$A13,Data!$B$2:$B$1500,"Theta Xi")))</f>
        <v>17</v>
      </c>
      <c r="J13" s="9" t="n">
        <f aca="false">IF($A13="","",IF(COUNTIFS(Data!$A$2:$A$1500,$A13,Data!$D$2:$D$1500,"&lt;&gt;")&lt;5,"",AVERAGEIFS(Data!$D$2:$D$1500,Data!$A$2:$A$1500,$A13)))</f>
        <v>19.7916666666667</v>
      </c>
      <c r="K13" s="7" t="str">
        <f aca="false">IF(OR(I13="",J13=""),"",COUNTIFS(Data!$A$2:$A$1500,$A13,Data!$D$2:$D$1500,"&gt;"&amp;I13)+1&amp;" of "&amp;COUNTIFS(Data!$A$2:$A$1500,$A13,Data!$D$2:$D$1500,"&gt;=0"))</f>
        <v>14 of 24</v>
      </c>
    </row>
    <row r="14" customFormat="false" ht="15" hidden="false" customHeight="false" outlineLevel="0" collapsed="false">
      <c r="A14" s="4" t="s">
        <v>21</v>
      </c>
      <c r="B14" s="5" t="n">
        <f aca="false">IF($A14="","",IF(COUNTIFS(Data!$A$2:$A$1500,$A14,Data!$B$2:$B$1500,"Theta Xi",Data!$E$2:$E$1500,"&lt;&gt;")=0,"",SUMIFS(Data!$E$2:$E$1500,Data!$A$2:$A$1500,$A14,Data!$B$2:$B$1500,"Theta Xi")))</f>
        <v>3.121</v>
      </c>
      <c r="C14" s="5" t="n">
        <f aca="false">IF($A14="","",IFERROR(IF(INDEX('UNL Averages'!$C:$C,MATCH($A14,'UNL Averages'!$A:$A,0))="","",INDEX('UNL Averages'!$C:$C,MATCH($A14,'UNL Averages'!$A:$A,0))),""))</f>
        <v>3.337</v>
      </c>
      <c r="D14" s="6" t="n">
        <f aca="false">IF(OR(B14="",C14=""),"",B14-C14)</f>
        <v>-0.216</v>
      </c>
      <c r="E14" s="5" t="n">
        <f aca="false">IF($A14="","",IFERROR(IF(INDEX('UNL Averages'!$B:$B,MATCH($A14,'UNL Averages'!$A:$A,0))="","",INDEX('UNL Averages'!$B:$B,MATCH($A14,'UNL Averages'!$A:$A,0))),""))</f>
        <v>3.198</v>
      </c>
      <c r="F14" s="7" t="str">
        <f aca="false">IF(OR(B14="",COUNTIFS(Data!$A$2:$A$1500,$A14,Data!$E$2:$E$1500,"&gt;0")&lt;5),"",COUNTIFS(Data!$A$2:$A$1500,$A14,Data!$E$2:$E$1500,"&gt;"&amp;B14)+1&amp;" of "&amp;COUNTIFS(Data!$A$2:$A$1500,$A14,Data!$E$2:$E$1500,"&gt;0"))</f>
        <v>19 of 25</v>
      </c>
      <c r="G14" s="8" t="n">
        <f aca="false">IF($A14="","",IF(COUNTIFS(Data!$A$2:$A$1500,$A14,Data!$B$2:$B$1500,"Theta Xi",Data!$C$2:$C$1500,"&lt;&gt;")=0,"",SUMIFS(Data!$C$2:$C$1500,Data!$A$2:$A$1500,$A14,Data!$B$2:$B$1500,"Theta Xi")))</f>
        <v>71</v>
      </c>
      <c r="H14" s="8" t="n">
        <f aca="false">IF($A14="","",IF(COUNTIFS(Data!$A$2:$A$1500,$A14,Data!$C$2:$C$1500,"&lt;&gt;")&lt;5,"",AVERAGEIFS(Data!$C$2:$C$1500,Data!$A$2:$A$1500,$A14)))</f>
        <v>67.72</v>
      </c>
      <c r="I14" s="8" t="n">
        <f aca="false">IF($A14="","",IF(COUNTIFS(Data!$A$2:$A$1500,$A14,Data!$B$2:$B$1500,"Theta Xi",Data!$D$2:$D$1500,"&lt;&gt;")=0,"",SUMIFS(Data!$D$2:$D$1500,Data!$A$2:$A$1500,$A14,Data!$B$2:$B$1500,"Theta Xi")))</f>
        <v>6</v>
      </c>
      <c r="J14" s="9" t="n">
        <f aca="false">IF($A14="","",IF(COUNTIFS(Data!$A$2:$A$1500,$A14,Data!$D$2:$D$1500,"&lt;&gt;")&lt;5,"",AVERAGEIFS(Data!$D$2:$D$1500,Data!$A$2:$A$1500,$A14)))</f>
        <v>5.94117647058824</v>
      </c>
      <c r="K14" s="7" t="str">
        <f aca="false">IF(OR(I14="",J14=""),"",COUNTIFS(Data!$A$2:$A$1500,$A14,Data!$D$2:$D$1500,"&gt;"&amp;I14)+1&amp;" of "&amp;COUNTIFS(Data!$A$2:$A$1500,$A14,Data!$D$2:$D$1500,"&gt;=0"))</f>
        <v>6 of 17</v>
      </c>
    </row>
    <row r="15" customFormat="false" ht="15" hidden="false" customHeight="false" outlineLevel="0" collapsed="false">
      <c r="A15" s="4" t="s">
        <v>22</v>
      </c>
      <c r="B15" s="5" t="n">
        <f aca="false">IF($A15="","",IF(COUNTIFS(Data!$A$2:$A$1500,$A15,Data!$B$2:$B$1500,"Theta Xi",Data!$E$2:$E$1500,"&lt;&gt;")=0,"",SUMIFS(Data!$E$2:$E$1500,Data!$A$2:$A$1500,$A15,Data!$B$2:$B$1500,"Theta Xi")))</f>
        <v>2.997</v>
      </c>
      <c r="C15" s="5" t="n">
        <f aca="false">IF($A15="","",IFERROR(IF(INDEX('UNL Averages'!$C:$C,MATCH($A15,'UNL Averages'!$A:$A,0))="","",INDEX('UNL Averages'!$C:$C,MATCH($A15,'UNL Averages'!$A:$A,0))),""))</f>
        <v>3.257</v>
      </c>
      <c r="D15" s="6" t="n">
        <f aca="false">IF(OR(B15="",C15=""),"",B15-C15)</f>
        <v>-0.26</v>
      </c>
      <c r="E15" s="5" t="n">
        <f aca="false">IF($A15="","",IFERROR(IF(INDEX('UNL Averages'!$B:$B,MATCH($A15,'UNL Averages'!$A:$A,0))="","",INDEX('UNL Averages'!$B:$B,MATCH($A15,'UNL Averages'!$A:$A,0))),""))</f>
        <v>3.132</v>
      </c>
      <c r="F15" s="7" t="str">
        <f aca="false">IF(OR(B15="",COUNTIFS(Data!$A$2:$A$1500,$A15,Data!$E$2:$E$1500,"&gt;0")&lt;5),"",COUNTIFS(Data!$A$2:$A$1500,$A15,Data!$E$2:$E$1500,"&gt;"&amp;B15)+1&amp;" of "&amp;COUNTIFS(Data!$A$2:$A$1500,$A15,Data!$E$2:$E$1500,"&gt;0"))</f>
        <v>19 of 25</v>
      </c>
      <c r="G15" s="8" t="n">
        <f aca="false">IF($A15="","",IF(COUNTIFS(Data!$A$2:$A$1500,$A15,Data!$B$2:$B$1500,"Theta Xi",Data!$C$2:$C$1500,"&lt;&gt;")=0,"",SUMIFS(Data!$C$2:$C$1500,Data!$A$2:$A$1500,$A15,Data!$B$2:$B$1500,"Theta Xi")))</f>
        <v>60</v>
      </c>
      <c r="H15" s="8" t="n">
        <f aca="false">IF($A15="","",IF(COUNTIFS(Data!$A$2:$A$1500,$A15,Data!$C$2:$C$1500,"&lt;&gt;")&lt;5,"",AVERAGEIFS(Data!$C$2:$C$1500,Data!$A$2:$A$1500,$A15)))</f>
        <v>72.32</v>
      </c>
      <c r="I15" s="8" t="n">
        <f aca="false">IF($A15="","",IF(COUNTIFS(Data!$A$2:$A$1500,$A15,Data!$B$2:$B$1500,"Theta Xi",Data!$D$2:$D$1500,"&lt;&gt;")=0,"",SUMIFS(Data!$D$2:$D$1500,Data!$A$2:$A$1500,$A15,Data!$B$2:$B$1500,"Theta Xi")))</f>
        <v>13</v>
      </c>
      <c r="J15" s="9" t="str">
        <f aca="false">IF($A15="","",IF(COUNTIFS(Data!$A$2:$A$1500,$A15,Data!$D$2:$D$1500,"&lt;&gt;")&lt;5,"",AVERAGEIFS(Data!$D$2:$D$1500,Data!$A$2:$A$1500,$A15)))</f>
        <v/>
      </c>
      <c r="K15" s="7" t="str">
        <f aca="false">IF(OR(I15="",J15=""),"",COUNTIFS(Data!$A$2:$A$1500,$A15,Data!$D$2:$D$1500,"&gt;"&amp;I15)+1&amp;" of "&amp;COUNTIFS(Data!$A$2:$A$1500,$A15,Data!$D$2:$D$1500,"&gt;=0"))</f>
        <v/>
      </c>
    </row>
    <row r="16" customFormat="false" ht="15" hidden="false" customHeight="false" outlineLevel="0" collapsed="false">
      <c r="A16" s="4" t="s">
        <v>23</v>
      </c>
      <c r="B16" s="5" t="n">
        <f aca="false">IF($A16="","",IF(COUNTIFS(Data!$A$2:$A$1500,$A16,Data!$B$2:$B$1500,"Theta Xi",Data!$E$2:$E$1500,"&lt;&gt;")=0,"",SUMIFS(Data!$E$2:$E$1500,Data!$A$2:$A$1500,$A16,Data!$B$2:$B$1500,"Theta Xi")))</f>
        <v>3.321</v>
      </c>
      <c r="C16" s="5" t="n">
        <f aca="false">IF($A16="","",IFERROR(IF(INDEX('UNL Averages'!$C:$C,MATCH($A16,'UNL Averages'!$A:$A,0))="","",INDEX('UNL Averages'!$C:$C,MATCH($A16,'UNL Averages'!$A:$A,0))),""))</f>
        <v>3.328</v>
      </c>
      <c r="D16" s="6" t="n">
        <f aca="false">IF(OR(B16="",C16=""),"",B16-C16)</f>
        <v>-0.00699999999999967</v>
      </c>
      <c r="E16" s="5" t="n">
        <f aca="false">IF($A16="","",IFERROR(IF(INDEX('UNL Averages'!$B:$B,MATCH($A16,'UNL Averages'!$A:$A,0))="","",INDEX('UNL Averages'!$B:$B,MATCH($A16,'UNL Averages'!$A:$A,0))),""))</f>
        <v>3.208</v>
      </c>
      <c r="F16" s="7" t="str">
        <f aca="false">IF(OR(B16="",COUNTIFS(Data!$A$2:$A$1500,$A16,Data!$E$2:$E$1500,"&gt;0")&lt;5),"",COUNTIFS(Data!$A$2:$A$1500,$A16,Data!$E$2:$E$1500,"&gt;"&amp;B16)+1&amp;" of "&amp;COUNTIFS(Data!$A$2:$A$1500,$A16,Data!$E$2:$E$1500,"&gt;0"))</f>
        <v>11 of 25</v>
      </c>
      <c r="G16" s="8" t="n">
        <f aca="false">IF($A16="","",IF(COUNTIFS(Data!$A$2:$A$1500,$A16,Data!$B$2:$B$1500,"Theta Xi",Data!$C$2:$C$1500,"&lt;&gt;")=0,"",SUMIFS(Data!$C$2:$C$1500,Data!$A$2:$A$1500,$A16,Data!$B$2:$B$1500,"Theta Xi")))</f>
        <v>48</v>
      </c>
      <c r="H16" s="8" t="n">
        <f aca="false">IF($A16="","",IF(COUNTIFS(Data!$A$2:$A$1500,$A16,Data!$C$2:$C$1500,"&lt;&gt;")&lt;5,"",AVERAGEIFS(Data!$C$2:$C$1500,Data!$A$2:$A$1500,$A16)))</f>
        <v>70.36</v>
      </c>
      <c r="I16" s="8" t="n">
        <f aca="false">IF($A16="","",IF(COUNTIFS(Data!$A$2:$A$1500,$A16,Data!$B$2:$B$1500,"Theta Xi",Data!$D$2:$D$1500,"&lt;&gt;")=0,"",SUMIFS(Data!$D$2:$D$1500,Data!$A$2:$A$1500,$A16,Data!$B$2:$B$1500,"Theta Xi")))</f>
        <v>5</v>
      </c>
      <c r="J16" s="9" t="n">
        <f aca="false">IF($A16="","",IF(COUNTIFS(Data!$A$2:$A$1500,$A16,Data!$D$2:$D$1500,"&lt;&gt;")&lt;5,"",AVERAGEIFS(Data!$D$2:$D$1500,Data!$A$2:$A$1500,$A16)))</f>
        <v>3.8</v>
      </c>
      <c r="K16" s="7" t="str">
        <f aca="false">IF(OR(I16="",J16=""),"",COUNTIFS(Data!$A$2:$A$1500,$A16,Data!$D$2:$D$1500,"&gt;"&amp;I16)+1&amp;" of "&amp;COUNTIFS(Data!$A$2:$A$1500,$A16,Data!$D$2:$D$1500,"&gt;=0"))</f>
        <v>5 of 25</v>
      </c>
    </row>
    <row r="17" customFormat="false" ht="15" hidden="false" customHeight="false" outlineLevel="0" collapsed="false">
      <c r="A17" s="4" t="s">
        <v>24</v>
      </c>
      <c r="B17" s="5" t="n">
        <f aca="false">IF($A17="","",IF(COUNTIFS(Data!$A$2:$A$1500,$A17,Data!$B$2:$B$1500,"Theta Xi",Data!$E$2:$E$1500,"&lt;&gt;")=0,"",SUMIFS(Data!$E$2:$E$1500,Data!$A$2:$A$1500,$A17,Data!$B$2:$B$1500,"Theta Xi")))</f>
        <v>3.216</v>
      </c>
      <c r="C17" s="5" t="n">
        <f aca="false">IF($A17="","",IFERROR(IF(INDEX('UNL Averages'!$C:$C,MATCH($A17,'UNL Averages'!$A:$A,0))="","",INDEX('UNL Averages'!$C:$C,MATCH($A17,'UNL Averages'!$A:$A,0))),""))</f>
        <v>3.35</v>
      </c>
      <c r="D17" s="6" t="n">
        <f aca="false">IF(OR(B17="",C17=""),"",B17-C17)</f>
        <v>-0.134</v>
      </c>
      <c r="E17" s="5" t="n">
        <f aca="false">IF($A17="","",IFERROR(IF(INDEX('UNL Averages'!$B:$B,MATCH($A17,'UNL Averages'!$A:$A,0))="","",INDEX('UNL Averages'!$B:$B,MATCH($A17,'UNL Averages'!$A:$A,0))),""))</f>
        <v>3.187</v>
      </c>
      <c r="F17" s="7" t="str">
        <f aca="false">IF(OR(B17="",COUNTIFS(Data!$A$2:$A$1500,$A17,Data!$E$2:$E$1500,"&gt;0")&lt;5),"",COUNTIFS(Data!$A$2:$A$1500,$A17,Data!$E$2:$E$1500,"&gt;"&amp;B17)+1&amp;" of "&amp;COUNTIFS(Data!$A$2:$A$1500,$A17,Data!$E$2:$E$1500,"&gt;0"))</f>
        <v>16 of 25</v>
      </c>
      <c r="G17" s="8" t="n">
        <f aca="false">IF($A17="","",IF(COUNTIFS(Data!$A$2:$A$1500,$A17,Data!$B$2:$B$1500,"Theta Xi",Data!$C$2:$C$1500,"&lt;&gt;")=0,"",SUMIFS(Data!$C$2:$C$1500,Data!$A$2:$A$1500,$A17,Data!$B$2:$B$1500,"Theta Xi")))</f>
        <v>48</v>
      </c>
      <c r="H17" s="8" t="n">
        <f aca="false">IF($A17="","",IF(COUNTIFS(Data!$A$2:$A$1500,$A17,Data!$C$2:$C$1500,"&lt;&gt;")&lt;5,"",AVERAGEIFS(Data!$C$2:$C$1500,Data!$A$2:$A$1500,$A17)))</f>
        <v>73.2307692307692</v>
      </c>
      <c r="I17" s="8" t="n">
        <f aca="false">IF($A17="","",IF(COUNTIFS(Data!$A$2:$A$1500,$A17,Data!$B$2:$B$1500,"Theta Xi",Data!$D$2:$D$1500,"&lt;&gt;")=0,"",SUMIFS(Data!$D$2:$D$1500,Data!$A$2:$A$1500,$A17,Data!$B$2:$B$1500,"Theta Xi")))</f>
        <v>12</v>
      </c>
      <c r="J17" s="9" t="n">
        <f aca="false">IF($A17="","",IF(COUNTIFS(Data!$A$2:$A$1500,$A17,Data!$D$2:$D$1500,"&lt;&gt;")&lt;5,"",AVERAGEIFS(Data!$D$2:$D$1500,Data!$A$2:$A$1500,$A17)))</f>
        <v>21.2692307692308</v>
      </c>
      <c r="K17" s="7" t="str">
        <f aca="false">IF(OR(I17="",J17=""),"",COUNTIFS(Data!$A$2:$A$1500,$A17,Data!$D$2:$D$1500,"&gt;"&amp;I17)+1&amp;" of "&amp;COUNTIFS(Data!$A$2:$A$1500,$A17,Data!$D$2:$D$1500,"&gt;=0"))</f>
        <v>16 of 26</v>
      </c>
    </row>
    <row r="18" customFormat="false" ht="15" hidden="false" customHeight="false" outlineLevel="0" collapsed="false">
      <c r="A18" s="4" t="s">
        <v>25</v>
      </c>
      <c r="B18" s="5" t="n">
        <f aca="false">IF($A18="","",IF(COUNTIFS(Data!$A$2:$A$1500,$A18,Data!$B$2:$B$1500,"Theta Xi",Data!$E$2:$E$1500,"&lt;&gt;")=0,"",SUMIFS(Data!$E$2:$E$1500,Data!$A$2:$A$1500,$A18,Data!$B$2:$B$1500,"Theta Xi")))</f>
        <v>3.053</v>
      </c>
      <c r="C18" s="5" t="n">
        <f aca="false">IF($A18="","",IFERROR(IF(INDEX('UNL Averages'!$C:$C,MATCH($A18,'UNL Averages'!$A:$A,0))="","",INDEX('UNL Averages'!$C:$C,MATCH($A18,'UNL Averages'!$A:$A,0))),""))</f>
        <v>3.367</v>
      </c>
      <c r="D18" s="6" t="n">
        <f aca="false">IF(OR(B18="",C18=""),"",B18-C18)</f>
        <v>-0.314</v>
      </c>
      <c r="E18" s="5" t="n">
        <f aca="false">IF($A18="","",IFERROR(IF(INDEX('UNL Averages'!$B:$B,MATCH($A18,'UNL Averages'!$A:$A,0))="","",INDEX('UNL Averages'!$B:$B,MATCH($A18,'UNL Averages'!$A:$A,0))),""))</f>
        <v>3.22</v>
      </c>
      <c r="F18" s="7" t="str">
        <f aca="false">IF(OR(B18="",COUNTIFS(Data!$A$2:$A$1500,$A18,Data!$E$2:$E$1500,"&gt;0")&lt;5),"",COUNTIFS(Data!$A$2:$A$1500,$A18,Data!$E$2:$E$1500,"&gt;"&amp;B18)+1&amp;" of "&amp;COUNTIFS(Data!$A$2:$A$1500,$A18,Data!$E$2:$E$1500,"&gt;0"))</f>
        <v>20 of 24</v>
      </c>
      <c r="G18" s="8" t="n">
        <f aca="false">IF($A18="","",IF(COUNTIFS(Data!$A$2:$A$1500,$A18,Data!$B$2:$B$1500,"Theta Xi",Data!$C$2:$C$1500,"&lt;&gt;")=0,"",SUMIFS(Data!$C$2:$C$1500,Data!$A$2:$A$1500,$A18,Data!$B$2:$B$1500,"Theta Xi")))</f>
        <v>48</v>
      </c>
      <c r="H18" s="8" t="n">
        <f aca="false">IF($A18="","",IF(COUNTIFS(Data!$A$2:$A$1500,$A18,Data!$C$2:$C$1500,"&lt;&gt;")&lt;5,"",AVERAGEIFS(Data!$C$2:$C$1500,Data!$A$2:$A$1500,$A18)))</f>
        <v>78.4166666666667</v>
      </c>
      <c r="I18" s="8" t="n">
        <f aca="false">IF($A18="","",IF(COUNTIFS(Data!$A$2:$A$1500,$A18,Data!$B$2:$B$1500,"Theta Xi",Data!$D$2:$D$1500,"&lt;&gt;")=0,"",SUMIFS(Data!$D$2:$D$1500,Data!$A$2:$A$1500,$A18,Data!$B$2:$B$1500,"Theta Xi")))</f>
        <v>3</v>
      </c>
      <c r="J18" s="9" t="n">
        <f aca="false">IF($A18="","",IF(COUNTIFS(Data!$A$2:$A$1500,$A18,Data!$D$2:$D$1500,"&lt;&gt;")&lt;5,"",AVERAGEIFS(Data!$D$2:$D$1500,Data!$A$2:$A$1500,$A18)))</f>
        <v>4.79166666666667</v>
      </c>
      <c r="K18" s="7" t="str">
        <f aca="false">IF(OR(I18="",J18=""),"",COUNTIFS(Data!$A$2:$A$1500,$A18,Data!$D$2:$D$1500,"&gt;"&amp;I18)+1&amp;" of "&amp;COUNTIFS(Data!$A$2:$A$1500,$A18,Data!$D$2:$D$1500,"&gt;=0"))</f>
        <v>16 of 24</v>
      </c>
    </row>
    <row r="19" customFormat="false" ht="15" hidden="false" customHeight="false" outlineLevel="0" collapsed="false">
      <c r="A19" s="4" t="s">
        <v>26</v>
      </c>
      <c r="B19" s="5" t="n">
        <f aca="false">IF($A19="","",IF(COUNTIFS(Data!$A$2:$A$1500,$A19,Data!$B$2:$B$1500,"Theta Xi",Data!$E$2:$E$1500,"&lt;&gt;")=0,"",SUMIFS(Data!$E$2:$E$1500,Data!$A$2:$A$1500,$A19,Data!$B$2:$B$1500,"Theta Xi")))</f>
        <v>3.033</v>
      </c>
      <c r="C19" s="5" t="n">
        <f aca="false">IF($A19="","",IFERROR(IF(INDEX('UNL Averages'!$C:$C,MATCH($A19,'UNL Averages'!$A:$A,0))="","",INDEX('UNL Averages'!$C:$C,MATCH($A19,'UNL Averages'!$A:$A,0))),""))</f>
        <v>3.316</v>
      </c>
      <c r="D19" s="6" t="n">
        <f aca="false">IF(OR(B19="",C19=""),"",B19-C19)</f>
        <v>-0.283</v>
      </c>
      <c r="E19" s="5" t="n">
        <f aca="false">IF($A19="","",IFERROR(IF(INDEX('UNL Averages'!$B:$B,MATCH($A19,'UNL Averages'!$A:$A,0))="","",INDEX('UNL Averages'!$B:$B,MATCH($A19,'UNL Averages'!$A:$A,0))),""))</f>
        <v>3.196</v>
      </c>
      <c r="F19" s="7" t="str">
        <f aca="false">IF(OR(B19="",COUNTIFS(Data!$A$2:$A$1500,$A19,Data!$E$2:$E$1500,"&gt;0")&lt;5),"",COUNTIFS(Data!$A$2:$A$1500,$A19,Data!$E$2:$E$1500,"&gt;"&amp;B19)+1&amp;" of "&amp;COUNTIFS(Data!$A$2:$A$1500,$A19,Data!$E$2:$E$1500,"&gt;0"))</f>
        <v>19 of 25</v>
      </c>
      <c r="G19" s="8" t="n">
        <f aca="false">IF($A19="","",IF(COUNTIFS(Data!$A$2:$A$1500,$A19,Data!$B$2:$B$1500,"Theta Xi",Data!$C$2:$C$1500,"&lt;&gt;")=0,"",SUMIFS(Data!$C$2:$C$1500,Data!$A$2:$A$1500,$A19,Data!$B$2:$B$1500,"Theta Xi")))</f>
        <v>44</v>
      </c>
      <c r="H19" s="8" t="n">
        <f aca="false">IF($A19="","",IF(COUNTIFS(Data!$A$2:$A$1500,$A19,Data!$C$2:$C$1500,"&lt;&gt;")&lt;5,"",AVERAGEIFS(Data!$C$2:$C$1500,Data!$A$2:$A$1500,$A19)))</f>
        <v>79.2</v>
      </c>
      <c r="I19" s="8" t="n">
        <f aca="false">IF($A19="","",IF(COUNTIFS(Data!$A$2:$A$1500,$A19,Data!$B$2:$B$1500,"Theta Xi",Data!$D$2:$D$1500,"&lt;&gt;")=0,"",SUMIFS(Data!$D$2:$D$1500,Data!$A$2:$A$1500,$A19,Data!$B$2:$B$1500,"Theta Xi")))</f>
        <v>12</v>
      </c>
      <c r="J19" s="9" t="n">
        <f aca="false">IF($A19="","",IF(COUNTIFS(Data!$A$2:$A$1500,$A19,Data!$D$2:$D$1500,"&lt;&gt;")&lt;5,"",AVERAGEIFS(Data!$D$2:$D$1500,Data!$A$2:$A$1500,$A19)))</f>
        <v>22.04</v>
      </c>
      <c r="K19" s="7" t="str">
        <f aca="false">IF(OR(I19="",J19=""),"",COUNTIFS(Data!$A$2:$A$1500,$A19,Data!$D$2:$D$1500,"&gt;"&amp;I19)+1&amp;" of "&amp;COUNTIFS(Data!$A$2:$A$1500,$A19,Data!$D$2:$D$1500,"&gt;=0"))</f>
        <v>17 of 25</v>
      </c>
    </row>
    <row r="20" customFormat="false" ht="15" hidden="false" customHeight="false" outlineLevel="0" collapsed="false">
      <c r="A20" s="4" t="s">
        <v>27</v>
      </c>
      <c r="B20" s="5" t="n">
        <f aca="false">IF($A20="","",IF(COUNTIFS(Data!$A$2:$A$1500,$A20,Data!$B$2:$B$1500,"Theta Xi",Data!$E$2:$E$1500,"&lt;&gt;")=0,"",SUMIFS(Data!$E$2:$E$1500,Data!$A$2:$A$1500,$A20,Data!$B$2:$B$1500,"Theta Xi")))</f>
        <v>3.163</v>
      </c>
      <c r="C20" s="5" t="n">
        <f aca="false">IF($A20="","",IFERROR(IF(INDEX('UNL Averages'!$C:$C,MATCH($A20,'UNL Averages'!$A:$A,0))="","",INDEX('UNL Averages'!$C:$C,MATCH($A20,'UNL Averages'!$A:$A,0))),""))</f>
        <v>3.384</v>
      </c>
      <c r="D20" s="6" t="n">
        <f aca="false">IF(OR(B20="",C20=""),"",B20-C20)</f>
        <v>-0.221</v>
      </c>
      <c r="E20" s="5" t="n">
        <f aca="false">IF($A20="","",IFERROR(IF(INDEX('UNL Averages'!$B:$B,MATCH($A20,'UNL Averages'!$A:$A,0))="","",INDEX('UNL Averages'!$B:$B,MATCH($A20,'UNL Averages'!$A:$A,0))),""))</f>
        <v>3.226</v>
      </c>
      <c r="F20" s="7" t="str">
        <f aca="false">IF(OR(B20="",COUNTIFS(Data!$A$2:$A$1500,$A20,Data!$E$2:$E$1500,"&gt;0")&lt;5),"",COUNTIFS(Data!$A$2:$A$1500,$A20,Data!$E$2:$E$1500,"&gt;"&amp;B20)+1&amp;" of "&amp;COUNTIFS(Data!$A$2:$A$1500,$A20,Data!$E$2:$E$1500,"&gt;0"))</f>
        <v>17 of 23</v>
      </c>
      <c r="G20" s="8" t="n">
        <f aca="false">IF($A20="","",IF(COUNTIFS(Data!$A$2:$A$1500,$A20,Data!$B$2:$B$1500,"Theta Xi",Data!$C$2:$C$1500,"&lt;&gt;")=0,"",SUMIFS(Data!$C$2:$C$1500,Data!$A$2:$A$1500,$A20,Data!$B$2:$B$1500,"Theta Xi")))</f>
        <v>43</v>
      </c>
      <c r="H20" s="8" t="n">
        <f aca="false">IF($A20="","",IF(COUNTIFS(Data!$A$2:$A$1500,$A20,Data!$C$2:$C$1500,"&lt;&gt;")&lt;5,"",AVERAGEIFS(Data!$C$2:$C$1500,Data!$A$2:$A$1500,$A20)))</f>
        <v>76.3478260869565</v>
      </c>
      <c r="I20" s="8" t="n">
        <f aca="false">IF($A20="","",IF(COUNTIFS(Data!$A$2:$A$1500,$A20,Data!$B$2:$B$1500,"Theta Xi",Data!$D$2:$D$1500,"&lt;&gt;")=0,"",SUMIFS(Data!$D$2:$D$1500,Data!$A$2:$A$1500,$A20,Data!$B$2:$B$1500,"Theta Xi")))</f>
        <v>6</v>
      </c>
      <c r="J20" s="9" t="n">
        <f aca="false">IF($A20="","",IF(COUNTIFS(Data!$A$2:$A$1500,$A20,Data!$D$2:$D$1500,"&lt;&gt;")&lt;5,"",AVERAGEIFS(Data!$D$2:$D$1500,Data!$A$2:$A$1500,$A20)))</f>
        <v>4.1304347826087</v>
      </c>
      <c r="K20" s="7" t="str">
        <f aca="false">IF(OR(I20="",J20=""),"",COUNTIFS(Data!$A$2:$A$1500,$A20,Data!$D$2:$D$1500,"&gt;"&amp;I20)+1&amp;" of "&amp;COUNTIFS(Data!$A$2:$A$1500,$A20,Data!$D$2:$D$1500,"&gt;=0"))</f>
        <v>5 of 23</v>
      </c>
    </row>
    <row r="21" customFormat="false" ht="15" hidden="false" customHeight="false" outlineLevel="0" collapsed="false">
      <c r="A21" s="4"/>
      <c r="B21" s="5" t="str">
        <f aca="false">IF($A21="","",IF(COUNTIFS(Data!$A$2:$A$1500,$A21,Data!$B$2:$B$1500,"Theta Xi",Data!$E$2:$E$1500,"&lt;&gt;")=0,"",SUMIFS(Data!$E$2:$E$1500,Data!$A$2:$A$1500,$A21,Data!$B$2:$B$1500,"Theta Xi")))</f>
        <v/>
      </c>
      <c r="C21" s="5" t="str">
        <f aca="false">IF($A21="","",IFERROR(IF(INDEX('UNL Averages'!$C:$C,MATCH($A21,'UNL Averages'!$A:$A,0))="","",INDEX('UNL Averages'!$C:$C,MATCH($A21,'UNL Averages'!$A:$A,0))),""))</f>
        <v/>
      </c>
      <c r="D21" s="6" t="str">
        <f aca="false">IF(OR(B21="",C21=""),"",B21-C21)</f>
        <v/>
      </c>
      <c r="E21" s="5" t="str">
        <f aca="false">IF($A21="","",IFERROR(IF(INDEX('UNL Averages'!$B:$B,MATCH($A21,'UNL Averages'!$A:$A,0))="","",INDEX('UNL Averages'!$B:$B,MATCH($A21,'UNL Averages'!$A:$A,0))),""))</f>
        <v/>
      </c>
      <c r="F21" s="7" t="str">
        <f aca="false">IF(OR(B21="",COUNTIFS(Data!$A$2:$A$1500,$A21,Data!$E$2:$E$1500,"&gt;0")&lt;5),"",COUNTIFS(Data!$A$2:$A$1500,$A21,Data!$E$2:$E$1500,"&gt;"&amp;B21)+1&amp;" of "&amp;COUNTIFS(Data!$A$2:$A$1500,$A21,Data!$E$2:$E$1500,"&gt;0"))</f>
        <v/>
      </c>
      <c r="G21" s="8" t="str">
        <f aca="false">IF($A21="","",IF(COUNTIFS(Data!$A$2:$A$1500,$A21,Data!$B$2:$B$1500,"Theta Xi",Data!$C$2:$C$1500,"&lt;&gt;")=0,"",SUMIFS(Data!$C$2:$C$1500,Data!$A$2:$A$1500,$A21,Data!$B$2:$B$1500,"Theta Xi")))</f>
        <v/>
      </c>
      <c r="H21" s="8" t="str">
        <f aca="false">IF($A21="","",IF(COUNTIFS(Data!$A$2:$A$1500,$A21,Data!$C$2:$C$1500,"&lt;&gt;")&lt;5,"",AVERAGEIFS(Data!$C$2:$C$1500,Data!$A$2:$A$1500,$A21)))</f>
        <v/>
      </c>
      <c r="I21" s="8" t="str">
        <f aca="false">IF($A21="","",IF(COUNTIFS(Data!$A$2:$A$1500,$A21,Data!$B$2:$B$1500,"Theta Xi",Data!$D$2:$D$1500,"&lt;&gt;")=0,"",SUMIFS(Data!$D$2:$D$1500,Data!$A$2:$A$1500,$A21,Data!$B$2:$B$1500,"Theta Xi")))</f>
        <v/>
      </c>
      <c r="J21" s="9" t="str">
        <f aca="false">IF($A21="","",IF(COUNTIFS(Data!$A$2:$A$1500,$A21,Data!$D$2:$D$1500,"&lt;&gt;")&lt;5,"",AVERAGEIFS(Data!$D$2:$D$1500,Data!$A$2:$A$1500,$A21)))</f>
        <v/>
      </c>
      <c r="K21" s="7" t="str">
        <f aca="false">IF(OR(I21="",J21=""),"",COUNTIFS(Data!$A$2:$A$1500,$A21,Data!$D$2:$D$1500,"&gt;"&amp;I21)+1&amp;" of "&amp;COUNTIFS(Data!$A$2:$A$1500,$A21,Data!$D$2:$D$1500,"&gt;=0"))</f>
        <v/>
      </c>
    </row>
    <row r="22" customFormat="false" ht="15" hidden="false" customHeight="false" outlineLevel="0" collapsed="false">
      <c r="A22" s="4"/>
      <c r="B22" s="5" t="str">
        <f aca="false">IF($A22="","",IF(COUNTIFS(Data!$A$2:$A$1500,$A22,Data!$B$2:$B$1500,"Theta Xi",Data!$E$2:$E$1500,"&lt;&gt;")=0,"",SUMIFS(Data!$E$2:$E$1500,Data!$A$2:$A$1500,$A22,Data!$B$2:$B$1500,"Theta Xi")))</f>
        <v/>
      </c>
      <c r="C22" s="5" t="str">
        <f aca="false">IF($A22="","",IFERROR(IF(INDEX('UNL Averages'!$C:$C,MATCH($A22,'UNL Averages'!$A:$A,0))="","",INDEX('UNL Averages'!$C:$C,MATCH($A22,'UNL Averages'!$A:$A,0))),""))</f>
        <v/>
      </c>
      <c r="D22" s="6" t="str">
        <f aca="false">IF(OR(B22="",C22=""),"",B22-C22)</f>
        <v/>
      </c>
      <c r="E22" s="5" t="str">
        <f aca="false">IF($A22="","",IFERROR(IF(INDEX('UNL Averages'!$B:$B,MATCH($A22,'UNL Averages'!$A:$A,0))="","",INDEX('UNL Averages'!$B:$B,MATCH($A22,'UNL Averages'!$A:$A,0))),""))</f>
        <v/>
      </c>
      <c r="F22" s="7" t="str">
        <f aca="false">IF(OR(B22="",COUNTIFS(Data!$A$2:$A$1500,$A22,Data!$E$2:$E$1500,"&gt;0")&lt;5),"",COUNTIFS(Data!$A$2:$A$1500,$A22,Data!$E$2:$E$1500,"&gt;"&amp;B22)+1&amp;" of "&amp;COUNTIFS(Data!$A$2:$A$1500,$A22,Data!$E$2:$E$1500,"&gt;0"))</f>
        <v/>
      </c>
      <c r="G22" s="8" t="str">
        <f aca="false">IF($A22="","",IF(COUNTIFS(Data!$A$2:$A$1500,$A22,Data!$B$2:$B$1500,"Theta Xi",Data!$C$2:$C$1500,"&lt;&gt;")=0,"",SUMIFS(Data!$C$2:$C$1500,Data!$A$2:$A$1500,$A22,Data!$B$2:$B$1500,"Theta Xi")))</f>
        <v/>
      </c>
      <c r="H22" s="8" t="str">
        <f aca="false">IF($A22="","",IF(COUNTIFS(Data!$A$2:$A$1500,$A22,Data!$C$2:$C$1500,"&lt;&gt;")&lt;5,"",AVERAGEIFS(Data!$C$2:$C$1500,Data!$A$2:$A$1500,$A22)))</f>
        <v/>
      </c>
      <c r="I22" s="8" t="str">
        <f aca="false">IF($A22="","",IF(COUNTIFS(Data!$A$2:$A$1500,$A22,Data!$B$2:$B$1500,"Theta Xi",Data!$D$2:$D$1500,"&lt;&gt;")=0,"",SUMIFS(Data!$D$2:$D$1500,Data!$A$2:$A$1500,$A22,Data!$B$2:$B$1500,"Theta Xi")))</f>
        <v/>
      </c>
      <c r="J22" s="9" t="str">
        <f aca="false">IF($A22="","",IF(COUNTIFS(Data!$A$2:$A$1500,$A22,Data!$D$2:$D$1500,"&lt;&gt;")&lt;5,"",AVERAGEIFS(Data!$D$2:$D$1500,Data!$A$2:$A$1500,$A22)))</f>
        <v/>
      </c>
      <c r="K22" s="7" t="str">
        <f aca="false">IF(OR(I22="",J22=""),"",COUNTIFS(Data!$A$2:$A$1500,$A22,Data!$D$2:$D$1500,"&gt;"&amp;I22)+1&amp;" of "&amp;COUNTIFS(Data!$A$2:$A$1500,$A22,Data!$D$2:$D$1500,"&gt;=0"))</f>
        <v/>
      </c>
    </row>
    <row r="23" customFormat="false" ht="15" hidden="false" customHeight="false" outlineLevel="0" collapsed="false">
      <c r="A23" s="4"/>
      <c r="B23" s="5" t="str">
        <f aca="false">IF($A23="","",IF(COUNTIFS(Data!$A$2:$A$1500,$A23,Data!$B$2:$B$1500,"Theta Xi",Data!$E$2:$E$1500,"&lt;&gt;")=0,"",SUMIFS(Data!$E$2:$E$1500,Data!$A$2:$A$1500,$A23,Data!$B$2:$B$1500,"Theta Xi")))</f>
        <v/>
      </c>
      <c r="C23" s="5" t="str">
        <f aca="false">IF($A23="","",IFERROR(IF(INDEX('UNL Averages'!$C:$C,MATCH($A23,'UNL Averages'!$A:$A,0))="","",INDEX('UNL Averages'!$C:$C,MATCH($A23,'UNL Averages'!$A:$A,0))),""))</f>
        <v/>
      </c>
      <c r="D23" s="6" t="str">
        <f aca="false">IF(OR(B23="",C23=""),"",B23-C23)</f>
        <v/>
      </c>
      <c r="E23" s="5" t="str">
        <f aca="false">IF($A23="","",IFERROR(IF(INDEX('UNL Averages'!$B:$B,MATCH($A23,'UNL Averages'!$A:$A,0))="","",INDEX('UNL Averages'!$B:$B,MATCH($A23,'UNL Averages'!$A:$A,0))),""))</f>
        <v/>
      </c>
      <c r="F23" s="7" t="str">
        <f aca="false">IF(OR(B23="",COUNTIFS(Data!$A$2:$A$1500,$A23,Data!$E$2:$E$1500,"&gt;0")&lt;5),"",COUNTIFS(Data!$A$2:$A$1500,$A23,Data!$E$2:$E$1500,"&gt;"&amp;B23)+1&amp;" of "&amp;COUNTIFS(Data!$A$2:$A$1500,$A23,Data!$E$2:$E$1500,"&gt;0"))</f>
        <v/>
      </c>
      <c r="G23" s="8" t="str">
        <f aca="false">IF($A23="","",IF(COUNTIFS(Data!$A$2:$A$1500,$A23,Data!$B$2:$B$1500,"Theta Xi",Data!$C$2:$C$1500,"&lt;&gt;")=0,"",SUMIFS(Data!$C$2:$C$1500,Data!$A$2:$A$1500,$A23,Data!$B$2:$B$1500,"Theta Xi")))</f>
        <v/>
      </c>
      <c r="H23" s="8" t="str">
        <f aca="false">IF($A23="","",IF(COUNTIFS(Data!$A$2:$A$1500,$A23,Data!$C$2:$C$1500,"&lt;&gt;")&lt;5,"",AVERAGEIFS(Data!$C$2:$C$1500,Data!$A$2:$A$1500,$A23)))</f>
        <v/>
      </c>
      <c r="I23" s="8" t="str">
        <f aca="false">IF($A23="","",IF(COUNTIFS(Data!$A$2:$A$1500,$A23,Data!$B$2:$B$1500,"Theta Xi",Data!$D$2:$D$1500,"&lt;&gt;")=0,"",SUMIFS(Data!$D$2:$D$1500,Data!$A$2:$A$1500,$A23,Data!$B$2:$B$1500,"Theta Xi")))</f>
        <v/>
      </c>
      <c r="J23" s="9" t="str">
        <f aca="false">IF($A23="","",IF(COUNTIFS(Data!$A$2:$A$1500,$A23,Data!$D$2:$D$1500,"&lt;&gt;")&lt;5,"",AVERAGEIFS(Data!$D$2:$D$1500,Data!$A$2:$A$1500,$A23)))</f>
        <v/>
      </c>
      <c r="K23" s="7" t="str">
        <f aca="false">IF(OR(I23="",J23=""),"",COUNTIFS(Data!$A$2:$A$1500,$A23,Data!$D$2:$D$1500,"&gt;"&amp;I23)+1&amp;" of "&amp;COUNTIFS(Data!$A$2:$A$1500,$A23,Data!$D$2:$D$1500,"&gt;=0"))</f>
        <v/>
      </c>
    </row>
    <row r="24" customFormat="false" ht="15" hidden="false" customHeight="false" outlineLevel="0" collapsed="false">
      <c r="A24" s="4"/>
      <c r="B24" s="5" t="str">
        <f aca="false">IF($A24="","",IF(COUNTIFS(Data!$A$2:$A$1500,$A24,Data!$B$2:$B$1500,"Theta Xi",Data!$E$2:$E$1500,"&lt;&gt;")=0,"",SUMIFS(Data!$E$2:$E$1500,Data!$A$2:$A$1500,$A24,Data!$B$2:$B$1500,"Theta Xi")))</f>
        <v/>
      </c>
      <c r="C24" s="5" t="str">
        <f aca="false">IF($A24="","",IFERROR(IF(INDEX('UNL Averages'!$C:$C,MATCH($A24,'UNL Averages'!$A:$A,0))="","",INDEX('UNL Averages'!$C:$C,MATCH($A24,'UNL Averages'!$A:$A,0))),""))</f>
        <v/>
      </c>
      <c r="D24" s="6" t="str">
        <f aca="false">IF(OR(B24="",C24=""),"",B24-C24)</f>
        <v/>
      </c>
      <c r="E24" s="5" t="str">
        <f aca="false">IF($A24="","",IFERROR(IF(INDEX('UNL Averages'!$B:$B,MATCH($A24,'UNL Averages'!$A:$A,0))="","",INDEX('UNL Averages'!$B:$B,MATCH($A24,'UNL Averages'!$A:$A,0))),""))</f>
        <v/>
      </c>
      <c r="F24" s="7" t="str">
        <f aca="false">IF(OR(B24="",COUNTIFS(Data!$A$2:$A$1500,$A24,Data!$E$2:$E$1500,"&gt;0")&lt;5),"",COUNTIFS(Data!$A$2:$A$1500,$A24,Data!$E$2:$E$1500,"&gt;"&amp;B24)+1&amp;" of "&amp;COUNTIFS(Data!$A$2:$A$1500,$A24,Data!$E$2:$E$1500,"&gt;0"))</f>
        <v/>
      </c>
      <c r="G24" s="8" t="str">
        <f aca="false">IF($A24="","",IF(COUNTIFS(Data!$A$2:$A$1500,$A24,Data!$B$2:$B$1500,"Theta Xi",Data!$C$2:$C$1500,"&lt;&gt;")=0,"",SUMIFS(Data!$C$2:$C$1500,Data!$A$2:$A$1500,$A24,Data!$B$2:$B$1500,"Theta Xi")))</f>
        <v/>
      </c>
      <c r="H24" s="8" t="str">
        <f aca="false">IF($A24="","",IF(COUNTIFS(Data!$A$2:$A$1500,$A24,Data!$C$2:$C$1500,"&lt;&gt;")&lt;5,"",AVERAGEIFS(Data!$C$2:$C$1500,Data!$A$2:$A$1500,$A24)))</f>
        <v/>
      </c>
      <c r="I24" s="8" t="str">
        <f aca="false">IF($A24="","",IF(COUNTIFS(Data!$A$2:$A$1500,$A24,Data!$B$2:$B$1500,"Theta Xi",Data!$D$2:$D$1500,"&lt;&gt;")=0,"",SUMIFS(Data!$D$2:$D$1500,Data!$A$2:$A$1500,$A24,Data!$B$2:$B$1500,"Theta Xi")))</f>
        <v/>
      </c>
      <c r="J24" s="9" t="str">
        <f aca="false">IF($A24="","",IF(COUNTIFS(Data!$A$2:$A$1500,$A24,Data!$D$2:$D$1500,"&lt;&gt;")&lt;5,"",AVERAGEIFS(Data!$D$2:$D$1500,Data!$A$2:$A$1500,$A24)))</f>
        <v/>
      </c>
      <c r="K24" s="7" t="str">
        <f aca="false">IF(OR(I24="",J24=""),"",COUNTIFS(Data!$A$2:$A$1500,$A24,Data!$D$2:$D$1500,"&gt;"&amp;I24)+1&amp;" of "&amp;COUNTIFS(Data!$A$2:$A$1500,$A24,Data!$D$2:$D$1500,"&gt;=0"))</f>
        <v/>
      </c>
    </row>
    <row r="25" customFormat="false" ht="15" hidden="false" customHeight="false" outlineLevel="0" collapsed="false">
      <c r="A25" s="2" t="s">
        <v>28</v>
      </c>
    </row>
  </sheetData>
  <conditionalFormatting sqref="D5:D24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07F"/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8" min="5" style="0" width="10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42" hidden="false" customHeight="true" outlineLevel="0" collapsed="false">
      <c r="A4" s="3" t="s">
        <v>31</v>
      </c>
      <c r="B4" s="3" t="s">
        <v>32</v>
      </c>
      <c r="C4" s="3" t="s">
        <v>33</v>
      </c>
      <c r="D4" s="3" t="s">
        <v>11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</row>
    <row r="5" customFormat="false" ht="15" hidden="false" customHeight="false" outlineLevel="0" collapsed="false">
      <c r="A5" s="4" t="n">
        <v>2011</v>
      </c>
      <c r="B5" s="10"/>
      <c r="C5" s="8" t="n">
        <f aca="false">IF(OR(IF(COUNTIFS(Data!$A$2:$A$1500,"Spring "&amp;$A5,Data!$B$2:$B$1500,"Theta Xi",Data!$D$2:$D$1500,"&lt;&gt;")=0,"",SUMIFS(Data!$D$2:$D$1500,Data!$A$2:$A$1500,"Spring "&amp;$A5,Data!$B$2:$B$1500,"Theta Xi"))="",IF(COUNTIFS(Data!$A$2:$A$1500,"Fall "&amp;$A5,Data!$B$2:$B$1500,"Theta Xi",Data!$D$2:$D$1500,"&lt;&gt;")=0,"",SUMIFS(Data!$D$2:$D$1500,Data!$A$2:$A$1500,"Fall "&amp;$A5,Data!$B$2:$B$1500,"Theta Xi"))=""),"",IF(COUNTIFS(Data!$A$2:$A$1500,"Spring "&amp;$A5,Data!$B$2:$B$1500,"Theta Xi",Data!$D$2:$D$1500,"&lt;&gt;")=0,"",SUMIFS(Data!$D$2:$D$1500,Data!$A$2:$A$1500,"Spring "&amp;$A5,Data!$B$2:$B$1500,"Theta Xi"))+IF(COUNTIFS(Data!$A$2:$A$1500,"Fall "&amp;$A5,Data!$B$2:$B$1500,"Theta Xi",Data!$D$2:$D$1500,"&lt;&gt;")=0,"",SUMIFS(Data!$D$2:$D$1500,Data!$A$2:$A$1500,"Fall "&amp;$A5,Data!$B$2:$B$1500,"Theta Xi")))</f>
        <v>15</v>
      </c>
      <c r="D5" s="9" t="str">
        <f aca="false">IF(OR(IF(COUNTIFS(Data!$A$2:$A$1500,"Spring "&amp;$A5,Data!$D$2:$D$1500,"&lt;&gt;")&lt;5,"",AVERAGEIFS(Data!$D$2:$D$1500,Data!$A$2:$A$1500,"Spring "&amp;$A5))="",IF(COUNTIFS(Data!$A$2:$A$1500,"Fall "&amp;$A5,Data!$D$2:$D$1500,"&lt;&gt;")&lt;5,"",AVERAGEIFS(Data!$D$2:$D$1500,Data!$A$2:$A$1500,"Fall "&amp;$A5))=""),"",IF(COUNTIFS(Data!$A$2:$A$1500,"Spring "&amp;$A5,Data!$D$2:$D$1500,"&lt;&gt;")&lt;5,"",AVERAGEIFS(Data!$D$2:$D$1500,Data!$A$2:$A$1500,"Spring "&amp;$A5))+IF(COUNTIFS(Data!$A$2:$A$1500,"Fall "&amp;$A5,Data!$D$2:$D$1500,"&lt;&gt;")&lt;5,"",AVERAGEIFS(Data!$D$2:$D$1500,Data!$A$2:$A$1500,"Fall "&amp;$A5)))</f>
        <v/>
      </c>
      <c r="E5" s="11" t="str">
        <f aca="false">IF(OR(C5="",D5=""),"",C5/D5)</f>
        <v/>
      </c>
      <c r="F5" s="8" t="n">
        <f aca="false">IF(COUNTIFS(Data!$A$2:$A$1500,"Fall "&amp;($A5-1),Data!$B$2:$B$1500,"Theta Xi",Data!$C$2:$C$1500,"&lt;&gt;")=0,"",SUMIFS(Data!$C$2:$C$1500,Data!$A$2:$A$1500,"Fall "&amp;($A5-1),Data!$B$2:$B$1500,"Theta Xi"))</f>
        <v>40</v>
      </c>
      <c r="G5" s="11" t="n">
        <f aca="false">IF(OR(C5="",F5=""),"",C5/F5)</f>
        <v>0.375</v>
      </c>
      <c r="H5" s="8" t="n">
        <f aca="false">IF(COUNTIFS(Data!$A$2:$A$1500,"Fall "&amp;$A5,Data!$B$2:$B$1500,"Theta Xi",Data!$C$2:$C$1500,"&lt;&gt;")=0,"",SUMIFS(Data!$C$2:$C$1500,Data!$A$2:$A$1500,"Fall "&amp;$A5,Data!$B$2:$B$1500,"Theta Xi"))</f>
        <v>37</v>
      </c>
      <c r="I5" s="12" t="n">
        <f aca="false">IF(OR(F5="",H5=""),"",H5-F5)</f>
        <v>-3</v>
      </c>
    </row>
    <row r="6" customFormat="false" ht="15" hidden="false" customHeight="false" outlineLevel="0" collapsed="false">
      <c r="A6" s="4" t="n">
        <v>2012</v>
      </c>
      <c r="B6" s="10"/>
      <c r="C6" s="8" t="n">
        <f aca="false">IF(OR(IF(COUNTIFS(Data!$A$2:$A$1500,"Spring "&amp;$A6,Data!$B$2:$B$1500,"Theta Xi",Data!$D$2:$D$1500,"&lt;&gt;")=0,"",SUMIFS(Data!$D$2:$D$1500,Data!$A$2:$A$1500,"Spring "&amp;$A6,Data!$B$2:$B$1500,"Theta Xi"))="",IF(COUNTIFS(Data!$A$2:$A$1500,"Fall "&amp;$A6,Data!$B$2:$B$1500,"Theta Xi",Data!$D$2:$D$1500,"&lt;&gt;")=0,"",SUMIFS(Data!$D$2:$D$1500,Data!$A$2:$A$1500,"Fall "&amp;$A6,Data!$B$2:$B$1500,"Theta Xi"))=""),"",IF(COUNTIFS(Data!$A$2:$A$1500,"Spring "&amp;$A6,Data!$B$2:$B$1500,"Theta Xi",Data!$D$2:$D$1500,"&lt;&gt;")=0,"",SUMIFS(Data!$D$2:$D$1500,Data!$A$2:$A$1500,"Spring "&amp;$A6,Data!$B$2:$B$1500,"Theta Xi"))+IF(COUNTIFS(Data!$A$2:$A$1500,"Fall "&amp;$A6,Data!$B$2:$B$1500,"Theta Xi",Data!$D$2:$D$1500,"&lt;&gt;")=0,"",SUMIFS(Data!$D$2:$D$1500,Data!$A$2:$A$1500,"Fall "&amp;$A6,Data!$B$2:$B$1500,"Theta Xi")))</f>
        <v>7</v>
      </c>
      <c r="D6" s="9" t="str">
        <f aca="false">IF(OR(IF(COUNTIFS(Data!$A$2:$A$1500,"Spring "&amp;$A6,Data!$D$2:$D$1500,"&lt;&gt;")&lt;5,"",AVERAGEIFS(Data!$D$2:$D$1500,Data!$A$2:$A$1500,"Spring "&amp;$A6))="",IF(COUNTIFS(Data!$A$2:$A$1500,"Fall "&amp;$A6,Data!$D$2:$D$1500,"&lt;&gt;")&lt;5,"",AVERAGEIFS(Data!$D$2:$D$1500,Data!$A$2:$A$1500,"Fall "&amp;$A6))=""),"",IF(COUNTIFS(Data!$A$2:$A$1500,"Spring "&amp;$A6,Data!$D$2:$D$1500,"&lt;&gt;")&lt;5,"",AVERAGEIFS(Data!$D$2:$D$1500,Data!$A$2:$A$1500,"Spring "&amp;$A6))+IF(COUNTIFS(Data!$A$2:$A$1500,"Fall "&amp;$A6,Data!$D$2:$D$1500,"&lt;&gt;")&lt;5,"",AVERAGEIFS(Data!$D$2:$D$1500,Data!$A$2:$A$1500,"Fall "&amp;$A6)))</f>
        <v/>
      </c>
      <c r="E6" s="11" t="str">
        <f aca="false">IF(OR(C6="",D6=""),"",C6/D6)</f>
        <v/>
      </c>
      <c r="F6" s="8" t="n">
        <f aca="false">IF(COUNTIFS(Data!$A$2:$A$1500,"Fall "&amp;($A6-1),Data!$B$2:$B$1500,"Theta Xi",Data!$C$2:$C$1500,"&lt;&gt;")=0,"",SUMIFS(Data!$C$2:$C$1500,Data!$A$2:$A$1500,"Fall "&amp;($A6-1),Data!$B$2:$B$1500,"Theta Xi"))</f>
        <v>37</v>
      </c>
      <c r="G6" s="11" t="n">
        <f aca="false">IF(OR(C6="",F6=""),"",C6/F6)</f>
        <v>0.189189189189189</v>
      </c>
      <c r="H6" s="8" t="n">
        <f aca="false">IF(COUNTIFS(Data!$A$2:$A$1500,"Fall "&amp;$A6,Data!$B$2:$B$1500,"Theta Xi",Data!$C$2:$C$1500,"&lt;&gt;")=0,"",SUMIFS(Data!$C$2:$C$1500,Data!$A$2:$A$1500,"Fall "&amp;$A6,Data!$B$2:$B$1500,"Theta Xi"))</f>
        <v>36</v>
      </c>
      <c r="I6" s="12" t="n">
        <f aca="false">IF(OR(F6="",H6=""),"",H6-F6)</f>
        <v>-1</v>
      </c>
    </row>
    <row r="7" customFormat="false" ht="15" hidden="false" customHeight="false" outlineLevel="0" collapsed="false">
      <c r="A7" s="4" t="n">
        <v>2013</v>
      </c>
      <c r="B7" s="10"/>
      <c r="C7" s="8" t="n">
        <f aca="false">IF(OR(IF(COUNTIFS(Data!$A$2:$A$1500,"Spring "&amp;$A7,Data!$B$2:$B$1500,"Theta Xi",Data!$D$2:$D$1500,"&lt;&gt;")=0,"",SUMIFS(Data!$D$2:$D$1500,Data!$A$2:$A$1500,"Spring "&amp;$A7,Data!$B$2:$B$1500,"Theta Xi"))="",IF(COUNTIFS(Data!$A$2:$A$1500,"Fall "&amp;$A7,Data!$B$2:$B$1500,"Theta Xi",Data!$D$2:$D$1500,"&lt;&gt;")=0,"",SUMIFS(Data!$D$2:$D$1500,Data!$A$2:$A$1500,"Fall "&amp;$A7,Data!$B$2:$B$1500,"Theta Xi"))=""),"",IF(COUNTIFS(Data!$A$2:$A$1500,"Spring "&amp;$A7,Data!$B$2:$B$1500,"Theta Xi",Data!$D$2:$D$1500,"&lt;&gt;")=0,"",SUMIFS(Data!$D$2:$D$1500,Data!$A$2:$A$1500,"Spring "&amp;$A7,Data!$B$2:$B$1500,"Theta Xi"))+IF(COUNTIFS(Data!$A$2:$A$1500,"Fall "&amp;$A7,Data!$B$2:$B$1500,"Theta Xi",Data!$D$2:$D$1500,"&lt;&gt;")=0,"",SUMIFS(Data!$D$2:$D$1500,Data!$A$2:$A$1500,"Fall "&amp;$A7,Data!$B$2:$B$1500,"Theta Xi")))</f>
        <v>12</v>
      </c>
      <c r="D7" s="9" t="str">
        <f aca="false">IF(OR(IF(COUNTIFS(Data!$A$2:$A$1500,"Spring "&amp;$A7,Data!$D$2:$D$1500,"&lt;&gt;")&lt;5,"",AVERAGEIFS(Data!$D$2:$D$1500,Data!$A$2:$A$1500,"Spring "&amp;$A7))="",IF(COUNTIFS(Data!$A$2:$A$1500,"Fall "&amp;$A7,Data!$D$2:$D$1500,"&lt;&gt;")&lt;5,"",AVERAGEIFS(Data!$D$2:$D$1500,Data!$A$2:$A$1500,"Fall "&amp;$A7))=""),"",IF(COUNTIFS(Data!$A$2:$A$1500,"Spring "&amp;$A7,Data!$D$2:$D$1500,"&lt;&gt;")&lt;5,"",AVERAGEIFS(Data!$D$2:$D$1500,Data!$A$2:$A$1500,"Spring "&amp;$A7))+IF(COUNTIFS(Data!$A$2:$A$1500,"Fall "&amp;$A7,Data!$D$2:$D$1500,"&lt;&gt;")&lt;5,"",AVERAGEIFS(Data!$D$2:$D$1500,Data!$A$2:$A$1500,"Fall "&amp;$A7)))</f>
        <v/>
      </c>
      <c r="E7" s="11" t="str">
        <f aca="false">IF(OR(C7="",D7=""),"",C7/D7)</f>
        <v/>
      </c>
      <c r="F7" s="8" t="n">
        <f aca="false">IF(COUNTIFS(Data!$A$2:$A$1500,"Fall "&amp;($A7-1),Data!$B$2:$B$1500,"Theta Xi",Data!$C$2:$C$1500,"&lt;&gt;")=0,"",SUMIFS(Data!$C$2:$C$1500,Data!$A$2:$A$1500,"Fall "&amp;($A7-1),Data!$B$2:$B$1500,"Theta Xi"))</f>
        <v>36</v>
      </c>
      <c r="G7" s="11" t="n">
        <f aca="false">IF(OR(C7="",F7=""),"",C7/F7)</f>
        <v>0.333333333333333</v>
      </c>
      <c r="H7" s="8" t="n">
        <f aca="false">IF(COUNTIFS(Data!$A$2:$A$1500,"Fall "&amp;$A7,Data!$B$2:$B$1500,"Theta Xi",Data!$C$2:$C$1500,"&lt;&gt;")=0,"",SUMIFS(Data!$C$2:$C$1500,Data!$A$2:$A$1500,"Fall "&amp;$A7,Data!$B$2:$B$1500,"Theta Xi"))</f>
        <v>29</v>
      </c>
      <c r="I7" s="12" t="n">
        <f aca="false">IF(OR(F7="",H7=""),"",H7-F7)</f>
        <v>-7</v>
      </c>
    </row>
    <row r="8" customFormat="false" ht="15" hidden="false" customHeight="false" outlineLevel="0" collapsed="false">
      <c r="A8" s="4" t="n">
        <v>2014</v>
      </c>
      <c r="B8" s="10"/>
      <c r="C8" s="8" t="n">
        <f aca="false">IF(OR(IF(COUNTIFS(Data!$A$2:$A$1500,"Spring "&amp;$A8,Data!$B$2:$B$1500,"Theta Xi",Data!$D$2:$D$1500,"&lt;&gt;")=0,"",SUMIFS(Data!$D$2:$D$1500,Data!$A$2:$A$1500,"Spring "&amp;$A8,Data!$B$2:$B$1500,"Theta Xi"))="",IF(COUNTIFS(Data!$A$2:$A$1500,"Fall "&amp;$A8,Data!$B$2:$B$1500,"Theta Xi",Data!$D$2:$D$1500,"&lt;&gt;")=0,"",SUMIFS(Data!$D$2:$D$1500,Data!$A$2:$A$1500,"Fall "&amp;$A8,Data!$B$2:$B$1500,"Theta Xi"))=""),"",IF(COUNTIFS(Data!$A$2:$A$1500,"Spring "&amp;$A8,Data!$B$2:$B$1500,"Theta Xi",Data!$D$2:$D$1500,"&lt;&gt;")=0,"",SUMIFS(Data!$D$2:$D$1500,Data!$A$2:$A$1500,"Spring "&amp;$A8,Data!$B$2:$B$1500,"Theta Xi"))+IF(COUNTIFS(Data!$A$2:$A$1500,"Fall "&amp;$A8,Data!$B$2:$B$1500,"Theta Xi",Data!$D$2:$D$1500,"&lt;&gt;")=0,"",SUMIFS(Data!$D$2:$D$1500,Data!$A$2:$A$1500,"Fall "&amp;$A8,Data!$B$2:$B$1500,"Theta Xi")))</f>
        <v>6</v>
      </c>
      <c r="D8" s="9" t="str">
        <f aca="false">IF(OR(IF(COUNTIFS(Data!$A$2:$A$1500,"Spring "&amp;$A8,Data!$D$2:$D$1500,"&lt;&gt;")&lt;5,"",AVERAGEIFS(Data!$D$2:$D$1500,Data!$A$2:$A$1500,"Spring "&amp;$A8))="",IF(COUNTIFS(Data!$A$2:$A$1500,"Fall "&amp;$A8,Data!$D$2:$D$1500,"&lt;&gt;")&lt;5,"",AVERAGEIFS(Data!$D$2:$D$1500,Data!$A$2:$A$1500,"Fall "&amp;$A8))=""),"",IF(COUNTIFS(Data!$A$2:$A$1500,"Spring "&amp;$A8,Data!$D$2:$D$1500,"&lt;&gt;")&lt;5,"",AVERAGEIFS(Data!$D$2:$D$1500,Data!$A$2:$A$1500,"Spring "&amp;$A8))+IF(COUNTIFS(Data!$A$2:$A$1500,"Fall "&amp;$A8,Data!$D$2:$D$1500,"&lt;&gt;")&lt;5,"",AVERAGEIFS(Data!$D$2:$D$1500,Data!$A$2:$A$1500,"Fall "&amp;$A8)))</f>
        <v/>
      </c>
      <c r="E8" s="11" t="str">
        <f aca="false">IF(OR(C8="",D8=""),"",C8/D8)</f>
        <v/>
      </c>
      <c r="F8" s="8" t="n">
        <f aca="false">IF(COUNTIFS(Data!$A$2:$A$1500,"Fall "&amp;($A8-1),Data!$B$2:$B$1500,"Theta Xi",Data!$C$2:$C$1500,"&lt;&gt;")=0,"",SUMIFS(Data!$C$2:$C$1500,Data!$A$2:$A$1500,"Fall "&amp;($A8-1),Data!$B$2:$B$1500,"Theta Xi"))</f>
        <v>29</v>
      </c>
      <c r="G8" s="11" t="n">
        <f aca="false">IF(OR(C8="",F8=""),"",C8/F8)</f>
        <v>0.206896551724138</v>
      </c>
      <c r="H8" s="8" t="n">
        <f aca="false">IF(COUNTIFS(Data!$A$2:$A$1500,"Fall "&amp;$A8,Data!$B$2:$B$1500,"Theta Xi",Data!$C$2:$C$1500,"&lt;&gt;")=0,"",SUMIFS(Data!$C$2:$C$1500,Data!$A$2:$A$1500,"Fall "&amp;$A8,Data!$B$2:$B$1500,"Theta Xi"))</f>
        <v>24</v>
      </c>
      <c r="I8" s="12" t="n">
        <f aca="false">IF(OR(F8="",H8=""),"",H8-F8)</f>
        <v>-5</v>
      </c>
    </row>
    <row r="9" customFormat="false" ht="15" hidden="false" customHeight="false" outlineLevel="0" collapsed="false">
      <c r="A9" s="4" t="n">
        <v>2015</v>
      </c>
      <c r="B9" s="10" t="s">
        <v>39</v>
      </c>
      <c r="C9" s="8" t="n">
        <f aca="false">IF(OR(IF(COUNTIFS(Data!$A$2:$A$1500,"Spring "&amp;$A9,Data!$B$2:$B$1500,"Theta Xi",Data!$D$2:$D$1500,"&lt;&gt;")=0,"",SUMIFS(Data!$D$2:$D$1500,Data!$A$2:$A$1500,"Spring "&amp;$A9,Data!$B$2:$B$1500,"Theta Xi"))="",IF(COUNTIFS(Data!$A$2:$A$1500,"Fall "&amp;$A9,Data!$B$2:$B$1500,"Theta Xi",Data!$D$2:$D$1500,"&lt;&gt;")=0,"",SUMIFS(Data!$D$2:$D$1500,Data!$A$2:$A$1500,"Fall "&amp;$A9,Data!$B$2:$B$1500,"Theta Xi"))=""),"",IF(COUNTIFS(Data!$A$2:$A$1500,"Spring "&amp;$A9,Data!$B$2:$B$1500,"Theta Xi",Data!$D$2:$D$1500,"&lt;&gt;")=0,"",SUMIFS(Data!$D$2:$D$1500,Data!$A$2:$A$1500,"Spring "&amp;$A9,Data!$B$2:$B$1500,"Theta Xi"))+IF(COUNTIFS(Data!$A$2:$A$1500,"Fall "&amp;$A9,Data!$B$2:$B$1500,"Theta Xi",Data!$D$2:$D$1500,"&lt;&gt;")=0,"",SUMIFS(Data!$D$2:$D$1500,Data!$A$2:$A$1500,"Fall "&amp;$A9,Data!$B$2:$B$1500,"Theta Xi")))</f>
        <v>18</v>
      </c>
      <c r="D9" s="9" t="str">
        <f aca="false">IF(OR(IF(COUNTIFS(Data!$A$2:$A$1500,"Spring "&amp;$A9,Data!$D$2:$D$1500,"&lt;&gt;")&lt;5,"",AVERAGEIFS(Data!$D$2:$D$1500,Data!$A$2:$A$1500,"Spring "&amp;$A9))="",IF(COUNTIFS(Data!$A$2:$A$1500,"Fall "&amp;$A9,Data!$D$2:$D$1500,"&lt;&gt;")&lt;5,"",AVERAGEIFS(Data!$D$2:$D$1500,Data!$A$2:$A$1500,"Fall "&amp;$A9))=""),"",IF(COUNTIFS(Data!$A$2:$A$1500,"Spring "&amp;$A9,Data!$D$2:$D$1500,"&lt;&gt;")&lt;5,"",AVERAGEIFS(Data!$D$2:$D$1500,Data!$A$2:$A$1500,"Spring "&amp;$A9))+IF(COUNTIFS(Data!$A$2:$A$1500,"Fall "&amp;$A9,Data!$D$2:$D$1500,"&lt;&gt;")&lt;5,"",AVERAGEIFS(Data!$D$2:$D$1500,Data!$A$2:$A$1500,"Fall "&amp;$A9)))</f>
        <v/>
      </c>
      <c r="E9" s="11" t="str">
        <f aca="false">IF(OR(C9="",D9=""),"",C9/D9)</f>
        <v/>
      </c>
      <c r="F9" s="8" t="n">
        <f aca="false">IF(COUNTIFS(Data!$A$2:$A$1500,"Fall "&amp;($A9-1),Data!$B$2:$B$1500,"Theta Xi",Data!$C$2:$C$1500,"&lt;&gt;")=0,"",SUMIFS(Data!$C$2:$C$1500,Data!$A$2:$A$1500,"Fall "&amp;($A9-1),Data!$B$2:$B$1500,"Theta Xi"))</f>
        <v>24</v>
      </c>
      <c r="G9" s="11" t="n">
        <f aca="false">IF(OR(C9="",F9=""),"",C9/F9)</f>
        <v>0.75</v>
      </c>
      <c r="H9" s="8" t="n">
        <f aca="false">IF(COUNTIFS(Data!$A$2:$A$1500,"Fall "&amp;$A9,Data!$B$2:$B$1500,"Theta Xi",Data!$C$2:$C$1500,"&lt;&gt;")=0,"",SUMIFS(Data!$C$2:$C$1500,Data!$A$2:$A$1500,"Fall "&amp;$A9,Data!$B$2:$B$1500,"Theta Xi"))</f>
        <v>34</v>
      </c>
      <c r="I9" s="12" t="n">
        <f aca="false">IF(OR(F9="",H9=""),"",H9-F9)</f>
        <v>10</v>
      </c>
    </row>
    <row r="10" customFormat="false" ht="15" hidden="false" customHeight="false" outlineLevel="0" collapsed="false">
      <c r="A10" s="4" t="n">
        <v>2016</v>
      </c>
      <c r="B10" s="10" t="s">
        <v>39</v>
      </c>
      <c r="C10" s="8" t="n">
        <f aca="false">IF(OR(IF(COUNTIFS(Data!$A$2:$A$1500,"Spring "&amp;$A10,Data!$B$2:$B$1500,"Theta Xi",Data!$D$2:$D$1500,"&lt;&gt;")=0,"",SUMIFS(Data!$D$2:$D$1500,Data!$A$2:$A$1500,"Spring "&amp;$A10,Data!$B$2:$B$1500,"Theta Xi"))="",IF(COUNTIFS(Data!$A$2:$A$1500,"Fall "&amp;$A10,Data!$B$2:$B$1500,"Theta Xi",Data!$D$2:$D$1500,"&lt;&gt;")=0,"",SUMIFS(Data!$D$2:$D$1500,Data!$A$2:$A$1500,"Fall "&amp;$A10,Data!$B$2:$B$1500,"Theta Xi"))=""),"",IF(COUNTIFS(Data!$A$2:$A$1500,"Spring "&amp;$A10,Data!$B$2:$B$1500,"Theta Xi",Data!$D$2:$D$1500,"&lt;&gt;")=0,"",SUMIFS(Data!$D$2:$D$1500,Data!$A$2:$A$1500,"Spring "&amp;$A10,Data!$B$2:$B$1500,"Theta Xi"))+IF(COUNTIFS(Data!$A$2:$A$1500,"Fall "&amp;$A10,Data!$B$2:$B$1500,"Theta Xi",Data!$D$2:$D$1500,"&lt;&gt;")=0,"",SUMIFS(Data!$D$2:$D$1500,Data!$A$2:$A$1500,"Fall "&amp;$A10,Data!$B$2:$B$1500,"Theta Xi")))</f>
        <v>14</v>
      </c>
      <c r="D10" s="9" t="str">
        <f aca="false">IF(OR(IF(COUNTIFS(Data!$A$2:$A$1500,"Spring "&amp;$A10,Data!$D$2:$D$1500,"&lt;&gt;")&lt;5,"",AVERAGEIFS(Data!$D$2:$D$1500,Data!$A$2:$A$1500,"Spring "&amp;$A10))="",IF(COUNTIFS(Data!$A$2:$A$1500,"Fall "&amp;$A10,Data!$D$2:$D$1500,"&lt;&gt;")&lt;5,"",AVERAGEIFS(Data!$D$2:$D$1500,Data!$A$2:$A$1500,"Fall "&amp;$A10))=""),"",IF(COUNTIFS(Data!$A$2:$A$1500,"Spring "&amp;$A10,Data!$D$2:$D$1500,"&lt;&gt;")&lt;5,"",AVERAGEIFS(Data!$D$2:$D$1500,Data!$A$2:$A$1500,"Spring "&amp;$A10))+IF(COUNTIFS(Data!$A$2:$A$1500,"Fall "&amp;$A10,Data!$D$2:$D$1500,"&lt;&gt;")&lt;5,"",AVERAGEIFS(Data!$D$2:$D$1500,Data!$A$2:$A$1500,"Fall "&amp;$A10)))</f>
        <v/>
      </c>
      <c r="E10" s="11" t="str">
        <f aca="false">IF(OR(C10="",D10=""),"",C10/D10)</f>
        <v/>
      </c>
      <c r="F10" s="8" t="n">
        <f aca="false">IF(COUNTIFS(Data!$A$2:$A$1500,"Fall "&amp;($A10-1),Data!$B$2:$B$1500,"Theta Xi",Data!$C$2:$C$1500,"&lt;&gt;")=0,"",SUMIFS(Data!$C$2:$C$1500,Data!$A$2:$A$1500,"Fall "&amp;($A10-1),Data!$B$2:$B$1500,"Theta Xi"))</f>
        <v>34</v>
      </c>
      <c r="G10" s="11" t="n">
        <f aca="false">IF(OR(C10="",F10=""),"",C10/F10)</f>
        <v>0.411764705882353</v>
      </c>
      <c r="H10" s="8" t="n">
        <f aca="false">IF(COUNTIFS(Data!$A$2:$A$1500,"Fall "&amp;$A10,Data!$B$2:$B$1500,"Theta Xi",Data!$C$2:$C$1500,"&lt;&gt;")=0,"",SUMIFS(Data!$C$2:$C$1500,Data!$A$2:$A$1500,"Fall "&amp;$A10,Data!$B$2:$B$1500,"Theta Xi"))</f>
        <v>38</v>
      </c>
      <c r="I10" s="12" t="n">
        <f aca="false">IF(OR(F10="",H10=""),"",H10-F10)</f>
        <v>4</v>
      </c>
    </row>
    <row r="11" customFormat="false" ht="15" hidden="false" customHeight="false" outlineLevel="0" collapsed="false">
      <c r="A11" s="4" t="n">
        <v>2017</v>
      </c>
      <c r="B11" s="10" t="s">
        <v>40</v>
      </c>
      <c r="C11" s="8" t="n">
        <f aca="false">IF(OR(IF(COUNTIFS(Data!$A$2:$A$1500,"Spring "&amp;$A11,Data!$B$2:$B$1500,"Theta Xi",Data!$D$2:$D$1500,"&lt;&gt;")=0,"",SUMIFS(Data!$D$2:$D$1500,Data!$A$2:$A$1500,"Spring "&amp;$A11,Data!$B$2:$B$1500,"Theta Xi"))="",IF(COUNTIFS(Data!$A$2:$A$1500,"Fall "&amp;$A11,Data!$B$2:$B$1500,"Theta Xi",Data!$D$2:$D$1500,"&lt;&gt;")=0,"",SUMIFS(Data!$D$2:$D$1500,Data!$A$2:$A$1500,"Fall "&amp;$A11,Data!$B$2:$B$1500,"Theta Xi"))=""),"",IF(COUNTIFS(Data!$A$2:$A$1500,"Spring "&amp;$A11,Data!$B$2:$B$1500,"Theta Xi",Data!$D$2:$D$1500,"&lt;&gt;")=0,"",SUMIFS(Data!$D$2:$D$1500,Data!$A$2:$A$1500,"Spring "&amp;$A11,Data!$B$2:$B$1500,"Theta Xi"))+IF(COUNTIFS(Data!$A$2:$A$1500,"Fall "&amp;$A11,Data!$B$2:$B$1500,"Theta Xi",Data!$D$2:$D$1500,"&lt;&gt;")=0,"",SUMIFS(Data!$D$2:$D$1500,Data!$A$2:$A$1500,"Fall "&amp;$A11,Data!$B$2:$B$1500,"Theta Xi")))</f>
        <v>15</v>
      </c>
      <c r="D11" s="9" t="str">
        <f aca="false">IF(OR(IF(COUNTIFS(Data!$A$2:$A$1500,"Spring "&amp;$A11,Data!$D$2:$D$1500,"&lt;&gt;")&lt;5,"",AVERAGEIFS(Data!$D$2:$D$1500,Data!$A$2:$A$1500,"Spring "&amp;$A11))="",IF(COUNTIFS(Data!$A$2:$A$1500,"Fall "&amp;$A11,Data!$D$2:$D$1500,"&lt;&gt;")&lt;5,"",AVERAGEIFS(Data!$D$2:$D$1500,Data!$A$2:$A$1500,"Fall "&amp;$A11))=""),"",IF(COUNTIFS(Data!$A$2:$A$1500,"Spring "&amp;$A11,Data!$D$2:$D$1500,"&lt;&gt;")&lt;5,"",AVERAGEIFS(Data!$D$2:$D$1500,Data!$A$2:$A$1500,"Spring "&amp;$A11))+IF(COUNTIFS(Data!$A$2:$A$1500,"Fall "&amp;$A11,Data!$D$2:$D$1500,"&lt;&gt;")&lt;5,"",AVERAGEIFS(Data!$D$2:$D$1500,Data!$A$2:$A$1500,"Fall "&amp;$A11)))</f>
        <v/>
      </c>
      <c r="E11" s="11" t="str">
        <f aca="false">IF(OR(C11="",D11=""),"",C11/D11)</f>
        <v/>
      </c>
      <c r="F11" s="8" t="n">
        <f aca="false">IF(COUNTIFS(Data!$A$2:$A$1500,"Fall "&amp;($A11-1),Data!$B$2:$B$1500,"Theta Xi",Data!$C$2:$C$1500,"&lt;&gt;")=0,"",SUMIFS(Data!$C$2:$C$1500,Data!$A$2:$A$1500,"Fall "&amp;($A11-1),Data!$B$2:$B$1500,"Theta Xi"))</f>
        <v>38</v>
      </c>
      <c r="G11" s="11" t="n">
        <f aca="false">IF(OR(C11="",F11=""),"",C11/F11)</f>
        <v>0.394736842105263</v>
      </c>
      <c r="H11" s="8" t="n">
        <f aca="false">IF(COUNTIFS(Data!$A$2:$A$1500,"Fall "&amp;$A11,Data!$B$2:$B$1500,"Theta Xi",Data!$C$2:$C$1500,"&lt;&gt;")=0,"",SUMIFS(Data!$C$2:$C$1500,Data!$A$2:$A$1500,"Fall "&amp;$A11,Data!$B$2:$B$1500,"Theta Xi"))</f>
        <v>43</v>
      </c>
      <c r="I11" s="12" t="n">
        <f aca="false">IF(OR(F11="",H11=""),"",H11-F11)</f>
        <v>5</v>
      </c>
    </row>
    <row r="12" customFormat="false" ht="15" hidden="false" customHeight="false" outlineLevel="0" collapsed="false">
      <c r="A12" s="4" t="n">
        <v>2018</v>
      </c>
      <c r="B12" s="10" t="s">
        <v>41</v>
      </c>
      <c r="C12" s="8" t="n">
        <f aca="false">IF(OR(IF(COUNTIFS(Data!$A$2:$A$1500,"Spring "&amp;$A12,Data!$B$2:$B$1500,"Theta Xi",Data!$D$2:$D$1500,"&lt;&gt;")=0,"",SUMIFS(Data!$D$2:$D$1500,Data!$A$2:$A$1500,"Spring "&amp;$A12,Data!$B$2:$B$1500,"Theta Xi"))="",IF(COUNTIFS(Data!$A$2:$A$1500,"Fall "&amp;$A12,Data!$B$2:$B$1500,"Theta Xi",Data!$D$2:$D$1500,"&lt;&gt;")=0,"",SUMIFS(Data!$D$2:$D$1500,Data!$A$2:$A$1500,"Fall "&amp;$A12,Data!$B$2:$B$1500,"Theta Xi"))=""),"",IF(COUNTIFS(Data!$A$2:$A$1500,"Spring "&amp;$A12,Data!$B$2:$B$1500,"Theta Xi",Data!$D$2:$D$1500,"&lt;&gt;")=0,"",SUMIFS(Data!$D$2:$D$1500,Data!$A$2:$A$1500,"Spring "&amp;$A12,Data!$B$2:$B$1500,"Theta Xi"))+IF(COUNTIFS(Data!$A$2:$A$1500,"Fall "&amp;$A12,Data!$B$2:$B$1500,"Theta Xi",Data!$D$2:$D$1500,"&lt;&gt;")=0,"",SUMIFS(Data!$D$2:$D$1500,Data!$A$2:$A$1500,"Fall "&amp;$A12,Data!$B$2:$B$1500,"Theta Xi")))</f>
        <v>23</v>
      </c>
      <c r="D12" s="9" t="str">
        <f aca="false">IF(OR(IF(COUNTIFS(Data!$A$2:$A$1500,"Spring "&amp;$A12,Data!$D$2:$D$1500,"&lt;&gt;")&lt;5,"",AVERAGEIFS(Data!$D$2:$D$1500,Data!$A$2:$A$1500,"Spring "&amp;$A12))="",IF(COUNTIFS(Data!$A$2:$A$1500,"Fall "&amp;$A12,Data!$D$2:$D$1500,"&lt;&gt;")&lt;5,"",AVERAGEIFS(Data!$D$2:$D$1500,Data!$A$2:$A$1500,"Fall "&amp;$A12))=""),"",IF(COUNTIFS(Data!$A$2:$A$1500,"Spring "&amp;$A12,Data!$D$2:$D$1500,"&lt;&gt;")&lt;5,"",AVERAGEIFS(Data!$D$2:$D$1500,Data!$A$2:$A$1500,"Spring "&amp;$A12))+IF(COUNTIFS(Data!$A$2:$A$1500,"Fall "&amp;$A12,Data!$D$2:$D$1500,"&lt;&gt;")&lt;5,"",AVERAGEIFS(Data!$D$2:$D$1500,Data!$A$2:$A$1500,"Fall "&amp;$A12)))</f>
        <v/>
      </c>
      <c r="E12" s="11" t="str">
        <f aca="false">IF(OR(C12="",D12=""),"",C12/D12)</f>
        <v/>
      </c>
      <c r="F12" s="8" t="n">
        <f aca="false">IF(COUNTIFS(Data!$A$2:$A$1500,"Fall "&amp;($A12-1),Data!$B$2:$B$1500,"Theta Xi",Data!$C$2:$C$1500,"&lt;&gt;")=0,"",SUMIFS(Data!$C$2:$C$1500,Data!$A$2:$A$1500,"Fall "&amp;($A12-1),Data!$B$2:$B$1500,"Theta Xi"))</f>
        <v>43</v>
      </c>
      <c r="G12" s="11" t="n">
        <f aca="false">IF(OR(C12="",F12=""),"",C12/F12)</f>
        <v>0.534883720930233</v>
      </c>
      <c r="H12" s="8" t="n">
        <f aca="false">IF(COUNTIFS(Data!$A$2:$A$1500,"Fall "&amp;$A12,Data!$B$2:$B$1500,"Theta Xi",Data!$C$2:$C$1500,"&lt;&gt;")=0,"",SUMIFS(Data!$C$2:$C$1500,Data!$A$2:$A$1500,"Fall "&amp;$A12,Data!$B$2:$B$1500,"Theta Xi"))</f>
        <v>62</v>
      </c>
      <c r="I12" s="12" t="n">
        <f aca="false">IF(OR(F12="",H12=""),"",H12-F12)</f>
        <v>19</v>
      </c>
    </row>
    <row r="13" customFormat="false" ht="15" hidden="false" customHeight="false" outlineLevel="0" collapsed="false">
      <c r="A13" s="4" t="n">
        <v>2019</v>
      </c>
      <c r="B13" s="10" t="s">
        <v>42</v>
      </c>
      <c r="C13" s="8" t="n">
        <f aca="false">IF(OR(IF(COUNTIFS(Data!$A$2:$A$1500,"Spring "&amp;$A13,Data!$B$2:$B$1500,"Theta Xi",Data!$D$2:$D$1500,"&lt;&gt;")=0,"",SUMIFS(Data!$D$2:$D$1500,Data!$A$2:$A$1500,"Spring "&amp;$A13,Data!$B$2:$B$1500,"Theta Xi"))="",IF(COUNTIFS(Data!$A$2:$A$1500,"Fall "&amp;$A13,Data!$B$2:$B$1500,"Theta Xi",Data!$D$2:$D$1500,"&lt;&gt;")=0,"",SUMIFS(Data!$D$2:$D$1500,Data!$A$2:$A$1500,"Fall "&amp;$A13,Data!$B$2:$B$1500,"Theta Xi"))=""),"",IF(COUNTIFS(Data!$A$2:$A$1500,"Spring "&amp;$A13,Data!$B$2:$B$1500,"Theta Xi",Data!$D$2:$D$1500,"&lt;&gt;")=0,"",SUMIFS(Data!$D$2:$D$1500,Data!$A$2:$A$1500,"Spring "&amp;$A13,Data!$B$2:$B$1500,"Theta Xi"))+IF(COUNTIFS(Data!$A$2:$A$1500,"Fall "&amp;$A13,Data!$B$2:$B$1500,"Theta Xi",Data!$D$2:$D$1500,"&lt;&gt;")=0,"",SUMIFS(Data!$D$2:$D$1500,Data!$A$2:$A$1500,"Fall "&amp;$A13,Data!$B$2:$B$1500,"Theta Xi")))</f>
        <v>34</v>
      </c>
      <c r="D13" s="9" t="n">
        <f aca="false">IF(OR(IF(COUNTIFS(Data!$A$2:$A$1500,"Spring "&amp;$A13,Data!$D$2:$D$1500,"&lt;&gt;")&lt;5,"",AVERAGEIFS(Data!$D$2:$D$1500,Data!$A$2:$A$1500,"Spring "&amp;$A13))="",IF(COUNTIFS(Data!$A$2:$A$1500,"Fall "&amp;$A13,Data!$D$2:$D$1500,"&lt;&gt;")&lt;5,"",AVERAGEIFS(Data!$D$2:$D$1500,Data!$A$2:$A$1500,"Fall "&amp;$A13))=""),"",IF(COUNTIFS(Data!$A$2:$A$1500,"Spring "&amp;$A13,Data!$D$2:$D$1500,"&lt;&gt;")&lt;5,"",AVERAGEIFS(Data!$D$2:$D$1500,Data!$A$2:$A$1500,"Spring "&amp;$A13))+IF(COUNTIFS(Data!$A$2:$A$1500,"Fall "&amp;$A13,Data!$D$2:$D$1500,"&lt;&gt;")&lt;5,"",AVERAGEIFS(Data!$D$2:$D$1500,Data!$A$2:$A$1500,"Fall "&amp;$A13)))</f>
        <v>23.72</v>
      </c>
      <c r="E13" s="11" t="n">
        <f aca="false">IF(OR(C13="",D13=""),"",C13/D13)</f>
        <v>1.43338954468803</v>
      </c>
      <c r="F13" s="8" t="n">
        <f aca="false">IF(COUNTIFS(Data!$A$2:$A$1500,"Fall "&amp;($A13-1),Data!$B$2:$B$1500,"Theta Xi",Data!$C$2:$C$1500,"&lt;&gt;")=0,"",SUMIFS(Data!$C$2:$C$1500,Data!$A$2:$A$1500,"Fall "&amp;($A13-1),Data!$B$2:$B$1500,"Theta Xi"))</f>
        <v>62</v>
      </c>
      <c r="G13" s="11" t="n">
        <f aca="false">IF(OR(C13="",F13=""),"",C13/F13)</f>
        <v>0.548387096774194</v>
      </c>
      <c r="H13" s="8" t="n">
        <f aca="false">IF(COUNTIFS(Data!$A$2:$A$1500,"Fall "&amp;$A13,Data!$B$2:$B$1500,"Theta Xi",Data!$C$2:$C$1500,"&lt;&gt;")=0,"",SUMIFS(Data!$C$2:$C$1500,Data!$A$2:$A$1500,"Fall "&amp;$A13,Data!$B$2:$B$1500,"Theta Xi"))</f>
        <v>86</v>
      </c>
      <c r="I13" s="12" t="n">
        <f aca="false">IF(OR(F13="",H13=""),"",H13-F13)</f>
        <v>24</v>
      </c>
    </row>
    <row r="14" customFormat="false" ht="15" hidden="false" customHeight="false" outlineLevel="0" collapsed="false">
      <c r="A14" s="4" t="n">
        <v>2020</v>
      </c>
      <c r="B14" s="10" t="s">
        <v>43</v>
      </c>
      <c r="C14" s="8" t="n">
        <f aca="false">IF(OR(IF(COUNTIFS(Data!$A$2:$A$1500,"Spring "&amp;$A14,Data!$B$2:$B$1500,"Theta Xi",Data!$D$2:$D$1500,"&lt;&gt;")=0,"",SUMIFS(Data!$D$2:$D$1500,Data!$A$2:$A$1500,"Spring "&amp;$A14,Data!$B$2:$B$1500,"Theta Xi"))="",IF(COUNTIFS(Data!$A$2:$A$1500,"Fall "&amp;$A14,Data!$B$2:$B$1500,"Theta Xi",Data!$D$2:$D$1500,"&lt;&gt;")=0,"",SUMIFS(Data!$D$2:$D$1500,Data!$A$2:$A$1500,"Fall "&amp;$A14,Data!$B$2:$B$1500,"Theta Xi"))=""),"",IF(COUNTIFS(Data!$A$2:$A$1500,"Spring "&amp;$A14,Data!$B$2:$B$1500,"Theta Xi",Data!$D$2:$D$1500,"&lt;&gt;")=0,"",SUMIFS(Data!$D$2:$D$1500,Data!$A$2:$A$1500,"Spring "&amp;$A14,Data!$B$2:$B$1500,"Theta Xi"))+IF(COUNTIFS(Data!$A$2:$A$1500,"Fall "&amp;$A14,Data!$B$2:$B$1500,"Theta Xi",Data!$D$2:$D$1500,"&lt;&gt;")=0,"",SUMIFS(Data!$D$2:$D$1500,Data!$A$2:$A$1500,"Fall "&amp;$A14,Data!$B$2:$B$1500,"Theta Xi")))</f>
        <v>34</v>
      </c>
      <c r="D14" s="9" t="str">
        <f aca="false">IF(OR(IF(COUNTIFS(Data!$A$2:$A$1500,"Spring "&amp;$A14,Data!$D$2:$D$1500,"&lt;&gt;")&lt;5,"",AVERAGEIFS(Data!$D$2:$D$1500,Data!$A$2:$A$1500,"Spring "&amp;$A14))="",IF(COUNTIFS(Data!$A$2:$A$1500,"Fall "&amp;$A14,Data!$D$2:$D$1500,"&lt;&gt;")&lt;5,"",AVERAGEIFS(Data!$D$2:$D$1500,Data!$A$2:$A$1500,"Fall "&amp;$A14))=""),"",IF(COUNTIFS(Data!$A$2:$A$1500,"Spring "&amp;$A14,Data!$D$2:$D$1500,"&lt;&gt;")&lt;5,"",AVERAGEIFS(Data!$D$2:$D$1500,Data!$A$2:$A$1500,"Spring "&amp;$A14))+IF(COUNTIFS(Data!$A$2:$A$1500,"Fall "&amp;$A14,Data!$D$2:$D$1500,"&lt;&gt;")&lt;5,"",AVERAGEIFS(Data!$D$2:$D$1500,Data!$A$2:$A$1500,"Fall "&amp;$A14)))</f>
        <v/>
      </c>
      <c r="E14" s="11" t="str">
        <f aca="false">IF(OR(C14="",D14=""),"",C14/D14)</f>
        <v/>
      </c>
      <c r="F14" s="8" t="n">
        <f aca="false">IF(COUNTIFS(Data!$A$2:$A$1500,"Fall "&amp;($A14-1),Data!$B$2:$B$1500,"Theta Xi",Data!$C$2:$C$1500,"&lt;&gt;")=0,"",SUMIFS(Data!$C$2:$C$1500,Data!$A$2:$A$1500,"Fall "&amp;($A14-1),Data!$B$2:$B$1500,"Theta Xi"))</f>
        <v>86</v>
      </c>
      <c r="G14" s="11" t="n">
        <f aca="false">IF(OR(C14="",F14=""),"",C14/F14)</f>
        <v>0.395348837209302</v>
      </c>
      <c r="H14" s="8" t="n">
        <f aca="false">IF(COUNTIFS(Data!$A$2:$A$1500,"Fall "&amp;$A14,Data!$B$2:$B$1500,"Theta Xi",Data!$C$2:$C$1500,"&lt;&gt;")=0,"",SUMIFS(Data!$C$2:$C$1500,Data!$A$2:$A$1500,"Fall "&amp;$A14,Data!$B$2:$B$1500,"Theta Xi"))</f>
        <v>78</v>
      </c>
      <c r="I14" s="12" t="n">
        <f aca="false">IF(OR(F14="",H14=""),"",H14-F14)</f>
        <v>-8</v>
      </c>
    </row>
    <row r="15" customFormat="false" ht="15" hidden="false" customHeight="false" outlineLevel="0" collapsed="false">
      <c r="A15" s="4" t="n">
        <v>2021</v>
      </c>
      <c r="B15" s="10" t="s">
        <v>44</v>
      </c>
      <c r="C15" s="8" t="n">
        <f aca="false">IF(OR(IF(COUNTIFS(Data!$A$2:$A$1500,"Spring "&amp;$A15,Data!$B$2:$B$1500,"Theta Xi",Data!$D$2:$D$1500,"&lt;&gt;")=0,"",SUMIFS(Data!$D$2:$D$1500,Data!$A$2:$A$1500,"Spring "&amp;$A15,Data!$B$2:$B$1500,"Theta Xi"))="",IF(COUNTIFS(Data!$A$2:$A$1500,"Fall "&amp;$A15,Data!$B$2:$B$1500,"Theta Xi",Data!$D$2:$D$1500,"&lt;&gt;")=0,"",SUMIFS(Data!$D$2:$D$1500,Data!$A$2:$A$1500,"Fall "&amp;$A15,Data!$B$2:$B$1500,"Theta Xi"))=""),"",IF(COUNTIFS(Data!$A$2:$A$1500,"Spring "&amp;$A15,Data!$B$2:$B$1500,"Theta Xi",Data!$D$2:$D$1500,"&lt;&gt;")=0,"",SUMIFS(Data!$D$2:$D$1500,Data!$A$2:$A$1500,"Spring "&amp;$A15,Data!$B$2:$B$1500,"Theta Xi"))+IF(COUNTIFS(Data!$A$2:$A$1500,"Fall "&amp;$A15,Data!$B$2:$B$1500,"Theta Xi",Data!$D$2:$D$1500,"&lt;&gt;")=0,"",SUMIFS(Data!$D$2:$D$1500,Data!$A$2:$A$1500,"Fall "&amp;$A15,Data!$B$2:$B$1500,"Theta Xi")))</f>
        <v>24</v>
      </c>
      <c r="D15" s="9" t="n">
        <f aca="false">IF(OR(IF(COUNTIFS(Data!$A$2:$A$1500,"Spring "&amp;$A15,Data!$D$2:$D$1500,"&lt;&gt;")&lt;5,"",AVERAGEIFS(Data!$D$2:$D$1500,Data!$A$2:$A$1500,"Spring "&amp;$A15))="",IF(COUNTIFS(Data!$A$2:$A$1500,"Fall "&amp;$A15,Data!$D$2:$D$1500,"&lt;&gt;")&lt;5,"",AVERAGEIFS(Data!$D$2:$D$1500,Data!$A$2:$A$1500,"Fall "&amp;$A15))=""),"",IF(COUNTIFS(Data!$A$2:$A$1500,"Spring "&amp;$A15,Data!$D$2:$D$1500,"&lt;&gt;")&lt;5,"",AVERAGEIFS(Data!$D$2:$D$1500,Data!$A$2:$A$1500,"Spring "&amp;$A15))+IF(COUNTIFS(Data!$A$2:$A$1500,"Fall "&amp;$A15,Data!$D$2:$D$1500,"&lt;&gt;")&lt;5,"",AVERAGEIFS(Data!$D$2:$D$1500,Data!$A$2:$A$1500,"Fall "&amp;$A15)))</f>
        <v>24.3461538461538</v>
      </c>
      <c r="E15" s="11" t="n">
        <f aca="false">IF(OR(C15="",D15=""),"",C15/D15)</f>
        <v>0.985781990521327</v>
      </c>
      <c r="F15" s="8" t="n">
        <f aca="false">IF(COUNTIFS(Data!$A$2:$A$1500,"Fall "&amp;($A15-1),Data!$B$2:$B$1500,"Theta Xi",Data!$C$2:$C$1500,"&lt;&gt;")=0,"",SUMIFS(Data!$C$2:$C$1500,Data!$A$2:$A$1500,"Fall "&amp;($A15-1),Data!$B$2:$B$1500,"Theta Xi"))</f>
        <v>78</v>
      </c>
      <c r="G15" s="11" t="n">
        <f aca="false">IF(OR(C15="",F15=""),"",C15/F15)</f>
        <v>0.307692307692308</v>
      </c>
      <c r="H15" s="8" t="n">
        <f aca="false">IF(COUNTIFS(Data!$A$2:$A$1500,"Fall "&amp;$A15,Data!$B$2:$B$1500,"Theta Xi",Data!$C$2:$C$1500,"&lt;&gt;")=0,"",SUMIFS(Data!$C$2:$C$1500,Data!$A$2:$A$1500,"Fall "&amp;$A15,Data!$B$2:$B$1500,"Theta Xi"))</f>
        <v>74</v>
      </c>
      <c r="I15" s="12" t="n">
        <f aca="false">IF(OR(F15="",H15=""),"",H15-F15)</f>
        <v>-4</v>
      </c>
    </row>
    <row r="16" customFormat="false" ht="15" hidden="false" customHeight="false" outlineLevel="0" collapsed="false">
      <c r="A16" s="4" t="n">
        <v>2022</v>
      </c>
      <c r="B16" s="10" t="s">
        <v>45</v>
      </c>
      <c r="C16" s="8" t="n">
        <f aca="false">IF(OR(IF(COUNTIFS(Data!$A$2:$A$1500,"Spring "&amp;$A16,Data!$B$2:$B$1500,"Theta Xi",Data!$D$2:$D$1500,"&lt;&gt;")=0,"",SUMIFS(Data!$D$2:$D$1500,Data!$A$2:$A$1500,"Spring "&amp;$A16,Data!$B$2:$B$1500,"Theta Xi"))="",IF(COUNTIFS(Data!$A$2:$A$1500,"Fall "&amp;$A16,Data!$B$2:$B$1500,"Theta Xi",Data!$D$2:$D$1500,"&lt;&gt;")=0,"",SUMIFS(Data!$D$2:$D$1500,Data!$A$2:$A$1500,"Fall "&amp;$A16,Data!$B$2:$B$1500,"Theta Xi"))=""),"",IF(COUNTIFS(Data!$A$2:$A$1500,"Spring "&amp;$A16,Data!$B$2:$B$1500,"Theta Xi",Data!$D$2:$D$1500,"&lt;&gt;")=0,"",SUMIFS(Data!$D$2:$D$1500,Data!$A$2:$A$1500,"Spring "&amp;$A16,Data!$B$2:$B$1500,"Theta Xi"))+IF(COUNTIFS(Data!$A$2:$A$1500,"Fall "&amp;$A16,Data!$B$2:$B$1500,"Theta Xi",Data!$D$2:$D$1500,"&lt;&gt;")=0,"",SUMIFS(Data!$D$2:$D$1500,Data!$A$2:$A$1500,"Fall "&amp;$A16,Data!$B$2:$B$1500,"Theta Xi")))</f>
        <v>21</v>
      </c>
      <c r="D16" s="9" t="str">
        <f aca="false">IF(OR(IF(COUNTIFS(Data!$A$2:$A$1500,"Spring "&amp;$A16,Data!$D$2:$D$1500,"&lt;&gt;")&lt;5,"",AVERAGEIFS(Data!$D$2:$D$1500,Data!$A$2:$A$1500,"Spring "&amp;$A16))="",IF(COUNTIFS(Data!$A$2:$A$1500,"Fall "&amp;$A16,Data!$D$2:$D$1500,"&lt;&gt;")&lt;5,"",AVERAGEIFS(Data!$D$2:$D$1500,Data!$A$2:$A$1500,"Fall "&amp;$A16))=""),"",IF(COUNTIFS(Data!$A$2:$A$1500,"Spring "&amp;$A16,Data!$D$2:$D$1500,"&lt;&gt;")&lt;5,"",AVERAGEIFS(Data!$D$2:$D$1500,Data!$A$2:$A$1500,"Spring "&amp;$A16))+IF(COUNTIFS(Data!$A$2:$A$1500,"Fall "&amp;$A16,Data!$D$2:$D$1500,"&lt;&gt;")&lt;5,"",AVERAGEIFS(Data!$D$2:$D$1500,Data!$A$2:$A$1500,"Fall "&amp;$A16)))</f>
        <v/>
      </c>
      <c r="E16" s="11" t="str">
        <f aca="false">IF(OR(C16="",D16=""),"",C16/D16)</f>
        <v/>
      </c>
      <c r="F16" s="8" t="n">
        <f aca="false">IF(COUNTIFS(Data!$A$2:$A$1500,"Fall "&amp;($A16-1),Data!$B$2:$B$1500,"Theta Xi",Data!$C$2:$C$1500,"&lt;&gt;")=0,"",SUMIFS(Data!$C$2:$C$1500,Data!$A$2:$A$1500,"Fall "&amp;($A16-1),Data!$B$2:$B$1500,"Theta Xi"))</f>
        <v>74</v>
      </c>
      <c r="G16" s="11" t="n">
        <f aca="false">IF(OR(C16="",F16=""),"",C16/F16)</f>
        <v>0.283783783783784</v>
      </c>
      <c r="H16" s="8" t="n">
        <f aca="false">IF(COUNTIFS(Data!$A$2:$A$1500,"Fall "&amp;$A16,Data!$B$2:$B$1500,"Theta Xi",Data!$C$2:$C$1500,"&lt;&gt;")=0,"",SUMIFS(Data!$C$2:$C$1500,Data!$A$2:$A$1500,"Fall "&amp;$A16,Data!$B$2:$B$1500,"Theta Xi"))</f>
        <v>71</v>
      </c>
      <c r="I16" s="12" t="n">
        <f aca="false">IF(OR(F16="",H16=""),"",H16-F16)</f>
        <v>-3</v>
      </c>
    </row>
    <row r="17" customFormat="false" ht="15" hidden="false" customHeight="false" outlineLevel="0" collapsed="false">
      <c r="A17" s="4" t="n">
        <v>2023</v>
      </c>
      <c r="B17" s="10" t="s">
        <v>46</v>
      </c>
      <c r="C17" s="8" t="n">
        <f aca="false">IF(OR(IF(COUNTIFS(Data!$A$2:$A$1500,"Spring "&amp;$A17,Data!$B$2:$B$1500,"Theta Xi",Data!$D$2:$D$1500,"&lt;&gt;")=0,"",SUMIFS(Data!$D$2:$D$1500,Data!$A$2:$A$1500,"Spring "&amp;$A17,Data!$B$2:$B$1500,"Theta Xi"))="",IF(COUNTIFS(Data!$A$2:$A$1500,"Fall "&amp;$A17,Data!$B$2:$B$1500,"Theta Xi",Data!$D$2:$D$1500,"&lt;&gt;")=0,"",SUMIFS(Data!$D$2:$D$1500,Data!$A$2:$A$1500,"Fall "&amp;$A17,Data!$B$2:$B$1500,"Theta Xi"))=""),"",IF(COUNTIFS(Data!$A$2:$A$1500,"Spring "&amp;$A17,Data!$B$2:$B$1500,"Theta Xi",Data!$D$2:$D$1500,"&lt;&gt;")=0,"",SUMIFS(Data!$D$2:$D$1500,Data!$A$2:$A$1500,"Spring "&amp;$A17,Data!$B$2:$B$1500,"Theta Xi"))+IF(COUNTIFS(Data!$A$2:$A$1500,"Fall "&amp;$A17,Data!$B$2:$B$1500,"Theta Xi",Data!$D$2:$D$1500,"&lt;&gt;")=0,"",SUMIFS(Data!$D$2:$D$1500,Data!$A$2:$A$1500,"Fall "&amp;$A17,Data!$B$2:$B$1500,"Theta Xi")))</f>
        <v>19</v>
      </c>
      <c r="D17" s="9" t="str">
        <f aca="false">IF(OR(IF(COUNTIFS(Data!$A$2:$A$1500,"Spring "&amp;$A17,Data!$D$2:$D$1500,"&lt;&gt;")&lt;5,"",AVERAGEIFS(Data!$D$2:$D$1500,Data!$A$2:$A$1500,"Spring "&amp;$A17))="",IF(COUNTIFS(Data!$A$2:$A$1500,"Fall "&amp;$A17,Data!$D$2:$D$1500,"&lt;&gt;")&lt;5,"",AVERAGEIFS(Data!$D$2:$D$1500,Data!$A$2:$A$1500,"Fall "&amp;$A17))=""),"",IF(COUNTIFS(Data!$A$2:$A$1500,"Spring "&amp;$A17,Data!$D$2:$D$1500,"&lt;&gt;")&lt;5,"",AVERAGEIFS(Data!$D$2:$D$1500,Data!$A$2:$A$1500,"Spring "&amp;$A17))+IF(COUNTIFS(Data!$A$2:$A$1500,"Fall "&amp;$A17,Data!$D$2:$D$1500,"&lt;&gt;")&lt;5,"",AVERAGEIFS(Data!$D$2:$D$1500,Data!$A$2:$A$1500,"Fall "&amp;$A17)))</f>
        <v/>
      </c>
      <c r="E17" s="11" t="str">
        <f aca="false">IF(OR(C17="",D17=""),"",C17/D17)</f>
        <v/>
      </c>
      <c r="F17" s="8" t="n">
        <f aca="false">IF(COUNTIFS(Data!$A$2:$A$1500,"Fall "&amp;($A17-1),Data!$B$2:$B$1500,"Theta Xi",Data!$C$2:$C$1500,"&lt;&gt;")=0,"",SUMIFS(Data!$C$2:$C$1500,Data!$A$2:$A$1500,"Fall "&amp;($A17-1),Data!$B$2:$B$1500,"Theta Xi"))</f>
        <v>71</v>
      </c>
      <c r="G17" s="11" t="n">
        <f aca="false">IF(OR(C17="",F17=""),"",C17/F17)</f>
        <v>0.267605633802817</v>
      </c>
      <c r="H17" s="8" t="n">
        <f aca="false">IF(COUNTIFS(Data!$A$2:$A$1500,"Fall "&amp;$A17,Data!$B$2:$B$1500,"Theta Xi",Data!$C$2:$C$1500,"&lt;&gt;")=0,"",SUMIFS(Data!$C$2:$C$1500,Data!$A$2:$A$1500,"Fall "&amp;$A17,Data!$B$2:$B$1500,"Theta Xi"))</f>
        <v>60</v>
      </c>
      <c r="I17" s="12" t="n">
        <f aca="false">IF(OR(F17="",H17=""),"",H17-F17)</f>
        <v>-11</v>
      </c>
    </row>
    <row r="18" customFormat="false" ht="15" hidden="false" customHeight="false" outlineLevel="0" collapsed="false">
      <c r="A18" s="4" t="n">
        <v>2024</v>
      </c>
      <c r="B18" s="10" t="s">
        <v>47</v>
      </c>
      <c r="C18" s="8" t="n">
        <f aca="false">IF(OR(IF(COUNTIFS(Data!$A$2:$A$1500,"Spring "&amp;$A18,Data!$B$2:$B$1500,"Theta Xi",Data!$D$2:$D$1500,"&lt;&gt;")=0,"",SUMIFS(Data!$D$2:$D$1500,Data!$A$2:$A$1500,"Spring "&amp;$A18,Data!$B$2:$B$1500,"Theta Xi"))="",IF(COUNTIFS(Data!$A$2:$A$1500,"Fall "&amp;$A18,Data!$B$2:$B$1500,"Theta Xi",Data!$D$2:$D$1500,"&lt;&gt;")=0,"",SUMIFS(Data!$D$2:$D$1500,Data!$A$2:$A$1500,"Fall "&amp;$A18,Data!$B$2:$B$1500,"Theta Xi"))=""),"",IF(COUNTIFS(Data!$A$2:$A$1500,"Spring "&amp;$A18,Data!$B$2:$B$1500,"Theta Xi",Data!$D$2:$D$1500,"&lt;&gt;")=0,"",SUMIFS(Data!$D$2:$D$1500,Data!$A$2:$A$1500,"Spring "&amp;$A18,Data!$B$2:$B$1500,"Theta Xi"))+IF(COUNTIFS(Data!$A$2:$A$1500,"Fall "&amp;$A18,Data!$B$2:$B$1500,"Theta Xi",Data!$D$2:$D$1500,"&lt;&gt;")=0,"",SUMIFS(Data!$D$2:$D$1500,Data!$A$2:$A$1500,"Fall "&amp;$A18,Data!$B$2:$B$1500,"Theta Xi")))</f>
        <v>17</v>
      </c>
      <c r="D18" s="9" t="n">
        <f aca="false">IF(OR(IF(COUNTIFS(Data!$A$2:$A$1500,"Spring "&amp;$A18,Data!$D$2:$D$1500,"&lt;&gt;")&lt;5,"",AVERAGEIFS(Data!$D$2:$D$1500,Data!$A$2:$A$1500,"Spring "&amp;$A18))="",IF(COUNTIFS(Data!$A$2:$A$1500,"Fall "&amp;$A18,Data!$D$2:$D$1500,"&lt;&gt;")&lt;5,"",AVERAGEIFS(Data!$D$2:$D$1500,Data!$A$2:$A$1500,"Fall "&amp;$A18))=""),"",IF(COUNTIFS(Data!$A$2:$A$1500,"Spring "&amp;$A18,Data!$D$2:$D$1500,"&lt;&gt;")&lt;5,"",AVERAGEIFS(Data!$D$2:$D$1500,Data!$A$2:$A$1500,"Spring "&amp;$A18))+IF(COUNTIFS(Data!$A$2:$A$1500,"Fall "&amp;$A18,Data!$D$2:$D$1500,"&lt;&gt;")&lt;5,"",AVERAGEIFS(Data!$D$2:$D$1500,Data!$A$2:$A$1500,"Fall "&amp;$A18)))</f>
        <v>25.0692307692308</v>
      </c>
      <c r="E18" s="11" t="n">
        <f aca="false">IF(OR(C18="",D18=""),"",C18/D18)</f>
        <v>0.678122123350721</v>
      </c>
      <c r="F18" s="8" t="n">
        <f aca="false">IF(COUNTIFS(Data!$A$2:$A$1500,"Fall "&amp;($A18-1),Data!$B$2:$B$1500,"Theta Xi",Data!$C$2:$C$1500,"&lt;&gt;")=0,"",SUMIFS(Data!$C$2:$C$1500,Data!$A$2:$A$1500,"Fall "&amp;($A18-1),Data!$B$2:$B$1500,"Theta Xi"))</f>
        <v>60</v>
      </c>
      <c r="G18" s="11" t="n">
        <f aca="false">IF(OR(C18="",F18=""),"",C18/F18)</f>
        <v>0.283333333333333</v>
      </c>
      <c r="H18" s="8" t="n">
        <f aca="false">IF(COUNTIFS(Data!$A$2:$A$1500,"Fall "&amp;$A18,Data!$B$2:$B$1500,"Theta Xi",Data!$C$2:$C$1500,"&lt;&gt;")=0,"",SUMIFS(Data!$C$2:$C$1500,Data!$A$2:$A$1500,"Fall "&amp;$A18,Data!$B$2:$B$1500,"Theta Xi"))</f>
        <v>48</v>
      </c>
      <c r="I18" s="12" t="n">
        <f aca="false">IF(OR(F18="",H18=""),"",H18-F18)</f>
        <v>-12</v>
      </c>
    </row>
    <row r="19" customFormat="false" ht="15" hidden="false" customHeight="false" outlineLevel="0" collapsed="false">
      <c r="A19" s="4" t="n">
        <v>2025</v>
      </c>
      <c r="B19" s="10"/>
      <c r="C19" s="8" t="n">
        <f aca="false">IF(OR(IF(COUNTIFS(Data!$A$2:$A$1500,"Spring "&amp;$A19,Data!$B$2:$B$1500,"Theta Xi",Data!$D$2:$D$1500,"&lt;&gt;")=0,"",SUMIFS(Data!$D$2:$D$1500,Data!$A$2:$A$1500,"Spring "&amp;$A19,Data!$B$2:$B$1500,"Theta Xi"))="",IF(COUNTIFS(Data!$A$2:$A$1500,"Fall "&amp;$A19,Data!$B$2:$B$1500,"Theta Xi",Data!$D$2:$D$1500,"&lt;&gt;")=0,"",SUMIFS(Data!$D$2:$D$1500,Data!$A$2:$A$1500,"Fall "&amp;$A19,Data!$B$2:$B$1500,"Theta Xi"))=""),"",IF(COUNTIFS(Data!$A$2:$A$1500,"Spring "&amp;$A19,Data!$B$2:$B$1500,"Theta Xi",Data!$D$2:$D$1500,"&lt;&gt;")=0,"",SUMIFS(Data!$D$2:$D$1500,Data!$A$2:$A$1500,"Spring "&amp;$A19,Data!$B$2:$B$1500,"Theta Xi"))+IF(COUNTIFS(Data!$A$2:$A$1500,"Fall "&amp;$A19,Data!$B$2:$B$1500,"Theta Xi",Data!$D$2:$D$1500,"&lt;&gt;")=0,"",SUMIFS(Data!$D$2:$D$1500,Data!$A$2:$A$1500,"Fall "&amp;$A19,Data!$B$2:$B$1500,"Theta Xi")))</f>
        <v>15</v>
      </c>
      <c r="D19" s="9" t="n">
        <f aca="false">IF(OR(IF(COUNTIFS(Data!$A$2:$A$1500,"Spring "&amp;$A19,Data!$D$2:$D$1500,"&lt;&gt;")&lt;5,"",AVERAGEIFS(Data!$D$2:$D$1500,Data!$A$2:$A$1500,"Spring "&amp;$A19))="",IF(COUNTIFS(Data!$A$2:$A$1500,"Fall "&amp;$A19,Data!$D$2:$D$1500,"&lt;&gt;")&lt;5,"",AVERAGEIFS(Data!$D$2:$D$1500,Data!$A$2:$A$1500,"Fall "&amp;$A19))=""),"",IF(COUNTIFS(Data!$A$2:$A$1500,"Spring "&amp;$A19,Data!$D$2:$D$1500,"&lt;&gt;")&lt;5,"",AVERAGEIFS(Data!$D$2:$D$1500,Data!$A$2:$A$1500,"Spring "&amp;$A19))+IF(COUNTIFS(Data!$A$2:$A$1500,"Fall "&amp;$A19,Data!$D$2:$D$1500,"&lt;&gt;")&lt;5,"",AVERAGEIFS(Data!$D$2:$D$1500,Data!$A$2:$A$1500,"Fall "&amp;$A19)))</f>
        <v>26.8316666666667</v>
      </c>
      <c r="E19" s="11" t="n">
        <f aca="false">IF(OR(C19="",D19=""),"",C19/D19)</f>
        <v>0.559040934219517</v>
      </c>
      <c r="F19" s="8" t="n">
        <f aca="false">IF(COUNTIFS(Data!$A$2:$A$1500,"Fall "&amp;($A19-1),Data!$B$2:$B$1500,"Theta Xi",Data!$C$2:$C$1500,"&lt;&gt;")=0,"",SUMIFS(Data!$C$2:$C$1500,Data!$A$2:$A$1500,"Fall "&amp;($A19-1),Data!$B$2:$B$1500,"Theta Xi"))</f>
        <v>48</v>
      </c>
      <c r="G19" s="11" t="n">
        <f aca="false">IF(OR(C19="",F19=""),"",C19/F19)</f>
        <v>0.3125</v>
      </c>
      <c r="H19" s="8" t="n">
        <f aca="false">IF(COUNTIFS(Data!$A$2:$A$1500,"Fall "&amp;$A19,Data!$B$2:$B$1500,"Theta Xi",Data!$C$2:$C$1500,"&lt;&gt;")=0,"",SUMIFS(Data!$C$2:$C$1500,Data!$A$2:$A$1500,"Fall "&amp;$A19,Data!$B$2:$B$1500,"Theta Xi"))</f>
        <v>44</v>
      </c>
      <c r="I19" s="12" t="n">
        <f aca="false">IF(OR(F19="",H19=""),"",H19-F19)</f>
        <v>-4</v>
      </c>
    </row>
    <row r="20" customFormat="false" ht="15" hidden="false" customHeight="false" outlineLevel="0" collapsed="false">
      <c r="A20" s="4" t="n">
        <v>2026</v>
      </c>
      <c r="B20" s="10"/>
      <c r="C20" s="8" t="str">
        <f aca="false">IF(OR(IF(COUNTIFS(Data!$A$2:$A$1500,"Spring "&amp;$A20,Data!$B$2:$B$1500,"Theta Xi",Data!$D$2:$D$1500,"&lt;&gt;")=0,"",SUMIFS(Data!$D$2:$D$1500,Data!$A$2:$A$1500,"Spring "&amp;$A20,Data!$B$2:$B$1500,"Theta Xi"))="",IF(COUNTIFS(Data!$A$2:$A$1500,"Fall "&amp;$A20,Data!$B$2:$B$1500,"Theta Xi",Data!$D$2:$D$1500,"&lt;&gt;")=0,"",SUMIFS(Data!$D$2:$D$1500,Data!$A$2:$A$1500,"Fall "&amp;$A20,Data!$B$2:$B$1500,"Theta Xi"))=""),"",IF(COUNTIFS(Data!$A$2:$A$1500,"Spring "&amp;$A20,Data!$B$2:$B$1500,"Theta Xi",Data!$D$2:$D$1500,"&lt;&gt;")=0,"",SUMIFS(Data!$D$2:$D$1500,Data!$A$2:$A$1500,"Spring "&amp;$A20,Data!$B$2:$B$1500,"Theta Xi"))+IF(COUNTIFS(Data!$A$2:$A$1500,"Fall "&amp;$A20,Data!$B$2:$B$1500,"Theta Xi",Data!$D$2:$D$1500,"&lt;&gt;")=0,"",SUMIFS(Data!$D$2:$D$1500,Data!$A$2:$A$1500,"Fall "&amp;$A20,Data!$B$2:$B$1500,"Theta Xi")))</f>
        <v/>
      </c>
      <c r="D20" s="9" t="str">
        <f aca="false">IF(OR(IF(COUNTIFS(Data!$A$2:$A$1500,"Spring "&amp;$A20,Data!$D$2:$D$1500,"&lt;&gt;")&lt;5,"",AVERAGEIFS(Data!$D$2:$D$1500,Data!$A$2:$A$1500,"Spring "&amp;$A20))="",IF(COUNTIFS(Data!$A$2:$A$1500,"Fall "&amp;$A20,Data!$D$2:$D$1500,"&lt;&gt;")&lt;5,"",AVERAGEIFS(Data!$D$2:$D$1500,Data!$A$2:$A$1500,"Fall "&amp;$A20))=""),"",IF(COUNTIFS(Data!$A$2:$A$1500,"Spring "&amp;$A20,Data!$D$2:$D$1500,"&lt;&gt;")&lt;5,"",AVERAGEIFS(Data!$D$2:$D$1500,Data!$A$2:$A$1500,"Spring "&amp;$A20))+IF(COUNTIFS(Data!$A$2:$A$1500,"Fall "&amp;$A20,Data!$D$2:$D$1500,"&lt;&gt;")&lt;5,"",AVERAGEIFS(Data!$D$2:$D$1500,Data!$A$2:$A$1500,"Fall "&amp;$A20)))</f>
        <v/>
      </c>
      <c r="E20" s="11" t="str">
        <f aca="false">IF(OR(C20="",D20=""),"",C20/D20)</f>
        <v/>
      </c>
      <c r="F20" s="8" t="n">
        <f aca="false">IF(COUNTIFS(Data!$A$2:$A$1500,"Fall "&amp;($A20-1),Data!$B$2:$B$1500,"Theta Xi",Data!$C$2:$C$1500,"&lt;&gt;")=0,"",SUMIFS(Data!$C$2:$C$1500,Data!$A$2:$A$1500,"Fall "&amp;($A20-1),Data!$B$2:$B$1500,"Theta Xi"))</f>
        <v>44</v>
      </c>
      <c r="G20" s="11" t="str">
        <f aca="false">IF(OR(C20="",F20=""),"",C20/F20)</f>
        <v/>
      </c>
      <c r="H20" s="8" t="str">
        <f aca="false">IF(COUNTIFS(Data!$A$2:$A$1500,"Fall "&amp;$A20,Data!$B$2:$B$1500,"Theta Xi",Data!$C$2:$C$1500,"&lt;&gt;")=0,"",SUMIFS(Data!$C$2:$C$1500,Data!$A$2:$A$1500,"Fall "&amp;$A20,Data!$B$2:$B$1500,"Theta Xi"))</f>
        <v/>
      </c>
      <c r="I20" s="12" t="str">
        <f aca="false">IF(OR(F20="",H20=""),"",H20-F20)</f>
        <v/>
      </c>
    </row>
    <row r="21" customFormat="false" ht="15" hidden="false" customHeight="false" outlineLevel="0" collapsed="false">
      <c r="A21" s="2" t="s">
        <v>48</v>
      </c>
    </row>
    <row r="22" customFormat="false" ht="15" hidden="false" customHeight="false" outlineLevel="0" collapsed="false">
      <c r="A22" s="2" t="s">
        <v>49</v>
      </c>
    </row>
    <row r="23" customFormat="false" ht="15" hidden="false" customHeight="false" outlineLevel="0" collapsed="false">
      <c r="A23" s="2" t="s">
        <v>50</v>
      </c>
    </row>
  </sheetData>
  <conditionalFormatting sqref="E5:E19">
    <cfRule type="top10" priority="2" aboveAverage="0" equalAverage="0" bottom="0" percent="0" rank="1" text="" dxfId="1"/>
    <cfRule type="top10" priority="3" aboveAverage="0" equalAverage="0" bottom="1" percent="0" rank="1" text="" dxfId="2"/>
  </conditionalFormatting>
  <conditionalFormatting sqref="G5:G19">
    <cfRule type="top10" priority="4" aboveAverage="0" equalAverage="0" bottom="0" percent="0" rank="1" text="" dxfId="1"/>
    <cfRule type="top10" priority="5" aboveAverage="0" equalAverage="0" bottom="1" percent="0" rank="1" text="" dxfId="2"/>
  </conditionalFormatting>
  <conditionalFormatting sqref="I5:I19">
    <cfRule type="top10" priority="6" aboveAverage="0" equalAverage="0" bottom="0" percent="0" rank="1" text="" dxfId="1"/>
    <cfRule type="top10" priority="7" aboveAverage="0" equalAverage="0" bottom="1" percent="0" rank="1" text="" dxfId="2"/>
    <cfRule type="cellIs" priority="8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07F"/>
    <pageSetUpPr fitToPage="tru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4" min="3" style="0" width="9"/>
    <col collapsed="false" customWidth="true" hidden="false" outlineLevel="0" max="9" min="5" style="0" width="1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42" hidden="false" customHeight="true" outlineLevel="0" collapsed="false">
      <c r="A4" s="3" t="s">
        <v>31</v>
      </c>
      <c r="B4" s="3" t="s">
        <v>53</v>
      </c>
      <c r="C4" s="3" t="s">
        <v>54</v>
      </c>
      <c r="D4" s="3" t="s">
        <v>55</v>
      </c>
      <c r="E4" s="3" t="s">
        <v>56</v>
      </c>
      <c r="F4" s="3" t="s">
        <v>4</v>
      </c>
      <c r="G4" s="3" t="s">
        <v>5</v>
      </c>
      <c r="H4" s="3" t="s">
        <v>57</v>
      </c>
      <c r="I4" s="3" t="s">
        <v>58</v>
      </c>
    </row>
    <row r="5" customFormat="false" ht="15" hidden="false" customHeight="false" outlineLevel="0" collapsed="false">
      <c r="A5" s="4" t="n">
        <v>2011</v>
      </c>
      <c r="B5" s="10"/>
      <c r="C5" s="5" t="n">
        <f aca="false">IF(COUNTIFS(Data!$A$2:$A$1500,"Spring "&amp;$A5,Data!$B$2:$B$1500,"Theta Xi",Data!$E$2:$E$1500,"&lt;&gt;")=0,"",SUMIFS(Data!$E$2:$E$1500,Data!$A$2:$A$1500,"Spring "&amp;$A5,Data!$B$2:$B$1500,"Theta Xi"))</f>
        <v>2.803</v>
      </c>
      <c r="D5" s="5" t="n">
        <f aca="false">IF(COUNTIFS(Data!$A$2:$A$1500,"Fall "&amp;$A5,Data!$B$2:$B$1500,"Theta Xi",Data!$E$2:$E$1500,"&lt;&gt;")=0,"",SUMIFS(Data!$E$2:$E$1500,Data!$A$2:$A$1500,"Fall "&amp;$A5,Data!$B$2:$B$1500,"Theta Xi"))</f>
        <v>2.66</v>
      </c>
      <c r="E5" s="5" t="n">
        <f aca="false">IF(COUNT(C5:D5)&lt;2,"",AVERAGE(C5:D5))</f>
        <v>2.7315</v>
      </c>
      <c r="F5" s="5" t="n">
        <f aca="false">IF(OR(IFERROR(IF(INDEX('UNL Averages'!$C:$C,MATCH("Spring "&amp;$A5,'UNL Averages'!$A:$A,0))="","",INDEX('UNL Averages'!$C:$C,MATCH("Spring "&amp;$A5,'UNL Averages'!$A:$A,0))),"")="",IFERROR(IF(INDEX('UNL Averages'!$C:$C,MATCH("Fall "&amp;$A5,'UNL Averages'!$A:$A,0))="","",INDEX('UNL Averages'!$C:$C,MATCH("Fall "&amp;$A5,'UNL Averages'!$A:$A,0))),"")=""),"",(IFERROR(IF(INDEX('UNL Averages'!$C:$C,MATCH("Spring "&amp;$A5,'UNL Averages'!$A:$A,0))="","",INDEX('UNL Averages'!$C:$C,MATCH("Spring "&amp;$A5,'UNL Averages'!$A:$A,0))),"")+IFERROR(IF(INDEX('UNL Averages'!$C:$C,MATCH("Fall "&amp;$A5,'UNL Averages'!$A:$A,0))="","",INDEX('UNL Averages'!$C:$C,MATCH("Fall "&amp;$A5,'UNL Averages'!$A:$A,0))),""))/2)</f>
        <v>3.07</v>
      </c>
      <c r="G5" s="6" t="n">
        <f aca="false">IF(OR(E5="",F5=""),"",E5-F5)</f>
        <v>-0.3385</v>
      </c>
      <c r="H5" s="7" t="str">
        <f aca="false">IF(OR(C5="",COUNTIFS(Data!$A$2:$A$1500,"Spring "&amp;$A5,Data!$E$2:$E$1500,"&gt;0")&lt;5),"",COUNTIFS(Data!$A$2:$A$1500,"Spring "&amp;$A5,Data!$E$2:$E$1500,"&gt;"&amp;C5)+1&amp;" of "&amp;COUNTIFS(Data!$A$2:$A$1500,"Spring "&amp;$A5,Data!$E$2:$E$1500,"&gt;0"))</f>
        <v/>
      </c>
      <c r="I5" s="7" t="str">
        <f aca="false">IF(OR(D5="",COUNTIFS(Data!$A$2:$A$1500,"Fall "&amp;$A5,Data!$E$2:$E$1500,"&gt;0")&lt;5),"",COUNTIFS(Data!$A$2:$A$1500,"Fall "&amp;$A5,Data!$E$2:$E$1500,"&gt;"&amp;D5)+1&amp;" of "&amp;COUNTIFS(Data!$A$2:$A$1500,"Fall "&amp;$A5,Data!$E$2:$E$1500,"&gt;0"))</f>
        <v/>
      </c>
    </row>
    <row r="6" customFormat="false" ht="15" hidden="false" customHeight="false" outlineLevel="0" collapsed="false">
      <c r="A6" s="4" t="n">
        <v>2012</v>
      </c>
      <c r="B6" s="10"/>
      <c r="C6" s="5" t="n">
        <f aca="false">IF(COUNTIFS(Data!$A$2:$A$1500,"Spring "&amp;$A6,Data!$B$2:$B$1500,"Theta Xi",Data!$E$2:$E$1500,"&lt;&gt;")=0,"",SUMIFS(Data!$E$2:$E$1500,Data!$A$2:$A$1500,"Spring "&amp;$A6,Data!$B$2:$B$1500,"Theta Xi"))</f>
        <v>2.942</v>
      </c>
      <c r="D6" s="5" t="n">
        <f aca="false">IF(COUNTIFS(Data!$A$2:$A$1500,"Fall "&amp;$A6,Data!$B$2:$B$1500,"Theta Xi",Data!$E$2:$E$1500,"&lt;&gt;")=0,"",SUMIFS(Data!$E$2:$E$1500,Data!$A$2:$A$1500,"Fall "&amp;$A6,Data!$B$2:$B$1500,"Theta Xi"))</f>
        <v>2.777</v>
      </c>
      <c r="E6" s="5" t="n">
        <f aca="false">IF(COUNT(C6:D6)&lt;2,"",AVERAGE(C6:D6))</f>
        <v>2.8595</v>
      </c>
      <c r="F6" s="5" t="n">
        <f aca="false">IF(OR(IFERROR(IF(INDEX('UNL Averages'!$C:$C,MATCH("Spring "&amp;$A6,'UNL Averages'!$A:$A,0))="","",INDEX('UNL Averages'!$C:$C,MATCH("Spring "&amp;$A6,'UNL Averages'!$A:$A,0))),"")="",IFERROR(IF(INDEX('UNL Averages'!$C:$C,MATCH("Fall "&amp;$A6,'UNL Averages'!$A:$A,0))="","",INDEX('UNL Averages'!$C:$C,MATCH("Fall "&amp;$A6,'UNL Averages'!$A:$A,0))),"")=""),"",(IFERROR(IF(INDEX('UNL Averages'!$C:$C,MATCH("Spring "&amp;$A6,'UNL Averages'!$A:$A,0))="","",INDEX('UNL Averages'!$C:$C,MATCH("Spring "&amp;$A6,'UNL Averages'!$A:$A,0))),"")+IFERROR(IF(INDEX('UNL Averages'!$C:$C,MATCH("Fall "&amp;$A6,'UNL Averages'!$A:$A,0))="","",INDEX('UNL Averages'!$C:$C,MATCH("Fall "&amp;$A6,'UNL Averages'!$A:$A,0))),""))/2)</f>
        <v>3.0965</v>
      </c>
      <c r="G6" s="6" t="n">
        <f aca="false">IF(OR(E6="",F6=""),"",E6-F6)</f>
        <v>-0.237</v>
      </c>
      <c r="H6" s="7" t="str">
        <f aca="false">IF(OR(C6="",COUNTIFS(Data!$A$2:$A$1500,"Spring "&amp;$A6,Data!$E$2:$E$1500,"&gt;0")&lt;5),"",COUNTIFS(Data!$A$2:$A$1500,"Spring "&amp;$A6,Data!$E$2:$E$1500,"&gt;"&amp;C6)+1&amp;" of "&amp;COUNTIFS(Data!$A$2:$A$1500,"Spring "&amp;$A6,Data!$E$2:$E$1500,"&gt;0"))</f>
        <v/>
      </c>
      <c r="I6" s="7" t="str">
        <f aca="false">IF(OR(D6="",COUNTIFS(Data!$A$2:$A$1500,"Fall "&amp;$A6,Data!$E$2:$E$1500,"&gt;0")&lt;5),"",COUNTIFS(Data!$A$2:$A$1500,"Fall "&amp;$A6,Data!$E$2:$E$1500,"&gt;"&amp;D6)+1&amp;" of "&amp;COUNTIFS(Data!$A$2:$A$1500,"Fall "&amp;$A6,Data!$E$2:$E$1500,"&gt;0"))</f>
        <v/>
      </c>
    </row>
    <row r="7" customFormat="false" ht="15" hidden="false" customHeight="false" outlineLevel="0" collapsed="false">
      <c r="A7" s="4" t="n">
        <v>2013</v>
      </c>
      <c r="B7" s="10"/>
      <c r="C7" s="5" t="n">
        <f aca="false">IF(COUNTIFS(Data!$A$2:$A$1500,"Spring "&amp;$A7,Data!$B$2:$B$1500,"Theta Xi",Data!$E$2:$E$1500,"&lt;&gt;")=0,"",SUMIFS(Data!$E$2:$E$1500,Data!$A$2:$A$1500,"Spring "&amp;$A7,Data!$B$2:$B$1500,"Theta Xi"))</f>
        <v>2.775</v>
      </c>
      <c r="D7" s="5" t="n">
        <f aca="false">IF(COUNTIFS(Data!$A$2:$A$1500,"Fall "&amp;$A7,Data!$B$2:$B$1500,"Theta Xi",Data!$E$2:$E$1500,"&lt;&gt;")=0,"",SUMIFS(Data!$E$2:$E$1500,Data!$A$2:$A$1500,"Fall "&amp;$A7,Data!$B$2:$B$1500,"Theta Xi"))</f>
        <v>2.741</v>
      </c>
      <c r="E7" s="5" t="n">
        <f aca="false">IF(COUNT(C7:D7)&lt;2,"",AVERAGE(C7:D7))</f>
        <v>2.758</v>
      </c>
      <c r="F7" s="5" t="n">
        <f aca="false">IF(OR(IFERROR(IF(INDEX('UNL Averages'!$C:$C,MATCH("Spring "&amp;$A7,'UNL Averages'!$A:$A,0))="","",INDEX('UNL Averages'!$C:$C,MATCH("Spring "&amp;$A7,'UNL Averages'!$A:$A,0))),"")="",IFERROR(IF(INDEX('UNL Averages'!$C:$C,MATCH("Fall "&amp;$A7,'UNL Averages'!$A:$A,0))="","",INDEX('UNL Averages'!$C:$C,MATCH("Fall "&amp;$A7,'UNL Averages'!$A:$A,0))),"")=""),"",(IFERROR(IF(INDEX('UNL Averages'!$C:$C,MATCH("Spring "&amp;$A7,'UNL Averages'!$A:$A,0))="","",INDEX('UNL Averages'!$C:$C,MATCH("Spring "&amp;$A7,'UNL Averages'!$A:$A,0))),"")+IFERROR(IF(INDEX('UNL Averages'!$C:$C,MATCH("Fall "&amp;$A7,'UNL Averages'!$A:$A,0))="","",INDEX('UNL Averages'!$C:$C,MATCH("Fall "&amp;$A7,'UNL Averages'!$A:$A,0))),""))/2)</f>
        <v>3.137</v>
      </c>
      <c r="G7" s="6" t="n">
        <f aca="false">IF(OR(E7="",F7=""),"",E7-F7)</f>
        <v>-0.379</v>
      </c>
      <c r="H7" s="7" t="str">
        <f aca="false">IF(OR(C7="",COUNTIFS(Data!$A$2:$A$1500,"Spring "&amp;$A7,Data!$E$2:$E$1500,"&gt;0")&lt;5),"",COUNTIFS(Data!$A$2:$A$1500,"Spring "&amp;$A7,Data!$E$2:$E$1500,"&gt;"&amp;C7)+1&amp;" of "&amp;COUNTIFS(Data!$A$2:$A$1500,"Spring "&amp;$A7,Data!$E$2:$E$1500,"&gt;0"))</f>
        <v/>
      </c>
      <c r="I7" s="7" t="str">
        <f aca="false">IF(OR(D7="",COUNTIFS(Data!$A$2:$A$1500,"Fall "&amp;$A7,Data!$E$2:$E$1500,"&gt;0")&lt;5),"",COUNTIFS(Data!$A$2:$A$1500,"Fall "&amp;$A7,Data!$E$2:$E$1500,"&gt;"&amp;D7)+1&amp;" of "&amp;COUNTIFS(Data!$A$2:$A$1500,"Fall "&amp;$A7,Data!$E$2:$E$1500,"&gt;0"))</f>
        <v/>
      </c>
    </row>
    <row r="8" customFormat="false" ht="15" hidden="false" customHeight="false" outlineLevel="0" collapsed="false">
      <c r="A8" s="4" t="n">
        <v>2014</v>
      </c>
      <c r="B8" s="10"/>
      <c r="C8" s="5" t="n">
        <f aca="false">IF(COUNTIFS(Data!$A$2:$A$1500,"Spring "&amp;$A8,Data!$B$2:$B$1500,"Theta Xi",Data!$E$2:$E$1500,"&lt;&gt;")=0,"",SUMIFS(Data!$E$2:$E$1500,Data!$A$2:$A$1500,"Spring "&amp;$A8,Data!$B$2:$B$1500,"Theta Xi"))</f>
        <v>3.142</v>
      </c>
      <c r="D8" s="5" t="n">
        <f aca="false">IF(COUNTIFS(Data!$A$2:$A$1500,"Fall "&amp;$A8,Data!$B$2:$B$1500,"Theta Xi",Data!$E$2:$E$1500,"&lt;&gt;")=0,"",SUMIFS(Data!$E$2:$E$1500,Data!$A$2:$A$1500,"Fall "&amp;$A8,Data!$B$2:$B$1500,"Theta Xi"))</f>
        <v>2.85</v>
      </c>
      <c r="E8" s="5" t="n">
        <f aca="false">IF(COUNT(C8:D8)&lt;2,"",AVERAGE(C8:D8))</f>
        <v>2.996</v>
      </c>
      <c r="F8" s="5" t="n">
        <f aca="false">IF(OR(IFERROR(IF(INDEX('UNL Averages'!$C:$C,MATCH("Spring "&amp;$A8,'UNL Averages'!$A:$A,0))="","",INDEX('UNL Averages'!$C:$C,MATCH("Spring "&amp;$A8,'UNL Averages'!$A:$A,0))),"")="",IFERROR(IF(INDEX('UNL Averages'!$C:$C,MATCH("Fall "&amp;$A8,'UNL Averages'!$A:$A,0))="","",INDEX('UNL Averages'!$C:$C,MATCH("Fall "&amp;$A8,'UNL Averages'!$A:$A,0))),"")=""),"",(IFERROR(IF(INDEX('UNL Averages'!$C:$C,MATCH("Spring "&amp;$A8,'UNL Averages'!$A:$A,0))="","",INDEX('UNL Averages'!$C:$C,MATCH("Spring "&amp;$A8,'UNL Averages'!$A:$A,0))),"")+IFERROR(IF(INDEX('UNL Averages'!$C:$C,MATCH("Fall "&amp;$A8,'UNL Averages'!$A:$A,0))="","",INDEX('UNL Averages'!$C:$C,MATCH("Fall "&amp;$A8,'UNL Averages'!$A:$A,0))),""))/2)</f>
        <v>3.1235</v>
      </c>
      <c r="G8" s="6" t="n">
        <f aca="false">IF(OR(E8="",F8=""),"",E8-F8)</f>
        <v>-0.1275</v>
      </c>
      <c r="H8" s="7" t="str">
        <f aca="false">IF(OR(C8="",COUNTIFS(Data!$A$2:$A$1500,"Spring "&amp;$A8,Data!$E$2:$E$1500,"&gt;0")&lt;5),"",COUNTIFS(Data!$A$2:$A$1500,"Spring "&amp;$A8,Data!$E$2:$E$1500,"&gt;"&amp;C8)+1&amp;" of "&amp;COUNTIFS(Data!$A$2:$A$1500,"Spring "&amp;$A8,Data!$E$2:$E$1500,"&gt;0"))</f>
        <v/>
      </c>
      <c r="I8" s="7" t="str">
        <f aca="false">IF(OR(D8="",COUNTIFS(Data!$A$2:$A$1500,"Fall "&amp;$A8,Data!$E$2:$E$1500,"&gt;0")&lt;5),"",COUNTIFS(Data!$A$2:$A$1500,"Fall "&amp;$A8,Data!$E$2:$E$1500,"&gt;"&amp;D8)+1&amp;" of "&amp;COUNTIFS(Data!$A$2:$A$1500,"Fall "&amp;$A8,Data!$E$2:$E$1500,"&gt;0"))</f>
        <v/>
      </c>
    </row>
    <row r="9" customFormat="false" ht="15" hidden="false" customHeight="false" outlineLevel="0" collapsed="false">
      <c r="A9" s="4" t="n">
        <v>2015</v>
      </c>
      <c r="B9" s="10"/>
      <c r="C9" s="5" t="n">
        <f aca="false">IF(COUNTIFS(Data!$A$2:$A$1500,"Spring "&amp;$A9,Data!$B$2:$B$1500,"Theta Xi",Data!$E$2:$E$1500,"&lt;&gt;")=0,"",SUMIFS(Data!$E$2:$E$1500,Data!$A$2:$A$1500,"Spring "&amp;$A9,Data!$B$2:$B$1500,"Theta Xi"))</f>
        <v>3.006</v>
      </c>
      <c r="D9" s="5" t="n">
        <f aca="false">IF(COUNTIFS(Data!$A$2:$A$1500,"Fall "&amp;$A9,Data!$B$2:$B$1500,"Theta Xi",Data!$E$2:$E$1500,"&lt;&gt;")=0,"",SUMIFS(Data!$E$2:$E$1500,Data!$A$2:$A$1500,"Fall "&amp;$A9,Data!$B$2:$B$1500,"Theta Xi"))</f>
        <v>2.506</v>
      </c>
      <c r="E9" s="5" t="n">
        <f aca="false">IF(COUNT(C9:D9)&lt;2,"",AVERAGE(C9:D9))</f>
        <v>2.756</v>
      </c>
      <c r="F9" s="5" t="n">
        <f aca="false">IF(OR(IFERROR(IF(INDEX('UNL Averages'!$C:$C,MATCH("Spring "&amp;$A9,'UNL Averages'!$A:$A,0))="","",INDEX('UNL Averages'!$C:$C,MATCH("Spring "&amp;$A9,'UNL Averages'!$A:$A,0))),"")="",IFERROR(IF(INDEX('UNL Averages'!$C:$C,MATCH("Fall "&amp;$A9,'UNL Averages'!$A:$A,0))="","",INDEX('UNL Averages'!$C:$C,MATCH("Fall "&amp;$A9,'UNL Averages'!$A:$A,0))),"")=""),"",(IFERROR(IF(INDEX('UNL Averages'!$C:$C,MATCH("Spring "&amp;$A9,'UNL Averages'!$A:$A,0))="","",INDEX('UNL Averages'!$C:$C,MATCH("Spring "&amp;$A9,'UNL Averages'!$A:$A,0))),"")+IFERROR(IF(INDEX('UNL Averages'!$C:$C,MATCH("Fall "&amp;$A9,'UNL Averages'!$A:$A,0))="","",INDEX('UNL Averages'!$C:$C,MATCH("Fall "&amp;$A9,'UNL Averages'!$A:$A,0))),""))/2)</f>
        <v>3.1235</v>
      </c>
      <c r="G9" s="6" t="n">
        <f aca="false">IF(OR(E9="",F9=""),"",E9-F9)</f>
        <v>-0.3675</v>
      </c>
      <c r="H9" s="7" t="str">
        <f aca="false">IF(OR(C9="",COUNTIFS(Data!$A$2:$A$1500,"Spring "&amp;$A9,Data!$E$2:$E$1500,"&gt;0")&lt;5),"",COUNTIFS(Data!$A$2:$A$1500,"Spring "&amp;$A9,Data!$E$2:$E$1500,"&gt;"&amp;C9)+1&amp;" of "&amp;COUNTIFS(Data!$A$2:$A$1500,"Spring "&amp;$A9,Data!$E$2:$E$1500,"&gt;0"))</f>
        <v/>
      </c>
      <c r="I9" s="7" t="str">
        <f aca="false">IF(OR(D9="",COUNTIFS(Data!$A$2:$A$1500,"Fall "&amp;$A9,Data!$E$2:$E$1500,"&gt;0")&lt;5),"",COUNTIFS(Data!$A$2:$A$1500,"Fall "&amp;$A9,Data!$E$2:$E$1500,"&gt;"&amp;D9)+1&amp;" of "&amp;COUNTIFS(Data!$A$2:$A$1500,"Fall "&amp;$A9,Data!$E$2:$E$1500,"&gt;0"))</f>
        <v/>
      </c>
    </row>
    <row r="10" customFormat="false" ht="15" hidden="false" customHeight="false" outlineLevel="0" collapsed="false">
      <c r="A10" s="4" t="n">
        <v>2016</v>
      </c>
      <c r="B10" s="10"/>
      <c r="C10" s="5" t="n">
        <f aca="false">IF(COUNTIFS(Data!$A$2:$A$1500,"Spring "&amp;$A10,Data!$B$2:$B$1500,"Theta Xi",Data!$E$2:$E$1500,"&lt;&gt;")=0,"",SUMIFS(Data!$E$2:$E$1500,Data!$A$2:$A$1500,"Spring "&amp;$A10,Data!$B$2:$B$1500,"Theta Xi"))</f>
        <v>2.874</v>
      </c>
      <c r="D10" s="5" t="n">
        <f aca="false">IF(COUNTIFS(Data!$A$2:$A$1500,"Fall "&amp;$A10,Data!$B$2:$B$1500,"Theta Xi",Data!$E$2:$E$1500,"&lt;&gt;")=0,"",SUMIFS(Data!$E$2:$E$1500,Data!$A$2:$A$1500,"Fall "&amp;$A10,Data!$B$2:$B$1500,"Theta Xi"))</f>
        <v>2.668</v>
      </c>
      <c r="E10" s="5" t="n">
        <f aca="false">IF(COUNT(C10:D10)&lt;2,"",AVERAGE(C10:D10))</f>
        <v>2.771</v>
      </c>
      <c r="F10" s="5" t="n">
        <f aca="false">IF(OR(IFERROR(IF(INDEX('UNL Averages'!$C:$C,MATCH("Spring "&amp;$A10,'UNL Averages'!$A:$A,0))="","",INDEX('UNL Averages'!$C:$C,MATCH("Spring "&amp;$A10,'UNL Averages'!$A:$A,0))),"")="",IFERROR(IF(INDEX('UNL Averages'!$C:$C,MATCH("Fall "&amp;$A10,'UNL Averages'!$A:$A,0))="","",INDEX('UNL Averages'!$C:$C,MATCH("Fall "&amp;$A10,'UNL Averages'!$A:$A,0))),"")=""),"",(IFERROR(IF(INDEX('UNL Averages'!$C:$C,MATCH("Spring "&amp;$A10,'UNL Averages'!$A:$A,0))="","",INDEX('UNL Averages'!$C:$C,MATCH("Spring "&amp;$A10,'UNL Averages'!$A:$A,0))),"")+IFERROR(IF(INDEX('UNL Averages'!$C:$C,MATCH("Fall "&amp;$A10,'UNL Averages'!$A:$A,0))="","",INDEX('UNL Averages'!$C:$C,MATCH("Fall "&amp;$A10,'UNL Averages'!$A:$A,0))),""))/2)</f>
        <v>3.115</v>
      </c>
      <c r="G10" s="6" t="n">
        <f aca="false">IF(OR(E10="",F10=""),"",E10-F10)</f>
        <v>-0.344</v>
      </c>
      <c r="H10" s="7" t="str">
        <f aca="false">IF(OR(C10="",COUNTIFS(Data!$A$2:$A$1500,"Spring "&amp;$A10,Data!$E$2:$E$1500,"&gt;0")&lt;5),"",COUNTIFS(Data!$A$2:$A$1500,"Spring "&amp;$A10,Data!$E$2:$E$1500,"&gt;"&amp;C10)+1&amp;" of "&amp;COUNTIFS(Data!$A$2:$A$1500,"Spring "&amp;$A10,Data!$E$2:$E$1500,"&gt;0"))</f>
        <v/>
      </c>
      <c r="I10" s="7" t="str">
        <f aca="false">IF(OR(D10="",COUNTIFS(Data!$A$2:$A$1500,"Fall "&amp;$A10,Data!$E$2:$E$1500,"&gt;0")&lt;5),"",COUNTIFS(Data!$A$2:$A$1500,"Fall "&amp;$A10,Data!$E$2:$E$1500,"&gt;"&amp;D10)+1&amp;" of "&amp;COUNTIFS(Data!$A$2:$A$1500,"Fall "&amp;$A10,Data!$E$2:$E$1500,"&gt;0"))</f>
        <v/>
      </c>
    </row>
    <row r="11" customFormat="false" ht="15" hidden="false" customHeight="false" outlineLevel="0" collapsed="false">
      <c r="A11" s="4" t="n">
        <v>2017</v>
      </c>
      <c r="B11" s="10"/>
      <c r="C11" s="5" t="n">
        <f aca="false">IF(COUNTIFS(Data!$A$2:$A$1500,"Spring "&amp;$A11,Data!$B$2:$B$1500,"Theta Xi",Data!$E$2:$E$1500,"&lt;&gt;")=0,"",SUMIFS(Data!$E$2:$E$1500,Data!$A$2:$A$1500,"Spring "&amp;$A11,Data!$B$2:$B$1500,"Theta Xi"))</f>
        <v>2.977</v>
      </c>
      <c r="D11" s="5" t="n">
        <f aca="false">IF(COUNTIFS(Data!$A$2:$A$1500,"Fall "&amp;$A11,Data!$B$2:$B$1500,"Theta Xi",Data!$E$2:$E$1500,"&lt;&gt;")=0,"",SUMIFS(Data!$E$2:$E$1500,Data!$A$2:$A$1500,"Fall "&amp;$A11,Data!$B$2:$B$1500,"Theta Xi"))</f>
        <v>3.081</v>
      </c>
      <c r="E11" s="5" t="n">
        <f aca="false">IF(COUNT(C11:D11)&lt;2,"",AVERAGE(C11:D11))</f>
        <v>3.029</v>
      </c>
      <c r="F11" s="5" t="n">
        <f aca="false">IF(OR(IFERROR(IF(INDEX('UNL Averages'!$C:$C,MATCH("Spring "&amp;$A11,'UNL Averages'!$A:$A,0))="","",INDEX('UNL Averages'!$C:$C,MATCH("Spring "&amp;$A11,'UNL Averages'!$A:$A,0))),"")="",IFERROR(IF(INDEX('UNL Averages'!$C:$C,MATCH("Fall "&amp;$A11,'UNL Averages'!$A:$A,0))="","",INDEX('UNL Averages'!$C:$C,MATCH("Fall "&amp;$A11,'UNL Averages'!$A:$A,0))),"")=""),"",(IFERROR(IF(INDEX('UNL Averages'!$C:$C,MATCH("Spring "&amp;$A11,'UNL Averages'!$A:$A,0))="","",INDEX('UNL Averages'!$C:$C,MATCH("Spring "&amp;$A11,'UNL Averages'!$A:$A,0))),"")+IFERROR(IF(INDEX('UNL Averages'!$C:$C,MATCH("Fall "&amp;$A11,'UNL Averages'!$A:$A,0))="","",INDEX('UNL Averages'!$C:$C,MATCH("Fall "&amp;$A11,'UNL Averages'!$A:$A,0))),""))/2)</f>
        <v>3.15</v>
      </c>
      <c r="G11" s="6" t="n">
        <f aca="false">IF(OR(E11="",F11=""),"",E11-F11)</f>
        <v>-0.121</v>
      </c>
      <c r="H11" s="7" t="str">
        <f aca="false">IF(OR(C11="",COUNTIFS(Data!$A$2:$A$1500,"Spring "&amp;$A11,Data!$E$2:$E$1500,"&gt;0")&lt;5),"",COUNTIFS(Data!$A$2:$A$1500,"Spring "&amp;$A11,Data!$E$2:$E$1500,"&gt;"&amp;C11)+1&amp;" of "&amp;COUNTIFS(Data!$A$2:$A$1500,"Spring "&amp;$A11,Data!$E$2:$E$1500,"&gt;0"))</f>
        <v/>
      </c>
      <c r="I11" s="7" t="str">
        <f aca="false">IF(OR(D11="",COUNTIFS(Data!$A$2:$A$1500,"Fall "&amp;$A11,Data!$E$2:$E$1500,"&gt;0")&lt;5),"",COUNTIFS(Data!$A$2:$A$1500,"Fall "&amp;$A11,Data!$E$2:$E$1500,"&gt;"&amp;D11)+1&amp;" of "&amp;COUNTIFS(Data!$A$2:$A$1500,"Fall "&amp;$A11,Data!$E$2:$E$1500,"&gt;0"))</f>
        <v/>
      </c>
    </row>
    <row r="12" customFormat="false" ht="15" hidden="false" customHeight="false" outlineLevel="0" collapsed="false">
      <c r="A12" s="4" t="n">
        <v>2018</v>
      </c>
      <c r="B12" s="10"/>
      <c r="C12" s="5" t="n">
        <f aca="false">IF(COUNTIFS(Data!$A$2:$A$1500,"Spring "&amp;$A12,Data!$B$2:$B$1500,"Theta Xi",Data!$E$2:$E$1500,"&lt;&gt;")=0,"",SUMIFS(Data!$E$2:$E$1500,Data!$A$2:$A$1500,"Spring "&amp;$A12,Data!$B$2:$B$1500,"Theta Xi"))</f>
        <v>2.937</v>
      </c>
      <c r="D12" s="5" t="n">
        <f aca="false">IF(COUNTIFS(Data!$A$2:$A$1500,"Fall "&amp;$A12,Data!$B$2:$B$1500,"Theta Xi",Data!$E$2:$E$1500,"&lt;&gt;")=0,"",SUMIFS(Data!$E$2:$E$1500,Data!$A$2:$A$1500,"Fall "&amp;$A12,Data!$B$2:$B$1500,"Theta Xi"))</f>
        <v>2.733</v>
      </c>
      <c r="E12" s="5" t="n">
        <f aca="false">IF(COUNT(C12:D12)&lt;2,"",AVERAGE(C12:D12))</f>
        <v>2.835</v>
      </c>
      <c r="F12" s="5" t="n">
        <f aca="false">IF(OR(IFERROR(IF(INDEX('UNL Averages'!$C:$C,MATCH("Spring "&amp;$A12,'UNL Averages'!$A:$A,0))="","",INDEX('UNL Averages'!$C:$C,MATCH("Spring "&amp;$A12,'UNL Averages'!$A:$A,0))),"")="",IFERROR(IF(INDEX('UNL Averages'!$C:$C,MATCH("Fall "&amp;$A12,'UNL Averages'!$A:$A,0))="","",INDEX('UNL Averages'!$C:$C,MATCH("Fall "&amp;$A12,'UNL Averages'!$A:$A,0))),"")=""),"",(IFERROR(IF(INDEX('UNL Averages'!$C:$C,MATCH("Spring "&amp;$A12,'UNL Averages'!$A:$A,0))="","",INDEX('UNL Averages'!$C:$C,MATCH("Spring "&amp;$A12,'UNL Averages'!$A:$A,0))),"")+IFERROR(IF(INDEX('UNL Averages'!$C:$C,MATCH("Fall "&amp;$A12,'UNL Averages'!$A:$A,0))="","",INDEX('UNL Averages'!$C:$C,MATCH("Fall "&amp;$A12,'UNL Averages'!$A:$A,0))),""))/2)</f>
        <v>3.16</v>
      </c>
      <c r="G12" s="6" t="n">
        <f aca="false">IF(OR(E12="",F12=""),"",E12-F12)</f>
        <v>-0.325</v>
      </c>
      <c r="H12" s="7" t="str">
        <f aca="false">IF(OR(C12="",COUNTIFS(Data!$A$2:$A$1500,"Spring "&amp;$A12,Data!$E$2:$E$1500,"&gt;0")&lt;5),"",COUNTIFS(Data!$A$2:$A$1500,"Spring "&amp;$A12,Data!$E$2:$E$1500,"&gt;"&amp;C12)+1&amp;" of "&amp;COUNTIFS(Data!$A$2:$A$1500,"Spring "&amp;$A12,Data!$E$2:$E$1500,"&gt;0"))</f>
        <v/>
      </c>
      <c r="I12" s="7" t="str">
        <f aca="false">IF(OR(D12="",COUNTIFS(Data!$A$2:$A$1500,"Fall "&amp;$A12,Data!$E$2:$E$1500,"&gt;0")&lt;5),"",COUNTIFS(Data!$A$2:$A$1500,"Fall "&amp;$A12,Data!$E$2:$E$1500,"&gt;"&amp;D12)+1&amp;" of "&amp;COUNTIFS(Data!$A$2:$A$1500,"Fall "&amp;$A12,Data!$E$2:$E$1500,"&gt;0"))</f>
        <v>23 of 25</v>
      </c>
    </row>
    <row r="13" customFormat="false" ht="15" hidden="false" customHeight="false" outlineLevel="0" collapsed="false">
      <c r="A13" s="4" t="n">
        <v>2019</v>
      </c>
      <c r="B13" s="10"/>
      <c r="C13" s="5" t="n">
        <f aca="false">IF(COUNTIFS(Data!$A$2:$A$1500,"Spring "&amp;$A13,Data!$B$2:$B$1500,"Theta Xi",Data!$E$2:$E$1500,"&lt;&gt;")=0,"",SUMIFS(Data!$E$2:$E$1500,Data!$A$2:$A$1500,"Spring "&amp;$A13,Data!$B$2:$B$1500,"Theta Xi"))</f>
        <v>2.919</v>
      </c>
      <c r="D13" s="5" t="n">
        <f aca="false">IF(COUNTIFS(Data!$A$2:$A$1500,"Fall "&amp;$A13,Data!$B$2:$B$1500,"Theta Xi",Data!$E$2:$E$1500,"&lt;&gt;")=0,"",SUMIFS(Data!$E$2:$E$1500,Data!$A$2:$A$1500,"Fall "&amp;$A13,Data!$B$2:$B$1500,"Theta Xi"))</f>
        <v>2.819</v>
      </c>
      <c r="E13" s="5" t="n">
        <f aca="false">IF(COUNT(C13:D13)&lt;2,"",AVERAGE(C13:D13))</f>
        <v>2.869</v>
      </c>
      <c r="F13" s="5" t="n">
        <f aca="false">IF(OR(IFERROR(IF(INDEX('UNL Averages'!$C:$C,MATCH("Spring "&amp;$A13,'UNL Averages'!$A:$A,0))="","",INDEX('UNL Averages'!$C:$C,MATCH("Spring "&amp;$A13,'UNL Averages'!$A:$A,0))),"")="",IFERROR(IF(INDEX('UNL Averages'!$C:$C,MATCH("Fall "&amp;$A13,'UNL Averages'!$A:$A,0))="","",INDEX('UNL Averages'!$C:$C,MATCH("Fall "&amp;$A13,'UNL Averages'!$A:$A,0))),"")=""),"",(IFERROR(IF(INDEX('UNL Averages'!$C:$C,MATCH("Spring "&amp;$A13,'UNL Averages'!$A:$A,0))="","",INDEX('UNL Averages'!$C:$C,MATCH("Spring "&amp;$A13,'UNL Averages'!$A:$A,0))),"")+IFERROR(IF(INDEX('UNL Averages'!$C:$C,MATCH("Fall "&amp;$A13,'UNL Averages'!$A:$A,0))="","",INDEX('UNL Averages'!$C:$C,MATCH("Fall "&amp;$A13,'UNL Averages'!$A:$A,0))),""))/2)</f>
        <v>3.1435</v>
      </c>
      <c r="G13" s="6" t="n">
        <f aca="false">IF(OR(E13="",F13=""),"",E13-F13)</f>
        <v>-0.2745</v>
      </c>
      <c r="H13" s="7" t="str">
        <f aca="false">IF(OR(C13="",COUNTIFS(Data!$A$2:$A$1500,"Spring "&amp;$A13,Data!$E$2:$E$1500,"&gt;0")&lt;5),"",COUNTIFS(Data!$A$2:$A$1500,"Spring "&amp;$A13,Data!$E$2:$E$1500,"&gt;"&amp;C13)+1&amp;" of "&amp;COUNTIFS(Data!$A$2:$A$1500,"Spring "&amp;$A13,Data!$E$2:$E$1500,"&gt;0"))</f>
        <v>21 of 24</v>
      </c>
      <c r="I13" s="7" t="str">
        <f aca="false">IF(OR(D13="",COUNTIFS(Data!$A$2:$A$1500,"Fall "&amp;$A13,Data!$E$2:$E$1500,"&gt;0")&lt;5),"",COUNTIFS(Data!$A$2:$A$1500,"Fall "&amp;$A13,Data!$E$2:$E$1500,"&gt;"&amp;D13)+1&amp;" of "&amp;COUNTIFS(Data!$A$2:$A$1500,"Fall "&amp;$A13,Data!$E$2:$E$1500,"&gt;0"))</f>
        <v>24 of 27</v>
      </c>
    </row>
    <row r="14" customFormat="false" ht="15" hidden="false" customHeight="false" outlineLevel="0" collapsed="false">
      <c r="A14" s="4" t="n">
        <v>2020</v>
      </c>
      <c r="B14" s="10"/>
      <c r="C14" s="5" t="n">
        <f aca="false">IF(COUNTIFS(Data!$A$2:$A$1500,"Spring "&amp;$A14,Data!$B$2:$B$1500,"Theta Xi",Data!$E$2:$E$1500,"&lt;&gt;")=0,"",SUMIFS(Data!$E$2:$E$1500,Data!$A$2:$A$1500,"Spring "&amp;$A14,Data!$B$2:$B$1500,"Theta Xi"))</f>
        <v>3.25</v>
      </c>
      <c r="D14" s="5" t="n">
        <f aca="false">IF(COUNTIFS(Data!$A$2:$A$1500,"Fall "&amp;$A14,Data!$B$2:$B$1500,"Theta Xi",Data!$E$2:$E$1500,"&lt;&gt;")=0,"",SUMIFS(Data!$E$2:$E$1500,Data!$A$2:$A$1500,"Fall "&amp;$A14,Data!$B$2:$B$1500,"Theta Xi"))</f>
        <v>2.957</v>
      </c>
      <c r="E14" s="5" t="n">
        <f aca="false">IF(COUNT(C14:D14)&lt;2,"",AVERAGE(C14:D14))</f>
        <v>3.1035</v>
      </c>
      <c r="F14" s="5" t="n">
        <f aca="false">IF(OR(IFERROR(IF(INDEX('UNL Averages'!$C:$C,MATCH("Spring "&amp;$A14,'UNL Averages'!$A:$A,0))="","",INDEX('UNL Averages'!$C:$C,MATCH("Spring "&amp;$A14,'UNL Averages'!$A:$A,0))),"")="",IFERROR(IF(INDEX('UNL Averages'!$C:$C,MATCH("Fall "&amp;$A14,'UNL Averages'!$A:$A,0))="","",INDEX('UNL Averages'!$C:$C,MATCH("Fall "&amp;$A14,'UNL Averages'!$A:$A,0))),"")=""),"",(IFERROR(IF(INDEX('UNL Averages'!$C:$C,MATCH("Spring "&amp;$A14,'UNL Averages'!$A:$A,0))="","",INDEX('UNL Averages'!$C:$C,MATCH("Spring "&amp;$A14,'UNL Averages'!$A:$A,0))),"")+IFERROR(IF(INDEX('UNL Averages'!$C:$C,MATCH("Fall "&amp;$A14,'UNL Averages'!$A:$A,0))="","",INDEX('UNL Averages'!$C:$C,MATCH("Fall "&amp;$A14,'UNL Averages'!$A:$A,0))),""))/2)</f>
        <v>3.326</v>
      </c>
      <c r="G14" s="6" t="n">
        <f aca="false">IF(OR(E14="",F14=""),"",E14-F14)</f>
        <v>-0.2225</v>
      </c>
      <c r="H14" s="7" t="str">
        <f aca="false">IF(OR(C14="",COUNTIFS(Data!$A$2:$A$1500,"Spring "&amp;$A14,Data!$E$2:$E$1500,"&gt;0")&lt;5),"",COUNTIFS(Data!$A$2:$A$1500,"Spring "&amp;$A14,Data!$E$2:$E$1500,"&gt;"&amp;C14)+1&amp;" of "&amp;COUNTIFS(Data!$A$2:$A$1500,"Spring "&amp;$A14,Data!$E$2:$E$1500,"&gt;0"))</f>
        <v/>
      </c>
      <c r="I14" s="7" t="str">
        <f aca="false">IF(OR(D14="",COUNTIFS(Data!$A$2:$A$1500,"Fall "&amp;$A14,Data!$E$2:$E$1500,"&gt;0")&lt;5),"",COUNTIFS(Data!$A$2:$A$1500,"Fall "&amp;$A14,Data!$E$2:$E$1500,"&gt;"&amp;D14)+1&amp;" of "&amp;COUNTIFS(Data!$A$2:$A$1500,"Fall "&amp;$A14,Data!$E$2:$E$1500,"&gt;0"))</f>
        <v>20 of 24</v>
      </c>
    </row>
    <row r="15" customFormat="false" ht="15" hidden="false" customHeight="false" outlineLevel="0" collapsed="false">
      <c r="A15" s="4" t="n">
        <v>2021</v>
      </c>
      <c r="B15" s="10"/>
      <c r="C15" s="5" t="n">
        <f aca="false">IF(COUNTIFS(Data!$A$2:$A$1500,"Spring "&amp;$A15,Data!$B$2:$B$1500,"Theta Xi",Data!$E$2:$E$1500,"&lt;&gt;")=0,"",SUMIFS(Data!$E$2:$E$1500,Data!$A$2:$A$1500,"Spring "&amp;$A15,Data!$B$2:$B$1500,"Theta Xi"))</f>
        <v>3.267</v>
      </c>
      <c r="D15" s="5" t="n">
        <f aca="false">IF(COUNTIFS(Data!$A$2:$A$1500,"Fall "&amp;$A15,Data!$B$2:$B$1500,"Theta Xi",Data!$E$2:$E$1500,"&lt;&gt;")=0,"",SUMIFS(Data!$E$2:$E$1500,Data!$A$2:$A$1500,"Fall "&amp;$A15,Data!$B$2:$B$1500,"Theta Xi"))</f>
        <v>3.167</v>
      </c>
      <c r="E15" s="5" t="n">
        <f aca="false">IF(COUNT(C15:D15)&lt;2,"",AVERAGE(C15:D15))</f>
        <v>3.217</v>
      </c>
      <c r="F15" s="5" t="n">
        <f aca="false">IF(OR(IFERROR(IF(INDEX('UNL Averages'!$C:$C,MATCH("Spring "&amp;$A15,'UNL Averages'!$A:$A,0))="","",INDEX('UNL Averages'!$C:$C,MATCH("Spring "&amp;$A15,'UNL Averages'!$A:$A,0))),"")="",IFERROR(IF(INDEX('UNL Averages'!$C:$C,MATCH("Fall "&amp;$A15,'UNL Averages'!$A:$A,0))="","",INDEX('UNL Averages'!$C:$C,MATCH("Fall "&amp;$A15,'UNL Averages'!$A:$A,0))),"")=""),"",(IFERROR(IF(INDEX('UNL Averages'!$C:$C,MATCH("Spring "&amp;$A15,'UNL Averages'!$A:$A,0))="","",INDEX('UNL Averages'!$C:$C,MATCH("Spring "&amp;$A15,'UNL Averages'!$A:$A,0))),"")+IFERROR(IF(INDEX('UNL Averages'!$C:$C,MATCH("Fall "&amp;$A15,'UNL Averages'!$A:$A,0))="","",INDEX('UNL Averages'!$C:$C,MATCH("Fall "&amp;$A15,'UNL Averages'!$A:$A,0))),""))/2)</f>
        <v>3.264</v>
      </c>
      <c r="G15" s="6" t="n">
        <f aca="false">IF(OR(E15="",F15=""),"",E15-F15)</f>
        <v>-0.0470000000000006</v>
      </c>
      <c r="H15" s="7" t="str">
        <f aca="false">IF(OR(C15="",COUNTIFS(Data!$A$2:$A$1500,"Spring "&amp;$A15,Data!$E$2:$E$1500,"&gt;0")&lt;5),"",COUNTIFS(Data!$A$2:$A$1500,"Spring "&amp;$A15,Data!$E$2:$E$1500,"&gt;"&amp;C15)+1&amp;" of "&amp;COUNTIFS(Data!$A$2:$A$1500,"Spring "&amp;$A15,Data!$E$2:$E$1500,"&gt;0"))</f>
        <v>15 of 26</v>
      </c>
      <c r="I15" s="7" t="str">
        <f aca="false">IF(OR(D15="",COUNTIFS(Data!$A$2:$A$1500,"Fall "&amp;$A15,Data!$E$2:$E$1500,"&gt;0")&lt;5),"",COUNTIFS(Data!$A$2:$A$1500,"Fall "&amp;$A15,Data!$E$2:$E$1500,"&gt;"&amp;D15)+1&amp;" of "&amp;COUNTIFS(Data!$A$2:$A$1500,"Fall "&amp;$A15,Data!$E$2:$E$1500,"&gt;0"))</f>
        <v>14 of 25</v>
      </c>
    </row>
    <row r="16" customFormat="false" ht="15" hidden="false" customHeight="false" outlineLevel="0" collapsed="false">
      <c r="A16" s="4" t="n">
        <v>2022</v>
      </c>
      <c r="B16" s="10"/>
      <c r="C16" s="5" t="n">
        <f aca="false">IF(COUNTIFS(Data!$A$2:$A$1500,"Spring "&amp;$A16,Data!$B$2:$B$1500,"Theta Xi",Data!$E$2:$E$1500,"&lt;&gt;")=0,"",SUMIFS(Data!$E$2:$E$1500,Data!$A$2:$A$1500,"Spring "&amp;$A16,Data!$B$2:$B$1500,"Theta Xi"))</f>
        <v>3.316</v>
      </c>
      <c r="D16" s="5" t="n">
        <f aca="false">IF(COUNTIFS(Data!$A$2:$A$1500,"Fall "&amp;$A16,Data!$B$2:$B$1500,"Theta Xi",Data!$E$2:$E$1500,"&lt;&gt;")=0,"",SUMIFS(Data!$E$2:$E$1500,Data!$A$2:$A$1500,"Fall "&amp;$A16,Data!$B$2:$B$1500,"Theta Xi"))</f>
        <v>3.096</v>
      </c>
      <c r="E16" s="5" t="n">
        <f aca="false">IF(COUNT(C16:D16)&lt;2,"",AVERAGE(C16:D16))</f>
        <v>3.206</v>
      </c>
      <c r="F16" s="5" t="n">
        <f aca="false">IF(OR(IFERROR(IF(INDEX('UNL Averages'!$C:$C,MATCH("Spring "&amp;$A16,'UNL Averages'!$A:$A,0))="","",INDEX('UNL Averages'!$C:$C,MATCH("Spring "&amp;$A16,'UNL Averages'!$A:$A,0))),"")="",IFERROR(IF(INDEX('UNL Averages'!$C:$C,MATCH("Fall "&amp;$A16,'UNL Averages'!$A:$A,0))="","",INDEX('UNL Averages'!$C:$C,MATCH("Fall "&amp;$A16,'UNL Averages'!$A:$A,0))),"")=""),"",(IFERROR(IF(INDEX('UNL Averages'!$C:$C,MATCH("Spring "&amp;$A16,'UNL Averages'!$A:$A,0))="","",INDEX('UNL Averages'!$C:$C,MATCH("Spring "&amp;$A16,'UNL Averages'!$A:$A,0))),"")+IFERROR(IF(INDEX('UNL Averages'!$C:$C,MATCH("Fall "&amp;$A16,'UNL Averages'!$A:$A,0))="","",INDEX('UNL Averages'!$C:$C,MATCH("Fall "&amp;$A16,'UNL Averages'!$A:$A,0))),""))/2)</f>
        <v>3.2775</v>
      </c>
      <c r="G16" s="6" t="n">
        <f aca="false">IF(OR(E16="",F16=""),"",E16-F16)</f>
        <v>-0.0714999999999999</v>
      </c>
      <c r="H16" s="7" t="str">
        <f aca="false">IF(OR(C16="",COUNTIFS(Data!$A$2:$A$1500,"Spring "&amp;$A16,Data!$E$2:$E$1500,"&gt;0")&lt;5),"",COUNTIFS(Data!$A$2:$A$1500,"Spring "&amp;$A16,Data!$E$2:$E$1500,"&gt;"&amp;C16)+1&amp;" of "&amp;COUNTIFS(Data!$A$2:$A$1500,"Spring "&amp;$A16,Data!$E$2:$E$1500,"&gt;0"))</f>
        <v>10 of 25</v>
      </c>
      <c r="I16" s="7" t="str">
        <f aca="false">IF(OR(D16="",COUNTIFS(Data!$A$2:$A$1500,"Fall "&amp;$A16,Data!$E$2:$E$1500,"&gt;0")&lt;5),"",COUNTIFS(Data!$A$2:$A$1500,"Fall "&amp;$A16,Data!$E$2:$E$1500,"&gt;"&amp;D16)+1&amp;" of "&amp;COUNTIFS(Data!$A$2:$A$1500,"Fall "&amp;$A16,Data!$E$2:$E$1500,"&gt;0"))</f>
        <v>18 of 24</v>
      </c>
    </row>
    <row r="17" customFormat="false" ht="15" hidden="false" customHeight="false" outlineLevel="0" collapsed="false">
      <c r="A17" s="4" t="n">
        <v>2023</v>
      </c>
      <c r="B17" s="10"/>
      <c r="C17" s="5" t="n">
        <f aca="false">IF(COUNTIFS(Data!$A$2:$A$1500,"Spring "&amp;$A17,Data!$B$2:$B$1500,"Theta Xi",Data!$E$2:$E$1500,"&lt;&gt;")=0,"",SUMIFS(Data!$E$2:$E$1500,Data!$A$2:$A$1500,"Spring "&amp;$A17,Data!$B$2:$B$1500,"Theta Xi"))</f>
        <v>3.121</v>
      </c>
      <c r="D17" s="5" t="n">
        <f aca="false">IF(COUNTIFS(Data!$A$2:$A$1500,"Fall "&amp;$A17,Data!$B$2:$B$1500,"Theta Xi",Data!$E$2:$E$1500,"&lt;&gt;")=0,"",SUMIFS(Data!$E$2:$E$1500,Data!$A$2:$A$1500,"Fall "&amp;$A17,Data!$B$2:$B$1500,"Theta Xi"))</f>
        <v>2.997</v>
      </c>
      <c r="E17" s="5" t="n">
        <f aca="false">IF(COUNT(C17:D17)&lt;2,"",AVERAGE(C17:D17))</f>
        <v>3.059</v>
      </c>
      <c r="F17" s="5" t="n">
        <f aca="false">IF(OR(IFERROR(IF(INDEX('UNL Averages'!$C:$C,MATCH("Spring "&amp;$A17,'UNL Averages'!$A:$A,0))="","",INDEX('UNL Averages'!$C:$C,MATCH("Spring "&amp;$A17,'UNL Averages'!$A:$A,0))),"")="",IFERROR(IF(INDEX('UNL Averages'!$C:$C,MATCH("Fall "&amp;$A17,'UNL Averages'!$A:$A,0))="","",INDEX('UNL Averages'!$C:$C,MATCH("Fall "&amp;$A17,'UNL Averages'!$A:$A,0))),"")=""),"",(IFERROR(IF(INDEX('UNL Averages'!$C:$C,MATCH("Spring "&amp;$A17,'UNL Averages'!$A:$A,0))="","",INDEX('UNL Averages'!$C:$C,MATCH("Spring "&amp;$A17,'UNL Averages'!$A:$A,0))),"")+IFERROR(IF(INDEX('UNL Averages'!$C:$C,MATCH("Fall "&amp;$A17,'UNL Averages'!$A:$A,0))="","",INDEX('UNL Averages'!$C:$C,MATCH("Fall "&amp;$A17,'UNL Averages'!$A:$A,0))),""))/2)</f>
        <v>3.297</v>
      </c>
      <c r="G17" s="6" t="n">
        <f aca="false">IF(OR(E17="",F17=""),"",E17-F17)</f>
        <v>-0.238</v>
      </c>
      <c r="H17" s="7" t="str">
        <f aca="false">IF(OR(C17="",COUNTIFS(Data!$A$2:$A$1500,"Spring "&amp;$A17,Data!$E$2:$E$1500,"&gt;0")&lt;5),"",COUNTIFS(Data!$A$2:$A$1500,"Spring "&amp;$A17,Data!$E$2:$E$1500,"&gt;"&amp;C17)+1&amp;" of "&amp;COUNTIFS(Data!$A$2:$A$1500,"Spring "&amp;$A17,Data!$E$2:$E$1500,"&gt;0"))</f>
        <v>19 of 25</v>
      </c>
      <c r="I17" s="7" t="str">
        <f aca="false">IF(OR(D17="",COUNTIFS(Data!$A$2:$A$1500,"Fall "&amp;$A17,Data!$E$2:$E$1500,"&gt;0")&lt;5),"",COUNTIFS(Data!$A$2:$A$1500,"Fall "&amp;$A17,Data!$E$2:$E$1500,"&gt;"&amp;D17)+1&amp;" of "&amp;COUNTIFS(Data!$A$2:$A$1500,"Fall "&amp;$A17,Data!$E$2:$E$1500,"&gt;0"))</f>
        <v>19 of 25</v>
      </c>
    </row>
    <row r="18" customFormat="false" ht="15" hidden="false" customHeight="false" outlineLevel="0" collapsed="false">
      <c r="A18" s="4" t="n">
        <v>2024</v>
      </c>
      <c r="B18" s="10"/>
      <c r="C18" s="5" t="n">
        <f aca="false">IF(COUNTIFS(Data!$A$2:$A$1500,"Spring "&amp;$A18,Data!$B$2:$B$1500,"Theta Xi",Data!$E$2:$E$1500,"&lt;&gt;")=0,"",SUMIFS(Data!$E$2:$E$1500,Data!$A$2:$A$1500,"Spring "&amp;$A18,Data!$B$2:$B$1500,"Theta Xi"))</f>
        <v>3.321</v>
      </c>
      <c r="D18" s="5" t="n">
        <f aca="false">IF(COUNTIFS(Data!$A$2:$A$1500,"Fall "&amp;$A18,Data!$B$2:$B$1500,"Theta Xi",Data!$E$2:$E$1500,"&lt;&gt;")=0,"",SUMIFS(Data!$E$2:$E$1500,Data!$A$2:$A$1500,"Fall "&amp;$A18,Data!$B$2:$B$1500,"Theta Xi"))</f>
        <v>3.216</v>
      </c>
      <c r="E18" s="5" t="n">
        <f aca="false">IF(COUNT(C18:D18)&lt;2,"",AVERAGE(C18:D18))</f>
        <v>3.2685</v>
      </c>
      <c r="F18" s="5" t="n">
        <f aca="false">IF(OR(IFERROR(IF(INDEX('UNL Averages'!$C:$C,MATCH("Spring "&amp;$A18,'UNL Averages'!$A:$A,0))="","",INDEX('UNL Averages'!$C:$C,MATCH("Spring "&amp;$A18,'UNL Averages'!$A:$A,0))),"")="",IFERROR(IF(INDEX('UNL Averages'!$C:$C,MATCH("Fall "&amp;$A18,'UNL Averages'!$A:$A,0))="","",INDEX('UNL Averages'!$C:$C,MATCH("Fall "&amp;$A18,'UNL Averages'!$A:$A,0))),"")=""),"",(IFERROR(IF(INDEX('UNL Averages'!$C:$C,MATCH("Spring "&amp;$A18,'UNL Averages'!$A:$A,0))="","",INDEX('UNL Averages'!$C:$C,MATCH("Spring "&amp;$A18,'UNL Averages'!$A:$A,0))),"")+IFERROR(IF(INDEX('UNL Averages'!$C:$C,MATCH("Fall "&amp;$A18,'UNL Averages'!$A:$A,0))="","",INDEX('UNL Averages'!$C:$C,MATCH("Fall "&amp;$A18,'UNL Averages'!$A:$A,0))),""))/2)</f>
        <v>3.339</v>
      </c>
      <c r="G18" s="6" t="n">
        <f aca="false">IF(OR(E18="",F18=""),"",E18-F18)</f>
        <v>-0.0704999999999996</v>
      </c>
      <c r="H18" s="7" t="str">
        <f aca="false">IF(OR(C18="",COUNTIFS(Data!$A$2:$A$1500,"Spring "&amp;$A18,Data!$E$2:$E$1500,"&gt;0")&lt;5),"",COUNTIFS(Data!$A$2:$A$1500,"Spring "&amp;$A18,Data!$E$2:$E$1500,"&gt;"&amp;C18)+1&amp;" of "&amp;COUNTIFS(Data!$A$2:$A$1500,"Spring "&amp;$A18,Data!$E$2:$E$1500,"&gt;0"))</f>
        <v>11 of 25</v>
      </c>
      <c r="I18" s="7" t="str">
        <f aca="false">IF(OR(D18="",COUNTIFS(Data!$A$2:$A$1500,"Fall "&amp;$A18,Data!$E$2:$E$1500,"&gt;0")&lt;5),"",COUNTIFS(Data!$A$2:$A$1500,"Fall "&amp;$A18,Data!$E$2:$E$1500,"&gt;"&amp;D18)+1&amp;" of "&amp;COUNTIFS(Data!$A$2:$A$1500,"Fall "&amp;$A18,Data!$E$2:$E$1500,"&gt;0"))</f>
        <v>16 of 25</v>
      </c>
    </row>
    <row r="19" customFormat="false" ht="15" hidden="false" customHeight="false" outlineLevel="0" collapsed="false">
      <c r="A19" s="4" t="n">
        <v>2025</v>
      </c>
      <c r="B19" s="10"/>
      <c r="C19" s="5" t="n">
        <f aca="false">IF(COUNTIFS(Data!$A$2:$A$1500,"Spring "&amp;$A19,Data!$B$2:$B$1500,"Theta Xi",Data!$E$2:$E$1500,"&lt;&gt;")=0,"",SUMIFS(Data!$E$2:$E$1500,Data!$A$2:$A$1500,"Spring "&amp;$A19,Data!$B$2:$B$1500,"Theta Xi"))</f>
        <v>3.053</v>
      </c>
      <c r="D19" s="5" t="n">
        <f aca="false">IF(COUNTIFS(Data!$A$2:$A$1500,"Fall "&amp;$A19,Data!$B$2:$B$1500,"Theta Xi",Data!$E$2:$E$1500,"&lt;&gt;")=0,"",SUMIFS(Data!$E$2:$E$1500,Data!$A$2:$A$1500,"Fall "&amp;$A19,Data!$B$2:$B$1500,"Theta Xi"))</f>
        <v>3.033</v>
      </c>
      <c r="E19" s="5" t="n">
        <f aca="false">IF(COUNT(C19:D19)&lt;2,"",AVERAGE(C19:D19))</f>
        <v>3.043</v>
      </c>
      <c r="F19" s="5" t="n">
        <f aca="false">IF(OR(IFERROR(IF(INDEX('UNL Averages'!$C:$C,MATCH("Spring "&amp;$A19,'UNL Averages'!$A:$A,0))="","",INDEX('UNL Averages'!$C:$C,MATCH("Spring "&amp;$A19,'UNL Averages'!$A:$A,0))),"")="",IFERROR(IF(INDEX('UNL Averages'!$C:$C,MATCH("Fall "&amp;$A19,'UNL Averages'!$A:$A,0))="","",INDEX('UNL Averages'!$C:$C,MATCH("Fall "&amp;$A19,'UNL Averages'!$A:$A,0))),"")=""),"",(IFERROR(IF(INDEX('UNL Averages'!$C:$C,MATCH("Spring "&amp;$A19,'UNL Averages'!$A:$A,0))="","",INDEX('UNL Averages'!$C:$C,MATCH("Spring "&amp;$A19,'UNL Averages'!$A:$A,0))),"")+IFERROR(IF(INDEX('UNL Averages'!$C:$C,MATCH("Fall "&amp;$A19,'UNL Averages'!$A:$A,0))="","",INDEX('UNL Averages'!$C:$C,MATCH("Fall "&amp;$A19,'UNL Averages'!$A:$A,0))),""))/2)</f>
        <v>3.3415</v>
      </c>
      <c r="G19" s="6" t="n">
        <f aca="false">IF(OR(E19="",F19=""),"",E19-F19)</f>
        <v>-0.2985</v>
      </c>
      <c r="H19" s="7" t="str">
        <f aca="false">IF(OR(C19="",COUNTIFS(Data!$A$2:$A$1500,"Spring "&amp;$A19,Data!$E$2:$E$1500,"&gt;0")&lt;5),"",COUNTIFS(Data!$A$2:$A$1500,"Spring "&amp;$A19,Data!$E$2:$E$1500,"&gt;"&amp;C19)+1&amp;" of "&amp;COUNTIFS(Data!$A$2:$A$1500,"Spring "&amp;$A19,Data!$E$2:$E$1500,"&gt;0"))</f>
        <v>20 of 24</v>
      </c>
      <c r="I19" s="7" t="str">
        <f aca="false">IF(OR(D19="",COUNTIFS(Data!$A$2:$A$1500,"Fall "&amp;$A19,Data!$E$2:$E$1500,"&gt;0")&lt;5),"",COUNTIFS(Data!$A$2:$A$1500,"Fall "&amp;$A19,Data!$E$2:$E$1500,"&gt;"&amp;D19)+1&amp;" of "&amp;COUNTIFS(Data!$A$2:$A$1500,"Fall "&amp;$A19,Data!$E$2:$E$1500,"&gt;0"))</f>
        <v>19 of 25</v>
      </c>
    </row>
    <row r="20" customFormat="false" ht="15" hidden="false" customHeight="false" outlineLevel="0" collapsed="false">
      <c r="A20" s="4" t="n">
        <v>2026</v>
      </c>
      <c r="B20" s="10"/>
      <c r="C20" s="5" t="n">
        <f aca="false">IF(COUNTIFS(Data!$A$2:$A$1500,"Spring "&amp;$A20,Data!$B$2:$B$1500,"Theta Xi",Data!$E$2:$E$1500,"&lt;&gt;")=0,"",SUMIFS(Data!$E$2:$E$1500,Data!$A$2:$A$1500,"Spring "&amp;$A20,Data!$B$2:$B$1500,"Theta Xi"))</f>
        <v>3.163</v>
      </c>
      <c r="D20" s="5" t="str">
        <f aca="false">IF(COUNTIFS(Data!$A$2:$A$1500,"Fall "&amp;$A20,Data!$B$2:$B$1500,"Theta Xi",Data!$E$2:$E$1500,"&lt;&gt;")=0,"",SUMIFS(Data!$E$2:$E$1500,Data!$A$2:$A$1500,"Fall "&amp;$A20,Data!$B$2:$B$1500,"Theta Xi"))</f>
        <v/>
      </c>
      <c r="E20" s="5" t="str">
        <f aca="false">IF(COUNT(C20:D20)&lt;2,"",AVERAGE(C20:D20))</f>
        <v/>
      </c>
      <c r="F20" s="5" t="str">
        <f aca="false">IF(OR(IFERROR(IF(INDEX('UNL Averages'!$C:$C,MATCH("Spring "&amp;$A20,'UNL Averages'!$A:$A,0))="","",INDEX('UNL Averages'!$C:$C,MATCH("Spring "&amp;$A20,'UNL Averages'!$A:$A,0))),"")="",IFERROR(IF(INDEX('UNL Averages'!$C:$C,MATCH("Fall "&amp;$A20,'UNL Averages'!$A:$A,0))="","",INDEX('UNL Averages'!$C:$C,MATCH("Fall "&amp;$A20,'UNL Averages'!$A:$A,0))),"")=""),"",(IFERROR(IF(INDEX('UNL Averages'!$C:$C,MATCH("Spring "&amp;$A20,'UNL Averages'!$A:$A,0))="","",INDEX('UNL Averages'!$C:$C,MATCH("Spring "&amp;$A20,'UNL Averages'!$A:$A,0))),"")+IFERROR(IF(INDEX('UNL Averages'!$C:$C,MATCH("Fall "&amp;$A20,'UNL Averages'!$A:$A,0))="","",INDEX('UNL Averages'!$C:$C,MATCH("Fall "&amp;$A20,'UNL Averages'!$A:$A,0))),""))/2)</f>
        <v/>
      </c>
      <c r="G20" s="6" t="str">
        <f aca="false">IF(OR(E20="",F20=""),"",E20-F20)</f>
        <v/>
      </c>
      <c r="H20" s="7" t="str">
        <f aca="false">IF(OR(C20="",COUNTIFS(Data!$A$2:$A$1500,"Spring "&amp;$A20,Data!$E$2:$E$1500,"&gt;0")&lt;5),"",COUNTIFS(Data!$A$2:$A$1500,"Spring "&amp;$A20,Data!$E$2:$E$1500,"&gt;"&amp;C20)+1&amp;" of "&amp;COUNTIFS(Data!$A$2:$A$1500,"Spring "&amp;$A20,Data!$E$2:$E$1500,"&gt;0"))</f>
        <v>17 of 23</v>
      </c>
      <c r="I20" s="7" t="str">
        <f aca="false">IF(OR(D20="",COUNTIFS(Data!$A$2:$A$1500,"Fall "&amp;$A20,Data!$E$2:$E$1500,"&gt;0")&lt;5),"",COUNTIFS(Data!$A$2:$A$1500,"Fall "&amp;$A20,Data!$E$2:$E$1500,"&gt;"&amp;D20)+1&amp;" of "&amp;COUNTIFS(Data!$A$2:$A$1500,"Fall "&amp;$A20,Data!$E$2:$E$1500,"&gt;0"))</f>
        <v/>
      </c>
    </row>
    <row r="21" customFormat="false" ht="15" hidden="false" customHeight="false" outlineLevel="0" collapsed="false">
      <c r="A21" s="2" t="s">
        <v>59</v>
      </c>
    </row>
  </sheetData>
  <conditionalFormatting sqref="G5:G19">
    <cfRule type="top10" priority="2" aboveAverage="0" equalAverage="0" bottom="0" percent="0" rank="1" text="" dxfId="1"/>
    <cfRule type="top10" priority="3" aboveAverage="0" equalAverage="0" bottom="1" percent="0" rank="1" text="" dxfId="2"/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07F"/>
    <pageSetUpPr fitToPage="tru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1"/>
  </cols>
  <sheetData>
    <row r="1" customFormat="false" ht="19.7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3" customFormat="false" ht="15" hidden="false" customHeight="false" outlineLevel="0" collapsed="false">
      <c r="A3" s="13" t="s">
        <v>62</v>
      </c>
      <c r="C3" s="14" t="s">
        <v>27</v>
      </c>
    </row>
    <row r="4" customFormat="false" ht="15" hidden="false" customHeight="false" outlineLevel="0" collapsed="false">
      <c r="A4" s="13" t="s">
        <v>63</v>
      </c>
      <c r="C4" s="14" t="n">
        <v>2025</v>
      </c>
    </row>
    <row r="6" customFormat="false" ht="42" hidden="false" customHeight="true" outlineLevel="0" collapsed="false">
      <c r="A6" s="3" t="s">
        <v>64</v>
      </c>
      <c r="B6" s="3"/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</row>
    <row r="7" customFormat="false" ht="15" hidden="false" customHeight="false" outlineLevel="0" collapsed="false">
      <c r="A7" s="10" t="s">
        <v>70</v>
      </c>
      <c r="B7" s="10"/>
      <c r="C7" s="5" t="n">
        <f aca="false">IF(COUNTIFS(Data!$A$2:$A$1500,$C$3,Data!$B$2:$B$1500,$A7,Data!$E$2:$E$1500,"&lt;&gt;")=0,"",SUMIFS(Data!$E$2:$E$1500,Data!$A$2:$A$1500,$C$3,Data!$B$2:$B$1500,$A7))</f>
        <v>3.683</v>
      </c>
      <c r="D7" s="8" t="n">
        <f aca="false">IF(C7="","",COUNTIF($C$7:$C$29,"&gt;"&amp;C7)+1)</f>
        <v>1</v>
      </c>
      <c r="E7" s="8" t="n">
        <f aca="false">IF(COUNTIFS(Data!$A$2:$A$1500,$C$3,Data!$B$2:$B$1500,$A7,Data!$C$2:$C$1500,"&lt;&gt;")=0,"",SUMIFS(Data!$C$2:$C$1500,Data!$A$2:$A$1500,$C$3,Data!$B$2:$B$1500,$A7))</f>
        <v>109</v>
      </c>
      <c r="F7" s="8" t="n">
        <f aca="false">IF(OR(COUNTIFS(Data!$A$2:$A$1500,"Spring "&amp;$C$4,Data!$B$2:$B$1500,$A7,Data!$D$2:$D$1500,"&lt;&gt;")=0,COUNTIFS(Data!$A$2:$A$1500,"Fall "&amp;$C$4,Data!$B$2:$B$1500,$A7,Data!$D$2:$D$1500,"&lt;&gt;")=0),"",SUMIFS(Data!$D$2:$D$1500,Data!$A$2:$A$1500,"Spring "&amp;$C$4,Data!$B$2:$B$1500,$A7)+SUMIFS(Data!$D$2:$D$1500,Data!$A$2:$A$1500,"Fall "&amp;$C$4,Data!$B$2:$B$1500,$A7))</f>
        <v>32</v>
      </c>
      <c r="G7" s="8" t="n">
        <f aca="false">IF(F7="","",COUNTIF($F$7:$F$29,"&gt;"&amp;F7)+1)</f>
        <v>11</v>
      </c>
    </row>
    <row r="8" customFormat="false" ht="15" hidden="false" customHeight="false" outlineLevel="0" collapsed="false">
      <c r="A8" s="10" t="s">
        <v>71</v>
      </c>
      <c r="B8" s="10"/>
      <c r="C8" s="5" t="n">
        <f aca="false">IF(COUNTIFS(Data!$A$2:$A$1500,$C$3,Data!$B$2:$B$1500,$A8,Data!$E$2:$E$1500,"&lt;&gt;")=0,"",SUMIFS(Data!$E$2:$E$1500,Data!$A$2:$A$1500,$C$3,Data!$B$2:$B$1500,$A8))</f>
        <v>3.664</v>
      </c>
      <c r="D8" s="8" t="n">
        <f aca="false">IF(C8="","",COUNTIF($C$7:$C$29,"&gt;"&amp;C8)+1)</f>
        <v>2</v>
      </c>
      <c r="E8" s="8" t="n">
        <f aca="false">IF(COUNTIFS(Data!$A$2:$A$1500,$C$3,Data!$B$2:$B$1500,$A8,Data!$C$2:$C$1500,"&lt;&gt;")=0,"",SUMIFS(Data!$C$2:$C$1500,Data!$A$2:$A$1500,$C$3,Data!$B$2:$B$1500,$A8))</f>
        <v>155</v>
      </c>
      <c r="F8" s="8" t="n">
        <f aca="false">IF(OR(COUNTIFS(Data!$A$2:$A$1500,"Spring "&amp;$C$4,Data!$B$2:$B$1500,$A8,Data!$D$2:$D$1500,"&lt;&gt;")=0,COUNTIFS(Data!$A$2:$A$1500,"Fall "&amp;$C$4,Data!$B$2:$B$1500,$A8,Data!$D$2:$D$1500,"&lt;&gt;")=0),"",SUMIFS(Data!$D$2:$D$1500,Data!$A$2:$A$1500,"Spring "&amp;$C$4,Data!$B$2:$B$1500,$A8)+SUMIFS(Data!$D$2:$D$1500,Data!$A$2:$A$1500,"Fall "&amp;$C$4,Data!$B$2:$B$1500,$A8))</f>
        <v>45</v>
      </c>
      <c r="G8" s="8" t="n">
        <f aca="false">IF(F8="","",COUNTIF($F$7:$F$29,"&gt;"&amp;F8)+1)</f>
        <v>3</v>
      </c>
    </row>
    <row r="9" customFormat="false" ht="15" hidden="false" customHeight="false" outlineLevel="0" collapsed="false">
      <c r="A9" s="10" t="s">
        <v>72</v>
      </c>
      <c r="B9" s="10"/>
      <c r="C9" s="5" t="n">
        <f aca="false">IF(COUNTIFS(Data!$A$2:$A$1500,$C$3,Data!$B$2:$B$1500,$A9,Data!$E$2:$E$1500,"&lt;&gt;")=0,"",SUMIFS(Data!$E$2:$E$1500,Data!$A$2:$A$1500,$C$3,Data!$B$2:$B$1500,$A9))</f>
        <v>3.607</v>
      </c>
      <c r="D9" s="8" t="n">
        <f aca="false">IF(C9="","",COUNTIF($C$7:$C$29,"&gt;"&amp;C9)+1)</f>
        <v>3</v>
      </c>
      <c r="E9" s="8" t="n">
        <f aca="false">IF(COUNTIFS(Data!$A$2:$A$1500,$C$3,Data!$B$2:$B$1500,$A9,Data!$C$2:$C$1500,"&lt;&gt;")=0,"",SUMIFS(Data!$C$2:$C$1500,Data!$A$2:$A$1500,$C$3,Data!$B$2:$B$1500,$A9))</f>
        <v>119</v>
      </c>
      <c r="F9" s="8" t="n">
        <f aca="false">IF(OR(COUNTIFS(Data!$A$2:$A$1500,"Spring "&amp;$C$4,Data!$B$2:$B$1500,$A9,Data!$D$2:$D$1500,"&lt;&gt;")=0,COUNTIFS(Data!$A$2:$A$1500,"Fall "&amp;$C$4,Data!$B$2:$B$1500,$A9,Data!$D$2:$D$1500,"&lt;&gt;")=0),"",SUMIFS(Data!$D$2:$D$1500,Data!$A$2:$A$1500,"Spring "&amp;$C$4,Data!$B$2:$B$1500,$A9)+SUMIFS(Data!$D$2:$D$1500,Data!$A$2:$A$1500,"Fall "&amp;$C$4,Data!$B$2:$B$1500,$A9))</f>
        <v>34</v>
      </c>
      <c r="G9" s="8" t="n">
        <f aca="false">IF(F9="","",COUNTIF($F$7:$F$29,"&gt;"&amp;F9)+1)</f>
        <v>10</v>
      </c>
    </row>
    <row r="10" customFormat="false" ht="15" hidden="false" customHeight="false" outlineLevel="0" collapsed="false">
      <c r="A10" s="10" t="s">
        <v>73</v>
      </c>
      <c r="B10" s="10"/>
      <c r="C10" s="5" t="n">
        <f aca="false">IF(COUNTIFS(Data!$A$2:$A$1500,$C$3,Data!$B$2:$B$1500,$A10,Data!$E$2:$E$1500,"&lt;&gt;")=0,"",SUMIFS(Data!$E$2:$E$1500,Data!$A$2:$A$1500,$C$3,Data!$B$2:$B$1500,$A10))</f>
        <v>3.577</v>
      </c>
      <c r="D10" s="8" t="n">
        <f aca="false">IF(C10="","",COUNTIF($C$7:$C$29,"&gt;"&amp;C10)+1)</f>
        <v>4</v>
      </c>
      <c r="E10" s="8" t="n">
        <f aca="false">IF(COUNTIFS(Data!$A$2:$A$1500,$C$3,Data!$B$2:$B$1500,$A10,Data!$C$2:$C$1500,"&lt;&gt;")=0,"",SUMIFS(Data!$C$2:$C$1500,Data!$A$2:$A$1500,$C$3,Data!$B$2:$B$1500,$A10))</f>
        <v>165</v>
      </c>
      <c r="F10" s="8" t="n">
        <f aca="false">IF(OR(COUNTIFS(Data!$A$2:$A$1500,"Spring "&amp;$C$4,Data!$B$2:$B$1500,$A10,Data!$D$2:$D$1500,"&lt;&gt;")=0,COUNTIFS(Data!$A$2:$A$1500,"Fall "&amp;$C$4,Data!$B$2:$B$1500,$A10,Data!$D$2:$D$1500,"&lt;&gt;")=0),"",SUMIFS(Data!$D$2:$D$1500,Data!$A$2:$A$1500,"Spring "&amp;$C$4,Data!$B$2:$B$1500,$A10)+SUMIFS(Data!$D$2:$D$1500,Data!$A$2:$A$1500,"Fall "&amp;$C$4,Data!$B$2:$B$1500,$A10))</f>
        <v>52</v>
      </c>
      <c r="G10" s="8" t="n">
        <f aca="false">IF(F10="","",COUNTIF($F$7:$F$29,"&gt;"&amp;F10)+1)</f>
        <v>1</v>
      </c>
    </row>
    <row r="11" customFormat="false" ht="15" hidden="false" customHeight="false" outlineLevel="0" collapsed="false">
      <c r="A11" s="10" t="s">
        <v>74</v>
      </c>
      <c r="B11" s="10"/>
      <c r="C11" s="5" t="n">
        <f aca="false">IF(COUNTIFS(Data!$A$2:$A$1500,$C$3,Data!$B$2:$B$1500,$A11,Data!$E$2:$E$1500,"&lt;&gt;")=0,"",SUMIFS(Data!$E$2:$E$1500,Data!$A$2:$A$1500,$C$3,Data!$B$2:$B$1500,$A11))</f>
        <v>3.509</v>
      </c>
      <c r="D11" s="8" t="n">
        <f aca="false">IF(C11="","",COUNTIF($C$7:$C$29,"&gt;"&amp;C11)+1)</f>
        <v>5</v>
      </c>
      <c r="E11" s="8" t="n">
        <f aca="false">IF(COUNTIFS(Data!$A$2:$A$1500,$C$3,Data!$B$2:$B$1500,$A11,Data!$C$2:$C$1500,"&lt;&gt;")=0,"",SUMIFS(Data!$C$2:$C$1500,Data!$A$2:$A$1500,$C$3,Data!$B$2:$B$1500,$A11))</f>
        <v>14</v>
      </c>
      <c r="F11" s="8" t="str">
        <f aca="false">IF(OR(COUNTIFS(Data!$A$2:$A$1500,"Spring "&amp;$C$4,Data!$B$2:$B$1500,$A11,Data!$D$2:$D$1500,"&lt;&gt;")=0,COUNTIFS(Data!$A$2:$A$1500,"Fall "&amp;$C$4,Data!$B$2:$B$1500,$A11,Data!$D$2:$D$1500,"&lt;&gt;")=0),"",SUMIFS(Data!$D$2:$D$1500,Data!$A$2:$A$1500,"Spring "&amp;$C$4,Data!$B$2:$B$1500,$A11)+SUMIFS(Data!$D$2:$D$1500,Data!$A$2:$A$1500,"Fall "&amp;$C$4,Data!$B$2:$B$1500,$A11))</f>
        <v/>
      </c>
      <c r="G11" s="8" t="str">
        <f aca="false">IF(F11="","",COUNTIF($F$7:$F$29,"&gt;"&amp;F11)+1)</f>
        <v/>
      </c>
    </row>
    <row r="12" customFormat="false" ht="15" hidden="false" customHeight="false" outlineLevel="0" collapsed="false">
      <c r="A12" s="10" t="s">
        <v>75</v>
      </c>
      <c r="B12" s="10"/>
      <c r="C12" s="5" t="n">
        <f aca="false">IF(COUNTIFS(Data!$A$2:$A$1500,$C$3,Data!$B$2:$B$1500,$A12,Data!$E$2:$E$1500,"&lt;&gt;")=0,"",SUMIFS(Data!$E$2:$E$1500,Data!$A$2:$A$1500,$C$3,Data!$B$2:$B$1500,$A12))</f>
        <v>3.494</v>
      </c>
      <c r="D12" s="8" t="n">
        <f aca="false">IF(C12="","",COUNTIF($C$7:$C$29,"&gt;"&amp;C12)+1)</f>
        <v>6</v>
      </c>
      <c r="E12" s="8" t="n">
        <f aca="false">IF(COUNTIFS(Data!$A$2:$A$1500,$C$3,Data!$B$2:$B$1500,$A12,Data!$C$2:$C$1500,"&lt;&gt;")=0,"",SUMIFS(Data!$C$2:$C$1500,Data!$A$2:$A$1500,$C$3,Data!$B$2:$B$1500,$A12))</f>
        <v>15</v>
      </c>
      <c r="F12" s="8" t="n">
        <f aca="false">IF(OR(COUNTIFS(Data!$A$2:$A$1500,"Spring "&amp;$C$4,Data!$B$2:$B$1500,$A12,Data!$D$2:$D$1500,"&lt;&gt;")=0,COUNTIFS(Data!$A$2:$A$1500,"Fall "&amp;$C$4,Data!$B$2:$B$1500,$A12,Data!$D$2:$D$1500,"&lt;&gt;")=0),"",SUMIFS(Data!$D$2:$D$1500,Data!$A$2:$A$1500,"Spring "&amp;$C$4,Data!$B$2:$B$1500,$A12)+SUMIFS(Data!$D$2:$D$1500,Data!$A$2:$A$1500,"Fall "&amp;$C$4,Data!$B$2:$B$1500,$A12))</f>
        <v>4</v>
      </c>
      <c r="G12" s="8" t="n">
        <f aca="false">IF(F12="","",COUNTIF($F$7:$F$29,"&gt;"&amp;F12)+1)</f>
        <v>22</v>
      </c>
    </row>
    <row r="13" customFormat="false" ht="15" hidden="false" customHeight="false" outlineLevel="0" collapsed="false">
      <c r="A13" s="10" t="s">
        <v>76</v>
      </c>
      <c r="B13" s="10"/>
      <c r="C13" s="5" t="n">
        <f aca="false">IF(COUNTIFS(Data!$A$2:$A$1500,$C$3,Data!$B$2:$B$1500,$A13,Data!$E$2:$E$1500,"&lt;&gt;")=0,"",SUMIFS(Data!$E$2:$E$1500,Data!$A$2:$A$1500,$C$3,Data!$B$2:$B$1500,$A13))</f>
        <v>3.464</v>
      </c>
      <c r="D13" s="8" t="n">
        <f aca="false">IF(C13="","",COUNTIF($C$7:$C$29,"&gt;"&amp;C13)+1)</f>
        <v>7</v>
      </c>
      <c r="E13" s="8" t="n">
        <f aca="false">IF(COUNTIFS(Data!$A$2:$A$1500,$C$3,Data!$B$2:$B$1500,$A13,Data!$C$2:$C$1500,"&lt;&gt;")=0,"",SUMIFS(Data!$C$2:$C$1500,Data!$A$2:$A$1500,$C$3,Data!$B$2:$B$1500,$A13))</f>
        <v>112</v>
      </c>
      <c r="F13" s="8" t="n">
        <f aca="false">IF(OR(COUNTIFS(Data!$A$2:$A$1500,"Spring "&amp;$C$4,Data!$B$2:$B$1500,$A13,Data!$D$2:$D$1500,"&lt;&gt;")=0,COUNTIFS(Data!$A$2:$A$1500,"Fall "&amp;$C$4,Data!$B$2:$B$1500,$A13,Data!$D$2:$D$1500,"&lt;&gt;")=0),"",SUMIFS(Data!$D$2:$D$1500,Data!$A$2:$A$1500,"Spring "&amp;$C$4,Data!$B$2:$B$1500,$A13)+SUMIFS(Data!$D$2:$D$1500,Data!$A$2:$A$1500,"Fall "&amp;$C$4,Data!$B$2:$B$1500,$A13))</f>
        <v>47</v>
      </c>
      <c r="G13" s="8" t="n">
        <f aca="false">IF(F13="","",COUNTIF($F$7:$F$29,"&gt;"&amp;F13)+1)</f>
        <v>2</v>
      </c>
    </row>
    <row r="14" customFormat="false" ht="15" hidden="false" customHeight="false" outlineLevel="0" collapsed="false">
      <c r="A14" s="10" t="s">
        <v>77</v>
      </c>
      <c r="B14" s="10"/>
      <c r="C14" s="5" t="n">
        <f aca="false">IF(COUNTIFS(Data!$A$2:$A$1500,$C$3,Data!$B$2:$B$1500,$A14,Data!$E$2:$E$1500,"&lt;&gt;")=0,"",SUMIFS(Data!$E$2:$E$1500,Data!$A$2:$A$1500,$C$3,Data!$B$2:$B$1500,$A14))</f>
        <v>3.454</v>
      </c>
      <c r="D14" s="8" t="n">
        <f aca="false">IF(C14="","",COUNTIF($C$7:$C$29,"&gt;"&amp;C14)+1)</f>
        <v>8</v>
      </c>
      <c r="E14" s="8" t="n">
        <f aca="false">IF(COUNTIFS(Data!$A$2:$A$1500,$C$3,Data!$B$2:$B$1500,$A14,Data!$C$2:$C$1500,"&lt;&gt;")=0,"",SUMIFS(Data!$C$2:$C$1500,Data!$A$2:$A$1500,$C$3,Data!$B$2:$B$1500,$A14))</f>
        <v>88</v>
      </c>
      <c r="F14" s="8" t="n">
        <f aca="false">IF(OR(COUNTIFS(Data!$A$2:$A$1500,"Spring "&amp;$C$4,Data!$B$2:$B$1500,$A14,Data!$D$2:$D$1500,"&lt;&gt;")=0,COUNTIFS(Data!$A$2:$A$1500,"Fall "&amp;$C$4,Data!$B$2:$B$1500,$A14,Data!$D$2:$D$1500,"&lt;&gt;")=0),"",SUMIFS(Data!$D$2:$D$1500,Data!$A$2:$A$1500,"Spring "&amp;$C$4,Data!$B$2:$B$1500,$A14)+SUMIFS(Data!$D$2:$D$1500,Data!$A$2:$A$1500,"Fall "&amp;$C$4,Data!$B$2:$B$1500,$A14))</f>
        <v>37</v>
      </c>
      <c r="G14" s="8" t="n">
        <f aca="false">IF(F14="","",COUNTIF($F$7:$F$29,"&gt;"&amp;F14)+1)</f>
        <v>7</v>
      </c>
    </row>
    <row r="15" customFormat="false" ht="15" hidden="false" customHeight="false" outlineLevel="0" collapsed="false">
      <c r="A15" s="10" t="s">
        <v>78</v>
      </c>
      <c r="B15" s="10"/>
      <c r="C15" s="5" t="n">
        <f aca="false">IF(COUNTIFS(Data!$A$2:$A$1500,$C$3,Data!$B$2:$B$1500,$A15,Data!$E$2:$E$1500,"&lt;&gt;")=0,"",SUMIFS(Data!$E$2:$E$1500,Data!$A$2:$A$1500,$C$3,Data!$B$2:$B$1500,$A15))</f>
        <v>3.427</v>
      </c>
      <c r="D15" s="8" t="n">
        <f aca="false">IF(C15="","",COUNTIF($C$7:$C$29,"&gt;"&amp;C15)+1)</f>
        <v>9</v>
      </c>
      <c r="E15" s="8" t="n">
        <f aca="false">IF(COUNTIFS(Data!$A$2:$A$1500,$C$3,Data!$B$2:$B$1500,$A15,Data!$C$2:$C$1500,"&lt;&gt;")=0,"",SUMIFS(Data!$C$2:$C$1500,Data!$A$2:$A$1500,$C$3,Data!$B$2:$B$1500,$A15))</f>
        <v>127</v>
      </c>
      <c r="F15" s="8" t="n">
        <f aca="false">IF(OR(COUNTIFS(Data!$A$2:$A$1500,"Spring "&amp;$C$4,Data!$B$2:$B$1500,$A15,Data!$D$2:$D$1500,"&lt;&gt;")=0,COUNTIFS(Data!$A$2:$A$1500,"Fall "&amp;$C$4,Data!$B$2:$B$1500,$A15,Data!$D$2:$D$1500,"&lt;&gt;")=0),"",SUMIFS(Data!$D$2:$D$1500,Data!$A$2:$A$1500,"Spring "&amp;$C$4,Data!$B$2:$B$1500,$A15)+SUMIFS(Data!$D$2:$D$1500,Data!$A$2:$A$1500,"Fall "&amp;$C$4,Data!$B$2:$B$1500,$A15))</f>
        <v>38</v>
      </c>
      <c r="G15" s="8" t="n">
        <f aca="false">IF(F15="","",COUNTIF($F$7:$F$29,"&gt;"&amp;F15)+1)</f>
        <v>6</v>
      </c>
    </row>
    <row r="16" customFormat="false" ht="15" hidden="false" customHeight="false" outlineLevel="0" collapsed="false">
      <c r="A16" s="10" t="s">
        <v>79</v>
      </c>
      <c r="B16" s="10"/>
      <c r="C16" s="5" t="n">
        <f aca="false">IF(COUNTIFS(Data!$A$2:$A$1500,$C$3,Data!$B$2:$B$1500,$A16,Data!$E$2:$E$1500,"&lt;&gt;")=0,"",SUMIFS(Data!$E$2:$E$1500,Data!$A$2:$A$1500,$C$3,Data!$B$2:$B$1500,$A16))</f>
        <v>3.421</v>
      </c>
      <c r="D16" s="8" t="n">
        <f aca="false">IF(C16="","",COUNTIF($C$7:$C$29,"&gt;"&amp;C16)+1)</f>
        <v>10</v>
      </c>
      <c r="E16" s="8" t="n">
        <f aca="false">IF(COUNTIFS(Data!$A$2:$A$1500,$C$3,Data!$B$2:$B$1500,$A16,Data!$C$2:$C$1500,"&lt;&gt;")=0,"",SUMIFS(Data!$C$2:$C$1500,Data!$A$2:$A$1500,$C$3,Data!$B$2:$B$1500,$A16))</f>
        <v>92</v>
      </c>
      <c r="F16" s="8" t="n">
        <f aca="false">IF(OR(COUNTIFS(Data!$A$2:$A$1500,"Spring "&amp;$C$4,Data!$B$2:$B$1500,$A16,Data!$D$2:$D$1500,"&lt;&gt;")=0,COUNTIFS(Data!$A$2:$A$1500,"Fall "&amp;$C$4,Data!$B$2:$B$1500,$A16,Data!$D$2:$D$1500,"&lt;&gt;")=0),"",SUMIFS(Data!$D$2:$D$1500,Data!$A$2:$A$1500,"Spring "&amp;$C$4,Data!$B$2:$B$1500,$A16)+SUMIFS(Data!$D$2:$D$1500,Data!$A$2:$A$1500,"Fall "&amp;$C$4,Data!$B$2:$B$1500,$A16))</f>
        <v>29</v>
      </c>
      <c r="G16" s="8" t="n">
        <f aca="false">IF(F16="","",COUNTIF($F$7:$F$29,"&gt;"&amp;F16)+1)</f>
        <v>13</v>
      </c>
    </row>
    <row r="17" customFormat="false" ht="15" hidden="false" customHeight="false" outlineLevel="0" collapsed="false">
      <c r="A17" s="10" t="s">
        <v>80</v>
      </c>
      <c r="B17" s="10"/>
      <c r="C17" s="5" t="n">
        <f aca="false">IF(COUNTIFS(Data!$A$2:$A$1500,$C$3,Data!$B$2:$B$1500,$A17,Data!$E$2:$E$1500,"&lt;&gt;")=0,"",SUMIFS(Data!$E$2:$E$1500,Data!$A$2:$A$1500,$C$3,Data!$B$2:$B$1500,$A17))</f>
        <v>3.376</v>
      </c>
      <c r="D17" s="8" t="n">
        <f aca="false">IF(C17="","",COUNTIF($C$7:$C$29,"&gt;"&amp;C17)+1)</f>
        <v>11</v>
      </c>
      <c r="E17" s="8" t="n">
        <f aca="false">IF(COUNTIFS(Data!$A$2:$A$1500,$C$3,Data!$B$2:$B$1500,$A17,Data!$C$2:$C$1500,"&lt;&gt;")=0,"",SUMIFS(Data!$C$2:$C$1500,Data!$A$2:$A$1500,$C$3,Data!$B$2:$B$1500,$A17))</f>
        <v>9</v>
      </c>
      <c r="F17" s="8" t="n">
        <f aca="false">IF(OR(COUNTIFS(Data!$A$2:$A$1500,"Spring "&amp;$C$4,Data!$B$2:$B$1500,$A17,Data!$D$2:$D$1500,"&lt;&gt;")=0,COUNTIFS(Data!$A$2:$A$1500,"Fall "&amp;$C$4,Data!$B$2:$B$1500,$A17,Data!$D$2:$D$1500,"&lt;&gt;")=0),"",SUMIFS(Data!$D$2:$D$1500,Data!$A$2:$A$1500,"Spring "&amp;$C$4,Data!$B$2:$B$1500,$A17)+SUMIFS(Data!$D$2:$D$1500,Data!$A$2:$A$1500,"Fall "&amp;$C$4,Data!$B$2:$B$1500,$A17))</f>
        <v>5</v>
      </c>
      <c r="G17" s="8" t="n">
        <f aca="false">IF(F17="","",COUNTIF($F$7:$F$29,"&gt;"&amp;F17)+1)</f>
        <v>20</v>
      </c>
    </row>
    <row r="18" customFormat="false" ht="15" hidden="false" customHeight="false" outlineLevel="0" collapsed="false">
      <c r="A18" s="10" t="s">
        <v>81</v>
      </c>
      <c r="B18" s="10"/>
      <c r="C18" s="5" t="n">
        <f aca="false">IF(COUNTIFS(Data!$A$2:$A$1500,$C$3,Data!$B$2:$B$1500,$A18,Data!$E$2:$E$1500,"&lt;&gt;")=0,"",SUMIFS(Data!$E$2:$E$1500,Data!$A$2:$A$1500,$C$3,Data!$B$2:$B$1500,$A18))</f>
        <v>3.351</v>
      </c>
      <c r="D18" s="8" t="n">
        <f aca="false">IF(C18="","",COUNTIF($C$7:$C$29,"&gt;"&amp;C18)+1)</f>
        <v>12</v>
      </c>
      <c r="E18" s="8" t="n">
        <f aca="false">IF(COUNTIFS(Data!$A$2:$A$1500,$C$3,Data!$B$2:$B$1500,$A18,Data!$C$2:$C$1500,"&lt;&gt;")=0,"",SUMIFS(Data!$C$2:$C$1500,Data!$A$2:$A$1500,$C$3,Data!$B$2:$B$1500,$A18))</f>
        <v>95</v>
      </c>
      <c r="F18" s="8" t="n">
        <f aca="false">IF(OR(COUNTIFS(Data!$A$2:$A$1500,"Spring "&amp;$C$4,Data!$B$2:$B$1500,$A18,Data!$D$2:$D$1500,"&lt;&gt;")=0,COUNTIFS(Data!$A$2:$A$1500,"Fall "&amp;$C$4,Data!$B$2:$B$1500,$A18,Data!$D$2:$D$1500,"&lt;&gt;")=0),"",SUMIFS(Data!$D$2:$D$1500,Data!$A$2:$A$1500,"Spring "&amp;$C$4,Data!$B$2:$B$1500,$A18)+SUMIFS(Data!$D$2:$D$1500,Data!$A$2:$A$1500,"Fall "&amp;$C$4,Data!$B$2:$B$1500,$A18))</f>
        <v>35</v>
      </c>
      <c r="G18" s="8" t="n">
        <f aca="false">IF(F18="","",COUNTIF($F$7:$F$29,"&gt;"&amp;F18)+1)</f>
        <v>9</v>
      </c>
    </row>
    <row r="19" customFormat="false" ht="15" hidden="false" customHeight="false" outlineLevel="0" collapsed="false">
      <c r="A19" s="10" t="s">
        <v>82</v>
      </c>
      <c r="B19" s="10"/>
      <c r="C19" s="5" t="n">
        <f aca="false">IF(COUNTIFS(Data!$A$2:$A$1500,$C$3,Data!$B$2:$B$1500,$A19,Data!$E$2:$E$1500,"&lt;&gt;")=0,"",SUMIFS(Data!$E$2:$E$1500,Data!$A$2:$A$1500,$C$3,Data!$B$2:$B$1500,$A19))</f>
        <v>3.299</v>
      </c>
      <c r="D19" s="8" t="n">
        <f aca="false">IF(C19="","",COUNTIF($C$7:$C$29,"&gt;"&amp;C19)+1)</f>
        <v>13</v>
      </c>
      <c r="E19" s="8" t="n">
        <f aca="false">IF(COUNTIFS(Data!$A$2:$A$1500,$C$3,Data!$B$2:$B$1500,$A19,Data!$C$2:$C$1500,"&lt;&gt;")=0,"",SUMIFS(Data!$C$2:$C$1500,Data!$A$2:$A$1500,$C$3,Data!$B$2:$B$1500,$A19))</f>
        <v>142</v>
      </c>
      <c r="F19" s="8" t="n">
        <f aca="false">IF(OR(COUNTIFS(Data!$A$2:$A$1500,"Spring "&amp;$C$4,Data!$B$2:$B$1500,$A19,Data!$D$2:$D$1500,"&lt;&gt;")=0,COUNTIFS(Data!$A$2:$A$1500,"Fall "&amp;$C$4,Data!$B$2:$B$1500,$A19,Data!$D$2:$D$1500,"&lt;&gt;")=0),"",SUMIFS(Data!$D$2:$D$1500,Data!$A$2:$A$1500,"Spring "&amp;$C$4,Data!$B$2:$B$1500,$A19)+SUMIFS(Data!$D$2:$D$1500,Data!$A$2:$A$1500,"Fall "&amp;$C$4,Data!$B$2:$B$1500,$A19))</f>
        <v>44</v>
      </c>
      <c r="G19" s="8" t="n">
        <f aca="false">IF(F19="","",COUNTIF($F$7:$F$29,"&gt;"&amp;F19)+1)</f>
        <v>4</v>
      </c>
    </row>
    <row r="20" customFormat="false" ht="15" hidden="false" customHeight="false" outlineLevel="0" collapsed="false">
      <c r="A20" s="10" t="s">
        <v>83</v>
      </c>
      <c r="B20" s="10"/>
      <c r="C20" s="5" t="n">
        <f aca="false">IF(COUNTIFS(Data!$A$2:$A$1500,$C$3,Data!$B$2:$B$1500,$A20,Data!$E$2:$E$1500,"&lt;&gt;")=0,"",SUMIFS(Data!$E$2:$E$1500,Data!$A$2:$A$1500,$C$3,Data!$B$2:$B$1500,$A20))</f>
        <v>3.296</v>
      </c>
      <c r="D20" s="8" t="n">
        <f aca="false">IF(C20="","",COUNTIF($C$7:$C$29,"&gt;"&amp;C20)+1)</f>
        <v>14</v>
      </c>
      <c r="E20" s="8" t="n">
        <f aca="false">IF(COUNTIFS(Data!$A$2:$A$1500,$C$3,Data!$B$2:$B$1500,$A20,Data!$C$2:$C$1500,"&lt;&gt;")=0,"",SUMIFS(Data!$C$2:$C$1500,Data!$A$2:$A$1500,$C$3,Data!$B$2:$B$1500,$A20))</f>
        <v>142</v>
      </c>
      <c r="F20" s="8" t="n">
        <f aca="false">IF(OR(COUNTIFS(Data!$A$2:$A$1500,"Spring "&amp;$C$4,Data!$B$2:$B$1500,$A20,Data!$D$2:$D$1500,"&lt;&gt;")=0,COUNTIFS(Data!$A$2:$A$1500,"Fall "&amp;$C$4,Data!$B$2:$B$1500,$A20,Data!$D$2:$D$1500,"&lt;&gt;")=0),"",SUMIFS(Data!$D$2:$D$1500,Data!$A$2:$A$1500,"Spring "&amp;$C$4,Data!$B$2:$B$1500,$A20)+SUMIFS(Data!$D$2:$D$1500,Data!$A$2:$A$1500,"Fall "&amp;$C$4,Data!$B$2:$B$1500,$A20))</f>
        <v>40</v>
      </c>
      <c r="G20" s="8" t="n">
        <f aca="false">IF(F20="","",COUNTIF($F$7:$F$29,"&gt;"&amp;F20)+1)</f>
        <v>5</v>
      </c>
    </row>
    <row r="21" customFormat="false" ht="15" hidden="false" customHeight="false" outlineLevel="0" collapsed="false">
      <c r="A21" s="10" t="s">
        <v>84</v>
      </c>
      <c r="B21" s="10"/>
      <c r="C21" s="5" t="n">
        <f aca="false">IF(COUNTIFS(Data!$A$2:$A$1500,$C$3,Data!$B$2:$B$1500,$A21,Data!$E$2:$E$1500,"&lt;&gt;")=0,"",SUMIFS(Data!$E$2:$E$1500,Data!$A$2:$A$1500,$C$3,Data!$B$2:$B$1500,$A21))</f>
        <v>3.216</v>
      </c>
      <c r="D21" s="8" t="n">
        <f aca="false">IF(C21="","",COUNTIF($C$7:$C$29,"&gt;"&amp;C21)+1)</f>
        <v>15</v>
      </c>
      <c r="E21" s="8" t="n">
        <f aca="false">IF(COUNTIFS(Data!$A$2:$A$1500,$C$3,Data!$B$2:$B$1500,$A21,Data!$C$2:$C$1500,"&lt;&gt;")=0,"",SUMIFS(Data!$C$2:$C$1500,Data!$A$2:$A$1500,$C$3,Data!$B$2:$B$1500,$A21))</f>
        <v>37</v>
      </c>
      <c r="F21" s="8" t="n">
        <f aca="false">IF(OR(COUNTIFS(Data!$A$2:$A$1500,"Spring "&amp;$C$4,Data!$B$2:$B$1500,$A21,Data!$D$2:$D$1500,"&lt;&gt;")=0,COUNTIFS(Data!$A$2:$A$1500,"Fall "&amp;$C$4,Data!$B$2:$B$1500,$A21,Data!$D$2:$D$1500,"&lt;&gt;")=0),"",SUMIFS(Data!$D$2:$D$1500,Data!$A$2:$A$1500,"Spring "&amp;$C$4,Data!$B$2:$B$1500,$A21)+SUMIFS(Data!$D$2:$D$1500,Data!$A$2:$A$1500,"Fall "&amp;$C$4,Data!$B$2:$B$1500,$A21))</f>
        <v>20</v>
      </c>
      <c r="G21" s="8" t="n">
        <f aca="false">IF(F21="","",COUNTIF($F$7:$F$29,"&gt;"&amp;F21)+1)</f>
        <v>14</v>
      </c>
    </row>
    <row r="22" customFormat="false" ht="15" hidden="false" customHeight="false" outlineLevel="0" collapsed="false">
      <c r="A22" s="10" t="s">
        <v>85</v>
      </c>
      <c r="B22" s="10"/>
      <c r="C22" s="5" t="n">
        <f aca="false">IF(COUNTIFS(Data!$A$2:$A$1500,$C$3,Data!$B$2:$B$1500,$A22,Data!$E$2:$E$1500,"&lt;&gt;")=0,"",SUMIFS(Data!$E$2:$E$1500,Data!$A$2:$A$1500,$C$3,Data!$B$2:$B$1500,$A22))</f>
        <v>3.195</v>
      </c>
      <c r="D22" s="8" t="n">
        <f aca="false">IF(C22="","",COUNTIF($C$7:$C$29,"&gt;"&amp;C22)+1)</f>
        <v>16</v>
      </c>
      <c r="E22" s="8" t="n">
        <f aca="false">IF(COUNTIFS(Data!$A$2:$A$1500,$C$3,Data!$B$2:$B$1500,$A22,Data!$C$2:$C$1500,"&lt;&gt;")=0,"",SUMIFS(Data!$C$2:$C$1500,Data!$A$2:$A$1500,$C$3,Data!$B$2:$B$1500,$A22))</f>
        <v>78</v>
      </c>
      <c r="F22" s="8" t="n">
        <f aca="false">IF(OR(COUNTIFS(Data!$A$2:$A$1500,"Spring "&amp;$C$4,Data!$B$2:$B$1500,$A22,Data!$D$2:$D$1500,"&lt;&gt;")=0,COUNTIFS(Data!$A$2:$A$1500,"Fall "&amp;$C$4,Data!$B$2:$B$1500,$A22,Data!$D$2:$D$1500,"&lt;&gt;")=0),"",SUMIFS(Data!$D$2:$D$1500,Data!$A$2:$A$1500,"Spring "&amp;$C$4,Data!$B$2:$B$1500,$A22)+SUMIFS(Data!$D$2:$D$1500,Data!$A$2:$A$1500,"Fall "&amp;$C$4,Data!$B$2:$B$1500,$A22))</f>
        <v>32</v>
      </c>
      <c r="G22" s="8" t="n">
        <f aca="false">IF(F22="","",COUNTIF($F$7:$F$29,"&gt;"&amp;F22)+1)</f>
        <v>11</v>
      </c>
    </row>
    <row r="23" customFormat="false" ht="15" hidden="false" customHeight="false" outlineLevel="0" collapsed="false">
      <c r="A23" s="15" t="s">
        <v>86</v>
      </c>
      <c r="B23" s="15"/>
      <c r="C23" s="16" t="n">
        <f aca="false">IF(COUNTIFS(Data!$A$2:$A$1500,$C$3,Data!$B$2:$B$1500,$A23,Data!$E$2:$E$1500,"&lt;&gt;")=0,"",SUMIFS(Data!$E$2:$E$1500,Data!$A$2:$A$1500,$C$3,Data!$B$2:$B$1500,$A23))</f>
        <v>3.163</v>
      </c>
      <c r="D23" s="17" t="n">
        <f aca="false">IF(C23="","",COUNTIF($C$7:$C$29,"&gt;"&amp;C23)+1)</f>
        <v>17</v>
      </c>
      <c r="E23" s="17" t="n">
        <f aca="false">IF(COUNTIFS(Data!$A$2:$A$1500,$C$3,Data!$B$2:$B$1500,$A23,Data!$C$2:$C$1500,"&lt;&gt;")=0,"",SUMIFS(Data!$C$2:$C$1500,Data!$A$2:$A$1500,$C$3,Data!$B$2:$B$1500,$A23))</f>
        <v>43</v>
      </c>
      <c r="F23" s="17" t="n">
        <f aca="false">IF(OR(COUNTIFS(Data!$A$2:$A$1500,"Spring "&amp;$C$4,Data!$B$2:$B$1500,$A23,Data!$D$2:$D$1500,"&lt;&gt;")=0,COUNTIFS(Data!$A$2:$A$1500,"Fall "&amp;$C$4,Data!$B$2:$B$1500,$A23,Data!$D$2:$D$1500,"&lt;&gt;")=0),"",SUMIFS(Data!$D$2:$D$1500,Data!$A$2:$A$1500,"Spring "&amp;$C$4,Data!$B$2:$B$1500,$A23)+SUMIFS(Data!$D$2:$D$1500,Data!$A$2:$A$1500,"Fall "&amp;$C$4,Data!$B$2:$B$1500,$A23))</f>
        <v>15</v>
      </c>
      <c r="G23" s="17" t="n">
        <f aca="false">IF(F23="","",COUNTIF($F$7:$F$29,"&gt;"&amp;F23)+1)</f>
        <v>16</v>
      </c>
    </row>
    <row r="24" customFormat="false" ht="15" hidden="false" customHeight="false" outlineLevel="0" collapsed="false">
      <c r="A24" s="10" t="s">
        <v>87</v>
      </c>
      <c r="B24" s="10"/>
      <c r="C24" s="5" t="n">
        <f aca="false">IF(COUNTIFS(Data!$A$2:$A$1500,$C$3,Data!$B$2:$B$1500,$A24,Data!$E$2:$E$1500,"&lt;&gt;")=0,"",SUMIFS(Data!$E$2:$E$1500,Data!$A$2:$A$1500,$C$3,Data!$B$2:$B$1500,$A24))</f>
        <v>3.121</v>
      </c>
      <c r="D24" s="8" t="n">
        <f aca="false">IF(C24="","",COUNTIF($C$7:$C$29,"&gt;"&amp;C24)+1)</f>
        <v>18</v>
      </c>
      <c r="E24" s="8" t="n">
        <f aca="false">IF(COUNTIFS(Data!$A$2:$A$1500,$C$3,Data!$B$2:$B$1500,$A24,Data!$C$2:$C$1500,"&lt;&gt;")=0,"",SUMIFS(Data!$C$2:$C$1500,Data!$A$2:$A$1500,$C$3,Data!$B$2:$B$1500,$A24))</f>
        <v>33</v>
      </c>
      <c r="F24" s="8" t="n">
        <f aca="false">IF(OR(COUNTIFS(Data!$A$2:$A$1500,"Spring "&amp;$C$4,Data!$B$2:$B$1500,$A24,Data!$D$2:$D$1500,"&lt;&gt;")=0,COUNTIFS(Data!$A$2:$A$1500,"Fall "&amp;$C$4,Data!$B$2:$B$1500,$A24,Data!$D$2:$D$1500,"&lt;&gt;")=0),"",SUMIFS(Data!$D$2:$D$1500,Data!$A$2:$A$1500,"Spring "&amp;$C$4,Data!$B$2:$B$1500,$A24)+SUMIFS(Data!$D$2:$D$1500,Data!$A$2:$A$1500,"Fall "&amp;$C$4,Data!$B$2:$B$1500,$A24))</f>
        <v>8</v>
      </c>
      <c r="G24" s="8" t="n">
        <f aca="false">IF(F24="","",COUNTIF($F$7:$F$29,"&gt;"&amp;F24)+1)</f>
        <v>19</v>
      </c>
    </row>
    <row r="25" customFormat="false" ht="15" hidden="false" customHeight="false" outlineLevel="0" collapsed="false">
      <c r="A25" s="10" t="s">
        <v>88</v>
      </c>
      <c r="B25" s="10"/>
      <c r="C25" s="5" t="n">
        <f aca="false">IF(COUNTIFS(Data!$A$2:$A$1500,$C$3,Data!$B$2:$B$1500,$A25,Data!$E$2:$E$1500,"&lt;&gt;")=0,"",SUMIFS(Data!$E$2:$E$1500,Data!$A$2:$A$1500,$C$3,Data!$B$2:$B$1500,$A25))</f>
        <v>3.058</v>
      </c>
      <c r="D25" s="8" t="n">
        <f aca="false">IF(C25="","",COUNTIF($C$7:$C$29,"&gt;"&amp;C25)+1)</f>
        <v>19</v>
      </c>
      <c r="E25" s="8" t="n">
        <f aca="false">IF(COUNTIFS(Data!$A$2:$A$1500,$C$3,Data!$B$2:$B$1500,$A25,Data!$C$2:$C$1500,"&lt;&gt;")=0,"",SUMIFS(Data!$C$2:$C$1500,Data!$A$2:$A$1500,$C$3,Data!$B$2:$B$1500,$A25))</f>
        <v>28</v>
      </c>
      <c r="F25" s="8" t="n">
        <f aca="false">IF(OR(COUNTIFS(Data!$A$2:$A$1500,"Spring "&amp;$C$4,Data!$B$2:$B$1500,$A25,Data!$D$2:$D$1500,"&lt;&gt;")=0,COUNTIFS(Data!$A$2:$A$1500,"Fall "&amp;$C$4,Data!$B$2:$B$1500,$A25,Data!$D$2:$D$1500,"&lt;&gt;")=0),"",SUMIFS(Data!$D$2:$D$1500,Data!$A$2:$A$1500,"Spring "&amp;$C$4,Data!$B$2:$B$1500,$A25)+SUMIFS(Data!$D$2:$D$1500,Data!$A$2:$A$1500,"Fall "&amp;$C$4,Data!$B$2:$B$1500,$A25))</f>
        <v>13</v>
      </c>
      <c r="G25" s="8" t="n">
        <f aca="false">IF(F25="","",COUNTIF($F$7:$F$29,"&gt;"&amp;F25)+1)</f>
        <v>17</v>
      </c>
    </row>
    <row r="26" customFormat="false" ht="15" hidden="false" customHeight="false" outlineLevel="0" collapsed="false">
      <c r="A26" s="10" t="s">
        <v>89</v>
      </c>
      <c r="B26" s="10"/>
      <c r="C26" s="5" t="n">
        <f aca="false">IF(COUNTIFS(Data!$A$2:$A$1500,$C$3,Data!$B$2:$B$1500,$A26,Data!$E$2:$E$1500,"&lt;&gt;")=0,"",SUMIFS(Data!$E$2:$E$1500,Data!$A$2:$A$1500,$C$3,Data!$B$2:$B$1500,$A26))</f>
        <v>3.041</v>
      </c>
      <c r="D26" s="8" t="n">
        <f aca="false">IF(C26="","",COUNTIF($C$7:$C$29,"&gt;"&amp;C26)+1)</f>
        <v>20</v>
      </c>
      <c r="E26" s="8" t="n">
        <f aca="false">IF(COUNTIFS(Data!$A$2:$A$1500,$C$3,Data!$B$2:$B$1500,$A26,Data!$C$2:$C$1500,"&lt;&gt;")=0,"",SUMIFS(Data!$C$2:$C$1500,Data!$A$2:$A$1500,$C$3,Data!$B$2:$B$1500,$A26))</f>
        <v>67</v>
      </c>
      <c r="F26" s="8" t="n">
        <f aca="false">IF(OR(COUNTIFS(Data!$A$2:$A$1500,"Spring "&amp;$C$4,Data!$B$2:$B$1500,$A26,Data!$D$2:$D$1500,"&lt;&gt;")=0,COUNTIFS(Data!$A$2:$A$1500,"Fall "&amp;$C$4,Data!$B$2:$B$1500,$A26,Data!$D$2:$D$1500,"&lt;&gt;")=0),"",SUMIFS(Data!$D$2:$D$1500,Data!$A$2:$A$1500,"Spring "&amp;$C$4,Data!$B$2:$B$1500,$A26)+SUMIFS(Data!$D$2:$D$1500,Data!$A$2:$A$1500,"Fall "&amp;$C$4,Data!$B$2:$B$1500,$A26))</f>
        <v>36</v>
      </c>
      <c r="G26" s="8" t="n">
        <f aca="false">IF(F26="","",COUNTIF($F$7:$F$29,"&gt;"&amp;F26)+1)</f>
        <v>8</v>
      </c>
    </row>
    <row r="27" customFormat="false" ht="15" hidden="false" customHeight="false" outlineLevel="0" collapsed="false">
      <c r="A27" s="10" t="s">
        <v>90</v>
      </c>
      <c r="B27" s="10"/>
      <c r="C27" s="5" t="n">
        <f aca="false">IF(COUNTIFS(Data!$A$2:$A$1500,$C$3,Data!$B$2:$B$1500,$A27,Data!$E$2:$E$1500,"&lt;&gt;")=0,"",SUMIFS(Data!$E$2:$E$1500,Data!$A$2:$A$1500,$C$3,Data!$B$2:$B$1500,$A27))</f>
        <v>2.876</v>
      </c>
      <c r="D27" s="8" t="n">
        <f aca="false">IF(C27="","",COUNTIF($C$7:$C$29,"&gt;"&amp;C27)+1)</f>
        <v>21</v>
      </c>
      <c r="E27" s="8" t="n">
        <f aca="false">IF(COUNTIFS(Data!$A$2:$A$1500,$C$3,Data!$B$2:$B$1500,$A27,Data!$C$2:$C$1500,"&lt;&gt;")=0,"",SUMIFS(Data!$C$2:$C$1500,Data!$A$2:$A$1500,$C$3,Data!$B$2:$B$1500,$A27))</f>
        <v>39</v>
      </c>
      <c r="F27" s="8" t="n">
        <f aca="false">IF(OR(COUNTIFS(Data!$A$2:$A$1500,"Spring "&amp;$C$4,Data!$B$2:$B$1500,$A27,Data!$D$2:$D$1500,"&lt;&gt;")=0,COUNTIFS(Data!$A$2:$A$1500,"Fall "&amp;$C$4,Data!$B$2:$B$1500,$A27,Data!$D$2:$D$1500,"&lt;&gt;")=0),"",SUMIFS(Data!$D$2:$D$1500,Data!$A$2:$A$1500,"Spring "&amp;$C$4,Data!$B$2:$B$1500,$A27)+SUMIFS(Data!$D$2:$D$1500,Data!$A$2:$A$1500,"Fall "&amp;$C$4,Data!$B$2:$B$1500,$A27))</f>
        <v>11</v>
      </c>
      <c r="G27" s="8" t="n">
        <f aca="false">IF(F27="","",COUNTIF($F$7:$F$29,"&gt;"&amp;F27)+1)</f>
        <v>18</v>
      </c>
    </row>
    <row r="28" customFormat="false" ht="15" hidden="false" customHeight="false" outlineLevel="0" collapsed="false">
      <c r="A28" s="10" t="s">
        <v>91</v>
      </c>
      <c r="B28" s="10"/>
      <c r="C28" s="5" t="n">
        <f aca="false">IF(COUNTIFS(Data!$A$2:$A$1500,$C$3,Data!$B$2:$B$1500,$A28,Data!$E$2:$E$1500,"&lt;&gt;")=0,"",SUMIFS(Data!$E$2:$E$1500,Data!$A$2:$A$1500,$C$3,Data!$B$2:$B$1500,$A28))</f>
        <v>2.807</v>
      </c>
      <c r="D28" s="8" t="n">
        <f aca="false">IF(C28="","",COUNTIF($C$7:$C$29,"&gt;"&amp;C28)+1)</f>
        <v>22</v>
      </c>
      <c r="E28" s="8" t="n">
        <f aca="false">IF(COUNTIFS(Data!$A$2:$A$1500,$C$3,Data!$B$2:$B$1500,$A28,Data!$C$2:$C$1500,"&lt;&gt;")=0,"",SUMIFS(Data!$C$2:$C$1500,Data!$A$2:$A$1500,$C$3,Data!$B$2:$B$1500,$A28))</f>
        <v>32</v>
      </c>
      <c r="F28" s="8" t="n">
        <f aca="false">IF(OR(COUNTIFS(Data!$A$2:$A$1500,"Spring "&amp;$C$4,Data!$B$2:$B$1500,$A28,Data!$D$2:$D$1500,"&lt;&gt;")=0,COUNTIFS(Data!$A$2:$A$1500,"Fall "&amp;$C$4,Data!$B$2:$B$1500,$A28,Data!$D$2:$D$1500,"&lt;&gt;")=0),"",SUMIFS(Data!$D$2:$D$1500,Data!$A$2:$A$1500,"Spring "&amp;$C$4,Data!$B$2:$B$1500,$A28)+SUMIFS(Data!$D$2:$D$1500,Data!$A$2:$A$1500,"Fall "&amp;$C$4,Data!$B$2:$B$1500,$A28))</f>
        <v>20</v>
      </c>
      <c r="G28" s="8" t="n">
        <f aca="false">IF(F28="","",COUNTIF($F$7:$F$29,"&gt;"&amp;F28)+1)</f>
        <v>14</v>
      </c>
    </row>
    <row r="29" customFormat="false" ht="15" hidden="false" customHeight="false" outlineLevel="0" collapsed="false">
      <c r="A29" s="10" t="s">
        <v>92</v>
      </c>
      <c r="B29" s="10"/>
      <c r="C29" s="5" t="n">
        <f aca="false">IF(COUNTIFS(Data!$A$2:$A$1500,$C$3,Data!$B$2:$B$1500,$A29,Data!$E$2:$E$1500,"&lt;&gt;")=0,"",SUMIFS(Data!$E$2:$E$1500,Data!$A$2:$A$1500,$C$3,Data!$B$2:$B$1500,$A29))</f>
        <v>2.687</v>
      </c>
      <c r="D29" s="8" t="n">
        <f aca="false">IF(C29="","",COUNTIF($C$7:$C$29,"&gt;"&amp;C29)+1)</f>
        <v>23</v>
      </c>
      <c r="E29" s="8" t="n">
        <f aca="false">IF(COUNTIFS(Data!$A$2:$A$1500,$C$3,Data!$B$2:$B$1500,$A29,Data!$C$2:$C$1500,"&lt;&gt;")=0,"",SUMIFS(Data!$C$2:$C$1500,Data!$A$2:$A$1500,$C$3,Data!$B$2:$B$1500,$A29))</f>
        <v>15</v>
      </c>
      <c r="F29" s="8" t="n">
        <f aca="false">IF(OR(COUNTIFS(Data!$A$2:$A$1500,"Spring "&amp;$C$4,Data!$B$2:$B$1500,$A29,Data!$D$2:$D$1500,"&lt;&gt;")=0,COUNTIFS(Data!$A$2:$A$1500,"Fall "&amp;$C$4,Data!$B$2:$B$1500,$A29,Data!$D$2:$D$1500,"&lt;&gt;")=0),"",SUMIFS(Data!$D$2:$D$1500,Data!$A$2:$A$1500,"Spring "&amp;$C$4,Data!$B$2:$B$1500,$A29)+SUMIFS(Data!$D$2:$D$1500,Data!$A$2:$A$1500,"Fall "&amp;$C$4,Data!$B$2:$B$1500,$A29))</f>
        <v>5</v>
      </c>
      <c r="G29" s="8" t="n">
        <f aca="false">IF(F29="","",COUNTIF($F$7:$F$29,"&gt;"&amp;F29)+1)</f>
        <v>20</v>
      </c>
    </row>
    <row r="31" customFormat="false" ht="15" hidden="false" customHeight="false" outlineLevel="0" collapsed="false">
      <c r="A31" s="2" t="s">
        <v>93</v>
      </c>
    </row>
  </sheetData>
  <mergeCells count="24"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9C8D3"/>
    <pageSetUpPr fitToPage="true"/>
  </sheetPr>
  <dimension ref="A1:H4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7"/>
  </cols>
  <sheetData>
    <row r="1" customFormat="false" ht="19.5" hidden="false" customHeight="true" outlineLevel="0" collapsed="false">
      <c r="A1" s="3" t="s">
        <v>2</v>
      </c>
      <c r="B1" s="3" t="s">
        <v>64</v>
      </c>
      <c r="C1" s="3" t="s">
        <v>67</v>
      </c>
      <c r="D1" s="3" t="s">
        <v>33</v>
      </c>
      <c r="E1" s="3" t="s">
        <v>65</v>
      </c>
      <c r="F1" s="3" t="s">
        <v>94</v>
      </c>
      <c r="H1" s="2" t="s">
        <v>95</v>
      </c>
    </row>
    <row r="2" customFormat="false" ht="15" hidden="false" customHeight="false" outlineLevel="0" collapsed="false">
      <c r="A2" s="18" t="s">
        <v>96</v>
      </c>
      <c r="B2" s="18" t="s">
        <v>86</v>
      </c>
      <c r="C2" s="19" t="n">
        <v>40</v>
      </c>
      <c r="D2" s="19" t="n">
        <v>18</v>
      </c>
      <c r="E2" s="20" t="n">
        <v>2.89</v>
      </c>
      <c r="F2" s="18" t="s">
        <v>97</v>
      </c>
      <c r="H2" s="2" t="s">
        <v>98</v>
      </c>
    </row>
    <row r="3" customFormat="false" ht="15" hidden="false" customHeight="false" outlineLevel="0" collapsed="false">
      <c r="A3" s="18" t="s">
        <v>99</v>
      </c>
      <c r="B3" s="18" t="s">
        <v>86</v>
      </c>
      <c r="C3" s="19" t="n">
        <v>32</v>
      </c>
      <c r="D3" s="19" t="n">
        <v>1</v>
      </c>
      <c r="E3" s="20" t="n">
        <v>2.803</v>
      </c>
      <c r="F3" s="18" t="s">
        <v>97</v>
      </c>
      <c r="H3" s="2" t="s">
        <v>100</v>
      </c>
    </row>
    <row r="4" customFormat="false" ht="15" hidden="false" customHeight="false" outlineLevel="0" collapsed="false">
      <c r="A4" s="18" t="s">
        <v>101</v>
      </c>
      <c r="B4" s="18" t="s">
        <v>86</v>
      </c>
      <c r="C4" s="19" t="n">
        <v>37</v>
      </c>
      <c r="D4" s="19" t="n">
        <v>14</v>
      </c>
      <c r="E4" s="20" t="n">
        <v>2.66</v>
      </c>
      <c r="F4" s="18" t="s">
        <v>97</v>
      </c>
      <c r="H4" s="2" t="s">
        <v>102</v>
      </c>
    </row>
    <row r="5" customFormat="false" ht="15" hidden="false" customHeight="false" outlineLevel="0" collapsed="false">
      <c r="A5" s="18" t="s">
        <v>103</v>
      </c>
      <c r="B5" s="18" t="s">
        <v>86</v>
      </c>
      <c r="C5" s="19" t="n">
        <v>32</v>
      </c>
      <c r="D5" s="19" t="n">
        <v>0</v>
      </c>
      <c r="E5" s="20" t="n">
        <v>2.942</v>
      </c>
      <c r="F5" s="18" t="s">
        <v>97</v>
      </c>
      <c r="H5" s="2" t="s">
        <v>104</v>
      </c>
    </row>
    <row r="6" customFormat="false" ht="15" hidden="false" customHeight="false" outlineLevel="0" collapsed="false">
      <c r="A6" s="18" t="s">
        <v>105</v>
      </c>
      <c r="B6" s="18" t="s">
        <v>86</v>
      </c>
      <c r="C6" s="19" t="n">
        <v>36</v>
      </c>
      <c r="D6" s="19" t="n">
        <v>7</v>
      </c>
      <c r="E6" s="20" t="n">
        <v>2.777</v>
      </c>
      <c r="F6" s="18" t="s">
        <v>97</v>
      </c>
    </row>
    <row r="7" customFormat="false" ht="15" hidden="false" customHeight="false" outlineLevel="0" collapsed="false">
      <c r="A7" s="18" t="s">
        <v>106</v>
      </c>
      <c r="B7" s="18" t="s">
        <v>86</v>
      </c>
      <c r="C7" s="19" t="n">
        <v>27</v>
      </c>
      <c r="D7" s="19" t="n">
        <v>2</v>
      </c>
      <c r="E7" s="20" t="n">
        <v>2.775</v>
      </c>
      <c r="F7" s="18" t="s">
        <v>97</v>
      </c>
    </row>
    <row r="8" customFormat="false" ht="15" hidden="false" customHeight="false" outlineLevel="0" collapsed="false">
      <c r="A8" s="18" t="s">
        <v>107</v>
      </c>
      <c r="B8" s="18" t="s">
        <v>86</v>
      </c>
      <c r="C8" s="19" t="n">
        <v>29</v>
      </c>
      <c r="D8" s="19" t="n">
        <v>10</v>
      </c>
      <c r="E8" s="20" t="n">
        <v>2.741</v>
      </c>
      <c r="F8" s="18" t="s">
        <v>97</v>
      </c>
    </row>
    <row r="9" customFormat="false" ht="15" hidden="false" customHeight="false" outlineLevel="0" collapsed="false">
      <c r="A9" s="18" t="s">
        <v>108</v>
      </c>
      <c r="B9" s="18" t="s">
        <v>86</v>
      </c>
      <c r="C9" s="19" t="n">
        <v>23</v>
      </c>
      <c r="D9" s="19" t="n">
        <v>0</v>
      </c>
      <c r="E9" s="20" t="n">
        <v>3.142</v>
      </c>
      <c r="F9" s="18" t="s">
        <v>97</v>
      </c>
    </row>
    <row r="10" customFormat="false" ht="15" hidden="false" customHeight="false" outlineLevel="0" collapsed="false">
      <c r="A10" s="18" t="s">
        <v>109</v>
      </c>
      <c r="B10" s="18" t="s">
        <v>86</v>
      </c>
      <c r="C10" s="19" t="n">
        <v>24</v>
      </c>
      <c r="D10" s="19" t="n">
        <v>6</v>
      </c>
      <c r="E10" s="20" t="n">
        <v>2.85</v>
      </c>
      <c r="F10" s="18" t="s">
        <v>97</v>
      </c>
    </row>
    <row r="11" customFormat="false" ht="15" hidden="false" customHeight="false" outlineLevel="0" collapsed="false">
      <c r="A11" s="18" t="s">
        <v>110</v>
      </c>
      <c r="B11" s="18" t="s">
        <v>86</v>
      </c>
      <c r="C11" s="19" t="n">
        <v>23</v>
      </c>
      <c r="D11" s="19" t="n">
        <v>4</v>
      </c>
      <c r="E11" s="20" t="n">
        <v>3.006</v>
      </c>
      <c r="F11" s="18" t="s">
        <v>97</v>
      </c>
    </row>
    <row r="12" customFormat="false" ht="15" hidden="false" customHeight="false" outlineLevel="0" collapsed="false">
      <c r="A12" s="18" t="s">
        <v>111</v>
      </c>
      <c r="B12" s="18" t="s">
        <v>86</v>
      </c>
      <c r="C12" s="19" t="n">
        <v>34</v>
      </c>
      <c r="D12" s="19" t="n">
        <v>14</v>
      </c>
      <c r="E12" s="20" t="n">
        <v>2.506</v>
      </c>
      <c r="F12" s="18" t="s">
        <v>97</v>
      </c>
    </row>
    <row r="13" customFormat="false" ht="15" hidden="false" customHeight="false" outlineLevel="0" collapsed="false">
      <c r="A13" s="18" t="s">
        <v>112</v>
      </c>
      <c r="B13" s="18" t="s">
        <v>86</v>
      </c>
      <c r="C13" s="19" t="n">
        <v>33</v>
      </c>
      <c r="D13" s="19" t="n">
        <v>2</v>
      </c>
      <c r="E13" s="20" t="n">
        <v>2.874</v>
      </c>
      <c r="F13" s="18" t="s">
        <v>97</v>
      </c>
    </row>
    <row r="14" customFormat="false" ht="15" hidden="false" customHeight="false" outlineLevel="0" collapsed="false">
      <c r="A14" s="18" t="s">
        <v>113</v>
      </c>
      <c r="B14" s="18" t="s">
        <v>86</v>
      </c>
      <c r="C14" s="19" t="n">
        <v>38</v>
      </c>
      <c r="D14" s="19" t="n">
        <v>12</v>
      </c>
      <c r="E14" s="20" t="n">
        <v>2.668</v>
      </c>
      <c r="F14" s="18" t="s">
        <v>97</v>
      </c>
    </row>
    <row r="15" customFormat="false" ht="15" hidden="false" customHeight="false" outlineLevel="0" collapsed="false">
      <c r="A15" s="18" t="s">
        <v>114</v>
      </c>
      <c r="B15" s="18" t="s">
        <v>86</v>
      </c>
      <c r="C15" s="19" t="n">
        <v>42</v>
      </c>
      <c r="D15" s="19" t="n">
        <v>5</v>
      </c>
      <c r="E15" s="20" t="n">
        <v>2.977</v>
      </c>
      <c r="F15" s="18" t="s">
        <v>97</v>
      </c>
    </row>
    <row r="16" customFormat="false" ht="15" hidden="false" customHeight="false" outlineLevel="0" collapsed="false">
      <c r="A16" s="18" t="s">
        <v>115</v>
      </c>
      <c r="B16" s="18" t="s">
        <v>86</v>
      </c>
      <c r="C16" s="19" t="n">
        <v>43</v>
      </c>
      <c r="D16" s="19" t="n">
        <v>10</v>
      </c>
      <c r="E16" s="20" t="n">
        <v>3.081</v>
      </c>
      <c r="F16" s="18" t="s">
        <v>97</v>
      </c>
    </row>
    <row r="17" customFormat="false" ht="15" hidden="false" customHeight="false" outlineLevel="0" collapsed="false">
      <c r="A17" s="18" t="s">
        <v>116</v>
      </c>
      <c r="B17" s="18" t="s">
        <v>86</v>
      </c>
      <c r="C17" s="19" t="n">
        <v>48</v>
      </c>
      <c r="D17" s="19" t="n">
        <v>1</v>
      </c>
      <c r="E17" s="20" t="n">
        <v>2.937</v>
      </c>
      <c r="F17" s="18" t="s">
        <v>97</v>
      </c>
    </row>
    <row r="18" customFormat="false" ht="15" hidden="false" customHeight="false" outlineLevel="0" collapsed="false">
      <c r="A18" s="10" t="s">
        <v>12</v>
      </c>
      <c r="B18" s="10" t="s">
        <v>87</v>
      </c>
      <c r="C18" s="8" t="n">
        <v>28</v>
      </c>
      <c r="D18" s="8" t="n">
        <v>12</v>
      </c>
      <c r="E18" s="5" t="n">
        <v>2.946</v>
      </c>
      <c r="F18" s="10" t="s">
        <v>117</v>
      </c>
    </row>
    <row r="19" customFormat="false" ht="15" hidden="false" customHeight="false" outlineLevel="0" collapsed="false">
      <c r="A19" s="10" t="s">
        <v>12</v>
      </c>
      <c r="B19" s="10" t="s">
        <v>118</v>
      </c>
      <c r="C19" s="8" t="n">
        <v>47</v>
      </c>
      <c r="D19" s="8" t="n">
        <v>12</v>
      </c>
      <c r="E19" s="5" t="n">
        <v>2.964</v>
      </c>
      <c r="F19" s="10" t="s">
        <v>117</v>
      </c>
    </row>
    <row r="20" customFormat="false" ht="15" hidden="false" customHeight="false" outlineLevel="0" collapsed="false">
      <c r="A20" s="10" t="s">
        <v>12</v>
      </c>
      <c r="B20" s="10" t="s">
        <v>79</v>
      </c>
      <c r="C20" s="8" t="n">
        <v>96</v>
      </c>
      <c r="D20" s="8" t="n">
        <v>31</v>
      </c>
      <c r="E20" s="5" t="n">
        <v>3.121</v>
      </c>
      <c r="F20" s="10" t="s">
        <v>117</v>
      </c>
    </row>
    <row r="21" customFormat="false" ht="15" hidden="false" customHeight="false" outlineLevel="0" collapsed="false">
      <c r="A21" s="10" t="s">
        <v>12</v>
      </c>
      <c r="B21" s="10" t="s">
        <v>77</v>
      </c>
      <c r="C21" s="8" t="n">
        <v>83</v>
      </c>
      <c r="D21" s="8" t="n">
        <v>23</v>
      </c>
      <c r="E21" s="5" t="n">
        <v>3.057</v>
      </c>
      <c r="F21" s="10" t="s">
        <v>117</v>
      </c>
    </row>
    <row r="22" customFormat="false" ht="15" hidden="false" customHeight="false" outlineLevel="0" collapsed="false">
      <c r="A22" s="10" t="s">
        <v>12</v>
      </c>
      <c r="B22" s="10" t="s">
        <v>83</v>
      </c>
      <c r="C22" s="8" t="n">
        <v>71</v>
      </c>
      <c r="D22" s="8" t="n">
        <v>32</v>
      </c>
      <c r="E22" s="5" t="n">
        <v>3.074</v>
      </c>
      <c r="F22" s="10" t="s">
        <v>117</v>
      </c>
    </row>
    <row r="23" customFormat="false" ht="15" hidden="false" customHeight="false" outlineLevel="0" collapsed="false">
      <c r="A23" s="10" t="s">
        <v>12</v>
      </c>
      <c r="B23" s="10" t="s">
        <v>75</v>
      </c>
      <c r="C23" s="8" t="n">
        <v>23</v>
      </c>
      <c r="D23" s="8" t="n">
        <v>6</v>
      </c>
      <c r="E23" s="5" t="n">
        <v>3.327</v>
      </c>
      <c r="F23" s="10" t="s">
        <v>117</v>
      </c>
    </row>
    <row r="24" customFormat="false" ht="15" hidden="false" customHeight="false" outlineLevel="0" collapsed="false">
      <c r="A24" s="10" t="s">
        <v>12</v>
      </c>
      <c r="B24" s="10" t="s">
        <v>72</v>
      </c>
      <c r="C24" s="8" t="n">
        <v>112</v>
      </c>
      <c r="D24" s="8" t="n">
        <v>32</v>
      </c>
      <c r="E24" s="5" t="n">
        <v>3.426</v>
      </c>
      <c r="F24" s="10" t="s">
        <v>117</v>
      </c>
    </row>
    <row r="25" customFormat="false" ht="15" hidden="false" customHeight="false" outlineLevel="0" collapsed="false">
      <c r="A25" s="10" t="s">
        <v>12</v>
      </c>
      <c r="B25" s="10" t="s">
        <v>92</v>
      </c>
      <c r="C25" s="8" t="n">
        <v>15</v>
      </c>
      <c r="D25" s="8" t="n">
        <v>3</v>
      </c>
      <c r="E25" s="5" t="n">
        <v>2.742</v>
      </c>
      <c r="F25" s="10" t="s">
        <v>117</v>
      </c>
    </row>
    <row r="26" customFormat="false" ht="15" hidden="false" customHeight="false" outlineLevel="0" collapsed="false">
      <c r="A26" s="10" t="s">
        <v>12</v>
      </c>
      <c r="B26" s="10" t="s">
        <v>119</v>
      </c>
      <c r="C26" s="8"/>
      <c r="D26" s="8"/>
      <c r="E26" s="5"/>
      <c r="F26" s="10" t="s">
        <v>117</v>
      </c>
    </row>
    <row r="27" customFormat="false" ht="15" hidden="false" customHeight="false" outlineLevel="0" collapsed="false">
      <c r="A27" s="10" t="s">
        <v>12</v>
      </c>
      <c r="B27" s="10" t="s">
        <v>85</v>
      </c>
      <c r="C27" s="8" t="n">
        <v>113</v>
      </c>
      <c r="D27" s="8" t="n">
        <v>41</v>
      </c>
      <c r="E27" s="5" t="n">
        <v>3.153</v>
      </c>
      <c r="F27" s="10" t="s">
        <v>117</v>
      </c>
    </row>
    <row r="28" customFormat="false" ht="15" hidden="false" customHeight="false" outlineLevel="0" collapsed="false">
      <c r="A28" s="10" t="s">
        <v>12</v>
      </c>
      <c r="B28" s="10" t="s">
        <v>70</v>
      </c>
      <c r="C28" s="8" t="n">
        <v>95</v>
      </c>
      <c r="D28" s="8" t="n">
        <v>28</v>
      </c>
      <c r="E28" s="5" t="n">
        <v>3.508</v>
      </c>
      <c r="F28" s="10" t="s">
        <v>117</v>
      </c>
    </row>
    <row r="29" customFormat="false" ht="15" hidden="false" customHeight="false" outlineLevel="0" collapsed="false">
      <c r="A29" s="10" t="s">
        <v>12</v>
      </c>
      <c r="B29" s="10" t="s">
        <v>89</v>
      </c>
      <c r="C29" s="8" t="n">
        <v>61</v>
      </c>
      <c r="D29" s="8" t="n">
        <v>9</v>
      </c>
      <c r="E29" s="5" t="n">
        <v>2.677</v>
      </c>
      <c r="F29" s="10" t="s">
        <v>117</v>
      </c>
    </row>
    <row r="30" customFormat="false" ht="15" hidden="false" customHeight="false" outlineLevel="0" collapsed="false">
      <c r="A30" s="10" t="s">
        <v>12</v>
      </c>
      <c r="B30" s="10" t="s">
        <v>78</v>
      </c>
      <c r="C30" s="8" t="n">
        <v>114</v>
      </c>
      <c r="D30" s="8" t="n">
        <v>33</v>
      </c>
      <c r="E30" s="5" t="n">
        <v>3.292</v>
      </c>
      <c r="F30" s="10" t="s">
        <v>117</v>
      </c>
    </row>
    <row r="31" customFormat="false" ht="15" hidden="false" customHeight="false" outlineLevel="0" collapsed="false">
      <c r="A31" s="10" t="s">
        <v>12</v>
      </c>
      <c r="B31" s="10" t="s">
        <v>74</v>
      </c>
      <c r="C31" s="8"/>
      <c r="D31" s="8"/>
      <c r="E31" s="5"/>
      <c r="F31" s="10" t="s">
        <v>117</v>
      </c>
    </row>
    <row r="32" customFormat="false" ht="15" hidden="false" customHeight="false" outlineLevel="0" collapsed="false">
      <c r="A32" s="10" t="s">
        <v>12</v>
      </c>
      <c r="B32" s="10" t="s">
        <v>90</v>
      </c>
      <c r="C32" s="8" t="n">
        <v>31</v>
      </c>
      <c r="D32" s="8" t="n">
        <v>15</v>
      </c>
      <c r="E32" s="5" t="n">
        <v>3.043</v>
      </c>
      <c r="F32" s="10" t="s">
        <v>117</v>
      </c>
    </row>
    <row r="33" customFormat="false" ht="15" hidden="false" customHeight="false" outlineLevel="0" collapsed="false">
      <c r="A33" s="10" t="s">
        <v>12</v>
      </c>
      <c r="B33" s="10" t="s">
        <v>81</v>
      </c>
      <c r="C33" s="8" t="n">
        <v>77</v>
      </c>
      <c r="D33" s="8" t="n">
        <v>27</v>
      </c>
      <c r="E33" s="5" t="n">
        <v>3.255</v>
      </c>
      <c r="F33" s="10" t="s">
        <v>117</v>
      </c>
    </row>
    <row r="34" customFormat="false" ht="15" hidden="false" customHeight="false" outlineLevel="0" collapsed="false">
      <c r="A34" s="10" t="s">
        <v>12</v>
      </c>
      <c r="B34" s="10" t="s">
        <v>73</v>
      </c>
      <c r="C34" s="8" t="n">
        <v>111</v>
      </c>
      <c r="D34" s="8" t="n">
        <v>24</v>
      </c>
      <c r="E34" s="5" t="n">
        <v>3.387</v>
      </c>
      <c r="F34" s="10" t="s">
        <v>117</v>
      </c>
    </row>
    <row r="35" customFormat="false" ht="15" hidden="false" customHeight="false" outlineLevel="0" collapsed="false">
      <c r="A35" s="10" t="s">
        <v>12</v>
      </c>
      <c r="B35" s="10" t="s">
        <v>120</v>
      </c>
      <c r="C35" s="8" t="n">
        <v>56</v>
      </c>
      <c r="D35" s="8" t="n">
        <v>11</v>
      </c>
      <c r="E35" s="5" t="n">
        <v>3.149</v>
      </c>
      <c r="F35" s="10" t="s">
        <v>117</v>
      </c>
    </row>
    <row r="36" customFormat="false" ht="15" hidden="false" customHeight="false" outlineLevel="0" collapsed="false">
      <c r="A36" s="10" t="s">
        <v>12</v>
      </c>
      <c r="B36" s="10" t="s">
        <v>82</v>
      </c>
      <c r="C36" s="8" t="n">
        <v>128</v>
      </c>
      <c r="D36" s="8" t="n">
        <v>33</v>
      </c>
      <c r="E36" s="5" t="n">
        <v>2.983</v>
      </c>
      <c r="F36" s="10" t="s">
        <v>117</v>
      </c>
    </row>
    <row r="37" customFormat="false" ht="15" hidden="false" customHeight="false" outlineLevel="0" collapsed="false">
      <c r="A37" s="10" t="s">
        <v>12</v>
      </c>
      <c r="B37" s="10" t="s">
        <v>80</v>
      </c>
      <c r="C37" s="8" t="n">
        <v>12</v>
      </c>
      <c r="D37" s="8" t="n">
        <v>4</v>
      </c>
      <c r="E37" s="5" t="n">
        <v>3.162</v>
      </c>
      <c r="F37" s="10" t="s">
        <v>117</v>
      </c>
    </row>
    <row r="38" customFormat="false" ht="15" hidden="false" customHeight="false" outlineLevel="0" collapsed="false">
      <c r="A38" s="10" t="s">
        <v>12</v>
      </c>
      <c r="B38" s="10" t="s">
        <v>76</v>
      </c>
      <c r="C38" s="8" t="n">
        <v>76</v>
      </c>
      <c r="D38" s="8" t="n">
        <v>23</v>
      </c>
      <c r="E38" s="5" t="n">
        <v>3.15</v>
      </c>
      <c r="F38" s="10" t="s">
        <v>117</v>
      </c>
    </row>
    <row r="39" customFormat="false" ht="15" hidden="false" customHeight="false" outlineLevel="0" collapsed="false">
      <c r="A39" s="10" t="s">
        <v>12</v>
      </c>
      <c r="B39" s="10" t="s">
        <v>121</v>
      </c>
      <c r="C39" s="8" t="n">
        <v>36</v>
      </c>
      <c r="D39" s="8" t="n">
        <v>10</v>
      </c>
      <c r="E39" s="5" t="n">
        <v>2.927</v>
      </c>
      <c r="F39" s="10" t="s">
        <v>117</v>
      </c>
    </row>
    <row r="40" customFormat="false" ht="15" hidden="false" customHeight="false" outlineLevel="0" collapsed="false">
      <c r="A40" s="10" t="s">
        <v>12</v>
      </c>
      <c r="B40" s="10" t="s">
        <v>71</v>
      </c>
      <c r="C40" s="8" t="n">
        <v>130</v>
      </c>
      <c r="D40" s="8" t="n">
        <v>43</v>
      </c>
      <c r="E40" s="5" t="n">
        <v>3.437</v>
      </c>
      <c r="F40" s="10" t="s">
        <v>117</v>
      </c>
    </row>
    <row r="41" customFormat="false" ht="15" hidden="false" customHeight="false" outlineLevel="0" collapsed="false">
      <c r="A41" s="10" t="s">
        <v>12</v>
      </c>
      <c r="B41" s="10" t="s">
        <v>122</v>
      </c>
      <c r="C41" s="8" t="n">
        <v>28</v>
      </c>
      <c r="D41" s="8" t="n">
        <v>1</v>
      </c>
      <c r="E41" s="5" t="n">
        <v>2.941</v>
      </c>
      <c r="F41" s="10" t="s">
        <v>117</v>
      </c>
    </row>
    <row r="42" customFormat="false" ht="15" hidden="false" customHeight="false" outlineLevel="0" collapsed="false">
      <c r="A42" s="10" t="s">
        <v>12</v>
      </c>
      <c r="B42" s="10" t="s">
        <v>91</v>
      </c>
      <c r="C42" s="8" t="n">
        <v>18</v>
      </c>
      <c r="D42" s="8" t="n">
        <v>0</v>
      </c>
      <c r="E42" s="5" t="n">
        <v>2.489</v>
      </c>
      <c r="F42" s="10" t="s">
        <v>117</v>
      </c>
    </row>
    <row r="43" customFormat="false" ht="15" hidden="false" customHeight="false" outlineLevel="0" collapsed="false">
      <c r="A43" s="10" t="s">
        <v>12</v>
      </c>
      <c r="B43" s="10" t="s">
        <v>86</v>
      </c>
      <c r="C43" s="8" t="n">
        <v>62</v>
      </c>
      <c r="D43" s="8" t="n">
        <v>22</v>
      </c>
      <c r="E43" s="5" t="n">
        <v>2.733</v>
      </c>
      <c r="F43" s="10" t="s">
        <v>117</v>
      </c>
    </row>
    <row r="44" customFormat="false" ht="15" hidden="false" customHeight="false" outlineLevel="0" collapsed="false">
      <c r="A44" s="10" t="s">
        <v>12</v>
      </c>
      <c r="B44" s="10" t="s">
        <v>88</v>
      </c>
      <c r="C44" s="8" t="n">
        <v>18</v>
      </c>
      <c r="D44" s="8" t="n">
        <v>11</v>
      </c>
      <c r="E44" s="5" t="n">
        <v>2.898</v>
      </c>
      <c r="F44" s="10" t="s">
        <v>117</v>
      </c>
    </row>
    <row r="45" customFormat="false" ht="15" hidden="false" customHeight="false" outlineLevel="0" collapsed="false">
      <c r="A45" s="10" t="s">
        <v>13</v>
      </c>
      <c r="B45" s="10" t="s">
        <v>87</v>
      </c>
      <c r="C45" s="8" t="n">
        <v>23</v>
      </c>
      <c r="D45" s="8" t="n">
        <v>3</v>
      </c>
      <c r="E45" s="5" t="n">
        <v>3.041</v>
      </c>
      <c r="F45" s="10" t="s">
        <v>117</v>
      </c>
    </row>
    <row r="46" customFormat="false" ht="15" hidden="false" customHeight="false" outlineLevel="0" collapsed="false">
      <c r="A46" s="10" t="s">
        <v>13</v>
      </c>
      <c r="B46" s="10" t="s">
        <v>118</v>
      </c>
      <c r="C46" s="8" t="n">
        <v>37</v>
      </c>
      <c r="D46" s="8" t="n">
        <v>3</v>
      </c>
      <c r="E46" s="5" t="n">
        <v>3.013</v>
      </c>
      <c r="F46" s="10" t="s">
        <v>117</v>
      </c>
    </row>
    <row r="47" customFormat="false" ht="15" hidden="false" customHeight="false" outlineLevel="0" collapsed="false">
      <c r="A47" s="10" t="s">
        <v>13</v>
      </c>
      <c r="B47" s="10" t="s">
        <v>79</v>
      </c>
      <c r="C47" s="8" t="n">
        <v>90</v>
      </c>
      <c r="D47" s="8" t="n">
        <v>0</v>
      </c>
      <c r="E47" s="5" t="n">
        <v>3.07</v>
      </c>
      <c r="F47" s="10" t="s">
        <v>117</v>
      </c>
    </row>
    <row r="48" customFormat="false" ht="15" hidden="false" customHeight="false" outlineLevel="0" collapsed="false">
      <c r="A48" s="10" t="s">
        <v>13</v>
      </c>
      <c r="B48" s="10" t="s">
        <v>77</v>
      </c>
      <c r="C48" s="8" t="n">
        <v>76</v>
      </c>
      <c r="D48" s="8" t="n">
        <v>0</v>
      </c>
      <c r="E48" s="5" t="n">
        <v>3.229</v>
      </c>
      <c r="F48" s="10" t="s">
        <v>117</v>
      </c>
    </row>
    <row r="49" customFormat="false" ht="15" hidden="false" customHeight="false" outlineLevel="0" collapsed="false">
      <c r="A49" s="10" t="s">
        <v>13</v>
      </c>
      <c r="B49" s="10" t="s">
        <v>83</v>
      </c>
      <c r="C49" s="8" t="n">
        <v>77</v>
      </c>
      <c r="D49" s="8" t="n">
        <v>10</v>
      </c>
      <c r="E49" s="5" t="n">
        <v>3.108</v>
      </c>
      <c r="F49" s="10" t="s">
        <v>117</v>
      </c>
    </row>
    <row r="50" customFormat="false" ht="15" hidden="false" customHeight="false" outlineLevel="0" collapsed="false">
      <c r="A50" s="10" t="s">
        <v>13</v>
      </c>
      <c r="B50" s="10" t="s">
        <v>75</v>
      </c>
      <c r="C50" s="8" t="n">
        <v>18</v>
      </c>
      <c r="D50" s="8" t="n">
        <v>0</v>
      </c>
      <c r="E50" s="5" t="n">
        <v>3.291</v>
      </c>
      <c r="F50" s="10" t="s">
        <v>117</v>
      </c>
    </row>
    <row r="51" customFormat="false" ht="15" hidden="false" customHeight="false" outlineLevel="0" collapsed="false">
      <c r="A51" s="10" t="s">
        <v>13</v>
      </c>
      <c r="B51" s="10" t="s">
        <v>72</v>
      </c>
      <c r="C51" s="8" t="n">
        <v>106</v>
      </c>
      <c r="D51" s="8" t="n">
        <v>0</v>
      </c>
      <c r="E51" s="5" t="n">
        <v>3.463</v>
      </c>
      <c r="F51" s="10" t="s">
        <v>117</v>
      </c>
    </row>
    <row r="52" customFormat="false" ht="15" hidden="false" customHeight="false" outlineLevel="0" collapsed="false">
      <c r="A52" s="10" t="s">
        <v>13</v>
      </c>
      <c r="B52" s="10" t="s">
        <v>92</v>
      </c>
      <c r="C52" s="8" t="n">
        <v>15</v>
      </c>
      <c r="D52" s="8" t="n">
        <v>0</v>
      </c>
      <c r="E52" s="5" t="n">
        <v>2.772</v>
      </c>
      <c r="F52" s="10" t="s">
        <v>117</v>
      </c>
    </row>
    <row r="53" customFormat="false" ht="15" hidden="false" customHeight="false" outlineLevel="0" collapsed="false">
      <c r="A53" s="10" t="s">
        <v>13</v>
      </c>
      <c r="B53" s="10" t="s">
        <v>119</v>
      </c>
      <c r="C53" s="8"/>
      <c r="D53" s="8"/>
      <c r="E53" s="5"/>
      <c r="F53" s="10" t="s">
        <v>117</v>
      </c>
    </row>
    <row r="54" customFormat="false" ht="15" hidden="false" customHeight="false" outlineLevel="0" collapsed="false">
      <c r="A54" s="10" t="s">
        <v>13</v>
      </c>
      <c r="B54" s="10" t="s">
        <v>85</v>
      </c>
      <c r="C54" s="8" t="n">
        <v>105</v>
      </c>
      <c r="D54" s="8" t="n">
        <v>1</v>
      </c>
      <c r="E54" s="5" t="n">
        <v>3.147</v>
      </c>
      <c r="F54" s="10" t="s">
        <v>117</v>
      </c>
    </row>
    <row r="55" customFormat="false" ht="15" hidden="false" customHeight="false" outlineLevel="0" collapsed="false">
      <c r="A55" s="10" t="s">
        <v>13</v>
      </c>
      <c r="B55" s="10" t="s">
        <v>70</v>
      </c>
      <c r="C55" s="8" t="n">
        <v>90</v>
      </c>
      <c r="D55" s="8" t="n">
        <v>0</v>
      </c>
      <c r="E55" s="5" t="n">
        <v>3.466</v>
      </c>
      <c r="F55" s="10" t="s">
        <v>117</v>
      </c>
    </row>
    <row r="56" customFormat="false" ht="15" hidden="false" customHeight="false" outlineLevel="0" collapsed="false">
      <c r="A56" s="10" t="s">
        <v>13</v>
      </c>
      <c r="B56" s="10" t="s">
        <v>89</v>
      </c>
      <c r="C56" s="8" t="n">
        <v>57</v>
      </c>
      <c r="D56" s="8" t="n">
        <v>7</v>
      </c>
      <c r="E56" s="5" t="n">
        <v>2.806</v>
      </c>
      <c r="F56" s="10" t="s">
        <v>117</v>
      </c>
    </row>
    <row r="57" customFormat="false" ht="15" hidden="false" customHeight="false" outlineLevel="0" collapsed="false">
      <c r="A57" s="10" t="s">
        <v>13</v>
      </c>
      <c r="B57" s="10" t="s">
        <v>78</v>
      </c>
      <c r="C57" s="8" t="n">
        <v>112</v>
      </c>
      <c r="D57" s="8" t="n">
        <v>1</v>
      </c>
      <c r="E57" s="5" t="n">
        <v>3.256</v>
      </c>
      <c r="F57" s="10" t="s">
        <v>117</v>
      </c>
    </row>
    <row r="58" customFormat="false" ht="15" hidden="false" customHeight="false" outlineLevel="0" collapsed="false">
      <c r="A58" s="10" t="s">
        <v>13</v>
      </c>
      <c r="B58" s="10" t="s">
        <v>74</v>
      </c>
      <c r="C58" s="8"/>
      <c r="D58" s="8"/>
      <c r="E58" s="5"/>
      <c r="F58" s="10" t="s">
        <v>117</v>
      </c>
    </row>
    <row r="59" customFormat="false" ht="15" hidden="false" customHeight="false" outlineLevel="0" collapsed="false">
      <c r="A59" s="10" t="s">
        <v>13</v>
      </c>
      <c r="B59" s="10" t="s">
        <v>90</v>
      </c>
      <c r="C59" s="8" t="n">
        <v>34</v>
      </c>
      <c r="D59" s="8" t="n">
        <v>3</v>
      </c>
      <c r="E59" s="5" t="n">
        <v>2.936</v>
      </c>
      <c r="F59" s="10" t="s">
        <v>117</v>
      </c>
    </row>
    <row r="60" customFormat="false" ht="15" hidden="false" customHeight="false" outlineLevel="0" collapsed="false">
      <c r="A60" s="10" t="s">
        <v>13</v>
      </c>
      <c r="B60" s="10" t="s">
        <v>81</v>
      </c>
      <c r="C60" s="8" t="n">
        <v>76</v>
      </c>
      <c r="D60" s="8" t="n">
        <v>0</v>
      </c>
      <c r="E60" s="5" t="n">
        <v>3.42</v>
      </c>
      <c r="F60" s="10" t="s">
        <v>117</v>
      </c>
    </row>
    <row r="61" customFormat="false" ht="15" hidden="false" customHeight="false" outlineLevel="0" collapsed="false">
      <c r="A61" s="10" t="s">
        <v>13</v>
      </c>
      <c r="B61" s="10" t="s">
        <v>73</v>
      </c>
      <c r="C61" s="8" t="n">
        <v>132</v>
      </c>
      <c r="D61" s="8" t="n">
        <v>21</v>
      </c>
      <c r="E61" s="5" t="n">
        <v>3.355</v>
      </c>
      <c r="F61" s="10" t="s">
        <v>117</v>
      </c>
    </row>
    <row r="62" customFormat="false" ht="15" hidden="false" customHeight="false" outlineLevel="0" collapsed="false">
      <c r="A62" s="10" t="s">
        <v>13</v>
      </c>
      <c r="B62" s="10" t="s">
        <v>120</v>
      </c>
      <c r="C62" s="8" t="n">
        <v>55</v>
      </c>
      <c r="D62" s="8" t="n">
        <v>2</v>
      </c>
      <c r="E62" s="5" t="n">
        <v>3.05</v>
      </c>
      <c r="F62" s="10" t="s">
        <v>117</v>
      </c>
    </row>
    <row r="63" customFormat="false" ht="15" hidden="false" customHeight="false" outlineLevel="0" collapsed="false">
      <c r="A63" s="10" t="s">
        <v>13</v>
      </c>
      <c r="B63" s="10" t="s">
        <v>82</v>
      </c>
      <c r="C63" s="8" t="n">
        <v>130</v>
      </c>
      <c r="D63" s="8" t="n">
        <v>0</v>
      </c>
      <c r="E63" s="5" t="n">
        <v>3.007</v>
      </c>
      <c r="F63" s="10" t="s">
        <v>117</v>
      </c>
    </row>
    <row r="64" customFormat="false" ht="15" hidden="false" customHeight="false" outlineLevel="0" collapsed="false">
      <c r="A64" s="10" t="s">
        <v>13</v>
      </c>
      <c r="B64" s="10" t="s">
        <v>80</v>
      </c>
      <c r="C64" s="8" t="n">
        <v>12</v>
      </c>
      <c r="D64" s="8" t="n">
        <v>0</v>
      </c>
      <c r="E64" s="5" t="n">
        <v>3.114</v>
      </c>
      <c r="F64" s="10" t="s">
        <v>117</v>
      </c>
    </row>
    <row r="65" customFormat="false" ht="15" hidden="false" customHeight="false" outlineLevel="0" collapsed="false">
      <c r="A65" s="10" t="s">
        <v>13</v>
      </c>
      <c r="B65" s="10" t="s">
        <v>76</v>
      </c>
      <c r="C65" s="8" t="n">
        <v>82</v>
      </c>
      <c r="D65" s="8" t="n">
        <v>4</v>
      </c>
      <c r="E65" s="5" t="n">
        <v>2.935</v>
      </c>
      <c r="F65" s="10" t="s">
        <v>117</v>
      </c>
    </row>
    <row r="66" customFormat="false" ht="15" hidden="false" customHeight="false" outlineLevel="0" collapsed="false">
      <c r="A66" s="10" t="s">
        <v>13</v>
      </c>
      <c r="B66" s="10" t="s">
        <v>121</v>
      </c>
      <c r="C66" s="8" t="n">
        <v>37</v>
      </c>
      <c r="D66" s="8" t="n">
        <v>2</v>
      </c>
      <c r="E66" s="5" t="n">
        <v>3.012</v>
      </c>
      <c r="F66" s="10" t="s">
        <v>117</v>
      </c>
    </row>
    <row r="67" customFormat="false" ht="15" hidden="false" customHeight="false" outlineLevel="0" collapsed="false">
      <c r="A67" s="10" t="s">
        <v>13</v>
      </c>
      <c r="B67" s="10" t="s">
        <v>71</v>
      </c>
      <c r="C67" s="8" t="n">
        <v>122</v>
      </c>
      <c r="D67" s="8" t="n">
        <v>0</v>
      </c>
      <c r="E67" s="5" t="n">
        <v>3.333</v>
      </c>
      <c r="F67" s="10" t="s">
        <v>117</v>
      </c>
    </row>
    <row r="68" customFormat="false" ht="15" hidden="false" customHeight="false" outlineLevel="0" collapsed="false">
      <c r="A68" s="10" t="s">
        <v>13</v>
      </c>
      <c r="B68" s="10" t="s">
        <v>122</v>
      </c>
      <c r="C68" s="8" t="n">
        <v>27</v>
      </c>
      <c r="D68" s="8" t="n">
        <v>2</v>
      </c>
      <c r="E68" s="5" t="n">
        <v>3.012</v>
      </c>
      <c r="F68" s="10" t="s">
        <v>117</v>
      </c>
    </row>
    <row r="69" customFormat="false" ht="15" hidden="false" customHeight="false" outlineLevel="0" collapsed="false">
      <c r="A69" s="10" t="s">
        <v>13</v>
      </c>
      <c r="B69" s="10" t="s">
        <v>91</v>
      </c>
      <c r="C69" s="8" t="n">
        <v>6</v>
      </c>
      <c r="D69" s="8" t="n">
        <v>0</v>
      </c>
      <c r="E69" s="5"/>
      <c r="F69" s="10" t="s">
        <v>117</v>
      </c>
    </row>
    <row r="70" customFormat="false" ht="15" hidden="false" customHeight="false" outlineLevel="0" collapsed="false">
      <c r="A70" s="10" t="s">
        <v>13</v>
      </c>
      <c r="B70" s="10" t="s">
        <v>86</v>
      </c>
      <c r="C70" s="8" t="n">
        <v>64</v>
      </c>
      <c r="D70" s="8" t="n">
        <v>9</v>
      </c>
      <c r="E70" s="5" t="n">
        <v>2.919</v>
      </c>
      <c r="F70" s="10" t="s">
        <v>117</v>
      </c>
    </row>
    <row r="71" customFormat="false" ht="15" hidden="false" customHeight="false" outlineLevel="0" collapsed="false">
      <c r="A71" s="10" t="s">
        <v>13</v>
      </c>
      <c r="B71" s="10" t="s">
        <v>88</v>
      </c>
      <c r="C71" s="8" t="n">
        <v>18</v>
      </c>
      <c r="D71" s="8" t="n">
        <v>0</v>
      </c>
      <c r="E71" s="5" t="n">
        <v>2.695</v>
      </c>
      <c r="F71" s="10" t="s">
        <v>117</v>
      </c>
    </row>
    <row r="72" customFormat="false" ht="15" hidden="false" customHeight="false" outlineLevel="0" collapsed="false">
      <c r="A72" s="10" t="s">
        <v>14</v>
      </c>
      <c r="B72" s="10" t="s">
        <v>87</v>
      </c>
      <c r="C72" s="8" t="n">
        <v>33</v>
      </c>
      <c r="D72" s="8" t="n">
        <v>14</v>
      </c>
      <c r="E72" s="5" t="n">
        <v>2.62</v>
      </c>
      <c r="F72" s="10" t="s">
        <v>117</v>
      </c>
    </row>
    <row r="73" customFormat="false" ht="15" hidden="false" customHeight="false" outlineLevel="0" collapsed="false">
      <c r="A73" s="10" t="s">
        <v>14</v>
      </c>
      <c r="B73" s="10" t="s">
        <v>118</v>
      </c>
      <c r="C73" s="8" t="n">
        <v>29</v>
      </c>
      <c r="D73" s="8" t="n">
        <v>4</v>
      </c>
      <c r="E73" s="5" t="n">
        <v>3.231</v>
      </c>
      <c r="F73" s="10" t="s">
        <v>117</v>
      </c>
    </row>
    <row r="74" customFormat="false" ht="15" hidden="false" customHeight="false" outlineLevel="0" collapsed="false">
      <c r="A74" s="10" t="s">
        <v>14</v>
      </c>
      <c r="B74" s="10" t="s">
        <v>79</v>
      </c>
      <c r="C74" s="8" t="n">
        <v>98</v>
      </c>
      <c r="D74" s="8" t="n">
        <v>27</v>
      </c>
      <c r="E74" s="5" t="n">
        <v>2.922</v>
      </c>
      <c r="F74" s="10" t="s">
        <v>117</v>
      </c>
    </row>
    <row r="75" customFormat="false" ht="15" hidden="false" customHeight="false" outlineLevel="0" collapsed="false">
      <c r="A75" s="10" t="s">
        <v>14</v>
      </c>
      <c r="B75" s="10" t="s">
        <v>77</v>
      </c>
      <c r="C75" s="8" t="n">
        <v>83</v>
      </c>
      <c r="D75" s="8" t="n">
        <v>26</v>
      </c>
      <c r="E75" s="5" t="n">
        <v>3.223</v>
      </c>
      <c r="F75" s="10" t="s">
        <v>117</v>
      </c>
    </row>
    <row r="76" customFormat="false" ht="15" hidden="false" customHeight="false" outlineLevel="0" collapsed="false">
      <c r="A76" s="10" t="s">
        <v>14</v>
      </c>
      <c r="B76" s="10" t="s">
        <v>83</v>
      </c>
      <c r="C76" s="8" t="n">
        <v>108</v>
      </c>
      <c r="D76" s="8" t="n">
        <v>35</v>
      </c>
      <c r="E76" s="5" t="n">
        <v>3.057</v>
      </c>
      <c r="F76" s="10" t="s">
        <v>117</v>
      </c>
    </row>
    <row r="77" customFormat="false" ht="15" hidden="false" customHeight="false" outlineLevel="0" collapsed="false">
      <c r="A77" s="10" t="s">
        <v>14</v>
      </c>
      <c r="B77" s="10" t="s">
        <v>75</v>
      </c>
      <c r="C77" s="8" t="n">
        <v>17</v>
      </c>
      <c r="D77" s="8" t="n">
        <v>5</v>
      </c>
      <c r="E77" s="5" t="n">
        <v>3.285</v>
      </c>
      <c r="F77" s="10" t="s">
        <v>117</v>
      </c>
    </row>
    <row r="78" customFormat="false" ht="15" hidden="false" customHeight="false" outlineLevel="0" collapsed="false">
      <c r="A78" s="10" t="s">
        <v>14</v>
      </c>
      <c r="B78" s="10" t="s">
        <v>72</v>
      </c>
      <c r="C78" s="8" t="n">
        <v>108</v>
      </c>
      <c r="D78" s="8" t="n">
        <v>30</v>
      </c>
      <c r="E78" s="5" t="n">
        <v>3.442</v>
      </c>
      <c r="F78" s="10" t="s">
        <v>117</v>
      </c>
    </row>
    <row r="79" customFormat="false" ht="15" hidden="false" customHeight="false" outlineLevel="0" collapsed="false">
      <c r="A79" s="10" t="s">
        <v>14</v>
      </c>
      <c r="B79" s="10" t="s">
        <v>92</v>
      </c>
      <c r="C79" s="8" t="n">
        <v>11</v>
      </c>
      <c r="D79" s="8" t="n">
        <v>0</v>
      </c>
      <c r="E79" s="5" t="n">
        <v>3.336</v>
      </c>
      <c r="F79" s="10" t="s">
        <v>117</v>
      </c>
    </row>
    <row r="80" customFormat="false" ht="15" hidden="false" customHeight="false" outlineLevel="0" collapsed="false">
      <c r="A80" s="10" t="s">
        <v>14</v>
      </c>
      <c r="B80" s="10" t="s">
        <v>119</v>
      </c>
      <c r="C80" s="8" t="n">
        <v>83</v>
      </c>
      <c r="D80" s="8" t="n">
        <v>21</v>
      </c>
      <c r="E80" s="5" t="n">
        <v>3.075</v>
      </c>
      <c r="F80" s="10" t="s">
        <v>117</v>
      </c>
    </row>
    <row r="81" customFormat="false" ht="15" hidden="false" customHeight="false" outlineLevel="0" collapsed="false">
      <c r="A81" s="10" t="s">
        <v>14</v>
      </c>
      <c r="B81" s="10" t="s">
        <v>85</v>
      </c>
      <c r="C81" s="8" t="n">
        <v>101</v>
      </c>
      <c r="D81" s="8" t="n">
        <v>30</v>
      </c>
      <c r="E81" s="5" t="n">
        <v>3.189</v>
      </c>
      <c r="F81" s="10" t="s">
        <v>117</v>
      </c>
    </row>
    <row r="82" customFormat="false" ht="15" hidden="false" customHeight="false" outlineLevel="0" collapsed="false">
      <c r="A82" s="10" t="s">
        <v>14</v>
      </c>
      <c r="B82" s="10" t="s">
        <v>70</v>
      </c>
      <c r="C82" s="8" t="n">
        <v>101</v>
      </c>
      <c r="D82" s="8" t="n">
        <v>29</v>
      </c>
      <c r="E82" s="5" t="n">
        <v>3.546</v>
      </c>
      <c r="F82" s="10" t="s">
        <v>117</v>
      </c>
    </row>
    <row r="83" customFormat="false" ht="15" hidden="false" customHeight="false" outlineLevel="0" collapsed="false">
      <c r="A83" s="10" t="s">
        <v>14</v>
      </c>
      <c r="B83" s="10" t="s">
        <v>89</v>
      </c>
      <c r="C83" s="8" t="n">
        <v>65</v>
      </c>
      <c r="D83" s="8" t="n">
        <v>24</v>
      </c>
      <c r="E83" s="5" t="n">
        <v>2.741</v>
      </c>
      <c r="F83" s="10" t="s">
        <v>117</v>
      </c>
    </row>
    <row r="84" customFormat="false" ht="15" hidden="false" customHeight="false" outlineLevel="0" collapsed="false">
      <c r="A84" s="10" t="s">
        <v>14</v>
      </c>
      <c r="B84" s="10" t="s">
        <v>78</v>
      </c>
      <c r="C84" s="8" t="n">
        <v>125</v>
      </c>
      <c r="D84" s="8" t="n">
        <v>44</v>
      </c>
      <c r="E84" s="5" t="n">
        <v>3.245</v>
      </c>
      <c r="F84" s="10" t="s">
        <v>117</v>
      </c>
    </row>
    <row r="85" customFormat="false" ht="15" hidden="false" customHeight="false" outlineLevel="0" collapsed="false">
      <c r="A85" s="10" t="s">
        <v>14</v>
      </c>
      <c r="B85" s="10" t="s">
        <v>74</v>
      </c>
      <c r="C85" s="8" t="n">
        <v>99</v>
      </c>
      <c r="D85" s="8" t="n">
        <v>33</v>
      </c>
      <c r="E85" s="5" t="n">
        <v>2.832</v>
      </c>
      <c r="F85" s="10" t="s">
        <v>117</v>
      </c>
    </row>
    <row r="86" customFormat="false" ht="15" hidden="false" customHeight="false" outlineLevel="0" collapsed="false">
      <c r="A86" s="10" t="s">
        <v>14</v>
      </c>
      <c r="B86" s="10" t="s">
        <v>90</v>
      </c>
      <c r="C86" s="8" t="n">
        <v>51</v>
      </c>
      <c r="D86" s="8" t="n">
        <v>17</v>
      </c>
      <c r="E86" s="5" t="n">
        <v>2.868</v>
      </c>
      <c r="F86" s="10" t="s">
        <v>117</v>
      </c>
    </row>
    <row r="87" customFormat="false" ht="15" hidden="false" customHeight="false" outlineLevel="0" collapsed="false">
      <c r="A87" s="10" t="s">
        <v>14</v>
      </c>
      <c r="B87" s="10" t="s">
        <v>81</v>
      </c>
      <c r="C87" s="8" t="n">
        <v>84</v>
      </c>
      <c r="D87" s="8" t="n">
        <v>26</v>
      </c>
      <c r="E87" s="5" t="n">
        <v>3.419</v>
      </c>
      <c r="F87" s="10" t="s">
        <v>117</v>
      </c>
    </row>
    <row r="88" customFormat="false" ht="15" hidden="false" customHeight="false" outlineLevel="0" collapsed="false">
      <c r="A88" s="10" t="s">
        <v>14</v>
      </c>
      <c r="B88" s="10" t="s">
        <v>73</v>
      </c>
      <c r="C88" s="8" t="n">
        <v>137</v>
      </c>
      <c r="D88" s="8" t="n">
        <v>35</v>
      </c>
      <c r="E88" s="5" t="n">
        <v>3.457</v>
      </c>
      <c r="F88" s="10" t="s">
        <v>117</v>
      </c>
    </row>
    <row r="89" customFormat="false" ht="15" hidden="false" customHeight="false" outlineLevel="0" collapsed="false">
      <c r="A89" s="10" t="s">
        <v>14</v>
      </c>
      <c r="B89" s="10" t="s">
        <v>120</v>
      </c>
      <c r="C89" s="8" t="n">
        <v>66</v>
      </c>
      <c r="D89" s="8" t="n">
        <v>18</v>
      </c>
      <c r="E89" s="5" t="n">
        <v>3.02</v>
      </c>
      <c r="F89" s="10" t="s">
        <v>117</v>
      </c>
    </row>
    <row r="90" customFormat="false" ht="15" hidden="false" customHeight="false" outlineLevel="0" collapsed="false">
      <c r="A90" s="10" t="s">
        <v>14</v>
      </c>
      <c r="B90" s="10" t="s">
        <v>82</v>
      </c>
      <c r="C90" s="8" t="n">
        <v>129</v>
      </c>
      <c r="D90" s="8" t="n">
        <v>38</v>
      </c>
      <c r="E90" s="5" t="n">
        <v>3.084</v>
      </c>
      <c r="F90" s="10" t="s">
        <v>117</v>
      </c>
    </row>
    <row r="91" customFormat="false" ht="15" hidden="false" customHeight="false" outlineLevel="0" collapsed="false">
      <c r="A91" s="10" t="s">
        <v>14</v>
      </c>
      <c r="B91" s="10" t="s">
        <v>80</v>
      </c>
      <c r="C91" s="8" t="n">
        <v>12</v>
      </c>
      <c r="D91" s="8" t="n">
        <v>3</v>
      </c>
      <c r="E91" s="5" t="n">
        <v>2.941</v>
      </c>
      <c r="F91" s="10" t="s">
        <v>117</v>
      </c>
    </row>
    <row r="92" customFormat="false" ht="15" hidden="false" customHeight="false" outlineLevel="0" collapsed="false">
      <c r="A92" s="10" t="s">
        <v>14</v>
      </c>
      <c r="B92" s="10" t="s">
        <v>76</v>
      </c>
      <c r="C92" s="8" t="n">
        <v>87</v>
      </c>
      <c r="D92" s="8" t="n">
        <v>30</v>
      </c>
      <c r="E92" s="5" t="n">
        <v>3.041</v>
      </c>
      <c r="F92" s="10" t="s">
        <v>117</v>
      </c>
    </row>
    <row r="93" customFormat="false" ht="15" hidden="false" customHeight="false" outlineLevel="0" collapsed="false">
      <c r="A93" s="10" t="s">
        <v>14</v>
      </c>
      <c r="B93" s="10" t="s">
        <v>121</v>
      </c>
      <c r="C93" s="8" t="n">
        <v>45</v>
      </c>
      <c r="D93" s="8" t="n">
        <v>13</v>
      </c>
      <c r="E93" s="5" t="n">
        <v>2.922</v>
      </c>
      <c r="F93" s="10" t="s">
        <v>117</v>
      </c>
    </row>
    <row r="94" customFormat="false" ht="15" hidden="false" customHeight="false" outlineLevel="0" collapsed="false">
      <c r="A94" s="10" t="s">
        <v>14</v>
      </c>
      <c r="B94" s="10" t="s">
        <v>71</v>
      </c>
      <c r="C94" s="8" t="n">
        <v>134</v>
      </c>
      <c r="D94" s="8" t="n">
        <v>39</v>
      </c>
      <c r="E94" s="5" t="n">
        <v>3.345</v>
      </c>
      <c r="F94" s="10" t="s">
        <v>117</v>
      </c>
    </row>
    <row r="95" customFormat="false" ht="15" hidden="false" customHeight="false" outlineLevel="0" collapsed="false">
      <c r="A95" s="10" t="s">
        <v>14</v>
      </c>
      <c r="B95" s="10" t="s">
        <v>122</v>
      </c>
      <c r="C95" s="8" t="n">
        <v>14</v>
      </c>
      <c r="D95" s="8" t="n">
        <v>0</v>
      </c>
      <c r="E95" s="5" t="n">
        <v>3.196</v>
      </c>
      <c r="F95" s="10" t="s">
        <v>117</v>
      </c>
    </row>
    <row r="96" customFormat="false" ht="15" hidden="false" customHeight="false" outlineLevel="0" collapsed="false">
      <c r="A96" s="10" t="s">
        <v>14</v>
      </c>
      <c r="B96" s="10" t="s">
        <v>91</v>
      </c>
      <c r="C96" s="8" t="n">
        <v>10</v>
      </c>
      <c r="D96" s="8" t="n">
        <v>1</v>
      </c>
      <c r="E96" s="5" t="n">
        <v>2.281</v>
      </c>
      <c r="F96" s="10" t="s">
        <v>117</v>
      </c>
    </row>
    <row r="97" customFormat="false" ht="15" hidden="false" customHeight="false" outlineLevel="0" collapsed="false">
      <c r="A97" s="10" t="s">
        <v>14</v>
      </c>
      <c r="B97" s="10" t="s">
        <v>86</v>
      </c>
      <c r="C97" s="8" t="n">
        <v>86</v>
      </c>
      <c r="D97" s="8" t="n">
        <v>25</v>
      </c>
      <c r="E97" s="5" t="n">
        <v>2.819</v>
      </c>
      <c r="F97" s="10" t="s">
        <v>117</v>
      </c>
    </row>
    <row r="98" customFormat="false" ht="15" hidden="false" customHeight="false" outlineLevel="0" collapsed="false">
      <c r="A98" s="10" t="s">
        <v>14</v>
      </c>
      <c r="B98" s="10" t="s">
        <v>88</v>
      </c>
      <c r="C98" s="8" t="n">
        <v>24</v>
      </c>
      <c r="D98" s="8" t="n">
        <v>0</v>
      </c>
      <c r="E98" s="5" t="n">
        <v>3.152</v>
      </c>
      <c r="F98" s="10" t="s">
        <v>117</v>
      </c>
    </row>
    <row r="99" customFormat="false" ht="15" hidden="false" customHeight="false" outlineLevel="0" collapsed="false">
      <c r="A99" s="10" t="s">
        <v>15</v>
      </c>
      <c r="B99" s="10" t="s">
        <v>87</v>
      </c>
      <c r="C99" s="8" t="n">
        <v>31</v>
      </c>
      <c r="D99" s="8"/>
      <c r="E99" s="5"/>
      <c r="F99" s="10" t="s">
        <v>117</v>
      </c>
    </row>
    <row r="100" customFormat="false" ht="15" hidden="false" customHeight="false" outlineLevel="0" collapsed="false">
      <c r="A100" s="10" t="s">
        <v>15</v>
      </c>
      <c r="B100" s="10" t="s">
        <v>118</v>
      </c>
      <c r="C100" s="8" t="n">
        <v>23</v>
      </c>
      <c r="D100" s="8"/>
      <c r="E100" s="5"/>
      <c r="F100" s="10" t="s">
        <v>117</v>
      </c>
    </row>
    <row r="101" customFormat="false" ht="15" hidden="false" customHeight="false" outlineLevel="0" collapsed="false">
      <c r="A101" s="10" t="s">
        <v>15</v>
      </c>
      <c r="B101" s="10" t="s">
        <v>79</v>
      </c>
      <c r="C101" s="8" t="n">
        <v>95</v>
      </c>
      <c r="D101" s="8"/>
      <c r="E101" s="5"/>
      <c r="F101" s="10" t="s">
        <v>117</v>
      </c>
    </row>
    <row r="102" customFormat="false" ht="15" hidden="false" customHeight="false" outlineLevel="0" collapsed="false">
      <c r="A102" s="10" t="s">
        <v>15</v>
      </c>
      <c r="B102" s="10" t="s">
        <v>77</v>
      </c>
      <c r="C102" s="8" t="n">
        <v>80</v>
      </c>
      <c r="D102" s="8"/>
      <c r="E102" s="5"/>
      <c r="F102" s="10" t="s">
        <v>117</v>
      </c>
    </row>
    <row r="103" customFormat="false" ht="15" hidden="false" customHeight="false" outlineLevel="0" collapsed="false">
      <c r="A103" s="10" t="s">
        <v>15</v>
      </c>
      <c r="B103" s="10" t="s">
        <v>83</v>
      </c>
      <c r="C103" s="8" t="n">
        <v>105</v>
      </c>
      <c r="D103" s="8"/>
      <c r="E103" s="5"/>
      <c r="F103" s="10" t="s">
        <v>117</v>
      </c>
    </row>
    <row r="104" customFormat="false" ht="15" hidden="false" customHeight="false" outlineLevel="0" collapsed="false">
      <c r="A104" s="10" t="s">
        <v>15</v>
      </c>
      <c r="B104" s="10" t="s">
        <v>75</v>
      </c>
      <c r="C104" s="8" t="n">
        <v>17</v>
      </c>
      <c r="D104" s="8"/>
      <c r="E104" s="5"/>
      <c r="F104" s="10" t="s">
        <v>117</v>
      </c>
    </row>
    <row r="105" customFormat="false" ht="15" hidden="false" customHeight="false" outlineLevel="0" collapsed="false">
      <c r="A105" s="10" t="s">
        <v>15</v>
      </c>
      <c r="B105" s="10" t="s">
        <v>72</v>
      </c>
      <c r="C105" s="8" t="n">
        <v>109</v>
      </c>
      <c r="D105" s="8"/>
      <c r="E105" s="5"/>
      <c r="F105" s="10" t="s">
        <v>117</v>
      </c>
    </row>
    <row r="106" customFormat="false" ht="15" hidden="false" customHeight="false" outlineLevel="0" collapsed="false">
      <c r="A106" s="10" t="s">
        <v>15</v>
      </c>
      <c r="B106" s="10" t="s">
        <v>92</v>
      </c>
      <c r="C106" s="8" t="n">
        <v>8</v>
      </c>
      <c r="D106" s="8"/>
      <c r="E106" s="5"/>
      <c r="F106" s="10" t="s">
        <v>117</v>
      </c>
    </row>
    <row r="107" customFormat="false" ht="15" hidden="false" customHeight="false" outlineLevel="0" collapsed="false">
      <c r="A107" s="10" t="s">
        <v>15</v>
      </c>
      <c r="B107" s="10" t="s">
        <v>119</v>
      </c>
      <c r="C107" s="8" t="n">
        <v>83</v>
      </c>
      <c r="D107" s="8"/>
      <c r="E107" s="5"/>
      <c r="F107" s="10" t="s">
        <v>117</v>
      </c>
    </row>
    <row r="108" customFormat="false" ht="15" hidden="false" customHeight="false" outlineLevel="0" collapsed="false">
      <c r="A108" s="10" t="s">
        <v>15</v>
      </c>
      <c r="B108" s="10" t="s">
        <v>85</v>
      </c>
      <c r="C108" s="8" t="n">
        <v>100</v>
      </c>
      <c r="D108" s="8"/>
      <c r="E108" s="5"/>
      <c r="F108" s="10" t="s">
        <v>117</v>
      </c>
    </row>
    <row r="109" customFormat="false" ht="15" hidden="false" customHeight="false" outlineLevel="0" collapsed="false">
      <c r="A109" s="10" t="s">
        <v>15</v>
      </c>
      <c r="B109" s="10" t="s">
        <v>70</v>
      </c>
      <c r="C109" s="8" t="n">
        <v>99</v>
      </c>
      <c r="D109" s="8"/>
      <c r="E109" s="5"/>
      <c r="F109" s="10" t="s">
        <v>117</v>
      </c>
    </row>
    <row r="110" customFormat="false" ht="15" hidden="false" customHeight="false" outlineLevel="0" collapsed="false">
      <c r="A110" s="10" t="s">
        <v>15</v>
      </c>
      <c r="B110" s="10" t="s">
        <v>89</v>
      </c>
      <c r="C110" s="8" t="n">
        <v>58</v>
      </c>
      <c r="D110" s="8"/>
      <c r="E110" s="5"/>
      <c r="F110" s="10" t="s">
        <v>117</v>
      </c>
    </row>
    <row r="111" customFormat="false" ht="15" hidden="false" customHeight="false" outlineLevel="0" collapsed="false">
      <c r="A111" s="10" t="s">
        <v>15</v>
      </c>
      <c r="B111" s="10" t="s">
        <v>78</v>
      </c>
      <c r="C111" s="8" t="n">
        <v>121</v>
      </c>
      <c r="D111" s="8"/>
      <c r="E111" s="5"/>
      <c r="F111" s="10" t="s">
        <v>117</v>
      </c>
    </row>
    <row r="112" customFormat="false" ht="15" hidden="false" customHeight="false" outlineLevel="0" collapsed="false">
      <c r="A112" s="10" t="s">
        <v>15</v>
      </c>
      <c r="B112" s="10" t="s">
        <v>74</v>
      </c>
      <c r="C112" s="8" t="n">
        <v>97</v>
      </c>
      <c r="D112" s="8"/>
      <c r="E112" s="5"/>
      <c r="F112" s="10" t="s">
        <v>117</v>
      </c>
    </row>
    <row r="113" customFormat="false" ht="15" hidden="false" customHeight="false" outlineLevel="0" collapsed="false">
      <c r="A113" s="10" t="s">
        <v>15</v>
      </c>
      <c r="B113" s="10" t="s">
        <v>90</v>
      </c>
      <c r="C113" s="8" t="n">
        <v>47</v>
      </c>
      <c r="D113" s="8"/>
      <c r="E113" s="5"/>
      <c r="F113" s="10" t="s">
        <v>117</v>
      </c>
    </row>
    <row r="114" customFormat="false" ht="15" hidden="false" customHeight="false" outlineLevel="0" collapsed="false">
      <c r="A114" s="10" t="s">
        <v>15</v>
      </c>
      <c r="B114" s="10" t="s">
        <v>81</v>
      </c>
      <c r="C114" s="8" t="n">
        <v>79</v>
      </c>
      <c r="D114" s="8"/>
      <c r="E114" s="5"/>
      <c r="F114" s="10" t="s">
        <v>117</v>
      </c>
    </row>
    <row r="115" customFormat="false" ht="15" hidden="false" customHeight="false" outlineLevel="0" collapsed="false">
      <c r="A115" s="10" t="s">
        <v>15</v>
      </c>
      <c r="B115" s="10" t="s">
        <v>73</v>
      </c>
      <c r="C115" s="8" t="n">
        <v>143</v>
      </c>
      <c r="D115" s="8"/>
      <c r="E115" s="5"/>
      <c r="F115" s="10" t="s">
        <v>117</v>
      </c>
    </row>
    <row r="116" customFormat="false" ht="15" hidden="false" customHeight="false" outlineLevel="0" collapsed="false">
      <c r="A116" s="10" t="s">
        <v>15</v>
      </c>
      <c r="B116" s="10" t="s">
        <v>120</v>
      </c>
      <c r="C116" s="8" t="n">
        <v>48</v>
      </c>
      <c r="D116" s="8"/>
      <c r="E116" s="5"/>
      <c r="F116" s="10" t="s">
        <v>117</v>
      </c>
    </row>
    <row r="117" customFormat="false" ht="15" hidden="false" customHeight="false" outlineLevel="0" collapsed="false">
      <c r="A117" s="10" t="s">
        <v>15</v>
      </c>
      <c r="B117" s="10" t="s">
        <v>82</v>
      </c>
      <c r="C117" s="8" t="n">
        <v>78</v>
      </c>
      <c r="D117" s="8"/>
      <c r="E117" s="5"/>
      <c r="F117" s="10" t="s">
        <v>117</v>
      </c>
    </row>
    <row r="118" customFormat="false" ht="15" hidden="false" customHeight="false" outlineLevel="0" collapsed="false">
      <c r="A118" s="10" t="s">
        <v>15</v>
      </c>
      <c r="B118" s="10" t="s">
        <v>80</v>
      </c>
      <c r="C118" s="8" t="n">
        <v>10</v>
      </c>
      <c r="D118" s="8"/>
      <c r="E118" s="5"/>
      <c r="F118" s="10" t="s">
        <v>117</v>
      </c>
    </row>
    <row r="119" customFormat="false" ht="15" hidden="false" customHeight="false" outlineLevel="0" collapsed="false">
      <c r="A119" s="10" t="s">
        <v>15</v>
      </c>
      <c r="B119" s="10" t="s">
        <v>76</v>
      </c>
      <c r="C119" s="8" t="n">
        <v>83</v>
      </c>
      <c r="D119" s="8"/>
      <c r="E119" s="5"/>
      <c r="F119" s="10" t="s">
        <v>117</v>
      </c>
    </row>
    <row r="120" customFormat="false" ht="15" hidden="false" customHeight="false" outlineLevel="0" collapsed="false">
      <c r="A120" s="10" t="s">
        <v>15</v>
      </c>
      <c r="B120" s="10" t="s">
        <v>121</v>
      </c>
      <c r="C120" s="8" t="n">
        <v>42</v>
      </c>
      <c r="D120" s="8"/>
      <c r="E120" s="5"/>
      <c r="F120" s="10" t="s">
        <v>117</v>
      </c>
    </row>
    <row r="121" customFormat="false" ht="15" hidden="false" customHeight="false" outlineLevel="0" collapsed="false">
      <c r="A121" s="10" t="s">
        <v>15</v>
      </c>
      <c r="B121" s="10" t="s">
        <v>71</v>
      </c>
      <c r="C121" s="8" t="n">
        <v>126</v>
      </c>
      <c r="D121" s="8"/>
      <c r="E121" s="5"/>
      <c r="F121" s="10" t="s">
        <v>117</v>
      </c>
    </row>
    <row r="122" customFormat="false" ht="15" hidden="false" customHeight="false" outlineLevel="0" collapsed="false">
      <c r="A122" s="10" t="s">
        <v>15</v>
      </c>
      <c r="B122" s="10" t="s">
        <v>123</v>
      </c>
      <c r="C122" s="8" t="n">
        <v>14</v>
      </c>
      <c r="D122" s="8"/>
      <c r="E122" s="5"/>
      <c r="F122" s="10" t="s">
        <v>117</v>
      </c>
    </row>
    <row r="123" customFormat="false" ht="15" hidden="false" customHeight="false" outlineLevel="0" collapsed="false">
      <c r="A123" s="10" t="s">
        <v>15</v>
      </c>
      <c r="B123" s="10" t="s">
        <v>122</v>
      </c>
      <c r="C123" s="8" t="n">
        <v>13</v>
      </c>
      <c r="D123" s="8"/>
      <c r="E123" s="5"/>
      <c r="F123" s="10" t="s">
        <v>117</v>
      </c>
    </row>
    <row r="124" customFormat="false" ht="15" hidden="false" customHeight="false" outlineLevel="0" collapsed="false">
      <c r="A124" s="10" t="s">
        <v>15</v>
      </c>
      <c r="B124" s="10" t="s">
        <v>91</v>
      </c>
      <c r="C124" s="8" t="n">
        <v>6</v>
      </c>
      <c r="D124" s="8"/>
      <c r="E124" s="5"/>
      <c r="F124" s="10" t="s">
        <v>117</v>
      </c>
    </row>
    <row r="125" customFormat="false" ht="15" hidden="false" customHeight="false" outlineLevel="0" collapsed="false">
      <c r="A125" s="10" t="s">
        <v>15</v>
      </c>
      <c r="B125" s="10" t="s">
        <v>86</v>
      </c>
      <c r="C125" s="8" t="n">
        <v>73</v>
      </c>
      <c r="D125" s="19" t="n">
        <v>6</v>
      </c>
      <c r="E125" s="20" t="n">
        <v>3.25</v>
      </c>
      <c r="F125" s="10" t="s">
        <v>124</v>
      </c>
    </row>
    <row r="126" customFormat="false" ht="15" hidden="false" customHeight="false" outlineLevel="0" collapsed="false">
      <c r="A126" s="10" t="s">
        <v>15</v>
      </c>
      <c r="B126" s="10" t="s">
        <v>88</v>
      </c>
      <c r="C126" s="8" t="n">
        <v>25</v>
      </c>
      <c r="D126" s="8"/>
      <c r="E126" s="5"/>
      <c r="F126" s="10" t="s">
        <v>117</v>
      </c>
    </row>
    <row r="127" customFormat="false" ht="15" hidden="false" customHeight="false" outlineLevel="0" collapsed="false">
      <c r="A127" s="10" t="s">
        <v>16</v>
      </c>
      <c r="B127" s="10" t="s">
        <v>87</v>
      </c>
      <c r="C127" s="8" t="n">
        <v>44</v>
      </c>
      <c r="D127" s="8" t="n">
        <v>16</v>
      </c>
      <c r="E127" s="5" t="n">
        <v>2.74</v>
      </c>
      <c r="F127" s="10" t="s">
        <v>117</v>
      </c>
    </row>
    <row r="128" customFormat="false" ht="15" hidden="false" customHeight="false" outlineLevel="0" collapsed="false">
      <c r="A128" s="10" t="s">
        <v>16</v>
      </c>
      <c r="B128" s="10" t="s">
        <v>118</v>
      </c>
      <c r="C128" s="8" t="n">
        <v>8</v>
      </c>
      <c r="D128" s="8" t="n">
        <v>0</v>
      </c>
      <c r="E128" s="5" t="n">
        <v>3.331</v>
      </c>
      <c r="F128" s="10" t="s">
        <v>117</v>
      </c>
    </row>
    <row r="129" customFormat="false" ht="15" hidden="false" customHeight="false" outlineLevel="0" collapsed="false">
      <c r="A129" s="10" t="s">
        <v>16</v>
      </c>
      <c r="B129" s="10" t="s">
        <v>79</v>
      </c>
      <c r="C129" s="8" t="n">
        <v>98</v>
      </c>
      <c r="D129" s="8" t="n">
        <v>28</v>
      </c>
      <c r="E129" s="5" t="n">
        <v>3.228</v>
      </c>
      <c r="F129" s="10" t="s">
        <v>117</v>
      </c>
    </row>
    <row r="130" customFormat="false" ht="15" hidden="false" customHeight="false" outlineLevel="0" collapsed="false">
      <c r="A130" s="10" t="s">
        <v>16</v>
      </c>
      <c r="B130" s="10" t="s">
        <v>77</v>
      </c>
      <c r="C130" s="8" t="n">
        <v>76</v>
      </c>
      <c r="D130" s="8" t="n">
        <v>25</v>
      </c>
      <c r="E130" s="5" t="n">
        <v>3.056</v>
      </c>
      <c r="F130" s="10" t="s">
        <v>117</v>
      </c>
    </row>
    <row r="131" customFormat="false" ht="15" hidden="false" customHeight="false" outlineLevel="0" collapsed="false">
      <c r="A131" s="10" t="s">
        <v>16</v>
      </c>
      <c r="B131" s="10" t="s">
        <v>83</v>
      </c>
      <c r="C131" s="8" t="n">
        <v>128</v>
      </c>
      <c r="D131" s="8" t="n">
        <v>38</v>
      </c>
      <c r="E131" s="5" t="n">
        <v>3.276</v>
      </c>
      <c r="F131" s="10" t="s">
        <v>117</v>
      </c>
    </row>
    <row r="132" customFormat="false" ht="15" hidden="false" customHeight="false" outlineLevel="0" collapsed="false">
      <c r="A132" s="10" t="s">
        <v>16</v>
      </c>
      <c r="B132" s="10" t="s">
        <v>75</v>
      </c>
      <c r="C132" s="8" t="n">
        <v>13</v>
      </c>
      <c r="D132" s="8" t="n">
        <v>5</v>
      </c>
      <c r="E132" s="5" t="n">
        <v>3.29</v>
      </c>
      <c r="F132" s="10" t="s">
        <v>117</v>
      </c>
    </row>
    <row r="133" customFormat="false" ht="15" hidden="false" customHeight="false" outlineLevel="0" collapsed="false">
      <c r="A133" s="10" t="s">
        <v>16</v>
      </c>
      <c r="B133" s="10" t="s">
        <v>72</v>
      </c>
      <c r="C133" s="8" t="n">
        <v>117</v>
      </c>
      <c r="D133" s="8" t="n">
        <v>31</v>
      </c>
      <c r="E133" s="5" t="n">
        <v>3.457</v>
      </c>
      <c r="F133" s="10" t="s">
        <v>117</v>
      </c>
    </row>
    <row r="134" customFormat="false" ht="15" hidden="false" customHeight="false" outlineLevel="0" collapsed="false">
      <c r="A134" s="10" t="s">
        <v>16</v>
      </c>
      <c r="B134" s="10" t="s">
        <v>92</v>
      </c>
      <c r="C134" s="8" t="n">
        <v>10</v>
      </c>
      <c r="D134" s="8" t="n">
        <v>5</v>
      </c>
      <c r="E134" s="5" t="n">
        <v>3.269</v>
      </c>
      <c r="F134" s="10" t="s">
        <v>117</v>
      </c>
    </row>
    <row r="135" customFormat="false" ht="15" hidden="false" customHeight="false" outlineLevel="0" collapsed="false">
      <c r="A135" s="10" t="s">
        <v>16</v>
      </c>
      <c r="B135" s="10" t="s">
        <v>119</v>
      </c>
      <c r="C135" s="8" t="n">
        <v>79</v>
      </c>
      <c r="D135" s="8" t="n">
        <v>19</v>
      </c>
      <c r="E135" s="5" t="n">
        <v>2.992</v>
      </c>
      <c r="F135" s="10" t="s">
        <v>117</v>
      </c>
    </row>
    <row r="136" customFormat="false" ht="15" hidden="false" customHeight="false" outlineLevel="0" collapsed="false">
      <c r="A136" s="10" t="s">
        <v>16</v>
      </c>
      <c r="B136" s="10" t="s">
        <v>85</v>
      </c>
      <c r="C136" s="8" t="n">
        <v>109</v>
      </c>
      <c r="D136" s="8" t="n">
        <v>30</v>
      </c>
      <c r="E136" s="5" t="n">
        <v>3.315</v>
      </c>
      <c r="F136" s="10" t="s">
        <v>117</v>
      </c>
    </row>
    <row r="137" customFormat="false" ht="15" hidden="false" customHeight="false" outlineLevel="0" collapsed="false">
      <c r="A137" s="10" t="s">
        <v>16</v>
      </c>
      <c r="B137" s="10" t="s">
        <v>70</v>
      </c>
      <c r="C137" s="8" t="n">
        <v>107</v>
      </c>
      <c r="D137" s="8" t="n">
        <v>27</v>
      </c>
      <c r="E137" s="5" t="n">
        <v>3.502</v>
      </c>
      <c r="F137" s="10" t="s">
        <v>117</v>
      </c>
    </row>
    <row r="138" customFormat="false" ht="15" hidden="false" customHeight="false" outlineLevel="0" collapsed="false">
      <c r="A138" s="10" t="s">
        <v>16</v>
      </c>
      <c r="B138" s="10" t="s">
        <v>89</v>
      </c>
      <c r="C138" s="8" t="n">
        <v>55</v>
      </c>
      <c r="D138" s="8" t="n">
        <v>38</v>
      </c>
      <c r="E138" s="5" t="n">
        <v>2.838</v>
      </c>
      <c r="F138" s="10" t="s">
        <v>117</v>
      </c>
    </row>
    <row r="139" customFormat="false" ht="15" hidden="false" customHeight="false" outlineLevel="0" collapsed="false">
      <c r="A139" s="10" t="s">
        <v>16</v>
      </c>
      <c r="B139" s="10" t="s">
        <v>78</v>
      </c>
      <c r="C139" s="8" t="n">
        <v>124</v>
      </c>
      <c r="D139" s="8" t="n">
        <v>33</v>
      </c>
      <c r="E139" s="5" t="n">
        <v>3.271</v>
      </c>
      <c r="F139" s="10" t="s">
        <v>117</v>
      </c>
    </row>
    <row r="140" customFormat="false" ht="15" hidden="false" customHeight="false" outlineLevel="0" collapsed="false">
      <c r="A140" s="10" t="s">
        <v>16</v>
      </c>
      <c r="B140" s="10" t="s">
        <v>74</v>
      </c>
      <c r="C140" s="8" t="n">
        <v>106</v>
      </c>
      <c r="D140" s="8" t="n">
        <v>35</v>
      </c>
      <c r="E140" s="5" t="n">
        <v>3.069</v>
      </c>
      <c r="F140" s="10" t="s">
        <v>117</v>
      </c>
    </row>
    <row r="141" customFormat="false" ht="15" hidden="false" customHeight="false" outlineLevel="0" collapsed="false">
      <c r="A141" s="10" t="s">
        <v>16</v>
      </c>
      <c r="B141" s="10" t="s">
        <v>90</v>
      </c>
      <c r="C141" s="8" t="n">
        <v>45</v>
      </c>
      <c r="D141" s="8" t="n">
        <v>10</v>
      </c>
      <c r="E141" s="5" t="n">
        <v>2.66</v>
      </c>
      <c r="F141" s="10" t="s">
        <v>117</v>
      </c>
    </row>
    <row r="142" customFormat="false" ht="15" hidden="false" customHeight="false" outlineLevel="0" collapsed="false">
      <c r="A142" s="10" t="s">
        <v>16</v>
      </c>
      <c r="B142" s="10" t="s">
        <v>81</v>
      </c>
      <c r="C142" s="8" t="n">
        <v>77</v>
      </c>
      <c r="D142" s="8" t="n">
        <v>21</v>
      </c>
      <c r="E142" s="5" t="n">
        <v>3.399</v>
      </c>
      <c r="F142" s="10" t="s">
        <v>117</v>
      </c>
    </row>
    <row r="143" customFormat="false" ht="15" hidden="false" customHeight="false" outlineLevel="0" collapsed="false">
      <c r="A143" s="10" t="s">
        <v>16</v>
      </c>
      <c r="B143" s="10" t="s">
        <v>73</v>
      </c>
      <c r="C143" s="8" t="n">
        <v>139</v>
      </c>
      <c r="D143" s="8" t="n">
        <v>33</v>
      </c>
      <c r="E143" s="5" t="n">
        <v>3.382</v>
      </c>
      <c r="F143" s="10" t="s">
        <v>117</v>
      </c>
    </row>
    <row r="144" customFormat="false" ht="15" hidden="false" customHeight="false" outlineLevel="0" collapsed="false">
      <c r="A144" s="10" t="s">
        <v>16</v>
      </c>
      <c r="B144" s="10" t="s">
        <v>120</v>
      </c>
      <c r="C144" s="8" t="n">
        <v>34</v>
      </c>
      <c r="D144" s="8" t="n">
        <v>0</v>
      </c>
      <c r="E144" s="5" t="n">
        <v>3.071</v>
      </c>
      <c r="F144" s="10" t="s">
        <v>117</v>
      </c>
    </row>
    <row r="145" customFormat="false" ht="15" hidden="false" customHeight="false" outlineLevel="0" collapsed="false">
      <c r="A145" s="10" t="s">
        <v>16</v>
      </c>
      <c r="B145" s="10" t="s">
        <v>82</v>
      </c>
      <c r="C145" s="8" t="n">
        <v>106</v>
      </c>
      <c r="D145" s="8" t="n">
        <v>28</v>
      </c>
      <c r="E145" s="5" t="n">
        <v>3.218</v>
      </c>
      <c r="F145" s="10" t="s">
        <v>117</v>
      </c>
    </row>
    <row r="146" customFormat="false" ht="15" hidden="false" customHeight="false" outlineLevel="0" collapsed="false">
      <c r="A146" s="10" t="s">
        <v>16</v>
      </c>
      <c r="B146" s="10" t="s">
        <v>80</v>
      </c>
      <c r="C146" s="8" t="n">
        <v>9</v>
      </c>
      <c r="D146" s="8" t="n">
        <v>3</v>
      </c>
      <c r="E146" s="5"/>
      <c r="F146" s="10" t="s">
        <v>117</v>
      </c>
    </row>
    <row r="147" customFormat="false" ht="15" hidden="false" customHeight="false" outlineLevel="0" collapsed="false">
      <c r="A147" s="10" t="s">
        <v>16</v>
      </c>
      <c r="B147" s="10" t="s">
        <v>76</v>
      </c>
      <c r="C147" s="8" t="n">
        <v>99</v>
      </c>
      <c r="D147" s="8" t="n">
        <v>23</v>
      </c>
      <c r="E147" s="5" t="n">
        <v>2.966</v>
      </c>
      <c r="F147" s="10" t="s">
        <v>117</v>
      </c>
    </row>
    <row r="148" customFormat="false" ht="15" hidden="false" customHeight="false" outlineLevel="0" collapsed="false">
      <c r="A148" s="10" t="s">
        <v>16</v>
      </c>
      <c r="B148" s="10" t="s">
        <v>121</v>
      </c>
      <c r="C148" s="8" t="n">
        <v>40</v>
      </c>
      <c r="D148" s="8" t="n">
        <v>19</v>
      </c>
      <c r="E148" s="5" t="n">
        <v>2.792</v>
      </c>
      <c r="F148" s="10" t="s">
        <v>117</v>
      </c>
    </row>
    <row r="149" customFormat="false" ht="15" hidden="false" customHeight="false" outlineLevel="0" collapsed="false">
      <c r="A149" s="10" t="s">
        <v>16</v>
      </c>
      <c r="B149" s="10" t="s">
        <v>71</v>
      </c>
      <c r="C149" s="8" t="n">
        <v>135</v>
      </c>
      <c r="D149" s="8" t="n">
        <v>44</v>
      </c>
      <c r="E149" s="5" t="n">
        <v>3.444</v>
      </c>
      <c r="F149" s="10" t="s">
        <v>117</v>
      </c>
    </row>
    <row r="150" customFormat="false" ht="15" hidden="false" customHeight="false" outlineLevel="0" collapsed="false">
      <c r="A150" s="10" t="s">
        <v>16</v>
      </c>
      <c r="B150" s="10" t="s">
        <v>123</v>
      </c>
      <c r="C150" s="8" t="n">
        <v>10</v>
      </c>
      <c r="D150" s="8" t="n">
        <v>4</v>
      </c>
      <c r="E150" s="5"/>
      <c r="F150" s="10" t="s">
        <v>117</v>
      </c>
    </row>
    <row r="151" customFormat="false" ht="15" hidden="false" customHeight="false" outlineLevel="0" collapsed="false">
      <c r="A151" s="10" t="s">
        <v>16</v>
      </c>
      <c r="B151" s="10" t="s">
        <v>86</v>
      </c>
      <c r="C151" s="8" t="n">
        <v>78</v>
      </c>
      <c r="D151" s="8" t="n">
        <v>28</v>
      </c>
      <c r="E151" s="5" t="n">
        <v>2.957</v>
      </c>
      <c r="F151" s="10" t="s">
        <v>117</v>
      </c>
    </row>
    <row r="152" customFormat="false" ht="15" hidden="false" customHeight="false" outlineLevel="0" collapsed="false">
      <c r="A152" s="10" t="s">
        <v>16</v>
      </c>
      <c r="B152" s="10" t="s">
        <v>88</v>
      </c>
      <c r="C152" s="8" t="n">
        <v>27</v>
      </c>
      <c r="D152" s="8" t="n">
        <v>3</v>
      </c>
      <c r="E152" s="5" t="n">
        <v>2.97</v>
      </c>
      <c r="F152" s="10" t="s">
        <v>117</v>
      </c>
    </row>
    <row r="153" customFormat="false" ht="15" hidden="false" customHeight="false" outlineLevel="0" collapsed="false">
      <c r="A153" s="10" t="s">
        <v>17</v>
      </c>
      <c r="B153" s="10" t="s">
        <v>87</v>
      </c>
      <c r="C153" s="8" t="n">
        <v>40</v>
      </c>
      <c r="D153" s="8" t="n">
        <v>10</v>
      </c>
      <c r="E153" s="5" t="n">
        <v>3.247</v>
      </c>
      <c r="F153" s="10" t="s">
        <v>117</v>
      </c>
    </row>
    <row r="154" customFormat="false" ht="15" hidden="false" customHeight="false" outlineLevel="0" collapsed="false">
      <c r="A154" s="10" t="s">
        <v>17</v>
      </c>
      <c r="B154" s="10" t="s">
        <v>118</v>
      </c>
      <c r="C154" s="8" t="n">
        <v>7</v>
      </c>
      <c r="D154" s="8" t="n">
        <v>0</v>
      </c>
      <c r="E154" s="5" t="n">
        <v>3.698</v>
      </c>
      <c r="F154" s="10" t="s">
        <v>117</v>
      </c>
    </row>
    <row r="155" customFormat="false" ht="15" hidden="false" customHeight="false" outlineLevel="0" collapsed="false">
      <c r="A155" s="10" t="s">
        <v>17</v>
      </c>
      <c r="B155" s="10" t="s">
        <v>79</v>
      </c>
      <c r="C155" s="8" t="n">
        <v>94</v>
      </c>
      <c r="D155" s="8" t="n">
        <v>4</v>
      </c>
      <c r="E155" s="5" t="n">
        <v>3.137</v>
      </c>
      <c r="F155" s="10" t="s">
        <v>117</v>
      </c>
    </row>
    <row r="156" customFormat="false" ht="15" hidden="false" customHeight="false" outlineLevel="0" collapsed="false">
      <c r="A156" s="10" t="s">
        <v>17</v>
      </c>
      <c r="B156" s="10" t="s">
        <v>77</v>
      </c>
      <c r="C156" s="8" t="n">
        <v>69</v>
      </c>
      <c r="D156" s="8" t="n">
        <v>3</v>
      </c>
      <c r="E156" s="5" t="n">
        <v>3.41</v>
      </c>
      <c r="F156" s="10" t="s">
        <v>117</v>
      </c>
    </row>
    <row r="157" customFormat="false" ht="15" hidden="false" customHeight="false" outlineLevel="0" collapsed="false">
      <c r="A157" s="10" t="s">
        <v>17</v>
      </c>
      <c r="B157" s="10" t="s">
        <v>83</v>
      </c>
      <c r="C157" s="8" t="n">
        <v>119</v>
      </c>
      <c r="D157" s="8" t="n">
        <v>3</v>
      </c>
      <c r="E157" s="5" t="n">
        <v>3.293</v>
      </c>
      <c r="F157" s="10" t="s">
        <v>117</v>
      </c>
    </row>
    <row r="158" customFormat="false" ht="15" hidden="false" customHeight="false" outlineLevel="0" collapsed="false">
      <c r="A158" s="10" t="s">
        <v>17</v>
      </c>
      <c r="B158" s="10" t="s">
        <v>75</v>
      </c>
      <c r="C158" s="8" t="n">
        <v>13</v>
      </c>
      <c r="D158" s="8" t="n">
        <v>1</v>
      </c>
      <c r="E158" s="5" t="n">
        <v>3.372</v>
      </c>
      <c r="F158" s="10" t="s">
        <v>117</v>
      </c>
    </row>
    <row r="159" customFormat="false" ht="15" hidden="false" customHeight="false" outlineLevel="0" collapsed="false">
      <c r="A159" s="10" t="s">
        <v>17</v>
      </c>
      <c r="B159" s="10" t="s">
        <v>72</v>
      </c>
      <c r="C159" s="8" t="n">
        <v>106</v>
      </c>
      <c r="D159" s="8" t="n">
        <v>1</v>
      </c>
      <c r="E159" s="5" t="n">
        <v>3.51</v>
      </c>
      <c r="F159" s="10" t="s">
        <v>117</v>
      </c>
    </row>
    <row r="160" customFormat="false" ht="15" hidden="false" customHeight="false" outlineLevel="0" collapsed="false">
      <c r="A160" s="10" t="s">
        <v>17</v>
      </c>
      <c r="B160" s="10" t="s">
        <v>92</v>
      </c>
      <c r="C160" s="8" t="n">
        <v>11</v>
      </c>
      <c r="D160" s="8" t="n">
        <v>3</v>
      </c>
      <c r="E160" s="5" t="n">
        <v>3.135</v>
      </c>
      <c r="F160" s="10" t="s">
        <v>117</v>
      </c>
    </row>
    <row r="161" customFormat="false" ht="15" hidden="false" customHeight="false" outlineLevel="0" collapsed="false">
      <c r="A161" s="10" t="s">
        <v>17</v>
      </c>
      <c r="B161" s="10" t="s">
        <v>119</v>
      </c>
      <c r="C161" s="8" t="n">
        <v>75</v>
      </c>
      <c r="D161" s="8" t="n">
        <v>10</v>
      </c>
      <c r="E161" s="5" t="n">
        <v>3.059</v>
      </c>
      <c r="F161" s="10" t="s">
        <v>117</v>
      </c>
    </row>
    <row r="162" customFormat="false" ht="15" hidden="false" customHeight="false" outlineLevel="0" collapsed="false">
      <c r="A162" s="10" t="s">
        <v>17</v>
      </c>
      <c r="B162" s="10" t="s">
        <v>85</v>
      </c>
      <c r="C162" s="8" t="n">
        <v>93</v>
      </c>
      <c r="D162" s="8" t="n">
        <v>1</v>
      </c>
      <c r="E162" s="5" t="n">
        <v>3.338</v>
      </c>
      <c r="F162" s="10" t="s">
        <v>117</v>
      </c>
    </row>
    <row r="163" customFormat="false" ht="15" hidden="false" customHeight="false" outlineLevel="0" collapsed="false">
      <c r="A163" s="10" t="s">
        <v>17</v>
      </c>
      <c r="B163" s="10" t="s">
        <v>70</v>
      </c>
      <c r="C163" s="8" t="n">
        <v>104</v>
      </c>
      <c r="D163" s="8" t="n">
        <v>2</v>
      </c>
      <c r="E163" s="5" t="n">
        <v>3.525</v>
      </c>
      <c r="F163" s="10" t="s">
        <v>117</v>
      </c>
    </row>
    <row r="164" customFormat="false" ht="15" hidden="false" customHeight="false" outlineLevel="0" collapsed="false">
      <c r="A164" s="10" t="s">
        <v>17</v>
      </c>
      <c r="B164" s="10" t="s">
        <v>89</v>
      </c>
      <c r="C164" s="8" t="n">
        <v>66</v>
      </c>
      <c r="D164" s="8" t="n">
        <v>11</v>
      </c>
      <c r="E164" s="5" t="n">
        <v>3.019</v>
      </c>
      <c r="F164" s="10" t="s">
        <v>117</v>
      </c>
    </row>
    <row r="165" customFormat="false" ht="15" hidden="false" customHeight="false" outlineLevel="0" collapsed="false">
      <c r="A165" s="10" t="s">
        <v>17</v>
      </c>
      <c r="B165" s="10" t="s">
        <v>78</v>
      </c>
      <c r="C165" s="8" t="n">
        <v>110</v>
      </c>
      <c r="D165" s="8" t="n">
        <v>2</v>
      </c>
      <c r="E165" s="5" t="n">
        <v>3.458</v>
      </c>
      <c r="F165" s="10" t="s">
        <v>117</v>
      </c>
    </row>
    <row r="166" customFormat="false" ht="15" hidden="false" customHeight="false" outlineLevel="0" collapsed="false">
      <c r="A166" s="10" t="s">
        <v>17</v>
      </c>
      <c r="B166" s="10" t="s">
        <v>74</v>
      </c>
      <c r="C166" s="8" t="n">
        <v>101</v>
      </c>
      <c r="D166" s="8" t="n">
        <v>2</v>
      </c>
      <c r="E166" s="5" t="n">
        <v>3.082</v>
      </c>
      <c r="F166" s="10" t="s">
        <v>117</v>
      </c>
    </row>
    <row r="167" customFormat="false" ht="15" hidden="false" customHeight="false" outlineLevel="0" collapsed="false">
      <c r="A167" s="10" t="s">
        <v>17</v>
      </c>
      <c r="B167" s="10" t="s">
        <v>90</v>
      </c>
      <c r="C167" s="8" t="n">
        <v>41</v>
      </c>
      <c r="D167" s="8" t="n">
        <v>1</v>
      </c>
      <c r="E167" s="5" t="n">
        <v>2.935</v>
      </c>
      <c r="F167" s="10" t="s">
        <v>117</v>
      </c>
    </row>
    <row r="168" customFormat="false" ht="15" hidden="false" customHeight="false" outlineLevel="0" collapsed="false">
      <c r="A168" s="10" t="s">
        <v>17</v>
      </c>
      <c r="B168" s="10" t="s">
        <v>81</v>
      </c>
      <c r="C168" s="8" t="n">
        <v>74</v>
      </c>
      <c r="D168" s="8" t="n">
        <v>1</v>
      </c>
      <c r="E168" s="5" t="n">
        <v>3.382</v>
      </c>
      <c r="F168" s="10" t="s">
        <v>117</v>
      </c>
    </row>
    <row r="169" customFormat="false" ht="15" hidden="false" customHeight="false" outlineLevel="0" collapsed="false">
      <c r="A169" s="10" t="s">
        <v>17</v>
      </c>
      <c r="B169" s="10" t="s">
        <v>73</v>
      </c>
      <c r="C169" s="8" t="n">
        <v>142</v>
      </c>
      <c r="D169" s="8" t="n">
        <v>9</v>
      </c>
      <c r="E169" s="5" t="n">
        <v>3.546</v>
      </c>
      <c r="F169" s="10" t="s">
        <v>117</v>
      </c>
    </row>
    <row r="170" customFormat="false" ht="15" hidden="false" customHeight="false" outlineLevel="0" collapsed="false">
      <c r="A170" s="10" t="s">
        <v>17</v>
      </c>
      <c r="B170" s="10" t="s">
        <v>120</v>
      </c>
      <c r="C170" s="8" t="n">
        <v>53</v>
      </c>
      <c r="D170" s="8" t="n">
        <v>0</v>
      </c>
      <c r="E170" s="5" t="n">
        <v>2.906</v>
      </c>
      <c r="F170" s="10" t="s">
        <v>117</v>
      </c>
    </row>
    <row r="171" customFormat="false" ht="15" hidden="false" customHeight="false" outlineLevel="0" collapsed="false">
      <c r="A171" s="10" t="s">
        <v>17</v>
      </c>
      <c r="B171" s="10" t="s">
        <v>82</v>
      </c>
      <c r="C171" s="8" t="n">
        <v>104</v>
      </c>
      <c r="D171" s="8" t="n">
        <v>4</v>
      </c>
      <c r="E171" s="5" t="n">
        <v>3.329</v>
      </c>
      <c r="F171" s="10" t="s">
        <v>117</v>
      </c>
    </row>
    <row r="172" customFormat="false" ht="15" hidden="false" customHeight="false" outlineLevel="0" collapsed="false">
      <c r="A172" s="10" t="s">
        <v>17</v>
      </c>
      <c r="B172" s="10" t="s">
        <v>80</v>
      </c>
      <c r="C172" s="8" t="n">
        <v>12</v>
      </c>
      <c r="D172" s="8" t="n">
        <v>0</v>
      </c>
      <c r="E172" s="5" t="n">
        <v>3.349</v>
      </c>
      <c r="F172" s="10" t="s">
        <v>117</v>
      </c>
    </row>
    <row r="173" customFormat="false" ht="15" hidden="false" customHeight="false" outlineLevel="0" collapsed="false">
      <c r="A173" s="10" t="s">
        <v>17</v>
      </c>
      <c r="B173" s="10" t="s">
        <v>76</v>
      </c>
      <c r="C173" s="8" t="n">
        <v>74</v>
      </c>
      <c r="D173" s="8" t="n">
        <v>4</v>
      </c>
      <c r="E173" s="5" t="n">
        <v>3.405</v>
      </c>
      <c r="F173" s="10" t="s">
        <v>117</v>
      </c>
    </row>
    <row r="174" customFormat="false" ht="15" hidden="false" customHeight="false" outlineLevel="0" collapsed="false">
      <c r="A174" s="10" t="s">
        <v>17</v>
      </c>
      <c r="B174" s="10" t="s">
        <v>121</v>
      </c>
      <c r="C174" s="8" t="n">
        <v>46</v>
      </c>
      <c r="D174" s="8" t="n">
        <v>5</v>
      </c>
      <c r="E174" s="5" t="n">
        <v>3.098</v>
      </c>
      <c r="F174" s="10" t="s">
        <v>117</v>
      </c>
    </row>
    <row r="175" customFormat="false" ht="15" hidden="false" customHeight="false" outlineLevel="0" collapsed="false">
      <c r="A175" s="10" t="s">
        <v>17</v>
      </c>
      <c r="B175" s="10" t="s">
        <v>71</v>
      </c>
      <c r="C175" s="8" t="n">
        <v>128</v>
      </c>
      <c r="D175" s="8" t="n">
        <v>0</v>
      </c>
      <c r="E175" s="5" t="n">
        <v>3.551</v>
      </c>
      <c r="F175" s="10" t="s">
        <v>117</v>
      </c>
    </row>
    <row r="176" customFormat="false" ht="15" hidden="false" customHeight="false" outlineLevel="0" collapsed="false">
      <c r="A176" s="10" t="s">
        <v>17</v>
      </c>
      <c r="B176" s="10" t="s">
        <v>123</v>
      </c>
      <c r="C176" s="8" t="n">
        <v>8</v>
      </c>
      <c r="D176" s="8" t="n">
        <v>0</v>
      </c>
      <c r="E176" s="5" t="n">
        <v>2.8</v>
      </c>
      <c r="F176" s="10" t="s">
        <v>117</v>
      </c>
    </row>
    <row r="177" customFormat="false" ht="15" hidden="false" customHeight="false" outlineLevel="0" collapsed="false">
      <c r="A177" s="10" t="s">
        <v>17</v>
      </c>
      <c r="B177" s="10" t="s">
        <v>86</v>
      </c>
      <c r="C177" s="8" t="n">
        <v>74</v>
      </c>
      <c r="D177" s="8" t="n">
        <v>10</v>
      </c>
      <c r="E177" s="5" t="n">
        <v>3.267</v>
      </c>
      <c r="F177" s="10" t="s">
        <v>117</v>
      </c>
    </row>
    <row r="178" customFormat="false" ht="15" hidden="false" customHeight="false" outlineLevel="0" collapsed="false">
      <c r="A178" s="10" t="s">
        <v>17</v>
      </c>
      <c r="B178" s="10" t="s">
        <v>88</v>
      </c>
      <c r="C178" s="8" t="n">
        <v>24</v>
      </c>
      <c r="D178" s="8" t="n">
        <v>0</v>
      </c>
      <c r="E178" s="5" t="n">
        <v>3.15</v>
      </c>
      <c r="F178" s="10" t="s">
        <v>117</v>
      </c>
    </row>
    <row r="179" customFormat="false" ht="15" hidden="false" customHeight="false" outlineLevel="0" collapsed="false">
      <c r="A179" s="10" t="s">
        <v>18</v>
      </c>
      <c r="B179" s="10" t="s">
        <v>87</v>
      </c>
      <c r="C179" s="8" t="n">
        <v>48</v>
      </c>
      <c r="D179" s="8" t="n">
        <v>13</v>
      </c>
      <c r="E179" s="5" t="n">
        <v>3.087</v>
      </c>
      <c r="F179" s="10" t="s">
        <v>117</v>
      </c>
    </row>
    <row r="180" customFormat="false" ht="15" hidden="false" customHeight="false" outlineLevel="0" collapsed="false">
      <c r="A180" s="10" t="s">
        <v>18</v>
      </c>
      <c r="B180" s="10" t="s">
        <v>79</v>
      </c>
      <c r="C180" s="8" t="n">
        <v>96</v>
      </c>
      <c r="D180" s="8" t="n">
        <v>30</v>
      </c>
      <c r="E180" s="5" t="n">
        <v>3.196</v>
      </c>
      <c r="F180" s="10" t="s">
        <v>117</v>
      </c>
    </row>
    <row r="181" customFormat="false" ht="15" hidden="false" customHeight="false" outlineLevel="0" collapsed="false">
      <c r="A181" s="10" t="s">
        <v>18</v>
      </c>
      <c r="B181" s="10" t="s">
        <v>77</v>
      </c>
      <c r="C181" s="8" t="n">
        <v>78</v>
      </c>
      <c r="D181" s="8" t="n">
        <v>25</v>
      </c>
      <c r="E181" s="5" t="n">
        <v>3.183</v>
      </c>
      <c r="F181" s="10" t="s">
        <v>117</v>
      </c>
    </row>
    <row r="182" customFormat="false" ht="15" hidden="false" customHeight="false" outlineLevel="0" collapsed="false">
      <c r="A182" s="10" t="s">
        <v>18</v>
      </c>
      <c r="B182" s="10" t="s">
        <v>83</v>
      </c>
      <c r="C182" s="8" t="n">
        <v>108</v>
      </c>
      <c r="D182" s="8" t="n">
        <v>19</v>
      </c>
      <c r="E182" s="5" t="n">
        <v>3.129</v>
      </c>
      <c r="F182" s="10" t="s">
        <v>117</v>
      </c>
    </row>
    <row r="183" customFormat="false" ht="15" hidden="false" customHeight="false" outlineLevel="0" collapsed="false">
      <c r="A183" s="10" t="s">
        <v>18</v>
      </c>
      <c r="B183" s="10" t="s">
        <v>75</v>
      </c>
      <c r="C183" s="8" t="n">
        <v>12</v>
      </c>
      <c r="D183" s="8" t="n">
        <v>5</v>
      </c>
      <c r="E183" s="5" t="n">
        <v>3.539</v>
      </c>
      <c r="F183" s="10" t="s">
        <v>117</v>
      </c>
    </row>
    <row r="184" customFormat="false" ht="15" hidden="false" customHeight="false" outlineLevel="0" collapsed="false">
      <c r="A184" s="10" t="s">
        <v>18</v>
      </c>
      <c r="B184" s="10" t="s">
        <v>72</v>
      </c>
      <c r="C184" s="8" t="n">
        <v>115</v>
      </c>
      <c r="D184" s="8" t="n">
        <v>30</v>
      </c>
      <c r="E184" s="5" t="n">
        <v>3.281</v>
      </c>
      <c r="F184" s="10" t="s">
        <v>117</v>
      </c>
    </row>
    <row r="185" customFormat="false" ht="15" hidden="false" customHeight="false" outlineLevel="0" collapsed="false">
      <c r="A185" s="10" t="s">
        <v>18</v>
      </c>
      <c r="B185" s="10" t="s">
        <v>92</v>
      </c>
      <c r="C185" s="8" t="n">
        <v>10</v>
      </c>
      <c r="D185" s="8" t="n">
        <v>5</v>
      </c>
      <c r="E185" s="5" t="n">
        <v>3.724</v>
      </c>
      <c r="F185" s="10" t="s">
        <v>117</v>
      </c>
    </row>
    <row r="186" customFormat="false" ht="15" hidden="false" customHeight="false" outlineLevel="0" collapsed="false">
      <c r="A186" s="10" t="s">
        <v>18</v>
      </c>
      <c r="B186" s="10" t="s">
        <v>125</v>
      </c>
      <c r="C186" s="8" t="n">
        <v>18</v>
      </c>
      <c r="D186" s="8" t="n">
        <v>18</v>
      </c>
      <c r="E186" s="5" t="n">
        <v>3.057</v>
      </c>
      <c r="F186" s="10" t="s">
        <v>117</v>
      </c>
    </row>
    <row r="187" customFormat="false" ht="15" hidden="false" customHeight="false" outlineLevel="0" collapsed="false">
      <c r="A187" s="10" t="s">
        <v>18</v>
      </c>
      <c r="B187" s="10" t="s">
        <v>119</v>
      </c>
      <c r="C187" s="8" t="n">
        <v>64</v>
      </c>
      <c r="D187" s="8" t="n">
        <v>20</v>
      </c>
      <c r="E187" s="5" t="n">
        <v>3.006</v>
      </c>
      <c r="F187" s="10" t="s">
        <v>117</v>
      </c>
    </row>
    <row r="188" customFormat="false" ht="15" hidden="false" customHeight="false" outlineLevel="0" collapsed="false">
      <c r="A188" s="10" t="s">
        <v>18</v>
      </c>
      <c r="B188" s="10" t="s">
        <v>85</v>
      </c>
      <c r="C188" s="8" t="n">
        <v>91</v>
      </c>
      <c r="D188" s="8" t="n">
        <v>31</v>
      </c>
      <c r="E188" s="5" t="n">
        <v>3.227</v>
      </c>
      <c r="F188" s="10" t="s">
        <v>117</v>
      </c>
    </row>
    <row r="189" customFormat="false" ht="15" hidden="false" customHeight="false" outlineLevel="0" collapsed="false">
      <c r="A189" s="10" t="s">
        <v>18</v>
      </c>
      <c r="B189" s="10" t="s">
        <v>70</v>
      </c>
      <c r="C189" s="8" t="n">
        <v>106</v>
      </c>
      <c r="D189" s="8" t="n">
        <v>31</v>
      </c>
      <c r="E189" s="5" t="n">
        <v>3.598</v>
      </c>
      <c r="F189" s="10" t="s">
        <v>117</v>
      </c>
    </row>
    <row r="190" customFormat="false" ht="15" hidden="false" customHeight="false" outlineLevel="0" collapsed="false">
      <c r="A190" s="10" t="s">
        <v>18</v>
      </c>
      <c r="B190" s="10" t="s">
        <v>89</v>
      </c>
      <c r="C190" s="8" t="n">
        <v>59</v>
      </c>
      <c r="D190" s="8" t="n">
        <v>13</v>
      </c>
      <c r="E190" s="5" t="n">
        <v>2.801</v>
      </c>
      <c r="F190" s="10" t="s">
        <v>117</v>
      </c>
    </row>
    <row r="191" customFormat="false" ht="15" hidden="false" customHeight="false" outlineLevel="0" collapsed="false">
      <c r="A191" s="10" t="s">
        <v>18</v>
      </c>
      <c r="B191" s="10" t="s">
        <v>78</v>
      </c>
      <c r="C191" s="8" t="n">
        <v>128</v>
      </c>
      <c r="D191" s="8" t="n">
        <v>40</v>
      </c>
      <c r="E191" s="5" t="n">
        <v>3.346</v>
      </c>
      <c r="F191" s="10" t="s">
        <v>117</v>
      </c>
    </row>
    <row r="192" customFormat="false" ht="15" hidden="false" customHeight="false" outlineLevel="0" collapsed="false">
      <c r="A192" s="10" t="s">
        <v>18</v>
      </c>
      <c r="B192" s="10" t="s">
        <v>74</v>
      </c>
      <c r="C192" s="8"/>
      <c r="D192" s="8"/>
      <c r="E192" s="5"/>
      <c r="F192" s="10" t="s">
        <v>117</v>
      </c>
    </row>
    <row r="193" customFormat="false" ht="15" hidden="false" customHeight="false" outlineLevel="0" collapsed="false">
      <c r="A193" s="10" t="s">
        <v>18</v>
      </c>
      <c r="B193" s="10" t="s">
        <v>90</v>
      </c>
      <c r="C193" s="8" t="n">
        <v>49</v>
      </c>
      <c r="D193" s="8" t="n">
        <v>14</v>
      </c>
      <c r="E193" s="5" t="n">
        <v>2.798</v>
      </c>
      <c r="F193" s="10" t="s">
        <v>117</v>
      </c>
    </row>
    <row r="194" customFormat="false" ht="15" hidden="false" customHeight="false" outlineLevel="0" collapsed="false">
      <c r="A194" s="10" t="s">
        <v>18</v>
      </c>
      <c r="B194" s="10" t="s">
        <v>81</v>
      </c>
      <c r="C194" s="8" t="n">
        <v>79</v>
      </c>
      <c r="D194" s="8" t="n">
        <v>26</v>
      </c>
      <c r="E194" s="5" t="n">
        <v>3.267</v>
      </c>
      <c r="F194" s="10" t="s">
        <v>117</v>
      </c>
    </row>
    <row r="195" customFormat="false" ht="15" hidden="false" customHeight="false" outlineLevel="0" collapsed="false">
      <c r="A195" s="10" t="s">
        <v>18</v>
      </c>
      <c r="B195" s="10" t="s">
        <v>73</v>
      </c>
      <c r="C195" s="8" t="n">
        <v>134</v>
      </c>
      <c r="D195" s="8" t="n">
        <v>32</v>
      </c>
      <c r="E195" s="5" t="n">
        <v>3.43</v>
      </c>
      <c r="F195" s="10" t="s">
        <v>117</v>
      </c>
    </row>
    <row r="196" customFormat="false" ht="15" hidden="false" customHeight="false" outlineLevel="0" collapsed="false">
      <c r="A196" s="10" t="s">
        <v>18</v>
      </c>
      <c r="B196" s="10" t="s">
        <v>120</v>
      </c>
      <c r="C196" s="8" t="n">
        <v>51</v>
      </c>
      <c r="D196" s="8" t="n">
        <v>23</v>
      </c>
      <c r="E196" s="5" t="n">
        <v>2.644</v>
      </c>
      <c r="F196" s="10" t="s">
        <v>117</v>
      </c>
    </row>
    <row r="197" customFormat="false" ht="15" hidden="false" customHeight="false" outlineLevel="0" collapsed="false">
      <c r="A197" s="10" t="s">
        <v>18</v>
      </c>
      <c r="B197" s="10" t="s">
        <v>82</v>
      </c>
      <c r="C197" s="8" t="n">
        <v>121</v>
      </c>
      <c r="D197" s="8" t="n">
        <v>32</v>
      </c>
      <c r="E197" s="5" t="n">
        <v>3.296</v>
      </c>
      <c r="F197" s="10" t="s">
        <v>117</v>
      </c>
    </row>
    <row r="198" customFormat="false" ht="15" hidden="false" customHeight="false" outlineLevel="0" collapsed="false">
      <c r="A198" s="10" t="s">
        <v>18</v>
      </c>
      <c r="B198" s="10" t="s">
        <v>80</v>
      </c>
      <c r="C198" s="8" t="n">
        <v>11</v>
      </c>
      <c r="D198" s="8" t="n">
        <v>3</v>
      </c>
      <c r="E198" s="5" t="n">
        <v>3.009</v>
      </c>
      <c r="F198" s="10" t="s">
        <v>117</v>
      </c>
    </row>
    <row r="199" customFormat="false" ht="15" hidden="false" customHeight="false" outlineLevel="0" collapsed="false">
      <c r="A199" s="10" t="s">
        <v>18</v>
      </c>
      <c r="B199" s="10" t="s">
        <v>76</v>
      </c>
      <c r="C199" s="8" t="n">
        <v>84</v>
      </c>
      <c r="D199" s="8" t="n">
        <v>42</v>
      </c>
      <c r="E199" s="5" t="n">
        <v>3.247</v>
      </c>
      <c r="F199" s="10" t="s">
        <v>117</v>
      </c>
    </row>
    <row r="200" customFormat="false" ht="15" hidden="false" customHeight="false" outlineLevel="0" collapsed="false">
      <c r="A200" s="10" t="s">
        <v>18</v>
      </c>
      <c r="B200" s="10" t="s">
        <v>121</v>
      </c>
      <c r="C200" s="8" t="n">
        <v>43</v>
      </c>
      <c r="D200" s="8" t="n">
        <v>13</v>
      </c>
      <c r="E200" s="5" t="n">
        <v>2.864</v>
      </c>
      <c r="F200" s="10" t="s">
        <v>117</v>
      </c>
    </row>
    <row r="201" customFormat="false" ht="15" hidden="false" customHeight="false" outlineLevel="0" collapsed="false">
      <c r="A201" s="10" t="s">
        <v>18</v>
      </c>
      <c r="B201" s="10" t="s">
        <v>71</v>
      </c>
      <c r="C201" s="8" t="n">
        <v>143</v>
      </c>
      <c r="D201" s="8" t="n">
        <v>40</v>
      </c>
      <c r="E201" s="5" t="n">
        <v>3.459</v>
      </c>
      <c r="F201" s="10" t="s">
        <v>117</v>
      </c>
    </row>
    <row r="202" customFormat="false" ht="15" hidden="false" customHeight="false" outlineLevel="0" collapsed="false">
      <c r="A202" s="10" t="s">
        <v>18</v>
      </c>
      <c r="B202" s="10" t="s">
        <v>123</v>
      </c>
      <c r="C202" s="8" t="n">
        <v>16</v>
      </c>
      <c r="D202" s="8" t="n">
        <v>1</v>
      </c>
      <c r="E202" s="5" t="n">
        <v>2.888</v>
      </c>
      <c r="F202" s="10" t="s">
        <v>117</v>
      </c>
    </row>
    <row r="203" customFormat="false" ht="15" hidden="false" customHeight="false" outlineLevel="0" collapsed="false">
      <c r="A203" s="10" t="s">
        <v>18</v>
      </c>
      <c r="B203" s="10" t="s">
        <v>86</v>
      </c>
      <c r="C203" s="8" t="n">
        <v>74</v>
      </c>
      <c r="D203" s="8" t="n">
        <v>14</v>
      </c>
      <c r="E203" s="5" t="n">
        <v>3.167</v>
      </c>
      <c r="F203" s="10" t="s">
        <v>117</v>
      </c>
    </row>
    <row r="204" customFormat="false" ht="15" hidden="false" customHeight="false" outlineLevel="0" collapsed="false">
      <c r="A204" s="10" t="s">
        <v>18</v>
      </c>
      <c r="B204" s="10" t="s">
        <v>88</v>
      </c>
      <c r="C204" s="8" t="n">
        <v>21</v>
      </c>
      <c r="D204" s="8" t="n">
        <v>5</v>
      </c>
      <c r="E204" s="5" t="n">
        <v>3.055</v>
      </c>
      <c r="F204" s="10" t="s">
        <v>117</v>
      </c>
    </row>
    <row r="205" customFormat="false" ht="15" hidden="false" customHeight="false" outlineLevel="0" collapsed="false">
      <c r="A205" s="10" t="s">
        <v>19</v>
      </c>
      <c r="B205" s="10" t="s">
        <v>87</v>
      </c>
      <c r="C205" s="8" t="n">
        <v>45</v>
      </c>
      <c r="D205" s="8"/>
      <c r="E205" s="5" t="n">
        <v>3.126</v>
      </c>
      <c r="F205" s="10" t="s">
        <v>117</v>
      </c>
    </row>
    <row r="206" customFormat="false" ht="15" hidden="false" customHeight="false" outlineLevel="0" collapsed="false">
      <c r="A206" s="10" t="s">
        <v>19</v>
      </c>
      <c r="B206" s="10" t="s">
        <v>79</v>
      </c>
      <c r="C206" s="8" t="n">
        <v>90</v>
      </c>
      <c r="D206" s="8"/>
      <c r="E206" s="5" t="n">
        <v>3.367</v>
      </c>
      <c r="F206" s="10" t="s">
        <v>117</v>
      </c>
    </row>
    <row r="207" customFormat="false" ht="15" hidden="false" customHeight="false" outlineLevel="0" collapsed="false">
      <c r="A207" s="10" t="s">
        <v>19</v>
      </c>
      <c r="B207" s="10" t="s">
        <v>77</v>
      </c>
      <c r="C207" s="8" t="n">
        <v>79</v>
      </c>
      <c r="D207" s="8"/>
      <c r="E207" s="5" t="n">
        <v>3.214</v>
      </c>
      <c r="F207" s="10" t="s">
        <v>117</v>
      </c>
    </row>
    <row r="208" customFormat="false" ht="15" hidden="false" customHeight="false" outlineLevel="0" collapsed="false">
      <c r="A208" s="10" t="s">
        <v>19</v>
      </c>
      <c r="B208" s="10" t="s">
        <v>83</v>
      </c>
      <c r="C208" s="8" t="n">
        <v>116</v>
      </c>
      <c r="D208" s="8"/>
      <c r="E208" s="5" t="n">
        <v>3.142</v>
      </c>
      <c r="F208" s="10" t="s">
        <v>117</v>
      </c>
    </row>
    <row r="209" customFormat="false" ht="15" hidden="false" customHeight="false" outlineLevel="0" collapsed="false">
      <c r="A209" s="10" t="s">
        <v>19</v>
      </c>
      <c r="B209" s="10" t="s">
        <v>75</v>
      </c>
      <c r="C209" s="8" t="n">
        <v>11</v>
      </c>
      <c r="D209" s="8"/>
      <c r="E209" s="5" t="n">
        <v>3.298</v>
      </c>
      <c r="F209" s="10" t="s">
        <v>117</v>
      </c>
    </row>
    <row r="210" customFormat="false" ht="15" hidden="false" customHeight="false" outlineLevel="0" collapsed="false">
      <c r="A210" s="10" t="s">
        <v>19</v>
      </c>
      <c r="B210" s="10" t="s">
        <v>72</v>
      </c>
      <c r="C210" s="8" t="n">
        <v>108</v>
      </c>
      <c r="D210" s="8"/>
      <c r="E210" s="5" t="n">
        <v>3.446</v>
      </c>
      <c r="F210" s="10" t="s">
        <v>117</v>
      </c>
    </row>
    <row r="211" customFormat="false" ht="15" hidden="false" customHeight="false" outlineLevel="0" collapsed="false">
      <c r="A211" s="10" t="s">
        <v>19</v>
      </c>
      <c r="B211" s="10" t="s">
        <v>92</v>
      </c>
      <c r="C211" s="8" t="n">
        <v>12</v>
      </c>
      <c r="D211" s="8"/>
      <c r="E211" s="5" t="n">
        <v>3.632</v>
      </c>
      <c r="F211" s="10" t="s">
        <v>117</v>
      </c>
    </row>
    <row r="212" customFormat="false" ht="15" hidden="false" customHeight="false" outlineLevel="0" collapsed="false">
      <c r="A212" s="10" t="s">
        <v>19</v>
      </c>
      <c r="B212" s="10" t="s">
        <v>125</v>
      </c>
      <c r="C212" s="8" t="n">
        <v>17</v>
      </c>
      <c r="D212" s="8"/>
      <c r="E212" s="5" t="n">
        <v>3.263</v>
      </c>
      <c r="F212" s="10" t="s">
        <v>117</v>
      </c>
    </row>
    <row r="213" customFormat="false" ht="15" hidden="false" customHeight="false" outlineLevel="0" collapsed="false">
      <c r="A213" s="10" t="s">
        <v>19</v>
      </c>
      <c r="B213" s="10" t="s">
        <v>119</v>
      </c>
      <c r="C213" s="8" t="n">
        <v>63</v>
      </c>
      <c r="D213" s="8"/>
      <c r="E213" s="5" t="n">
        <v>3.29</v>
      </c>
      <c r="F213" s="10" t="s">
        <v>117</v>
      </c>
    </row>
    <row r="214" customFormat="false" ht="15" hidden="false" customHeight="false" outlineLevel="0" collapsed="false">
      <c r="A214" s="10" t="s">
        <v>19</v>
      </c>
      <c r="B214" s="10" t="s">
        <v>85</v>
      </c>
      <c r="C214" s="8" t="n">
        <v>90</v>
      </c>
      <c r="D214" s="8"/>
      <c r="E214" s="5" t="n">
        <v>3.263</v>
      </c>
      <c r="F214" s="10" t="s">
        <v>117</v>
      </c>
    </row>
    <row r="215" customFormat="false" ht="15" hidden="false" customHeight="false" outlineLevel="0" collapsed="false">
      <c r="A215" s="10" t="s">
        <v>19</v>
      </c>
      <c r="B215" s="10" t="s">
        <v>70</v>
      </c>
      <c r="C215" s="8" t="n">
        <v>103</v>
      </c>
      <c r="D215" s="8"/>
      <c r="E215" s="5" t="n">
        <v>3.6</v>
      </c>
      <c r="F215" s="10" t="s">
        <v>117</v>
      </c>
    </row>
    <row r="216" customFormat="false" ht="15" hidden="false" customHeight="false" outlineLevel="0" collapsed="false">
      <c r="A216" s="10" t="s">
        <v>19</v>
      </c>
      <c r="B216" s="10" t="s">
        <v>89</v>
      </c>
      <c r="C216" s="8" t="n">
        <v>42</v>
      </c>
      <c r="D216" s="8"/>
      <c r="E216" s="5" t="n">
        <v>2.901</v>
      </c>
      <c r="F216" s="10" t="s">
        <v>117</v>
      </c>
    </row>
    <row r="217" customFormat="false" ht="15" hidden="false" customHeight="false" outlineLevel="0" collapsed="false">
      <c r="A217" s="10" t="s">
        <v>19</v>
      </c>
      <c r="B217" s="10" t="s">
        <v>78</v>
      </c>
      <c r="C217" s="8" t="n">
        <v>128</v>
      </c>
      <c r="D217" s="8"/>
      <c r="E217" s="5" t="n">
        <v>3.352</v>
      </c>
      <c r="F217" s="10" t="s">
        <v>117</v>
      </c>
    </row>
    <row r="218" customFormat="false" ht="15" hidden="false" customHeight="false" outlineLevel="0" collapsed="false">
      <c r="A218" s="10" t="s">
        <v>19</v>
      </c>
      <c r="B218" s="10" t="s">
        <v>74</v>
      </c>
      <c r="C218" s="8"/>
      <c r="D218" s="8"/>
      <c r="E218" s="5"/>
      <c r="F218" s="10" t="s">
        <v>117</v>
      </c>
    </row>
    <row r="219" customFormat="false" ht="15" hidden="false" customHeight="false" outlineLevel="0" collapsed="false">
      <c r="A219" s="10" t="s">
        <v>19</v>
      </c>
      <c r="B219" s="10" t="s">
        <v>90</v>
      </c>
      <c r="C219" s="8" t="n">
        <v>52</v>
      </c>
      <c r="D219" s="8"/>
      <c r="E219" s="5" t="n">
        <v>2.841</v>
      </c>
      <c r="F219" s="10" t="s">
        <v>117</v>
      </c>
    </row>
    <row r="220" customFormat="false" ht="15" hidden="false" customHeight="false" outlineLevel="0" collapsed="false">
      <c r="A220" s="10" t="s">
        <v>19</v>
      </c>
      <c r="B220" s="10" t="s">
        <v>81</v>
      </c>
      <c r="C220" s="8" t="n">
        <v>81</v>
      </c>
      <c r="D220" s="8"/>
      <c r="E220" s="5" t="n">
        <v>3.505</v>
      </c>
      <c r="F220" s="10" t="s">
        <v>117</v>
      </c>
    </row>
    <row r="221" customFormat="false" ht="15" hidden="false" customHeight="false" outlineLevel="0" collapsed="false">
      <c r="A221" s="10" t="s">
        <v>19</v>
      </c>
      <c r="B221" s="10" t="s">
        <v>73</v>
      </c>
      <c r="C221" s="8" t="n">
        <v>143</v>
      </c>
      <c r="D221" s="8"/>
      <c r="E221" s="5" t="n">
        <v>3.478</v>
      </c>
      <c r="F221" s="10" t="s">
        <v>117</v>
      </c>
    </row>
    <row r="222" customFormat="false" ht="15" hidden="false" customHeight="false" outlineLevel="0" collapsed="false">
      <c r="A222" s="10" t="s">
        <v>19</v>
      </c>
      <c r="B222" s="10" t="s">
        <v>120</v>
      </c>
      <c r="C222" s="8" t="n">
        <v>46</v>
      </c>
      <c r="D222" s="8"/>
      <c r="E222" s="5" t="n">
        <v>2.793</v>
      </c>
      <c r="F222" s="10" t="s">
        <v>117</v>
      </c>
    </row>
    <row r="223" customFormat="false" ht="15" hidden="false" customHeight="false" outlineLevel="0" collapsed="false">
      <c r="A223" s="10" t="s">
        <v>19</v>
      </c>
      <c r="B223" s="10" t="s">
        <v>82</v>
      </c>
      <c r="C223" s="8" t="n">
        <v>123</v>
      </c>
      <c r="D223" s="8"/>
      <c r="E223" s="5" t="n">
        <v>3.266</v>
      </c>
      <c r="F223" s="10" t="s">
        <v>117</v>
      </c>
    </row>
    <row r="224" customFormat="false" ht="15" hidden="false" customHeight="false" outlineLevel="0" collapsed="false">
      <c r="A224" s="10" t="s">
        <v>19</v>
      </c>
      <c r="B224" s="10" t="s">
        <v>80</v>
      </c>
      <c r="C224" s="8" t="n">
        <v>11</v>
      </c>
      <c r="D224" s="8"/>
      <c r="E224" s="5" t="n">
        <v>2.979</v>
      </c>
      <c r="F224" s="10" t="s">
        <v>117</v>
      </c>
    </row>
    <row r="225" customFormat="false" ht="15" hidden="false" customHeight="false" outlineLevel="0" collapsed="false">
      <c r="A225" s="10" t="s">
        <v>19</v>
      </c>
      <c r="B225" s="10" t="s">
        <v>76</v>
      </c>
      <c r="C225" s="8" t="n">
        <v>74</v>
      </c>
      <c r="D225" s="8"/>
      <c r="E225" s="5" t="n">
        <v>3.428</v>
      </c>
      <c r="F225" s="10" t="s">
        <v>117</v>
      </c>
    </row>
    <row r="226" customFormat="false" ht="15" hidden="false" customHeight="false" outlineLevel="0" collapsed="false">
      <c r="A226" s="10" t="s">
        <v>19</v>
      </c>
      <c r="B226" s="10" t="s">
        <v>121</v>
      </c>
      <c r="C226" s="8" t="n">
        <v>48</v>
      </c>
      <c r="D226" s="8"/>
      <c r="E226" s="5" t="n">
        <v>2.884</v>
      </c>
      <c r="F226" s="10" t="s">
        <v>117</v>
      </c>
    </row>
    <row r="227" customFormat="false" ht="15" hidden="false" customHeight="false" outlineLevel="0" collapsed="false">
      <c r="A227" s="10" t="s">
        <v>19</v>
      </c>
      <c r="B227" s="10" t="s">
        <v>71</v>
      </c>
      <c r="C227" s="8" t="n">
        <v>133</v>
      </c>
      <c r="D227" s="8"/>
      <c r="E227" s="5" t="n">
        <v>3.527</v>
      </c>
      <c r="F227" s="10" t="s">
        <v>117</v>
      </c>
    </row>
    <row r="228" customFormat="false" ht="15" hidden="false" customHeight="false" outlineLevel="0" collapsed="false">
      <c r="A228" s="10" t="s">
        <v>19</v>
      </c>
      <c r="B228" s="10" t="s">
        <v>123</v>
      </c>
      <c r="C228" s="8" t="n">
        <v>8</v>
      </c>
      <c r="D228" s="8"/>
      <c r="E228" s="5" t="n">
        <v>2.755</v>
      </c>
      <c r="F228" s="10" t="s">
        <v>117</v>
      </c>
    </row>
    <row r="229" customFormat="false" ht="15" hidden="false" customHeight="false" outlineLevel="0" collapsed="false">
      <c r="A229" s="10" t="s">
        <v>19</v>
      </c>
      <c r="B229" s="10" t="s">
        <v>86</v>
      </c>
      <c r="C229" s="8" t="n">
        <v>68</v>
      </c>
      <c r="D229" s="19" t="n">
        <v>4</v>
      </c>
      <c r="E229" s="5" t="n">
        <v>3.316</v>
      </c>
      <c r="F229" s="10" t="s">
        <v>124</v>
      </c>
    </row>
    <row r="230" customFormat="false" ht="15" hidden="false" customHeight="false" outlineLevel="0" collapsed="false">
      <c r="A230" s="10" t="s">
        <v>19</v>
      </c>
      <c r="B230" s="10" t="s">
        <v>88</v>
      </c>
      <c r="C230" s="8" t="n">
        <v>23</v>
      </c>
      <c r="D230" s="8"/>
      <c r="E230" s="5" t="n">
        <v>3.223</v>
      </c>
      <c r="F230" s="10" t="s">
        <v>117</v>
      </c>
    </row>
    <row r="231" customFormat="false" ht="15" hidden="false" customHeight="false" outlineLevel="0" collapsed="false">
      <c r="A231" s="10" t="s">
        <v>20</v>
      </c>
      <c r="B231" s="10" t="s">
        <v>87</v>
      </c>
      <c r="C231" s="8" t="n">
        <v>39</v>
      </c>
      <c r="D231" s="8" t="n">
        <v>7</v>
      </c>
      <c r="E231" s="5" t="n">
        <v>3.17</v>
      </c>
      <c r="F231" s="10" t="s">
        <v>117</v>
      </c>
    </row>
    <row r="232" customFormat="false" ht="15" hidden="false" customHeight="false" outlineLevel="0" collapsed="false">
      <c r="A232" s="10" t="s">
        <v>20</v>
      </c>
      <c r="B232" s="10" t="s">
        <v>79</v>
      </c>
      <c r="C232" s="8" t="n">
        <v>97</v>
      </c>
      <c r="D232" s="8" t="n">
        <v>23</v>
      </c>
      <c r="E232" s="5" t="n">
        <v>3.295</v>
      </c>
      <c r="F232" s="10" t="s">
        <v>117</v>
      </c>
    </row>
    <row r="233" customFormat="false" ht="15" hidden="false" customHeight="false" outlineLevel="0" collapsed="false">
      <c r="A233" s="10" t="s">
        <v>20</v>
      </c>
      <c r="B233" s="10" t="s">
        <v>77</v>
      </c>
      <c r="C233" s="8" t="n">
        <v>91</v>
      </c>
      <c r="D233" s="8" t="n">
        <v>32</v>
      </c>
      <c r="E233" s="5" t="n">
        <v>3.389</v>
      </c>
      <c r="F233" s="10" t="s">
        <v>117</v>
      </c>
    </row>
    <row r="234" customFormat="false" ht="15" hidden="false" customHeight="false" outlineLevel="0" collapsed="false">
      <c r="A234" s="10" t="s">
        <v>20</v>
      </c>
      <c r="B234" s="10" t="s">
        <v>83</v>
      </c>
      <c r="C234" s="8" t="n">
        <v>118</v>
      </c>
      <c r="D234" s="8" t="n">
        <v>35</v>
      </c>
      <c r="E234" s="5" t="n">
        <v>3.061</v>
      </c>
      <c r="F234" s="10" t="s">
        <v>117</v>
      </c>
    </row>
    <row r="235" customFormat="false" ht="15" hidden="false" customHeight="false" outlineLevel="0" collapsed="false">
      <c r="A235" s="10" t="s">
        <v>20</v>
      </c>
      <c r="B235" s="10" t="s">
        <v>75</v>
      </c>
      <c r="C235" s="8" t="n">
        <v>16</v>
      </c>
      <c r="D235" s="8" t="n">
        <v>8</v>
      </c>
      <c r="E235" s="5" t="n">
        <v>3.55</v>
      </c>
      <c r="F235" s="10" t="s">
        <v>117</v>
      </c>
    </row>
    <row r="236" customFormat="false" ht="15" hidden="false" customHeight="false" outlineLevel="0" collapsed="false">
      <c r="A236" s="10" t="s">
        <v>20</v>
      </c>
      <c r="B236" s="10" t="s">
        <v>72</v>
      </c>
      <c r="C236" s="8" t="n">
        <v>105</v>
      </c>
      <c r="D236" s="8" t="n">
        <v>34</v>
      </c>
      <c r="E236" s="5" t="n">
        <v>3.572</v>
      </c>
      <c r="F236" s="10" t="s">
        <v>117</v>
      </c>
    </row>
    <row r="237" customFormat="false" ht="15" hidden="false" customHeight="false" outlineLevel="0" collapsed="false">
      <c r="A237" s="10" t="s">
        <v>20</v>
      </c>
      <c r="B237" s="10" t="s">
        <v>92</v>
      </c>
      <c r="C237" s="8" t="n">
        <v>17</v>
      </c>
      <c r="D237" s="8" t="n">
        <v>3</v>
      </c>
      <c r="E237" s="5" t="n">
        <v>3.379</v>
      </c>
      <c r="F237" s="10" t="s">
        <v>117</v>
      </c>
    </row>
    <row r="238" customFormat="false" ht="15" hidden="false" customHeight="false" outlineLevel="0" collapsed="false">
      <c r="A238" s="10" t="s">
        <v>20</v>
      </c>
      <c r="B238" s="10" t="s">
        <v>125</v>
      </c>
      <c r="C238" s="8" t="n">
        <v>25</v>
      </c>
      <c r="D238" s="8" t="n">
        <v>6</v>
      </c>
      <c r="E238" s="5" t="n">
        <v>3.146</v>
      </c>
      <c r="F238" s="10" t="s">
        <v>117</v>
      </c>
    </row>
    <row r="239" customFormat="false" ht="15" hidden="false" customHeight="false" outlineLevel="0" collapsed="false">
      <c r="A239" s="10" t="s">
        <v>20</v>
      </c>
      <c r="B239" s="10" t="s">
        <v>119</v>
      </c>
      <c r="C239" s="8" t="n">
        <v>83</v>
      </c>
      <c r="D239" s="8" t="n">
        <v>22</v>
      </c>
      <c r="E239" s="5" t="n">
        <v>3.156</v>
      </c>
      <c r="F239" s="10" t="s">
        <v>117</v>
      </c>
    </row>
    <row r="240" customFormat="false" ht="15" hidden="false" customHeight="false" outlineLevel="0" collapsed="false">
      <c r="A240" s="10" t="s">
        <v>20</v>
      </c>
      <c r="B240" s="10" t="s">
        <v>85</v>
      </c>
      <c r="C240" s="8" t="n">
        <v>50</v>
      </c>
      <c r="D240" s="8" t="n">
        <v>8</v>
      </c>
      <c r="E240" s="5" t="n">
        <v>3.255</v>
      </c>
      <c r="F240" s="10" t="s">
        <v>117</v>
      </c>
    </row>
    <row r="241" customFormat="false" ht="15" hidden="false" customHeight="false" outlineLevel="0" collapsed="false">
      <c r="A241" s="10" t="s">
        <v>20</v>
      </c>
      <c r="B241" s="10" t="s">
        <v>70</v>
      </c>
      <c r="C241" s="8" t="n">
        <v>104</v>
      </c>
      <c r="D241" s="8" t="n">
        <v>22</v>
      </c>
      <c r="E241" s="5" t="n">
        <v>3.758</v>
      </c>
      <c r="F241" s="10" t="s">
        <v>117</v>
      </c>
    </row>
    <row r="242" customFormat="false" ht="15" hidden="false" customHeight="false" outlineLevel="0" collapsed="false">
      <c r="A242" s="10" t="s">
        <v>20</v>
      </c>
      <c r="B242" s="10" t="s">
        <v>89</v>
      </c>
      <c r="C242" s="8" t="n">
        <v>49</v>
      </c>
      <c r="D242" s="8" t="n">
        <v>1</v>
      </c>
      <c r="E242" s="5" t="n">
        <v>2.724</v>
      </c>
      <c r="F242" s="10" t="s">
        <v>117</v>
      </c>
    </row>
    <row r="243" customFormat="false" ht="15" hidden="false" customHeight="false" outlineLevel="0" collapsed="false">
      <c r="A243" s="10" t="s">
        <v>20</v>
      </c>
      <c r="B243" s="10" t="s">
        <v>78</v>
      </c>
      <c r="C243" s="8" t="n">
        <v>153</v>
      </c>
      <c r="D243" s="8" t="n">
        <v>45</v>
      </c>
      <c r="E243" s="5" t="n">
        <v>3.224</v>
      </c>
      <c r="F243" s="10" t="s">
        <v>117</v>
      </c>
    </row>
    <row r="244" customFormat="false" ht="15" hidden="false" customHeight="false" outlineLevel="0" collapsed="false">
      <c r="A244" s="10" t="s">
        <v>20</v>
      </c>
      <c r="B244" s="10" t="s">
        <v>74</v>
      </c>
      <c r="C244" s="8"/>
      <c r="D244" s="8"/>
      <c r="E244" s="5"/>
      <c r="F244" s="10" t="s">
        <v>117</v>
      </c>
    </row>
    <row r="245" customFormat="false" ht="15" hidden="false" customHeight="false" outlineLevel="0" collapsed="false">
      <c r="A245" s="10" t="s">
        <v>20</v>
      </c>
      <c r="B245" s="10" t="s">
        <v>90</v>
      </c>
      <c r="C245" s="8" t="n">
        <v>50</v>
      </c>
      <c r="D245" s="8" t="n">
        <v>11</v>
      </c>
      <c r="E245" s="5" t="n">
        <v>2.681</v>
      </c>
      <c r="F245" s="10" t="s">
        <v>117</v>
      </c>
    </row>
    <row r="246" customFormat="false" ht="15" hidden="false" customHeight="false" outlineLevel="0" collapsed="false">
      <c r="A246" s="10" t="s">
        <v>20</v>
      </c>
      <c r="B246" s="10" t="s">
        <v>81</v>
      </c>
      <c r="C246" s="8" t="n">
        <v>83</v>
      </c>
      <c r="D246" s="8" t="n">
        <v>21</v>
      </c>
      <c r="E246" s="5" t="n">
        <v>3.508</v>
      </c>
      <c r="F246" s="10" t="s">
        <v>117</v>
      </c>
    </row>
    <row r="247" customFormat="false" ht="15" hidden="false" customHeight="false" outlineLevel="0" collapsed="false">
      <c r="A247" s="10" t="s">
        <v>20</v>
      </c>
      <c r="B247" s="10" t="s">
        <v>73</v>
      </c>
      <c r="C247" s="8" t="n">
        <v>139</v>
      </c>
      <c r="D247" s="8" t="n">
        <v>25</v>
      </c>
      <c r="E247" s="5" t="n">
        <v>3.48</v>
      </c>
      <c r="F247" s="10" t="s">
        <v>117</v>
      </c>
    </row>
    <row r="248" customFormat="false" ht="15" hidden="false" customHeight="false" outlineLevel="0" collapsed="false">
      <c r="A248" s="10" t="s">
        <v>20</v>
      </c>
      <c r="B248" s="10" t="s">
        <v>120</v>
      </c>
      <c r="C248" s="8" t="n">
        <v>53</v>
      </c>
      <c r="D248" s="8" t="n">
        <v>27</v>
      </c>
      <c r="E248" s="5" t="n">
        <v>2.64</v>
      </c>
      <c r="F248" s="10" t="s">
        <v>117</v>
      </c>
    </row>
    <row r="249" customFormat="false" ht="15" hidden="false" customHeight="false" outlineLevel="0" collapsed="false">
      <c r="A249" s="10" t="s">
        <v>20</v>
      </c>
      <c r="B249" s="10" t="s">
        <v>82</v>
      </c>
      <c r="C249" s="8" t="n">
        <v>127</v>
      </c>
      <c r="D249" s="8" t="n">
        <v>35</v>
      </c>
      <c r="E249" s="5" t="n">
        <v>3.228</v>
      </c>
      <c r="F249" s="10" t="s">
        <v>117</v>
      </c>
    </row>
    <row r="250" customFormat="false" ht="15" hidden="false" customHeight="false" outlineLevel="0" collapsed="false">
      <c r="A250" s="10" t="s">
        <v>20</v>
      </c>
      <c r="B250" s="10" t="s">
        <v>80</v>
      </c>
      <c r="C250" s="8" t="n">
        <v>12</v>
      </c>
      <c r="D250" s="8" t="n">
        <v>3</v>
      </c>
      <c r="E250" s="5" t="n">
        <v>3.319</v>
      </c>
      <c r="F250" s="10" t="s">
        <v>117</v>
      </c>
    </row>
    <row r="251" customFormat="false" ht="15" hidden="false" customHeight="false" outlineLevel="0" collapsed="false">
      <c r="A251" s="10" t="s">
        <v>20</v>
      </c>
      <c r="B251" s="10" t="s">
        <v>76</v>
      </c>
      <c r="C251" s="8" t="n">
        <v>96</v>
      </c>
      <c r="D251" s="8" t="n">
        <v>40</v>
      </c>
      <c r="E251" s="5" t="n">
        <v>3.325</v>
      </c>
      <c r="F251" s="10" t="s">
        <v>117</v>
      </c>
    </row>
    <row r="252" customFormat="false" ht="15" hidden="false" customHeight="false" outlineLevel="0" collapsed="false">
      <c r="A252" s="10" t="s">
        <v>20</v>
      </c>
      <c r="B252" s="10" t="s">
        <v>121</v>
      </c>
      <c r="C252" s="8" t="n">
        <v>37</v>
      </c>
      <c r="D252" s="8" t="n">
        <v>1</v>
      </c>
      <c r="E252" s="5" t="n">
        <v>2.827</v>
      </c>
      <c r="F252" s="10" t="s">
        <v>117</v>
      </c>
    </row>
    <row r="253" customFormat="false" ht="15" hidden="false" customHeight="false" outlineLevel="0" collapsed="false">
      <c r="A253" s="10" t="s">
        <v>20</v>
      </c>
      <c r="B253" s="10" t="s">
        <v>71</v>
      </c>
      <c r="C253" s="8" t="n">
        <v>146</v>
      </c>
      <c r="D253" s="8" t="n">
        <v>43</v>
      </c>
      <c r="E253" s="5" t="n">
        <v>3.533</v>
      </c>
      <c r="F253" s="10" t="s">
        <v>117</v>
      </c>
    </row>
    <row r="254" customFormat="false" ht="15" hidden="false" customHeight="false" outlineLevel="0" collapsed="false">
      <c r="A254" s="10" t="s">
        <v>20</v>
      </c>
      <c r="B254" s="10" t="s">
        <v>123</v>
      </c>
      <c r="C254" s="8"/>
      <c r="D254" s="8"/>
      <c r="E254" s="5"/>
      <c r="F254" s="10" t="s">
        <v>117</v>
      </c>
    </row>
    <row r="255" customFormat="false" ht="15" hidden="false" customHeight="false" outlineLevel="0" collapsed="false">
      <c r="A255" s="10" t="s">
        <v>20</v>
      </c>
      <c r="B255" s="10" t="s">
        <v>86</v>
      </c>
      <c r="C255" s="8" t="n">
        <v>71</v>
      </c>
      <c r="D255" s="8" t="n">
        <v>17</v>
      </c>
      <c r="E255" s="5" t="n">
        <v>3.096</v>
      </c>
      <c r="F255" s="10" t="s">
        <v>117</v>
      </c>
    </row>
    <row r="256" customFormat="false" ht="15" hidden="false" customHeight="false" outlineLevel="0" collapsed="false">
      <c r="A256" s="10" t="s">
        <v>20</v>
      </c>
      <c r="B256" s="10" t="s">
        <v>88</v>
      </c>
      <c r="C256" s="8" t="n">
        <v>21</v>
      </c>
      <c r="D256" s="8" t="n">
        <v>6</v>
      </c>
      <c r="E256" s="5" t="n">
        <v>3.058</v>
      </c>
      <c r="F256" s="10" t="s">
        <v>117</v>
      </c>
    </row>
    <row r="257" customFormat="false" ht="15" hidden="false" customHeight="false" outlineLevel="0" collapsed="false">
      <c r="A257" s="10" t="s">
        <v>21</v>
      </c>
      <c r="B257" s="10" t="s">
        <v>87</v>
      </c>
      <c r="C257" s="8" t="n">
        <v>39</v>
      </c>
      <c r="D257" s="8" t="n">
        <v>1</v>
      </c>
      <c r="E257" s="5" t="n">
        <v>3.441</v>
      </c>
      <c r="F257" s="10" t="s">
        <v>117</v>
      </c>
    </row>
    <row r="258" customFormat="false" ht="15" hidden="false" customHeight="false" outlineLevel="0" collapsed="false">
      <c r="A258" s="10" t="s">
        <v>21</v>
      </c>
      <c r="B258" s="10" t="s">
        <v>79</v>
      </c>
      <c r="C258" s="8" t="n">
        <v>96</v>
      </c>
      <c r="D258" s="8" t="n">
        <v>2</v>
      </c>
      <c r="E258" s="5" t="n">
        <v>3.326</v>
      </c>
      <c r="F258" s="10" t="s">
        <v>117</v>
      </c>
    </row>
    <row r="259" customFormat="false" ht="15" hidden="false" customHeight="false" outlineLevel="0" collapsed="false">
      <c r="A259" s="10" t="s">
        <v>21</v>
      </c>
      <c r="B259" s="10" t="s">
        <v>77</v>
      </c>
      <c r="C259" s="8" t="n">
        <v>88</v>
      </c>
      <c r="D259" s="8"/>
      <c r="E259" s="5" t="n">
        <v>3.416</v>
      </c>
      <c r="F259" s="10" t="s">
        <v>117</v>
      </c>
    </row>
    <row r="260" customFormat="false" ht="15" hidden="false" customHeight="false" outlineLevel="0" collapsed="false">
      <c r="A260" s="10" t="s">
        <v>21</v>
      </c>
      <c r="B260" s="10" t="s">
        <v>83</v>
      </c>
      <c r="C260" s="8" t="n">
        <v>106</v>
      </c>
      <c r="D260" s="8" t="n">
        <v>6</v>
      </c>
      <c r="E260" s="5" t="n">
        <v>3.176</v>
      </c>
      <c r="F260" s="10" t="s">
        <v>117</v>
      </c>
    </row>
    <row r="261" customFormat="false" ht="15" hidden="false" customHeight="false" outlineLevel="0" collapsed="false">
      <c r="A261" s="10" t="s">
        <v>21</v>
      </c>
      <c r="B261" s="10" t="s">
        <v>75</v>
      </c>
      <c r="C261" s="8" t="n">
        <v>12</v>
      </c>
      <c r="D261" s="8"/>
      <c r="E261" s="5" t="n">
        <v>3.287</v>
      </c>
      <c r="F261" s="10" t="s">
        <v>117</v>
      </c>
    </row>
    <row r="262" customFormat="false" ht="15" hidden="false" customHeight="false" outlineLevel="0" collapsed="false">
      <c r="A262" s="10" t="s">
        <v>21</v>
      </c>
      <c r="B262" s="10" t="s">
        <v>72</v>
      </c>
      <c r="C262" s="8" t="n">
        <v>101</v>
      </c>
      <c r="D262" s="8"/>
      <c r="E262" s="5" t="n">
        <v>3.539</v>
      </c>
      <c r="F262" s="10" t="s">
        <v>117</v>
      </c>
    </row>
    <row r="263" customFormat="false" ht="15" hidden="false" customHeight="false" outlineLevel="0" collapsed="false">
      <c r="A263" s="10" t="s">
        <v>21</v>
      </c>
      <c r="B263" s="10" t="s">
        <v>92</v>
      </c>
      <c r="C263" s="8" t="n">
        <v>17</v>
      </c>
      <c r="D263" s="8"/>
      <c r="E263" s="5" t="n">
        <v>3.288</v>
      </c>
      <c r="F263" s="10" t="s">
        <v>117</v>
      </c>
    </row>
    <row r="264" customFormat="false" ht="15" hidden="false" customHeight="false" outlineLevel="0" collapsed="false">
      <c r="A264" s="10" t="s">
        <v>21</v>
      </c>
      <c r="B264" s="10" t="s">
        <v>125</v>
      </c>
      <c r="C264" s="8" t="n">
        <v>23</v>
      </c>
      <c r="D264" s="8"/>
      <c r="E264" s="5" t="n">
        <v>3.225</v>
      </c>
      <c r="F264" s="10" t="s">
        <v>117</v>
      </c>
    </row>
    <row r="265" customFormat="false" ht="15" hidden="false" customHeight="false" outlineLevel="0" collapsed="false">
      <c r="A265" s="10" t="s">
        <v>21</v>
      </c>
      <c r="B265" s="10" t="s">
        <v>119</v>
      </c>
      <c r="C265" s="8" t="n">
        <v>83</v>
      </c>
      <c r="D265" s="8" t="n">
        <v>10</v>
      </c>
      <c r="E265" s="5" t="n">
        <v>3.23</v>
      </c>
      <c r="F265" s="10" t="s">
        <v>117</v>
      </c>
    </row>
    <row r="266" customFormat="false" ht="15" hidden="false" customHeight="false" outlineLevel="0" collapsed="false">
      <c r="A266" s="10" t="s">
        <v>21</v>
      </c>
      <c r="B266" s="10" t="s">
        <v>85</v>
      </c>
      <c r="C266" s="8" t="n">
        <v>47</v>
      </c>
      <c r="D266" s="8" t="n">
        <v>2</v>
      </c>
      <c r="E266" s="5" t="n">
        <v>3.427</v>
      </c>
      <c r="F266" s="10" t="s">
        <v>117</v>
      </c>
    </row>
    <row r="267" customFormat="false" ht="15" hidden="false" customHeight="false" outlineLevel="0" collapsed="false">
      <c r="A267" s="10" t="s">
        <v>21</v>
      </c>
      <c r="B267" s="10" t="s">
        <v>70</v>
      </c>
      <c r="C267" s="8" t="n">
        <v>103</v>
      </c>
      <c r="D267" s="8" t="n">
        <v>4</v>
      </c>
      <c r="E267" s="5" t="n">
        <v>3.695</v>
      </c>
      <c r="F267" s="10" t="s">
        <v>117</v>
      </c>
    </row>
    <row r="268" customFormat="false" ht="15" hidden="false" customHeight="false" outlineLevel="0" collapsed="false">
      <c r="A268" s="10" t="s">
        <v>21</v>
      </c>
      <c r="B268" s="10" t="s">
        <v>89</v>
      </c>
      <c r="C268" s="8" t="n">
        <v>44</v>
      </c>
      <c r="D268" s="8" t="n">
        <v>9</v>
      </c>
      <c r="E268" s="5" t="n">
        <v>2.878</v>
      </c>
      <c r="F268" s="10" t="s">
        <v>117</v>
      </c>
    </row>
    <row r="269" customFormat="false" ht="15" hidden="false" customHeight="false" outlineLevel="0" collapsed="false">
      <c r="A269" s="10" t="s">
        <v>21</v>
      </c>
      <c r="B269" s="10" t="s">
        <v>78</v>
      </c>
      <c r="C269" s="8" t="n">
        <v>135</v>
      </c>
      <c r="D269" s="8" t="n">
        <v>5</v>
      </c>
      <c r="E269" s="5" t="n">
        <v>3.315</v>
      </c>
      <c r="F269" s="10" t="s">
        <v>117</v>
      </c>
    </row>
    <row r="270" customFormat="false" ht="15" hidden="false" customHeight="false" outlineLevel="0" collapsed="false">
      <c r="A270" s="10" t="s">
        <v>21</v>
      </c>
      <c r="B270" s="10" t="s">
        <v>90</v>
      </c>
      <c r="C270" s="8" t="n">
        <v>35</v>
      </c>
      <c r="D270" s="8" t="n">
        <v>2</v>
      </c>
      <c r="E270" s="5" t="n">
        <v>2.974</v>
      </c>
      <c r="F270" s="10" t="s">
        <v>117</v>
      </c>
    </row>
    <row r="271" customFormat="false" ht="15" hidden="false" customHeight="false" outlineLevel="0" collapsed="false">
      <c r="A271" s="10" t="s">
        <v>21</v>
      </c>
      <c r="B271" s="10" t="s">
        <v>81</v>
      </c>
      <c r="C271" s="8" t="n">
        <v>81</v>
      </c>
      <c r="D271" s="8"/>
      <c r="E271" s="5" t="n">
        <v>3.529</v>
      </c>
      <c r="F271" s="10" t="s">
        <v>117</v>
      </c>
    </row>
    <row r="272" customFormat="false" ht="15" hidden="false" customHeight="false" outlineLevel="0" collapsed="false">
      <c r="A272" s="10" t="s">
        <v>21</v>
      </c>
      <c r="B272" s="10" t="s">
        <v>73</v>
      </c>
      <c r="C272" s="8" t="n">
        <v>134</v>
      </c>
      <c r="D272" s="8" t="n">
        <v>21</v>
      </c>
      <c r="E272" s="5" t="n">
        <v>3.58</v>
      </c>
      <c r="F272" s="10" t="s">
        <v>117</v>
      </c>
    </row>
    <row r="273" customFormat="false" ht="15" hidden="false" customHeight="false" outlineLevel="0" collapsed="false">
      <c r="A273" s="10" t="s">
        <v>21</v>
      </c>
      <c r="B273" s="10" t="s">
        <v>120</v>
      </c>
      <c r="C273" s="8" t="n">
        <v>51</v>
      </c>
      <c r="D273" s="8" t="n">
        <v>10</v>
      </c>
      <c r="E273" s="5" t="n">
        <v>2.964</v>
      </c>
      <c r="F273" s="10" t="s">
        <v>117</v>
      </c>
    </row>
    <row r="274" customFormat="false" ht="15" hidden="false" customHeight="false" outlineLevel="0" collapsed="false">
      <c r="A274" s="10" t="s">
        <v>21</v>
      </c>
      <c r="B274" s="10" t="s">
        <v>82</v>
      </c>
      <c r="C274" s="8" t="n">
        <v>125</v>
      </c>
      <c r="D274" s="8" t="n">
        <v>5</v>
      </c>
      <c r="E274" s="5" t="n">
        <v>3.257</v>
      </c>
      <c r="F274" s="10" t="s">
        <v>117</v>
      </c>
    </row>
    <row r="275" customFormat="false" ht="15" hidden="false" customHeight="false" outlineLevel="0" collapsed="false">
      <c r="A275" s="10" t="s">
        <v>21</v>
      </c>
      <c r="B275" s="10" t="s">
        <v>80</v>
      </c>
      <c r="C275" s="8" t="n">
        <v>13</v>
      </c>
      <c r="D275" s="8" t="n">
        <v>4</v>
      </c>
      <c r="E275" s="5" t="n">
        <v>3.02</v>
      </c>
      <c r="F275" s="10" t="s">
        <v>117</v>
      </c>
    </row>
    <row r="276" customFormat="false" ht="15" hidden="false" customHeight="false" outlineLevel="0" collapsed="false">
      <c r="A276" s="10" t="s">
        <v>21</v>
      </c>
      <c r="B276" s="10" t="s">
        <v>76</v>
      </c>
      <c r="C276" s="8" t="n">
        <v>91</v>
      </c>
      <c r="D276" s="8"/>
      <c r="E276" s="5" t="n">
        <v>3.463</v>
      </c>
      <c r="F276" s="10" t="s">
        <v>117</v>
      </c>
    </row>
    <row r="277" customFormat="false" ht="15" hidden="false" customHeight="false" outlineLevel="0" collapsed="false">
      <c r="A277" s="10" t="s">
        <v>21</v>
      </c>
      <c r="B277" s="10" t="s">
        <v>121</v>
      </c>
      <c r="C277" s="8" t="n">
        <v>21</v>
      </c>
      <c r="D277" s="8" t="n">
        <v>1</v>
      </c>
      <c r="E277" s="5" t="n">
        <v>3.125</v>
      </c>
      <c r="F277" s="10" t="s">
        <v>117</v>
      </c>
    </row>
    <row r="278" customFormat="false" ht="15" hidden="false" customHeight="false" outlineLevel="0" collapsed="false">
      <c r="A278" s="10" t="s">
        <v>21</v>
      </c>
      <c r="B278" s="10" t="s">
        <v>71</v>
      </c>
      <c r="C278" s="8" t="n">
        <v>140</v>
      </c>
      <c r="D278" s="8"/>
      <c r="E278" s="5" t="n">
        <v>3.573</v>
      </c>
      <c r="F278" s="10" t="s">
        <v>117</v>
      </c>
    </row>
    <row r="279" customFormat="false" ht="15" hidden="false" customHeight="false" outlineLevel="0" collapsed="false">
      <c r="A279" s="10" t="s">
        <v>21</v>
      </c>
      <c r="B279" s="10" t="s">
        <v>91</v>
      </c>
      <c r="C279" s="8" t="n">
        <v>12</v>
      </c>
      <c r="D279" s="8" t="n">
        <v>10</v>
      </c>
      <c r="E279" s="5" t="n">
        <v>3.115</v>
      </c>
      <c r="F279" s="10" t="s">
        <v>117</v>
      </c>
    </row>
    <row r="280" customFormat="false" ht="15" hidden="false" customHeight="false" outlineLevel="0" collapsed="false">
      <c r="A280" s="10" t="s">
        <v>21</v>
      </c>
      <c r="B280" s="10" t="s">
        <v>86</v>
      </c>
      <c r="C280" s="8" t="n">
        <v>71</v>
      </c>
      <c r="D280" s="8" t="n">
        <v>6</v>
      </c>
      <c r="E280" s="5" t="n">
        <v>3.121</v>
      </c>
      <c r="F280" s="10" t="s">
        <v>117</v>
      </c>
    </row>
    <row r="281" customFormat="false" ht="15" hidden="false" customHeight="false" outlineLevel="0" collapsed="false">
      <c r="A281" s="10" t="s">
        <v>21</v>
      </c>
      <c r="B281" s="10" t="s">
        <v>88</v>
      </c>
      <c r="C281" s="8" t="n">
        <v>25</v>
      </c>
      <c r="D281" s="8" t="n">
        <v>3</v>
      </c>
      <c r="E281" s="5" t="n">
        <v>2.843</v>
      </c>
      <c r="F281" s="10" t="s">
        <v>117</v>
      </c>
    </row>
    <row r="282" customFormat="false" ht="15" hidden="false" customHeight="false" outlineLevel="0" collapsed="false">
      <c r="A282" s="10" t="s">
        <v>22</v>
      </c>
      <c r="B282" s="10" t="s">
        <v>87</v>
      </c>
      <c r="C282" s="8" t="n">
        <v>39</v>
      </c>
      <c r="D282" s="8"/>
      <c r="E282" s="5" t="n">
        <v>3.214</v>
      </c>
      <c r="F282" s="10" t="s">
        <v>117</v>
      </c>
    </row>
    <row r="283" customFormat="false" ht="15" hidden="false" customHeight="false" outlineLevel="0" collapsed="false">
      <c r="A283" s="10" t="s">
        <v>22</v>
      </c>
      <c r="B283" s="10" t="s">
        <v>79</v>
      </c>
      <c r="C283" s="8" t="n">
        <v>104</v>
      </c>
      <c r="D283" s="8"/>
      <c r="E283" s="5" t="n">
        <v>3.345</v>
      </c>
      <c r="F283" s="10" t="s">
        <v>117</v>
      </c>
    </row>
    <row r="284" customFormat="false" ht="15" hidden="false" customHeight="false" outlineLevel="0" collapsed="false">
      <c r="A284" s="10" t="s">
        <v>22</v>
      </c>
      <c r="B284" s="10" t="s">
        <v>77</v>
      </c>
      <c r="C284" s="8" t="n">
        <v>93</v>
      </c>
      <c r="D284" s="8"/>
      <c r="E284" s="5" t="n">
        <v>3.342</v>
      </c>
      <c r="F284" s="10" t="s">
        <v>117</v>
      </c>
    </row>
    <row r="285" customFormat="false" ht="15" hidden="false" customHeight="false" outlineLevel="0" collapsed="false">
      <c r="A285" s="10" t="s">
        <v>22</v>
      </c>
      <c r="B285" s="10" t="s">
        <v>83</v>
      </c>
      <c r="C285" s="8" t="n">
        <v>116</v>
      </c>
      <c r="D285" s="8"/>
      <c r="E285" s="5" t="n">
        <v>3.071</v>
      </c>
      <c r="F285" s="10" t="s">
        <v>117</v>
      </c>
    </row>
    <row r="286" customFormat="false" ht="15" hidden="false" customHeight="false" outlineLevel="0" collapsed="false">
      <c r="A286" s="10" t="s">
        <v>22</v>
      </c>
      <c r="B286" s="10" t="s">
        <v>75</v>
      </c>
      <c r="C286" s="8" t="n">
        <v>12</v>
      </c>
      <c r="D286" s="8"/>
      <c r="E286" s="5" t="n">
        <v>3.257</v>
      </c>
      <c r="F286" s="10" t="s">
        <v>117</v>
      </c>
    </row>
    <row r="287" customFormat="false" ht="15" hidden="false" customHeight="false" outlineLevel="0" collapsed="false">
      <c r="A287" s="10" t="s">
        <v>22</v>
      </c>
      <c r="B287" s="10" t="s">
        <v>72</v>
      </c>
      <c r="C287" s="8" t="n">
        <v>116</v>
      </c>
      <c r="D287" s="8"/>
      <c r="E287" s="5" t="n">
        <v>3.583</v>
      </c>
      <c r="F287" s="10" t="s">
        <v>117</v>
      </c>
    </row>
    <row r="288" customFormat="false" ht="15" hidden="false" customHeight="false" outlineLevel="0" collapsed="false">
      <c r="A288" s="10" t="s">
        <v>22</v>
      </c>
      <c r="B288" s="10" t="s">
        <v>92</v>
      </c>
      <c r="C288" s="8" t="n">
        <v>18</v>
      </c>
      <c r="D288" s="8"/>
      <c r="E288" s="5" t="n">
        <v>2.643</v>
      </c>
      <c r="F288" s="10" t="s">
        <v>117</v>
      </c>
    </row>
    <row r="289" customFormat="false" ht="15" hidden="false" customHeight="false" outlineLevel="0" collapsed="false">
      <c r="A289" s="10" t="s">
        <v>22</v>
      </c>
      <c r="B289" s="10" t="s">
        <v>125</v>
      </c>
      <c r="C289" s="8" t="n">
        <v>17</v>
      </c>
      <c r="D289" s="8"/>
      <c r="E289" s="5" t="n">
        <v>3.18</v>
      </c>
      <c r="F289" s="10" t="s">
        <v>117</v>
      </c>
    </row>
    <row r="290" customFormat="false" ht="15" hidden="false" customHeight="false" outlineLevel="0" collapsed="false">
      <c r="A290" s="10" t="s">
        <v>22</v>
      </c>
      <c r="B290" s="10" t="s">
        <v>119</v>
      </c>
      <c r="C290" s="8" t="n">
        <v>109</v>
      </c>
      <c r="D290" s="8"/>
      <c r="E290" s="5" t="n">
        <v>3.03</v>
      </c>
      <c r="F290" s="10" t="s">
        <v>117</v>
      </c>
    </row>
    <row r="291" customFormat="false" ht="15" hidden="false" customHeight="false" outlineLevel="0" collapsed="false">
      <c r="A291" s="10" t="s">
        <v>22</v>
      </c>
      <c r="B291" s="10" t="s">
        <v>85</v>
      </c>
      <c r="C291" s="8" t="n">
        <v>66</v>
      </c>
      <c r="D291" s="8"/>
      <c r="E291" s="5" t="n">
        <v>3.249</v>
      </c>
      <c r="F291" s="10" t="s">
        <v>117</v>
      </c>
    </row>
    <row r="292" customFormat="false" ht="15" hidden="false" customHeight="false" outlineLevel="0" collapsed="false">
      <c r="A292" s="10" t="s">
        <v>22</v>
      </c>
      <c r="B292" s="10" t="s">
        <v>70</v>
      </c>
      <c r="C292" s="8" t="n">
        <v>111</v>
      </c>
      <c r="D292" s="8"/>
      <c r="E292" s="5" t="n">
        <v>3.678</v>
      </c>
      <c r="F292" s="10" t="s">
        <v>117</v>
      </c>
    </row>
    <row r="293" customFormat="false" ht="15" hidden="false" customHeight="false" outlineLevel="0" collapsed="false">
      <c r="A293" s="10" t="s">
        <v>22</v>
      </c>
      <c r="B293" s="10" t="s">
        <v>89</v>
      </c>
      <c r="C293" s="8" t="n">
        <v>45</v>
      </c>
      <c r="D293" s="8"/>
      <c r="E293" s="5" t="n">
        <v>2.965</v>
      </c>
      <c r="F293" s="10" t="s">
        <v>117</v>
      </c>
    </row>
    <row r="294" customFormat="false" ht="15" hidden="false" customHeight="false" outlineLevel="0" collapsed="false">
      <c r="A294" s="10" t="s">
        <v>22</v>
      </c>
      <c r="B294" s="10" t="s">
        <v>78</v>
      </c>
      <c r="C294" s="8" t="n">
        <v>142</v>
      </c>
      <c r="D294" s="8"/>
      <c r="E294" s="5" t="n">
        <v>3.199</v>
      </c>
      <c r="F294" s="10" t="s">
        <v>117</v>
      </c>
    </row>
    <row r="295" customFormat="false" ht="15" hidden="false" customHeight="false" outlineLevel="0" collapsed="false">
      <c r="A295" s="10" t="s">
        <v>22</v>
      </c>
      <c r="B295" s="10" t="s">
        <v>90</v>
      </c>
      <c r="C295" s="8" t="n">
        <v>40</v>
      </c>
      <c r="D295" s="8"/>
      <c r="E295" s="5" t="n">
        <v>2.998</v>
      </c>
      <c r="F295" s="10" t="s">
        <v>117</v>
      </c>
    </row>
    <row r="296" customFormat="false" ht="15" hidden="false" customHeight="false" outlineLevel="0" collapsed="false">
      <c r="A296" s="10" t="s">
        <v>22</v>
      </c>
      <c r="B296" s="10" t="s">
        <v>81</v>
      </c>
      <c r="C296" s="8" t="n">
        <v>80</v>
      </c>
      <c r="D296" s="8"/>
      <c r="E296" s="5" t="n">
        <v>3.443</v>
      </c>
      <c r="F296" s="10" t="s">
        <v>117</v>
      </c>
    </row>
    <row r="297" customFormat="false" ht="15" hidden="false" customHeight="false" outlineLevel="0" collapsed="false">
      <c r="A297" s="10" t="s">
        <v>22</v>
      </c>
      <c r="B297" s="10" t="s">
        <v>73</v>
      </c>
      <c r="C297" s="8" t="n">
        <v>134</v>
      </c>
      <c r="D297" s="8"/>
      <c r="E297" s="5" t="n">
        <v>3.47</v>
      </c>
      <c r="F297" s="10" t="s">
        <v>117</v>
      </c>
    </row>
    <row r="298" customFormat="false" ht="15" hidden="false" customHeight="false" outlineLevel="0" collapsed="false">
      <c r="A298" s="10" t="s">
        <v>22</v>
      </c>
      <c r="B298" s="10" t="s">
        <v>120</v>
      </c>
      <c r="C298" s="8" t="n">
        <v>65</v>
      </c>
      <c r="D298" s="8"/>
      <c r="E298" s="5" t="n">
        <v>2.856</v>
      </c>
      <c r="F298" s="10" t="s">
        <v>117</v>
      </c>
    </row>
    <row r="299" customFormat="false" ht="15" hidden="false" customHeight="false" outlineLevel="0" collapsed="false">
      <c r="A299" s="10" t="s">
        <v>22</v>
      </c>
      <c r="B299" s="10" t="s">
        <v>82</v>
      </c>
      <c r="C299" s="8" t="n">
        <v>128</v>
      </c>
      <c r="D299" s="8"/>
      <c r="E299" s="5" t="n">
        <v>3.23</v>
      </c>
      <c r="F299" s="10" t="s">
        <v>117</v>
      </c>
    </row>
    <row r="300" customFormat="false" ht="15" hidden="false" customHeight="false" outlineLevel="0" collapsed="false">
      <c r="A300" s="10" t="s">
        <v>22</v>
      </c>
      <c r="B300" s="10" t="s">
        <v>80</v>
      </c>
      <c r="C300" s="8" t="n">
        <v>9</v>
      </c>
      <c r="D300" s="8"/>
      <c r="E300" s="5" t="n">
        <v>2.967</v>
      </c>
      <c r="F300" s="10" t="s">
        <v>117</v>
      </c>
    </row>
    <row r="301" customFormat="false" ht="15" hidden="false" customHeight="false" outlineLevel="0" collapsed="false">
      <c r="A301" s="10" t="s">
        <v>22</v>
      </c>
      <c r="B301" s="10" t="s">
        <v>76</v>
      </c>
      <c r="C301" s="8" t="n">
        <v>97</v>
      </c>
      <c r="D301" s="8"/>
      <c r="E301" s="5" t="n">
        <v>3.311</v>
      </c>
      <c r="F301" s="10" t="s">
        <v>117</v>
      </c>
    </row>
    <row r="302" customFormat="false" ht="15" hidden="false" customHeight="false" outlineLevel="0" collapsed="false">
      <c r="A302" s="10" t="s">
        <v>22</v>
      </c>
      <c r="B302" s="10" t="s">
        <v>121</v>
      </c>
      <c r="C302" s="8" t="n">
        <v>12</v>
      </c>
      <c r="D302" s="8"/>
      <c r="E302" s="5" t="n">
        <v>3.094</v>
      </c>
      <c r="F302" s="10" t="s">
        <v>117</v>
      </c>
    </row>
    <row r="303" customFormat="false" ht="15" hidden="false" customHeight="false" outlineLevel="0" collapsed="false">
      <c r="A303" s="10" t="s">
        <v>22</v>
      </c>
      <c r="B303" s="10" t="s">
        <v>71</v>
      </c>
      <c r="C303" s="8" t="n">
        <v>157</v>
      </c>
      <c r="D303" s="8"/>
      <c r="E303" s="5" t="n">
        <v>3.612</v>
      </c>
      <c r="F303" s="10" t="s">
        <v>117</v>
      </c>
    </row>
    <row r="304" customFormat="false" ht="15" hidden="false" customHeight="false" outlineLevel="0" collapsed="false">
      <c r="A304" s="10" t="s">
        <v>22</v>
      </c>
      <c r="B304" s="10" t="s">
        <v>91</v>
      </c>
      <c r="C304" s="8" t="n">
        <v>18</v>
      </c>
      <c r="D304" s="8"/>
      <c r="E304" s="5" t="n">
        <v>2.746</v>
      </c>
      <c r="F304" s="10" t="s">
        <v>117</v>
      </c>
    </row>
    <row r="305" customFormat="false" ht="15" hidden="false" customHeight="false" outlineLevel="0" collapsed="false">
      <c r="A305" s="10" t="s">
        <v>22</v>
      </c>
      <c r="B305" s="10" t="s">
        <v>86</v>
      </c>
      <c r="C305" s="8" t="n">
        <v>60</v>
      </c>
      <c r="D305" s="19" t="n">
        <v>13</v>
      </c>
      <c r="E305" s="5" t="n">
        <v>2.997</v>
      </c>
      <c r="F305" s="10" t="s">
        <v>124</v>
      </c>
    </row>
    <row r="306" customFormat="false" ht="15" hidden="false" customHeight="false" outlineLevel="0" collapsed="false">
      <c r="A306" s="10" t="s">
        <v>22</v>
      </c>
      <c r="B306" s="10" t="s">
        <v>88</v>
      </c>
      <c r="C306" s="8" t="n">
        <v>20</v>
      </c>
      <c r="D306" s="8"/>
      <c r="E306" s="5" t="n">
        <v>2.763</v>
      </c>
      <c r="F306" s="10" t="s">
        <v>117</v>
      </c>
    </row>
    <row r="307" customFormat="false" ht="15" hidden="false" customHeight="false" outlineLevel="0" collapsed="false">
      <c r="A307" s="10" t="s">
        <v>23</v>
      </c>
      <c r="B307" s="10" t="s">
        <v>87</v>
      </c>
      <c r="C307" s="8" t="n">
        <v>37</v>
      </c>
      <c r="D307" s="8" t="n">
        <v>4</v>
      </c>
      <c r="E307" s="5" t="n">
        <v>3.27</v>
      </c>
      <c r="F307" s="10" t="s">
        <v>117</v>
      </c>
    </row>
    <row r="308" customFormat="false" ht="15" hidden="false" customHeight="false" outlineLevel="0" collapsed="false">
      <c r="A308" s="10" t="s">
        <v>23</v>
      </c>
      <c r="B308" s="10" t="s">
        <v>79</v>
      </c>
      <c r="C308" s="8" t="n">
        <v>101</v>
      </c>
      <c r="D308" s="8" t="n">
        <v>4</v>
      </c>
      <c r="E308" s="5" t="n">
        <v>3.371</v>
      </c>
      <c r="F308" s="10" t="s">
        <v>117</v>
      </c>
    </row>
    <row r="309" customFormat="false" ht="15" hidden="false" customHeight="false" outlineLevel="0" collapsed="false">
      <c r="A309" s="10" t="s">
        <v>23</v>
      </c>
      <c r="B309" s="10" t="s">
        <v>77</v>
      </c>
      <c r="C309" s="8" t="n">
        <v>90</v>
      </c>
      <c r="D309" s="8" t="n">
        <v>0</v>
      </c>
      <c r="E309" s="5" t="n">
        <v>3.313</v>
      </c>
      <c r="F309" s="10" t="s">
        <v>117</v>
      </c>
    </row>
    <row r="310" customFormat="false" ht="15" hidden="false" customHeight="false" outlineLevel="0" collapsed="false">
      <c r="A310" s="10" t="s">
        <v>23</v>
      </c>
      <c r="B310" s="10" t="s">
        <v>83</v>
      </c>
      <c r="C310" s="8" t="n">
        <v>116</v>
      </c>
      <c r="D310" s="8" t="n">
        <v>2</v>
      </c>
      <c r="E310" s="5" t="n">
        <v>3.222</v>
      </c>
      <c r="F310" s="10" t="s">
        <v>117</v>
      </c>
    </row>
    <row r="311" customFormat="false" ht="15" hidden="false" customHeight="false" outlineLevel="0" collapsed="false">
      <c r="A311" s="10" t="s">
        <v>23</v>
      </c>
      <c r="B311" s="10" t="s">
        <v>75</v>
      </c>
      <c r="C311" s="8" t="n">
        <v>12</v>
      </c>
      <c r="D311" s="8" t="n">
        <v>1</v>
      </c>
      <c r="E311" s="5" t="n">
        <v>3.079</v>
      </c>
      <c r="F311" s="10" t="s">
        <v>117</v>
      </c>
    </row>
    <row r="312" customFormat="false" ht="15" hidden="false" customHeight="false" outlineLevel="0" collapsed="false">
      <c r="A312" s="10" t="s">
        <v>23</v>
      </c>
      <c r="B312" s="10" t="s">
        <v>72</v>
      </c>
      <c r="C312" s="8" t="n">
        <v>116</v>
      </c>
      <c r="D312" s="8" t="n">
        <v>0</v>
      </c>
      <c r="E312" s="5" t="n">
        <v>3.524</v>
      </c>
      <c r="F312" s="10" t="s">
        <v>117</v>
      </c>
    </row>
    <row r="313" customFormat="false" ht="15" hidden="false" customHeight="false" outlineLevel="0" collapsed="false">
      <c r="A313" s="10" t="s">
        <v>23</v>
      </c>
      <c r="B313" s="10" t="s">
        <v>92</v>
      </c>
      <c r="C313" s="8" t="n">
        <v>16</v>
      </c>
      <c r="D313" s="8" t="n">
        <v>2</v>
      </c>
      <c r="E313" s="5" t="n">
        <v>2.985</v>
      </c>
      <c r="F313" s="10" t="s">
        <v>117</v>
      </c>
    </row>
    <row r="314" customFormat="false" ht="15" hidden="false" customHeight="false" outlineLevel="0" collapsed="false">
      <c r="A314" s="10" t="s">
        <v>23</v>
      </c>
      <c r="B314" s="10" t="s">
        <v>125</v>
      </c>
      <c r="C314" s="8" t="n">
        <v>15</v>
      </c>
      <c r="D314" s="8" t="n">
        <v>0</v>
      </c>
      <c r="E314" s="5" t="n">
        <v>3.434</v>
      </c>
      <c r="F314" s="10" t="s">
        <v>117</v>
      </c>
    </row>
    <row r="315" customFormat="false" ht="15" hidden="false" customHeight="false" outlineLevel="0" collapsed="false">
      <c r="A315" s="10" t="s">
        <v>23</v>
      </c>
      <c r="B315" s="10" t="s">
        <v>119</v>
      </c>
      <c r="C315" s="8" t="n">
        <v>104</v>
      </c>
      <c r="D315" s="8" t="n">
        <v>5</v>
      </c>
      <c r="E315" s="5" t="n">
        <v>3.364</v>
      </c>
      <c r="F315" s="10" t="s">
        <v>117</v>
      </c>
    </row>
    <row r="316" customFormat="false" ht="15" hidden="false" customHeight="false" outlineLevel="0" collapsed="false">
      <c r="A316" s="10" t="s">
        <v>23</v>
      </c>
      <c r="B316" s="10" t="s">
        <v>85</v>
      </c>
      <c r="C316" s="8" t="n">
        <v>68</v>
      </c>
      <c r="D316" s="8" t="n">
        <v>3</v>
      </c>
      <c r="E316" s="5" t="n">
        <v>3.31</v>
      </c>
      <c r="F316" s="10" t="s">
        <v>117</v>
      </c>
    </row>
    <row r="317" customFormat="false" ht="15" hidden="false" customHeight="false" outlineLevel="0" collapsed="false">
      <c r="A317" s="10" t="s">
        <v>23</v>
      </c>
      <c r="B317" s="10" t="s">
        <v>70</v>
      </c>
      <c r="C317" s="8" t="n">
        <v>107</v>
      </c>
      <c r="D317" s="8" t="n">
        <v>1</v>
      </c>
      <c r="E317" s="5" t="n">
        <v>3.656</v>
      </c>
      <c r="F317" s="10" t="s">
        <v>117</v>
      </c>
    </row>
    <row r="318" customFormat="false" ht="15" hidden="false" customHeight="false" outlineLevel="0" collapsed="false">
      <c r="A318" s="10" t="s">
        <v>23</v>
      </c>
      <c r="B318" s="10" t="s">
        <v>89</v>
      </c>
      <c r="C318" s="8" t="n">
        <v>32</v>
      </c>
      <c r="D318" s="8" t="n">
        <v>0</v>
      </c>
      <c r="E318" s="5" t="n">
        <v>2.756</v>
      </c>
      <c r="F318" s="10" t="s">
        <v>117</v>
      </c>
    </row>
    <row r="319" customFormat="false" ht="15" hidden="false" customHeight="false" outlineLevel="0" collapsed="false">
      <c r="A319" s="10" t="s">
        <v>23</v>
      </c>
      <c r="B319" s="10" t="s">
        <v>78</v>
      </c>
      <c r="C319" s="8" t="n">
        <v>133</v>
      </c>
      <c r="D319" s="8" t="n">
        <v>7</v>
      </c>
      <c r="E319" s="5" t="n">
        <v>3.357</v>
      </c>
      <c r="F319" s="10" t="s">
        <v>117</v>
      </c>
    </row>
    <row r="320" customFormat="false" ht="15" hidden="false" customHeight="false" outlineLevel="0" collapsed="false">
      <c r="A320" s="10" t="s">
        <v>23</v>
      </c>
      <c r="B320" s="10" t="s">
        <v>90</v>
      </c>
      <c r="C320" s="8" t="n">
        <v>39</v>
      </c>
      <c r="D320" s="8" t="n">
        <v>3</v>
      </c>
      <c r="E320" s="5" t="n">
        <v>2.99</v>
      </c>
      <c r="F320" s="10" t="s">
        <v>117</v>
      </c>
    </row>
    <row r="321" customFormat="false" ht="15" hidden="false" customHeight="false" outlineLevel="0" collapsed="false">
      <c r="A321" s="10" t="s">
        <v>23</v>
      </c>
      <c r="B321" s="10" t="s">
        <v>81</v>
      </c>
      <c r="C321" s="8" t="n">
        <v>80</v>
      </c>
      <c r="D321" s="8" t="n">
        <v>9</v>
      </c>
      <c r="E321" s="5" t="n">
        <v>3.35</v>
      </c>
      <c r="F321" s="10" t="s">
        <v>117</v>
      </c>
    </row>
    <row r="322" customFormat="false" ht="15" hidden="false" customHeight="false" outlineLevel="0" collapsed="false">
      <c r="A322" s="10" t="s">
        <v>23</v>
      </c>
      <c r="B322" s="10" t="s">
        <v>73</v>
      </c>
      <c r="C322" s="8" t="n">
        <v>140</v>
      </c>
      <c r="D322" s="8" t="n">
        <v>18</v>
      </c>
      <c r="E322" s="5" t="n">
        <v>3.485</v>
      </c>
      <c r="F322" s="10" t="s">
        <v>117</v>
      </c>
    </row>
    <row r="323" customFormat="false" ht="15" hidden="false" customHeight="false" outlineLevel="0" collapsed="false">
      <c r="A323" s="10" t="s">
        <v>23</v>
      </c>
      <c r="B323" s="10" t="s">
        <v>120</v>
      </c>
      <c r="C323" s="8" t="n">
        <v>61</v>
      </c>
      <c r="D323" s="8" t="n">
        <v>4</v>
      </c>
      <c r="E323" s="5" t="n">
        <v>2.955</v>
      </c>
      <c r="F323" s="10" t="s">
        <v>117</v>
      </c>
    </row>
    <row r="324" customFormat="false" ht="15" hidden="false" customHeight="false" outlineLevel="0" collapsed="false">
      <c r="A324" s="10" t="s">
        <v>23</v>
      </c>
      <c r="B324" s="10" t="s">
        <v>82</v>
      </c>
      <c r="C324" s="8" t="n">
        <v>124</v>
      </c>
      <c r="D324" s="8" t="n">
        <v>4</v>
      </c>
      <c r="E324" s="5" t="n">
        <v>3.321</v>
      </c>
      <c r="F324" s="10" t="s">
        <v>117</v>
      </c>
    </row>
    <row r="325" customFormat="false" ht="15" hidden="false" customHeight="false" outlineLevel="0" collapsed="false">
      <c r="A325" s="10" t="s">
        <v>23</v>
      </c>
      <c r="B325" s="10" t="s">
        <v>80</v>
      </c>
      <c r="C325" s="8" t="n">
        <v>13</v>
      </c>
      <c r="D325" s="8" t="n">
        <v>3</v>
      </c>
      <c r="E325" s="5" t="n">
        <v>3.14</v>
      </c>
      <c r="F325" s="10" t="s">
        <v>117</v>
      </c>
    </row>
    <row r="326" customFormat="false" ht="15" hidden="false" customHeight="false" outlineLevel="0" collapsed="false">
      <c r="A326" s="10" t="s">
        <v>23</v>
      </c>
      <c r="B326" s="10" t="s">
        <v>76</v>
      </c>
      <c r="C326" s="8" t="n">
        <v>92</v>
      </c>
      <c r="D326" s="8" t="n">
        <v>3</v>
      </c>
      <c r="E326" s="5" t="n">
        <v>3.363</v>
      </c>
      <c r="F326" s="10" t="s">
        <v>117</v>
      </c>
    </row>
    <row r="327" customFormat="false" ht="15" hidden="false" customHeight="false" outlineLevel="0" collapsed="false">
      <c r="A327" s="10" t="s">
        <v>23</v>
      </c>
      <c r="B327" s="10" t="s">
        <v>121</v>
      </c>
      <c r="C327" s="8" t="n">
        <v>12</v>
      </c>
      <c r="D327" s="8" t="n">
        <v>0</v>
      </c>
      <c r="E327" s="5" t="n">
        <v>3.234</v>
      </c>
      <c r="F327" s="10" t="s">
        <v>117</v>
      </c>
    </row>
    <row r="328" customFormat="false" ht="15" hidden="false" customHeight="false" outlineLevel="0" collapsed="false">
      <c r="A328" s="10" t="s">
        <v>23</v>
      </c>
      <c r="B328" s="10" t="s">
        <v>71</v>
      </c>
      <c r="C328" s="8" t="n">
        <v>153</v>
      </c>
      <c r="D328" s="8" t="n">
        <v>0</v>
      </c>
      <c r="E328" s="5" t="n">
        <v>3.637</v>
      </c>
      <c r="F328" s="10" t="s">
        <v>117</v>
      </c>
    </row>
    <row r="329" customFormat="false" ht="15" hidden="false" customHeight="false" outlineLevel="0" collapsed="false">
      <c r="A329" s="10" t="s">
        <v>23</v>
      </c>
      <c r="B329" s="10" t="s">
        <v>91</v>
      </c>
      <c r="C329" s="8" t="n">
        <v>27</v>
      </c>
      <c r="D329" s="8" t="n">
        <v>13</v>
      </c>
      <c r="E329" s="5" t="n">
        <v>2.668</v>
      </c>
      <c r="F329" s="10" t="s">
        <v>117</v>
      </c>
    </row>
    <row r="330" customFormat="false" ht="15" hidden="false" customHeight="false" outlineLevel="0" collapsed="false">
      <c r="A330" s="10" t="s">
        <v>23</v>
      </c>
      <c r="B330" s="10" t="s">
        <v>86</v>
      </c>
      <c r="C330" s="8" t="n">
        <v>48</v>
      </c>
      <c r="D330" s="8" t="n">
        <v>5</v>
      </c>
      <c r="E330" s="5" t="n">
        <v>3.321</v>
      </c>
      <c r="F330" s="10" t="s">
        <v>117</v>
      </c>
    </row>
    <row r="331" customFormat="false" ht="15" hidden="false" customHeight="false" outlineLevel="0" collapsed="false">
      <c r="A331" s="10" t="s">
        <v>23</v>
      </c>
      <c r="B331" s="10" t="s">
        <v>88</v>
      </c>
      <c r="C331" s="8" t="n">
        <v>23</v>
      </c>
      <c r="D331" s="8" t="n">
        <v>4</v>
      </c>
      <c r="E331" s="5" t="n">
        <v>2.495</v>
      </c>
      <c r="F331" s="10" t="s">
        <v>117</v>
      </c>
    </row>
    <row r="332" customFormat="false" ht="15" hidden="false" customHeight="false" outlineLevel="0" collapsed="false">
      <c r="A332" s="10" t="s">
        <v>24</v>
      </c>
      <c r="B332" s="10" t="s">
        <v>87</v>
      </c>
      <c r="C332" s="8" t="n">
        <v>37</v>
      </c>
      <c r="D332" s="8" t="n">
        <v>12</v>
      </c>
      <c r="E332" s="5" t="n">
        <v>3.244</v>
      </c>
      <c r="F332" s="10" t="s">
        <v>117</v>
      </c>
    </row>
    <row r="333" customFormat="false" ht="15" hidden="false" customHeight="false" outlineLevel="0" collapsed="false">
      <c r="A333" s="10" t="s">
        <v>24</v>
      </c>
      <c r="B333" s="10" t="s">
        <v>79</v>
      </c>
      <c r="C333" s="8" t="n">
        <v>107</v>
      </c>
      <c r="D333" s="8" t="n">
        <v>33</v>
      </c>
      <c r="E333" s="5" t="n">
        <v>3.271</v>
      </c>
      <c r="F333" s="10" t="s">
        <v>117</v>
      </c>
    </row>
    <row r="334" customFormat="false" ht="15" hidden="false" customHeight="false" outlineLevel="0" collapsed="false">
      <c r="A334" s="10" t="s">
        <v>24</v>
      </c>
      <c r="B334" s="10" t="s">
        <v>77</v>
      </c>
      <c r="C334" s="8" t="n">
        <v>96</v>
      </c>
      <c r="D334" s="8" t="n">
        <v>27</v>
      </c>
      <c r="E334" s="5" t="n">
        <v>3.267</v>
      </c>
      <c r="F334" s="10" t="s">
        <v>117</v>
      </c>
    </row>
    <row r="335" customFormat="false" ht="15" hidden="false" customHeight="false" outlineLevel="0" collapsed="false">
      <c r="A335" s="10" t="s">
        <v>24</v>
      </c>
      <c r="B335" s="10" t="s">
        <v>83</v>
      </c>
      <c r="C335" s="8" t="n">
        <v>124</v>
      </c>
      <c r="D335" s="8" t="n">
        <v>39</v>
      </c>
      <c r="E335" s="5" t="n">
        <v>3.384</v>
      </c>
      <c r="F335" s="10" t="s">
        <v>117</v>
      </c>
    </row>
    <row r="336" customFormat="false" ht="15" hidden="false" customHeight="false" outlineLevel="0" collapsed="false">
      <c r="A336" s="10" t="s">
        <v>24</v>
      </c>
      <c r="B336" s="10" t="s">
        <v>75</v>
      </c>
      <c r="C336" s="8" t="n">
        <v>15</v>
      </c>
      <c r="D336" s="8" t="n">
        <v>4</v>
      </c>
      <c r="E336" s="5" t="n">
        <v>3.35</v>
      </c>
      <c r="F336" s="10" t="s">
        <v>117</v>
      </c>
    </row>
    <row r="337" customFormat="false" ht="15" hidden="false" customHeight="false" outlineLevel="0" collapsed="false">
      <c r="A337" s="10" t="s">
        <v>24</v>
      </c>
      <c r="B337" s="10" t="s">
        <v>72</v>
      </c>
      <c r="C337" s="8" t="n">
        <v>126</v>
      </c>
      <c r="D337" s="8" t="n">
        <v>34</v>
      </c>
      <c r="E337" s="5" t="n">
        <v>3.623</v>
      </c>
      <c r="F337" s="10" t="s">
        <v>117</v>
      </c>
    </row>
    <row r="338" customFormat="false" ht="15" hidden="false" customHeight="false" outlineLevel="0" collapsed="false">
      <c r="A338" s="10" t="s">
        <v>24</v>
      </c>
      <c r="B338" s="10" t="s">
        <v>92</v>
      </c>
      <c r="C338" s="8" t="n">
        <v>15</v>
      </c>
      <c r="D338" s="8" t="n">
        <v>2</v>
      </c>
      <c r="E338" s="5" t="n">
        <v>2.78</v>
      </c>
      <c r="F338" s="10" t="s">
        <v>117</v>
      </c>
    </row>
    <row r="339" customFormat="false" ht="15" hidden="false" customHeight="false" outlineLevel="0" collapsed="false">
      <c r="A339" s="10" t="s">
        <v>24</v>
      </c>
      <c r="B339" s="10" t="s">
        <v>125</v>
      </c>
      <c r="C339" s="8" t="n">
        <v>9</v>
      </c>
      <c r="D339" s="8" t="n">
        <v>0</v>
      </c>
      <c r="E339" s="5" t="n">
        <v>2.967</v>
      </c>
      <c r="F339" s="10" t="s">
        <v>117</v>
      </c>
    </row>
    <row r="340" customFormat="false" ht="15" hidden="false" customHeight="false" outlineLevel="0" collapsed="false">
      <c r="A340" s="10" t="s">
        <v>24</v>
      </c>
      <c r="B340" s="10" t="s">
        <v>119</v>
      </c>
      <c r="C340" s="8" t="n">
        <v>121</v>
      </c>
      <c r="D340" s="8" t="n">
        <v>31</v>
      </c>
      <c r="E340" s="5" t="n">
        <v>3.278</v>
      </c>
      <c r="F340" s="10" t="s">
        <v>117</v>
      </c>
    </row>
    <row r="341" customFormat="false" ht="15" hidden="false" customHeight="false" outlineLevel="0" collapsed="false">
      <c r="A341" s="10" t="s">
        <v>24</v>
      </c>
      <c r="B341" s="10" t="s">
        <v>85</v>
      </c>
      <c r="C341" s="8" t="n">
        <v>77</v>
      </c>
      <c r="D341" s="8" t="n">
        <v>29</v>
      </c>
      <c r="E341" s="5" t="n">
        <v>3.327</v>
      </c>
      <c r="F341" s="10" t="s">
        <v>117</v>
      </c>
    </row>
    <row r="342" customFormat="false" ht="15" hidden="false" customHeight="false" outlineLevel="0" collapsed="false">
      <c r="A342" s="10" t="s">
        <v>24</v>
      </c>
      <c r="B342" s="10" t="s">
        <v>70</v>
      </c>
      <c r="C342" s="8" t="n">
        <v>114</v>
      </c>
      <c r="D342" s="8" t="n">
        <v>33</v>
      </c>
      <c r="E342" s="5" t="n">
        <v>3.707</v>
      </c>
      <c r="F342" s="10" t="s">
        <v>117</v>
      </c>
    </row>
    <row r="343" customFormat="false" ht="15" hidden="false" customHeight="false" outlineLevel="0" collapsed="false">
      <c r="A343" s="10" t="s">
        <v>24</v>
      </c>
      <c r="B343" s="10" t="s">
        <v>89</v>
      </c>
      <c r="C343" s="8" t="n">
        <v>51</v>
      </c>
      <c r="D343" s="8" t="n">
        <v>23</v>
      </c>
      <c r="E343" s="5" t="n">
        <v>2.956</v>
      </c>
      <c r="F343" s="10" t="s">
        <v>117</v>
      </c>
    </row>
    <row r="344" customFormat="false" ht="15" hidden="false" customHeight="false" outlineLevel="0" collapsed="false">
      <c r="A344" s="10" t="s">
        <v>24</v>
      </c>
      <c r="B344" s="10" t="s">
        <v>84</v>
      </c>
      <c r="C344" s="8" t="n">
        <v>24</v>
      </c>
      <c r="D344" s="8" t="n">
        <v>24</v>
      </c>
      <c r="E344" s="5" t="n">
        <v>3.12</v>
      </c>
      <c r="F344" s="10" t="s">
        <v>117</v>
      </c>
    </row>
    <row r="345" customFormat="false" ht="15" hidden="false" customHeight="false" outlineLevel="0" collapsed="false">
      <c r="A345" s="10" t="s">
        <v>24</v>
      </c>
      <c r="B345" s="10" t="s">
        <v>78</v>
      </c>
      <c r="C345" s="8" t="n">
        <v>155</v>
      </c>
      <c r="D345" s="8" t="n">
        <v>42</v>
      </c>
      <c r="E345" s="5" t="n">
        <v>3.298</v>
      </c>
      <c r="F345" s="10" t="s">
        <v>117</v>
      </c>
    </row>
    <row r="346" customFormat="false" ht="15" hidden="false" customHeight="false" outlineLevel="0" collapsed="false">
      <c r="A346" s="10" t="s">
        <v>24</v>
      </c>
      <c r="B346" s="10" t="s">
        <v>90</v>
      </c>
      <c r="C346" s="8" t="n">
        <v>42</v>
      </c>
      <c r="D346" s="8" t="n">
        <v>10</v>
      </c>
      <c r="E346" s="5" t="n">
        <v>3.13</v>
      </c>
      <c r="F346" s="10" t="s">
        <v>117</v>
      </c>
    </row>
    <row r="347" customFormat="false" ht="15" hidden="false" customHeight="false" outlineLevel="0" collapsed="false">
      <c r="A347" s="10" t="s">
        <v>24</v>
      </c>
      <c r="B347" s="10" t="s">
        <v>81</v>
      </c>
      <c r="C347" s="8" t="n">
        <v>91</v>
      </c>
      <c r="D347" s="8" t="n">
        <v>33</v>
      </c>
      <c r="E347" s="5" t="n">
        <v>3.474</v>
      </c>
      <c r="F347" s="10" t="s">
        <v>117</v>
      </c>
    </row>
    <row r="348" customFormat="false" ht="15" hidden="false" customHeight="false" outlineLevel="0" collapsed="false">
      <c r="A348" s="10" t="s">
        <v>24</v>
      </c>
      <c r="B348" s="10" t="s">
        <v>73</v>
      </c>
      <c r="C348" s="8" t="n">
        <v>139</v>
      </c>
      <c r="D348" s="8" t="n">
        <v>27</v>
      </c>
      <c r="E348" s="5" t="n">
        <v>3.533</v>
      </c>
      <c r="F348" s="10" t="s">
        <v>117</v>
      </c>
    </row>
    <row r="349" customFormat="false" ht="15" hidden="false" customHeight="false" outlineLevel="0" collapsed="false">
      <c r="A349" s="10" t="s">
        <v>24</v>
      </c>
      <c r="B349" s="10" t="s">
        <v>120</v>
      </c>
      <c r="C349" s="8" t="n">
        <v>56</v>
      </c>
      <c r="D349" s="8" t="n">
        <v>11</v>
      </c>
      <c r="E349" s="5" t="n">
        <v>2.789</v>
      </c>
      <c r="F349" s="10" t="s">
        <v>117</v>
      </c>
    </row>
    <row r="350" customFormat="false" ht="15" hidden="false" customHeight="false" outlineLevel="0" collapsed="false">
      <c r="A350" s="10" t="s">
        <v>24</v>
      </c>
      <c r="B350" s="10" t="s">
        <v>82</v>
      </c>
      <c r="C350" s="8" t="n">
        <v>132</v>
      </c>
      <c r="D350" s="8" t="n">
        <v>37</v>
      </c>
      <c r="E350" s="5" t="n">
        <v>3.341</v>
      </c>
      <c r="F350" s="10" t="s">
        <v>117</v>
      </c>
    </row>
    <row r="351" customFormat="false" ht="15" hidden="false" customHeight="false" outlineLevel="0" collapsed="false">
      <c r="A351" s="10" t="s">
        <v>24</v>
      </c>
      <c r="B351" s="10" t="s">
        <v>80</v>
      </c>
      <c r="C351" s="8" t="n">
        <v>12</v>
      </c>
      <c r="D351" s="8" t="n">
        <v>0</v>
      </c>
      <c r="E351" s="5" t="n">
        <v>3.082</v>
      </c>
      <c r="F351" s="10" t="s">
        <v>117</v>
      </c>
    </row>
    <row r="352" customFormat="false" ht="15" hidden="false" customHeight="false" outlineLevel="0" collapsed="false">
      <c r="A352" s="10" t="s">
        <v>24</v>
      </c>
      <c r="B352" s="10" t="s">
        <v>76</v>
      </c>
      <c r="C352" s="8" t="n">
        <v>111</v>
      </c>
      <c r="D352" s="8" t="n">
        <v>38</v>
      </c>
      <c r="E352" s="5" t="n">
        <v>3.384</v>
      </c>
      <c r="F352" s="10" t="s">
        <v>117</v>
      </c>
    </row>
    <row r="353" customFormat="false" ht="15" hidden="false" customHeight="false" outlineLevel="0" collapsed="false">
      <c r="A353" s="10" t="s">
        <v>24</v>
      </c>
      <c r="B353" s="10" t="s">
        <v>121</v>
      </c>
      <c r="C353" s="8" t="n">
        <v>4</v>
      </c>
      <c r="D353" s="8" t="n">
        <v>0</v>
      </c>
      <c r="E353" s="5"/>
      <c r="F353" s="10" t="s">
        <v>117</v>
      </c>
    </row>
    <row r="354" customFormat="false" ht="15" hidden="false" customHeight="false" outlineLevel="0" collapsed="false">
      <c r="A354" s="10" t="s">
        <v>24</v>
      </c>
      <c r="B354" s="10" t="s">
        <v>71</v>
      </c>
      <c r="C354" s="8" t="n">
        <v>151</v>
      </c>
      <c r="D354" s="8" t="n">
        <v>39</v>
      </c>
      <c r="E354" s="5" t="n">
        <v>3.693</v>
      </c>
      <c r="F354" s="10" t="s">
        <v>117</v>
      </c>
    </row>
    <row r="355" customFormat="false" ht="15" hidden="false" customHeight="false" outlineLevel="0" collapsed="false">
      <c r="A355" s="10" t="s">
        <v>24</v>
      </c>
      <c r="B355" s="10" t="s">
        <v>91</v>
      </c>
      <c r="C355" s="8" t="n">
        <v>27</v>
      </c>
      <c r="D355" s="8" t="n">
        <v>8</v>
      </c>
      <c r="E355" s="5" t="n">
        <v>2.948</v>
      </c>
      <c r="F355" s="10" t="s">
        <v>117</v>
      </c>
    </row>
    <row r="356" customFormat="false" ht="15" hidden="false" customHeight="false" outlineLevel="0" collapsed="false">
      <c r="A356" s="10" t="s">
        <v>24</v>
      </c>
      <c r="B356" s="10" t="s">
        <v>86</v>
      </c>
      <c r="C356" s="8" t="n">
        <v>48</v>
      </c>
      <c r="D356" s="8" t="n">
        <v>12</v>
      </c>
      <c r="E356" s="5" t="n">
        <v>3.216</v>
      </c>
      <c r="F356" s="10" t="s">
        <v>117</v>
      </c>
    </row>
    <row r="357" customFormat="false" ht="15" hidden="false" customHeight="false" outlineLevel="0" collapsed="false">
      <c r="A357" s="10" t="s">
        <v>24</v>
      </c>
      <c r="B357" s="10" t="s">
        <v>88</v>
      </c>
      <c r="C357" s="8" t="n">
        <v>20</v>
      </c>
      <c r="D357" s="8" t="n">
        <v>5</v>
      </c>
      <c r="E357" s="5" t="n">
        <v>2.862</v>
      </c>
      <c r="F357" s="10" t="s">
        <v>117</v>
      </c>
    </row>
    <row r="358" customFormat="false" ht="15" hidden="false" customHeight="false" outlineLevel="0" collapsed="false">
      <c r="A358" s="10" t="s">
        <v>25</v>
      </c>
      <c r="B358" s="10" t="s">
        <v>87</v>
      </c>
      <c r="C358" s="8" t="n">
        <v>36</v>
      </c>
      <c r="D358" s="8" t="n">
        <v>3</v>
      </c>
      <c r="E358" s="5" t="n">
        <v>3.344</v>
      </c>
      <c r="F358" s="10" t="s">
        <v>117</v>
      </c>
    </row>
    <row r="359" customFormat="false" ht="15" hidden="false" customHeight="false" outlineLevel="0" collapsed="false">
      <c r="A359" s="10" t="s">
        <v>25</v>
      </c>
      <c r="B359" s="10" t="s">
        <v>79</v>
      </c>
      <c r="C359" s="8" t="n">
        <v>101</v>
      </c>
      <c r="D359" s="8" t="n">
        <v>4</v>
      </c>
      <c r="E359" s="5" t="n">
        <v>3.259</v>
      </c>
      <c r="F359" s="10" t="s">
        <v>117</v>
      </c>
    </row>
    <row r="360" customFormat="false" ht="15" hidden="false" customHeight="false" outlineLevel="0" collapsed="false">
      <c r="A360" s="10" t="s">
        <v>25</v>
      </c>
      <c r="B360" s="10" t="s">
        <v>77</v>
      </c>
      <c r="C360" s="8" t="n">
        <v>85</v>
      </c>
      <c r="D360" s="8" t="n">
        <v>0</v>
      </c>
      <c r="E360" s="5" t="n">
        <v>3.458</v>
      </c>
      <c r="F360" s="10" t="s">
        <v>117</v>
      </c>
    </row>
    <row r="361" customFormat="false" ht="15" hidden="false" customHeight="false" outlineLevel="0" collapsed="false">
      <c r="A361" s="10" t="s">
        <v>25</v>
      </c>
      <c r="B361" s="10" t="s">
        <v>83</v>
      </c>
      <c r="C361" s="8" t="n">
        <v>125</v>
      </c>
      <c r="D361" s="8" t="n">
        <v>4</v>
      </c>
      <c r="E361" s="5" t="n">
        <v>3.37</v>
      </c>
      <c r="F361" s="10" t="s">
        <v>117</v>
      </c>
    </row>
    <row r="362" customFormat="false" ht="15" hidden="false" customHeight="false" outlineLevel="0" collapsed="false">
      <c r="A362" s="10" t="s">
        <v>25</v>
      </c>
      <c r="B362" s="10" t="s">
        <v>75</v>
      </c>
      <c r="C362" s="8" t="n">
        <v>15</v>
      </c>
      <c r="D362" s="8" t="n">
        <v>1</v>
      </c>
      <c r="E362" s="5" t="n">
        <v>3.313</v>
      </c>
      <c r="F362" s="10" t="s">
        <v>117</v>
      </c>
    </row>
    <row r="363" customFormat="false" ht="15" hidden="false" customHeight="false" outlineLevel="0" collapsed="false">
      <c r="A363" s="10" t="s">
        <v>25</v>
      </c>
      <c r="B363" s="10" t="s">
        <v>72</v>
      </c>
      <c r="C363" s="8" t="n">
        <v>122</v>
      </c>
      <c r="D363" s="8" t="n">
        <v>0</v>
      </c>
      <c r="E363" s="5" t="n">
        <v>3.624</v>
      </c>
      <c r="F363" s="10" t="s">
        <v>117</v>
      </c>
    </row>
    <row r="364" customFormat="false" ht="15" hidden="false" customHeight="false" outlineLevel="0" collapsed="false">
      <c r="A364" s="10" t="s">
        <v>25</v>
      </c>
      <c r="B364" s="10" t="s">
        <v>92</v>
      </c>
      <c r="C364" s="8" t="n">
        <v>14</v>
      </c>
      <c r="D364" s="8" t="n">
        <v>2</v>
      </c>
      <c r="E364" s="5" t="n">
        <v>3.019</v>
      </c>
      <c r="F364" s="10" t="s">
        <v>117</v>
      </c>
    </row>
    <row r="365" customFormat="false" ht="15" hidden="false" customHeight="false" outlineLevel="0" collapsed="false">
      <c r="A365" s="10" t="s">
        <v>25</v>
      </c>
      <c r="B365" s="10" t="s">
        <v>119</v>
      </c>
      <c r="C365" s="8" t="n">
        <v>122</v>
      </c>
      <c r="D365" s="8" t="n">
        <v>8</v>
      </c>
      <c r="E365" s="5" t="n">
        <v>3.3</v>
      </c>
      <c r="F365" s="10" t="s">
        <v>117</v>
      </c>
    </row>
    <row r="366" customFormat="false" ht="15" hidden="false" customHeight="false" outlineLevel="0" collapsed="false">
      <c r="A366" s="10" t="s">
        <v>25</v>
      </c>
      <c r="B366" s="10" t="s">
        <v>85</v>
      </c>
      <c r="C366" s="8" t="n">
        <v>81</v>
      </c>
      <c r="D366" s="8" t="n">
        <v>6</v>
      </c>
      <c r="E366" s="5" t="n">
        <v>3.29</v>
      </c>
      <c r="F366" s="10" t="s">
        <v>117</v>
      </c>
    </row>
    <row r="367" customFormat="false" ht="15" hidden="false" customHeight="false" outlineLevel="0" collapsed="false">
      <c r="A367" s="10" t="s">
        <v>25</v>
      </c>
      <c r="B367" s="10" t="s">
        <v>70</v>
      </c>
      <c r="C367" s="8" t="n">
        <v>109</v>
      </c>
      <c r="D367" s="8" t="n">
        <v>4</v>
      </c>
      <c r="E367" s="5" t="n">
        <v>3.722</v>
      </c>
      <c r="F367" s="10" t="s">
        <v>117</v>
      </c>
    </row>
    <row r="368" customFormat="false" ht="15" hidden="false" customHeight="false" outlineLevel="0" collapsed="false">
      <c r="A368" s="10" t="s">
        <v>25</v>
      </c>
      <c r="B368" s="10" t="s">
        <v>89</v>
      </c>
      <c r="C368" s="8" t="n">
        <v>58</v>
      </c>
      <c r="D368" s="8" t="n">
        <v>13</v>
      </c>
      <c r="E368" s="5" t="n">
        <v>2.919</v>
      </c>
      <c r="F368" s="10" t="s">
        <v>117</v>
      </c>
    </row>
    <row r="369" customFormat="false" ht="15" hidden="false" customHeight="false" outlineLevel="0" collapsed="false">
      <c r="A369" s="10" t="s">
        <v>25</v>
      </c>
      <c r="B369" s="10" t="s">
        <v>84</v>
      </c>
      <c r="C369" s="8" t="n">
        <v>27</v>
      </c>
      <c r="D369" s="8" t="n">
        <v>7</v>
      </c>
      <c r="E369" s="5" t="n">
        <v>3.378</v>
      </c>
      <c r="F369" s="10" t="s">
        <v>117</v>
      </c>
    </row>
    <row r="370" customFormat="false" ht="15" hidden="false" customHeight="false" outlineLevel="0" collapsed="false">
      <c r="A370" s="10" t="s">
        <v>25</v>
      </c>
      <c r="B370" s="10" t="s">
        <v>78</v>
      </c>
      <c r="C370" s="8" t="n">
        <v>142</v>
      </c>
      <c r="D370" s="8" t="n">
        <v>4</v>
      </c>
      <c r="E370" s="5" t="n">
        <v>3.339</v>
      </c>
      <c r="F370" s="10" t="s">
        <v>117</v>
      </c>
    </row>
    <row r="371" customFormat="false" ht="15" hidden="false" customHeight="false" outlineLevel="0" collapsed="false">
      <c r="A371" s="10" t="s">
        <v>25</v>
      </c>
      <c r="B371" s="10" t="s">
        <v>90</v>
      </c>
      <c r="C371" s="8" t="n">
        <v>46</v>
      </c>
      <c r="D371" s="8" t="n">
        <v>5</v>
      </c>
      <c r="E371" s="5" t="n">
        <v>3.211</v>
      </c>
      <c r="F371" s="10" t="s">
        <v>117</v>
      </c>
    </row>
    <row r="372" customFormat="false" ht="15" hidden="false" customHeight="false" outlineLevel="0" collapsed="false">
      <c r="A372" s="10" t="s">
        <v>25</v>
      </c>
      <c r="B372" s="10" t="s">
        <v>81</v>
      </c>
      <c r="C372" s="8" t="n">
        <v>88</v>
      </c>
      <c r="D372" s="8" t="n">
        <v>4</v>
      </c>
      <c r="E372" s="5" t="n">
        <v>3.383</v>
      </c>
      <c r="F372" s="10" t="s">
        <v>117</v>
      </c>
    </row>
    <row r="373" customFormat="false" ht="15" hidden="false" customHeight="false" outlineLevel="0" collapsed="false">
      <c r="A373" s="10" t="s">
        <v>25</v>
      </c>
      <c r="B373" s="10" t="s">
        <v>73</v>
      </c>
      <c r="C373" s="8" t="n">
        <v>146</v>
      </c>
      <c r="D373" s="8" t="n">
        <v>14</v>
      </c>
      <c r="E373" s="5" t="n">
        <v>3.548</v>
      </c>
      <c r="F373" s="10" t="s">
        <v>117</v>
      </c>
    </row>
    <row r="374" customFormat="false" ht="15" hidden="false" customHeight="false" outlineLevel="0" collapsed="false">
      <c r="A374" s="10" t="s">
        <v>25</v>
      </c>
      <c r="B374" s="10" t="s">
        <v>120</v>
      </c>
      <c r="C374" s="8" t="n">
        <v>56</v>
      </c>
      <c r="D374" s="8" t="n">
        <v>5</v>
      </c>
      <c r="E374" s="5" t="n">
        <v>2.684</v>
      </c>
      <c r="F374" s="10" t="s">
        <v>117</v>
      </c>
    </row>
    <row r="375" customFormat="false" ht="15" hidden="false" customHeight="false" outlineLevel="0" collapsed="false">
      <c r="A375" s="10" t="s">
        <v>25</v>
      </c>
      <c r="B375" s="10" t="s">
        <v>82</v>
      </c>
      <c r="C375" s="8" t="n">
        <v>130</v>
      </c>
      <c r="D375" s="8" t="n">
        <v>3</v>
      </c>
      <c r="E375" s="5" t="n">
        <v>3.394</v>
      </c>
      <c r="F375" s="10" t="s">
        <v>117</v>
      </c>
    </row>
    <row r="376" customFormat="false" ht="15" hidden="false" customHeight="false" outlineLevel="0" collapsed="false">
      <c r="A376" s="10" t="s">
        <v>25</v>
      </c>
      <c r="B376" s="10" t="s">
        <v>80</v>
      </c>
      <c r="C376" s="8" t="n">
        <v>16</v>
      </c>
      <c r="D376" s="8" t="n">
        <v>3</v>
      </c>
      <c r="E376" s="5" t="n">
        <v>3.207</v>
      </c>
      <c r="F376" s="10" t="s">
        <v>117</v>
      </c>
    </row>
    <row r="377" customFormat="false" ht="15" hidden="false" customHeight="false" outlineLevel="0" collapsed="false">
      <c r="A377" s="10" t="s">
        <v>25</v>
      </c>
      <c r="B377" s="10" t="s">
        <v>76</v>
      </c>
      <c r="C377" s="8" t="n">
        <v>110</v>
      </c>
      <c r="D377" s="8" t="n">
        <v>6</v>
      </c>
      <c r="E377" s="5" t="n">
        <v>3.433</v>
      </c>
      <c r="F377" s="10" t="s">
        <v>117</v>
      </c>
    </row>
    <row r="378" customFormat="false" ht="15" hidden="false" customHeight="false" outlineLevel="0" collapsed="false">
      <c r="A378" s="10" t="s">
        <v>25</v>
      </c>
      <c r="B378" s="10" t="s">
        <v>71</v>
      </c>
      <c r="C378" s="8" t="n">
        <v>147</v>
      </c>
      <c r="D378" s="8" t="n">
        <v>0</v>
      </c>
      <c r="E378" s="5" t="n">
        <v>3.684</v>
      </c>
      <c r="F378" s="10" t="s">
        <v>117</v>
      </c>
    </row>
    <row r="379" customFormat="false" ht="15" hidden="false" customHeight="false" outlineLevel="0" collapsed="false">
      <c r="A379" s="10" t="s">
        <v>25</v>
      </c>
      <c r="B379" s="10" t="s">
        <v>91</v>
      </c>
      <c r="C379" s="8" t="n">
        <v>34</v>
      </c>
      <c r="D379" s="8" t="n">
        <v>11</v>
      </c>
      <c r="E379" s="5" t="n">
        <v>3.088</v>
      </c>
      <c r="F379" s="10" t="s">
        <v>117</v>
      </c>
    </row>
    <row r="380" customFormat="false" ht="15" hidden="false" customHeight="false" outlineLevel="0" collapsed="false">
      <c r="A380" s="10" t="s">
        <v>25</v>
      </c>
      <c r="B380" s="10" t="s">
        <v>86</v>
      </c>
      <c r="C380" s="8" t="n">
        <v>48</v>
      </c>
      <c r="D380" s="8" t="n">
        <v>3</v>
      </c>
      <c r="E380" s="5" t="n">
        <v>3.053</v>
      </c>
      <c r="F380" s="10" t="s">
        <v>117</v>
      </c>
    </row>
    <row r="381" customFormat="false" ht="15" hidden="false" customHeight="false" outlineLevel="0" collapsed="false">
      <c r="A381" s="10" t="s">
        <v>25</v>
      </c>
      <c r="B381" s="10" t="s">
        <v>88</v>
      </c>
      <c r="C381" s="8" t="n">
        <v>24</v>
      </c>
      <c r="D381" s="8" t="n">
        <v>5</v>
      </c>
      <c r="E381" s="5" t="n">
        <v>2.706</v>
      </c>
      <c r="F381" s="10" t="s">
        <v>117</v>
      </c>
    </row>
    <row r="382" customFormat="false" ht="15" hidden="false" customHeight="false" outlineLevel="0" collapsed="false">
      <c r="A382" s="10" t="s">
        <v>26</v>
      </c>
      <c r="B382" s="10" t="s">
        <v>87</v>
      </c>
      <c r="C382" s="8" t="n">
        <v>34</v>
      </c>
      <c r="D382" s="8" t="n">
        <v>5</v>
      </c>
      <c r="E382" s="5" t="n">
        <v>3.314</v>
      </c>
      <c r="F382" s="10" t="s">
        <v>117</v>
      </c>
    </row>
    <row r="383" customFormat="false" ht="15" hidden="false" customHeight="false" outlineLevel="0" collapsed="false">
      <c r="A383" s="10" t="s">
        <v>26</v>
      </c>
      <c r="B383" s="10" t="s">
        <v>79</v>
      </c>
      <c r="C383" s="8" t="n">
        <v>95</v>
      </c>
      <c r="D383" s="8" t="n">
        <v>25</v>
      </c>
      <c r="E383" s="5" t="n">
        <v>3.444</v>
      </c>
      <c r="F383" s="10" t="s">
        <v>117</v>
      </c>
    </row>
    <row r="384" customFormat="false" ht="15" hidden="false" customHeight="false" outlineLevel="0" collapsed="false">
      <c r="A384" s="10" t="s">
        <v>26</v>
      </c>
      <c r="B384" s="10" t="s">
        <v>77</v>
      </c>
      <c r="C384" s="8" t="n">
        <v>94</v>
      </c>
      <c r="D384" s="8" t="n">
        <v>37</v>
      </c>
      <c r="E384" s="5" t="n">
        <v>3.447</v>
      </c>
      <c r="F384" s="10" t="s">
        <v>117</v>
      </c>
    </row>
    <row r="385" customFormat="false" ht="15" hidden="false" customHeight="false" outlineLevel="0" collapsed="false">
      <c r="A385" s="10" t="s">
        <v>26</v>
      </c>
      <c r="B385" s="10" t="s">
        <v>83</v>
      </c>
      <c r="C385" s="8" t="n">
        <v>142</v>
      </c>
      <c r="D385" s="8" t="n">
        <v>36</v>
      </c>
      <c r="E385" s="5" t="n">
        <v>3.383</v>
      </c>
      <c r="F385" s="10" t="s">
        <v>117</v>
      </c>
    </row>
    <row r="386" customFormat="false" ht="15" hidden="false" customHeight="false" outlineLevel="0" collapsed="false">
      <c r="A386" s="10" t="s">
        <v>26</v>
      </c>
      <c r="B386" s="10" t="s">
        <v>75</v>
      </c>
      <c r="C386" s="8" t="n">
        <v>15</v>
      </c>
      <c r="D386" s="8" t="n">
        <v>3</v>
      </c>
      <c r="E386" s="5" t="n">
        <v>3.309</v>
      </c>
      <c r="F386" s="10" t="s">
        <v>117</v>
      </c>
    </row>
    <row r="387" customFormat="false" ht="15" hidden="false" customHeight="false" outlineLevel="0" collapsed="false">
      <c r="A387" s="10" t="s">
        <v>26</v>
      </c>
      <c r="B387" s="10" t="s">
        <v>72</v>
      </c>
      <c r="C387" s="8" t="n">
        <v>128</v>
      </c>
      <c r="D387" s="8" t="n">
        <v>34</v>
      </c>
      <c r="E387" s="5" t="n">
        <v>3.65</v>
      </c>
      <c r="F387" s="10" t="s">
        <v>117</v>
      </c>
    </row>
    <row r="388" customFormat="false" ht="15" hidden="false" customHeight="false" outlineLevel="0" collapsed="false">
      <c r="A388" s="10" t="s">
        <v>26</v>
      </c>
      <c r="B388" s="10" t="s">
        <v>92</v>
      </c>
      <c r="C388" s="8" t="n">
        <v>13</v>
      </c>
      <c r="D388" s="8" t="n">
        <v>3</v>
      </c>
      <c r="E388" s="5" t="n">
        <v>2.903</v>
      </c>
      <c r="F388" s="10" t="s">
        <v>117</v>
      </c>
    </row>
    <row r="389" customFormat="false" ht="15" hidden="false" customHeight="false" outlineLevel="0" collapsed="false">
      <c r="A389" s="10" t="s">
        <v>26</v>
      </c>
      <c r="B389" s="10" t="s">
        <v>119</v>
      </c>
      <c r="C389" s="8" t="n">
        <v>128</v>
      </c>
      <c r="D389" s="8" t="n">
        <v>29</v>
      </c>
      <c r="E389" s="5" t="n">
        <v>3.243</v>
      </c>
      <c r="F389" s="10" t="s">
        <v>117</v>
      </c>
    </row>
    <row r="390" customFormat="false" ht="15" hidden="false" customHeight="false" outlineLevel="0" collapsed="false">
      <c r="A390" s="10" t="s">
        <v>26</v>
      </c>
      <c r="B390" s="10" t="s">
        <v>85</v>
      </c>
      <c r="C390" s="8" t="n">
        <v>87</v>
      </c>
      <c r="D390" s="8" t="n">
        <v>26</v>
      </c>
      <c r="E390" s="5" t="n">
        <v>3.134</v>
      </c>
      <c r="F390" s="10" t="s">
        <v>117</v>
      </c>
    </row>
    <row r="391" customFormat="false" ht="15" hidden="false" customHeight="false" outlineLevel="0" collapsed="false">
      <c r="A391" s="10" t="s">
        <v>26</v>
      </c>
      <c r="B391" s="10" t="s">
        <v>70</v>
      </c>
      <c r="C391" s="8" t="n">
        <v>113</v>
      </c>
      <c r="D391" s="8" t="n">
        <v>28</v>
      </c>
      <c r="E391" s="5" t="n">
        <v>3.653</v>
      </c>
      <c r="F391" s="10" t="s">
        <v>117</v>
      </c>
    </row>
    <row r="392" customFormat="false" ht="15" hidden="false" customHeight="false" outlineLevel="0" collapsed="false">
      <c r="A392" s="10" t="s">
        <v>26</v>
      </c>
      <c r="B392" s="10" t="s">
        <v>89</v>
      </c>
      <c r="C392" s="8" t="n">
        <v>74</v>
      </c>
      <c r="D392" s="8" t="n">
        <v>23</v>
      </c>
      <c r="E392" s="5" t="n">
        <v>2.671</v>
      </c>
      <c r="F392" s="10" t="s">
        <v>117</v>
      </c>
    </row>
    <row r="393" customFormat="false" ht="15" hidden="false" customHeight="false" outlineLevel="0" collapsed="false">
      <c r="A393" s="10" t="s">
        <v>26</v>
      </c>
      <c r="B393" s="10" t="s">
        <v>84</v>
      </c>
      <c r="C393" s="8" t="n">
        <v>38</v>
      </c>
      <c r="D393" s="8" t="n">
        <v>13</v>
      </c>
      <c r="E393" s="5" t="n">
        <v>3.052</v>
      </c>
      <c r="F393" s="10" t="s">
        <v>117</v>
      </c>
    </row>
    <row r="394" customFormat="false" ht="15" hidden="false" customHeight="false" outlineLevel="0" collapsed="false">
      <c r="A394" s="10" t="s">
        <v>26</v>
      </c>
      <c r="B394" s="10" t="s">
        <v>78</v>
      </c>
      <c r="C394" s="8" t="n">
        <v>138</v>
      </c>
      <c r="D394" s="8" t="n">
        <v>34</v>
      </c>
      <c r="E394" s="5" t="n">
        <v>3.191</v>
      </c>
      <c r="F394" s="10" t="s">
        <v>117</v>
      </c>
    </row>
    <row r="395" customFormat="false" ht="15" hidden="false" customHeight="false" outlineLevel="0" collapsed="false">
      <c r="A395" s="10" t="s">
        <v>26</v>
      </c>
      <c r="B395" s="10" t="s">
        <v>74</v>
      </c>
      <c r="C395" s="8" t="n">
        <v>15</v>
      </c>
      <c r="D395" s="8" t="n">
        <v>15</v>
      </c>
      <c r="E395" s="5" t="n">
        <v>3.101</v>
      </c>
      <c r="F395" s="10" t="s">
        <v>117</v>
      </c>
    </row>
    <row r="396" customFormat="false" ht="15" hidden="false" customHeight="false" outlineLevel="0" collapsed="false">
      <c r="A396" s="10" t="s">
        <v>26</v>
      </c>
      <c r="B396" s="10" t="s">
        <v>90</v>
      </c>
      <c r="C396" s="8" t="n">
        <v>42</v>
      </c>
      <c r="D396" s="8" t="n">
        <v>6</v>
      </c>
      <c r="E396" s="5" t="n">
        <v>2.929</v>
      </c>
      <c r="F396" s="10" t="s">
        <v>117</v>
      </c>
    </row>
    <row r="397" customFormat="false" ht="15" hidden="false" customHeight="false" outlineLevel="0" collapsed="false">
      <c r="A397" s="10" t="s">
        <v>26</v>
      </c>
      <c r="B397" s="10" t="s">
        <v>81</v>
      </c>
      <c r="C397" s="8" t="n">
        <v>95</v>
      </c>
      <c r="D397" s="8" t="n">
        <v>31</v>
      </c>
      <c r="E397" s="5" t="n">
        <v>3.458</v>
      </c>
      <c r="F397" s="10" t="s">
        <v>117</v>
      </c>
    </row>
    <row r="398" customFormat="false" ht="15" hidden="false" customHeight="false" outlineLevel="0" collapsed="false">
      <c r="A398" s="10" t="s">
        <v>26</v>
      </c>
      <c r="B398" s="10" t="s">
        <v>73</v>
      </c>
      <c r="C398" s="8" t="n">
        <v>153</v>
      </c>
      <c r="D398" s="8" t="n">
        <v>38</v>
      </c>
      <c r="E398" s="5" t="n">
        <v>3.556</v>
      </c>
      <c r="F398" s="10" t="s">
        <v>117</v>
      </c>
    </row>
    <row r="399" customFormat="false" ht="15" hidden="false" customHeight="false" outlineLevel="0" collapsed="false">
      <c r="A399" s="10" t="s">
        <v>26</v>
      </c>
      <c r="B399" s="10" t="s">
        <v>120</v>
      </c>
      <c r="C399" s="8" t="n">
        <v>36</v>
      </c>
      <c r="D399" s="8" t="n">
        <v>7</v>
      </c>
      <c r="E399" s="5" t="n">
        <v>2.844</v>
      </c>
      <c r="F399" s="10" t="s">
        <v>117</v>
      </c>
    </row>
    <row r="400" customFormat="false" ht="15" hidden="false" customHeight="false" outlineLevel="0" collapsed="false">
      <c r="A400" s="10" t="s">
        <v>26</v>
      </c>
      <c r="B400" s="10" t="s">
        <v>82</v>
      </c>
      <c r="C400" s="8" t="n">
        <v>146</v>
      </c>
      <c r="D400" s="8" t="n">
        <v>41</v>
      </c>
      <c r="E400" s="5" t="n">
        <v>3.286</v>
      </c>
      <c r="F400" s="10" t="s">
        <v>117</v>
      </c>
    </row>
    <row r="401" customFormat="false" ht="15" hidden="false" customHeight="false" outlineLevel="0" collapsed="false">
      <c r="A401" s="10" t="s">
        <v>26</v>
      </c>
      <c r="B401" s="10" t="s">
        <v>80</v>
      </c>
      <c r="C401" s="8" t="n">
        <v>12</v>
      </c>
      <c r="D401" s="8" t="n">
        <v>2</v>
      </c>
      <c r="E401" s="5" t="n">
        <v>3.332</v>
      </c>
      <c r="F401" s="10" t="s">
        <v>117</v>
      </c>
    </row>
    <row r="402" customFormat="false" ht="15" hidden="false" customHeight="false" outlineLevel="0" collapsed="false">
      <c r="A402" s="10" t="s">
        <v>26</v>
      </c>
      <c r="B402" s="10" t="s">
        <v>76</v>
      </c>
      <c r="C402" s="8" t="n">
        <v>120</v>
      </c>
      <c r="D402" s="8" t="n">
        <v>41</v>
      </c>
      <c r="E402" s="5" t="n">
        <v>3.288</v>
      </c>
      <c r="F402" s="10" t="s">
        <v>117</v>
      </c>
    </row>
    <row r="403" customFormat="false" ht="15" hidden="false" customHeight="false" outlineLevel="0" collapsed="false">
      <c r="A403" s="10" t="s">
        <v>26</v>
      </c>
      <c r="B403" s="10" t="s">
        <v>71</v>
      </c>
      <c r="C403" s="8" t="n">
        <v>160</v>
      </c>
      <c r="D403" s="8" t="n">
        <v>45</v>
      </c>
      <c r="E403" s="5" t="n">
        <v>3.606</v>
      </c>
      <c r="F403" s="10" t="s">
        <v>117</v>
      </c>
    </row>
    <row r="404" customFormat="false" ht="15" hidden="false" customHeight="false" outlineLevel="0" collapsed="false">
      <c r="A404" s="10" t="s">
        <v>26</v>
      </c>
      <c r="B404" s="10" t="s">
        <v>91</v>
      </c>
      <c r="C404" s="8" t="n">
        <v>33</v>
      </c>
      <c r="D404" s="8" t="n">
        <v>9</v>
      </c>
      <c r="E404" s="5" t="n">
        <v>2.922</v>
      </c>
      <c r="F404" s="10" t="s">
        <v>117</v>
      </c>
    </row>
    <row r="405" customFormat="false" ht="15" hidden="false" customHeight="false" outlineLevel="0" collapsed="false">
      <c r="A405" s="10" t="s">
        <v>26</v>
      </c>
      <c r="B405" s="10" t="s">
        <v>86</v>
      </c>
      <c r="C405" s="8" t="n">
        <v>44</v>
      </c>
      <c r="D405" s="8" t="n">
        <v>12</v>
      </c>
      <c r="E405" s="5" t="n">
        <v>3.033</v>
      </c>
      <c r="F405" s="10" t="s">
        <v>117</v>
      </c>
    </row>
    <row r="406" customFormat="false" ht="15" hidden="false" customHeight="false" outlineLevel="0" collapsed="false">
      <c r="A406" s="10" t="s">
        <v>26</v>
      </c>
      <c r="B406" s="10" t="s">
        <v>88</v>
      </c>
      <c r="C406" s="8" t="n">
        <v>25</v>
      </c>
      <c r="D406" s="8" t="n">
        <v>8</v>
      </c>
      <c r="E406" s="5" t="n">
        <v>2.782</v>
      </c>
      <c r="F406" s="10" t="s">
        <v>117</v>
      </c>
    </row>
    <row r="407" customFormat="false" ht="15" hidden="false" customHeight="false" outlineLevel="0" collapsed="false">
      <c r="A407" s="10" t="s">
        <v>27</v>
      </c>
      <c r="B407" s="10" t="s">
        <v>87</v>
      </c>
      <c r="C407" s="8" t="n">
        <v>33</v>
      </c>
      <c r="D407" s="8" t="n">
        <v>1</v>
      </c>
      <c r="E407" s="5" t="n">
        <v>3.121</v>
      </c>
      <c r="F407" s="10" t="s">
        <v>117</v>
      </c>
    </row>
    <row r="408" customFormat="false" ht="15" hidden="false" customHeight="false" outlineLevel="0" collapsed="false">
      <c r="A408" s="10" t="s">
        <v>27</v>
      </c>
      <c r="B408" s="10" t="s">
        <v>79</v>
      </c>
      <c r="C408" s="8" t="n">
        <v>92</v>
      </c>
      <c r="D408" s="8" t="n">
        <v>2</v>
      </c>
      <c r="E408" s="5" t="n">
        <v>3.421</v>
      </c>
      <c r="F408" s="10" t="s">
        <v>117</v>
      </c>
    </row>
    <row r="409" customFormat="false" ht="15" hidden="false" customHeight="false" outlineLevel="0" collapsed="false">
      <c r="A409" s="10" t="s">
        <v>27</v>
      </c>
      <c r="B409" s="10" t="s">
        <v>77</v>
      </c>
      <c r="C409" s="8" t="n">
        <v>88</v>
      </c>
      <c r="D409" s="8" t="n">
        <v>4</v>
      </c>
      <c r="E409" s="5" t="n">
        <v>3.454</v>
      </c>
      <c r="F409" s="10" t="s">
        <v>117</v>
      </c>
    </row>
    <row r="410" customFormat="false" ht="15" hidden="false" customHeight="false" outlineLevel="0" collapsed="false">
      <c r="A410" s="10" t="s">
        <v>27</v>
      </c>
      <c r="B410" s="10" t="s">
        <v>83</v>
      </c>
      <c r="C410" s="8" t="n">
        <v>142</v>
      </c>
      <c r="D410" s="8" t="n">
        <v>4</v>
      </c>
      <c r="E410" s="5" t="n">
        <v>3.296</v>
      </c>
      <c r="F410" s="10" t="s">
        <v>117</v>
      </c>
    </row>
    <row r="411" customFormat="false" ht="15" hidden="false" customHeight="false" outlineLevel="0" collapsed="false">
      <c r="A411" s="10" t="s">
        <v>27</v>
      </c>
      <c r="B411" s="10" t="s">
        <v>75</v>
      </c>
      <c r="C411" s="8" t="n">
        <v>15</v>
      </c>
      <c r="D411" s="8" t="n">
        <v>0</v>
      </c>
      <c r="E411" s="5" t="n">
        <v>3.494</v>
      </c>
      <c r="F411" s="10" t="s">
        <v>117</v>
      </c>
    </row>
    <row r="412" customFormat="false" ht="15" hidden="false" customHeight="false" outlineLevel="0" collapsed="false">
      <c r="A412" s="10" t="s">
        <v>27</v>
      </c>
      <c r="B412" s="10" t="s">
        <v>72</v>
      </c>
      <c r="C412" s="8" t="n">
        <v>119</v>
      </c>
      <c r="D412" s="8" t="n">
        <v>0</v>
      </c>
      <c r="E412" s="5" t="n">
        <v>3.607</v>
      </c>
      <c r="F412" s="10" t="s">
        <v>117</v>
      </c>
    </row>
    <row r="413" customFormat="false" ht="15" hidden="false" customHeight="false" outlineLevel="0" collapsed="false">
      <c r="A413" s="10" t="s">
        <v>27</v>
      </c>
      <c r="B413" s="10" t="s">
        <v>92</v>
      </c>
      <c r="C413" s="8" t="n">
        <v>15</v>
      </c>
      <c r="D413" s="8" t="n">
        <v>4</v>
      </c>
      <c r="E413" s="5" t="n">
        <v>2.687</v>
      </c>
      <c r="F413" s="10" t="s">
        <v>117</v>
      </c>
    </row>
    <row r="414" customFormat="false" ht="15" hidden="false" customHeight="false" outlineLevel="0" collapsed="false">
      <c r="A414" s="10" t="s">
        <v>27</v>
      </c>
      <c r="B414" s="10" t="s">
        <v>85</v>
      </c>
      <c r="C414" s="8" t="n">
        <v>78</v>
      </c>
      <c r="D414" s="8" t="n">
        <v>4</v>
      </c>
      <c r="E414" s="5" t="n">
        <v>3.195</v>
      </c>
      <c r="F414" s="10" t="s">
        <v>117</v>
      </c>
    </row>
    <row r="415" customFormat="false" ht="15" hidden="false" customHeight="false" outlineLevel="0" collapsed="false">
      <c r="A415" s="10" t="s">
        <v>27</v>
      </c>
      <c r="B415" s="10" t="s">
        <v>70</v>
      </c>
      <c r="C415" s="8" t="n">
        <v>109</v>
      </c>
      <c r="D415" s="8" t="n">
        <v>2</v>
      </c>
      <c r="E415" s="5" t="n">
        <v>3.683</v>
      </c>
      <c r="F415" s="10" t="s">
        <v>117</v>
      </c>
    </row>
    <row r="416" customFormat="false" ht="15" hidden="false" customHeight="false" outlineLevel="0" collapsed="false">
      <c r="A416" s="10" t="s">
        <v>27</v>
      </c>
      <c r="B416" s="10" t="s">
        <v>89</v>
      </c>
      <c r="C416" s="8" t="n">
        <v>67</v>
      </c>
      <c r="D416" s="8" t="n">
        <v>8</v>
      </c>
      <c r="E416" s="5" t="n">
        <v>3.041</v>
      </c>
      <c r="F416" s="10" t="s">
        <v>117</v>
      </c>
    </row>
    <row r="417" customFormat="false" ht="15" hidden="false" customHeight="false" outlineLevel="0" collapsed="false">
      <c r="A417" s="10" t="s">
        <v>27</v>
      </c>
      <c r="B417" s="10" t="s">
        <v>84</v>
      </c>
      <c r="C417" s="8" t="n">
        <v>37</v>
      </c>
      <c r="D417" s="8" t="n">
        <v>4</v>
      </c>
      <c r="E417" s="5" t="n">
        <v>3.216</v>
      </c>
      <c r="F417" s="10" t="s">
        <v>117</v>
      </c>
    </row>
    <row r="418" customFormat="false" ht="15" hidden="false" customHeight="false" outlineLevel="0" collapsed="false">
      <c r="A418" s="10" t="s">
        <v>27</v>
      </c>
      <c r="B418" s="10" t="s">
        <v>78</v>
      </c>
      <c r="C418" s="8" t="n">
        <v>127</v>
      </c>
      <c r="D418" s="8" t="n">
        <v>10</v>
      </c>
      <c r="E418" s="5" t="n">
        <v>3.427</v>
      </c>
      <c r="F418" s="10" t="s">
        <v>117</v>
      </c>
    </row>
    <row r="419" customFormat="false" ht="15" hidden="false" customHeight="false" outlineLevel="0" collapsed="false">
      <c r="A419" s="10" t="s">
        <v>27</v>
      </c>
      <c r="B419" s="10" t="s">
        <v>74</v>
      </c>
      <c r="C419" s="8" t="n">
        <v>14</v>
      </c>
      <c r="D419" s="8" t="n">
        <v>2</v>
      </c>
      <c r="E419" s="5" t="n">
        <v>3.509</v>
      </c>
      <c r="F419" s="10" t="s">
        <v>117</v>
      </c>
    </row>
    <row r="420" customFormat="false" ht="15" hidden="false" customHeight="false" outlineLevel="0" collapsed="false">
      <c r="A420" s="10" t="s">
        <v>27</v>
      </c>
      <c r="B420" s="10" t="s">
        <v>90</v>
      </c>
      <c r="C420" s="8" t="n">
        <v>39</v>
      </c>
      <c r="D420" s="8" t="n">
        <v>2</v>
      </c>
      <c r="E420" s="5" t="n">
        <v>2.876</v>
      </c>
      <c r="F420" s="10" t="s">
        <v>117</v>
      </c>
    </row>
    <row r="421" customFormat="false" ht="15" hidden="false" customHeight="false" outlineLevel="0" collapsed="false">
      <c r="A421" s="10" t="s">
        <v>27</v>
      </c>
      <c r="B421" s="10" t="s">
        <v>81</v>
      </c>
      <c r="C421" s="8" t="n">
        <v>95</v>
      </c>
      <c r="D421" s="8" t="n">
        <v>5</v>
      </c>
      <c r="E421" s="5" t="n">
        <v>3.351</v>
      </c>
      <c r="F421" s="10" t="s">
        <v>117</v>
      </c>
    </row>
    <row r="422" customFormat="false" ht="15" hidden="false" customHeight="false" outlineLevel="0" collapsed="false">
      <c r="A422" s="10" t="s">
        <v>27</v>
      </c>
      <c r="B422" s="10" t="s">
        <v>73</v>
      </c>
      <c r="C422" s="8" t="n">
        <v>165</v>
      </c>
      <c r="D422" s="8" t="n">
        <v>18</v>
      </c>
      <c r="E422" s="5" t="n">
        <v>3.577</v>
      </c>
      <c r="F422" s="10" t="s">
        <v>117</v>
      </c>
    </row>
    <row r="423" customFormat="false" ht="15" hidden="false" customHeight="false" outlineLevel="0" collapsed="false">
      <c r="A423" s="10" t="s">
        <v>27</v>
      </c>
      <c r="B423" s="10" t="s">
        <v>82</v>
      </c>
      <c r="C423" s="8" t="n">
        <v>142</v>
      </c>
      <c r="D423" s="8" t="n">
        <v>1</v>
      </c>
      <c r="E423" s="5" t="n">
        <v>3.299</v>
      </c>
      <c r="F423" s="10" t="s">
        <v>117</v>
      </c>
    </row>
    <row r="424" customFormat="false" ht="15" hidden="false" customHeight="false" outlineLevel="0" collapsed="false">
      <c r="A424" s="10" t="s">
        <v>27</v>
      </c>
      <c r="B424" s="10" t="s">
        <v>80</v>
      </c>
      <c r="C424" s="8" t="n">
        <v>9</v>
      </c>
      <c r="D424" s="8" t="n">
        <v>1</v>
      </c>
      <c r="E424" s="5" t="n">
        <v>3.376</v>
      </c>
      <c r="F424" s="10" t="s">
        <v>117</v>
      </c>
    </row>
    <row r="425" customFormat="false" ht="15" hidden="false" customHeight="false" outlineLevel="0" collapsed="false">
      <c r="A425" s="10" t="s">
        <v>27</v>
      </c>
      <c r="B425" s="10" t="s">
        <v>76</v>
      </c>
      <c r="C425" s="8" t="n">
        <v>112</v>
      </c>
      <c r="D425" s="8" t="n">
        <v>3</v>
      </c>
      <c r="E425" s="5" t="n">
        <v>3.464</v>
      </c>
      <c r="F425" s="10" t="s">
        <v>117</v>
      </c>
    </row>
    <row r="426" customFormat="false" ht="15" hidden="false" customHeight="false" outlineLevel="0" collapsed="false">
      <c r="A426" s="10" t="s">
        <v>27</v>
      </c>
      <c r="B426" s="10" t="s">
        <v>71</v>
      </c>
      <c r="C426" s="8" t="n">
        <v>155</v>
      </c>
      <c r="D426" s="8" t="n">
        <v>1</v>
      </c>
      <c r="E426" s="5" t="n">
        <v>3.664</v>
      </c>
      <c r="F426" s="10" t="s">
        <v>117</v>
      </c>
    </row>
    <row r="427" customFormat="false" ht="15" hidden="false" customHeight="false" outlineLevel="0" collapsed="false">
      <c r="A427" s="10" t="s">
        <v>27</v>
      </c>
      <c r="B427" s="10" t="s">
        <v>91</v>
      </c>
      <c r="C427" s="8" t="n">
        <v>32</v>
      </c>
      <c r="D427" s="8" t="n">
        <v>6</v>
      </c>
      <c r="E427" s="5" t="n">
        <v>2.807</v>
      </c>
      <c r="F427" s="10" t="s">
        <v>117</v>
      </c>
    </row>
    <row r="428" customFormat="false" ht="15" hidden="false" customHeight="false" outlineLevel="0" collapsed="false">
      <c r="A428" s="10" t="s">
        <v>27</v>
      </c>
      <c r="B428" s="10" t="s">
        <v>86</v>
      </c>
      <c r="C428" s="8" t="n">
        <v>43</v>
      </c>
      <c r="D428" s="8" t="n">
        <v>6</v>
      </c>
      <c r="E428" s="5" t="n">
        <v>3.163</v>
      </c>
      <c r="F428" s="10" t="s">
        <v>117</v>
      </c>
    </row>
    <row r="429" customFormat="false" ht="15" hidden="false" customHeight="false" outlineLevel="0" collapsed="false">
      <c r="A429" s="10" t="s">
        <v>27</v>
      </c>
      <c r="B429" s="10" t="s">
        <v>88</v>
      </c>
      <c r="C429" s="8" t="n">
        <v>28</v>
      </c>
      <c r="D429" s="8" t="n">
        <v>7</v>
      </c>
      <c r="E429" s="5" t="n">
        <v>3.058</v>
      </c>
      <c r="F429" s="10" t="s">
        <v>117</v>
      </c>
    </row>
  </sheetData>
  <autoFilter ref="A1:F4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9C8D3"/>
    <pageSetUpPr fitToPage="tru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5"/>
  </cols>
  <sheetData>
    <row r="1" customFormat="false" ht="19.5" hidden="false" customHeight="true" outlineLevel="0" collapsed="false">
      <c r="A1" s="3" t="s">
        <v>2</v>
      </c>
      <c r="B1" s="3" t="s">
        <v>126</v>
      </c>
      <c r="C1" s="3" t="s">
        <v>127</v>
      </c>
      <c r="D1" s="3" t="s">
        <v>128</v>
      </c>
      <c r="F1" s="2" t="s">
        <v>129</v>
      </c>
    </row>
    <row r="2" customFormat="false" ht="15" hidden="false" customHeight="false" outlineLevel="0" collapsed="false">
      <c r="A2" s="10" t="s">
        <v>96</v>
      </c>
      <c r="B2" s="5" t="n">
        <v>2.949</v>
      </c>
      <c r="C2" s="5" t="n">
        <v>3.117</v>
      </c>
      <c r="D2" s="5" t="n">
        <v>3.081</v>
      </c>
    </row>
    <row r="3" customFormat="false" ht="15" hidden="false" customHeight="false" outlineLevel="0" collapsed="false">
      <c r="A3" s="10" t="s">
        <v>99</v>
      </c>
      <c r="B3" s="5" t="n">
        <v>2.55</v>
      </c>
      <c r="C3" s="5" t="n">
        <v>3.059</v>
      </c>
      <c r="D3" s="5" t="n">
        <v>2.733</v>
      </c>
    </row>
    <row r="4" customFormat="false" ht="15" hidden="false" customHeight="false" outlineLevel="0" collapsed="false">
      <c r="A4" s="10" t="s">
        <v>101</v>
      </c>
      <c r="B4" s="5" t="n">
        <v>2.909</v>
      </c>
      <c r="C4" s="5" t="n">
        <v>3.081</v>
      </c>
      <c r="D4" s="5" t="n">
        <v>3.04</v>
      </c>
    </row>
    <row r="5" customFormat="false" ht="15" hidden="false" customHeight="false" outlineLevel="0" collapsed="false">
      <c r="A5" s="10" t="s">
        <v>103</v>
      </c>
      <c r="B5" s="5" t="n">
        <v>2.931</v>
      </c>
      <c r="C5" s="5" t="n">
        <v>3.119</v>
      </c>
      <c r="D5" s="5" t="n">
        <v>3.063</v>
      </c>
    </row>
    <row r="6" customFormat="false" ht="15" hidden="false" customHeight="false" outlineLevel="0" collapsed="false">
      <c r="A6" s="10" t="s">
        <v>105</v>
      </c>
      <c r="B6" s="5" t="n">
        <v>2.91</v>
      </c>
      <c r="C6" s="5" t="n">
        <v>3.074</v>
      </c>
      <c r="D6" s="5" t="n">
        <v>3.05</v>
      </c>
    </row>
    <row r="7" customFormat="false" ht="15" hidden="false" customHeight="false" outlineLevel="0" collapsed="false">
      <c r="A7" s="10" t="s">
        <v>106</v>
      </c>
      <c r="B7" s="5" t="n">
        <v>2.962</v>
      </c>
      <c r="C7" s="5" t="n">
        <v>3.158</v>
      </c>
      <c r="D7" s="5" t="n">
        <v>3.089</v>
      </c>
    </row>
    <row r="8" customFormat="false" ht="15" hidden="false" customHeight="false" outlineLevel="0" collapsed="false">
      <c r="A8" s="10" t="s">
        <v>107</v>
      </c>
      <c r="B8" s="5" t="n">
        <v>2.915</v>
      </c>
      <c r="C8" s="5" t="n">
        <v>3.116</v>
      </c>
      <c r="D8" s="5" t="n">
        <v>3.054</v>
      </c>
    </row>
    <row r="9" customFormat="false" ht="15" hidden="false" customHeight="false" outlineLevel="0" collapsed="false">
      <c r="A9" s="10" t="s">
        <v>108</v>
      </c>
      <c r="B9" s="5" t="n">
        <v>2.925</v>
      </c>
      <c r="C9" s="5" t="n">
        <v>3.122</v>
      </c>
      <c r="D9" s="5" t="n">
        <v>3.058</v>
      </c>
    </row>
    <row r="10" customFormat="false" ht="15" hidden="false" customHeight="false" outlineLevel="0" collapsed="false">
      <c r="A10" s="10" t="s">
        <v>109</v>
      </c>
      <c r="B10" s="5" t="n">
        <v>2.927</v>
      </c>
      <c r="C10" s="5" t="n">
        <v>3.125</v>
      </c>
      <c r="D10" s="5" t="n">
        <v>3.055</v>
      </c>
    </row>
    <row r="11" customFormat="false" ht="15" hidden="false" customHeight="false" outlineLevel="0" collapsed="false">
      <c r="A11" s="10" t="s">
        <v>110</v>
      </c>
      <c r="B11" s="5" t="n">
        <v>2.933</v>
      </c>
      <c r="C11" s="5" t="n">
        <v>3.114</v>
      </c>
      <c r="D11" s="5" t="n">
        <v>3.073</v>
      </c>
    </row>
    <row r="12" customFormat="false" ht="15" hidden="false" customHeight="false" outlineLevel="0" collapsed="false">
      <c r="A12" s="10" t="s">
        <v>111</v>
      </c>
      <c r="B12" s="5" t="n">
        <v>2.936</v>
      </c>
      <c r="C12" s="5" t="n">
        <v>3.133</v>
      </c>
      <c r="D12" s="5" t="n">
        <v>3.072</v>
      </c>
    </row>
    <row r="13" customFormat="false" ht="15" hidden="false" customHeight="false" outlineLevel="0" collapsed="false">
      <c r="A13" s="10" t="s">
        <v>112</v>
      </c>
      <c r="B13" s="5" t="n">
        <v>2.947</v>
      </c>
      <c r="C13" s="5" t="n">
        <v>3.132</v>
      </c>
      <c r="D13" s="5" t="n">
        <v>3.088</v>
      </c>
    </row>
    <row r="14" customFormat="false" ht="15" hidden="false" customHeight="false" outlineLevel="0" collapsed="false">
      <c r="A14" s="10" t="s">
        <v>113</v>
      </c>
      <c r="B14" s="5" t="n">
        <v>2.938</v>
      </c>
      <c r="C14" s="5" t="n">
        <v>3.098</v>
      </c>
      <c r="D14" s="5" t="n">
        <v>3.074</v>
      </c>
    </row>
    <row r="15" customFormat="false" ht="15" hidden="false" customHeight="false" outlineLevel="0" collapsed="false">
      <c r="A15" s="10" t="s">
        <v>114</v>
      </c>
      <c r="B15" s="5" t="n">
        <v>2.952</v>
      </c>
      <c r="C15" s="5" t="n">
        <v>3.141</v>
      </c>
      <c r="D15" s="5" t="n">
        <v>3.092</v>
      </c>
    </row>
    <row r="16" customFormat="false" ht="15" hidden="false" customHeight="false" outlineLevel="0" collapsed="false">
      <c r="A16" s="10" t="s">
        <v>115</v>
      </c>
      <c r="B16" s="5" t="n">
        <v>2.981</v>
      </c>
      <c r="C16" s="5" t="n">
        <v>3.159</v>
      </c>
      <c r="D16" s="5" t="n">
        <v>3.11</v>
      </c>
    </row>
    <row r="17" customFormat="false" ht="15" hidden="false" customHeight="false" outlineLevel="0" collapsed="false">
      <c r="A17" s="10" t="s">
        <v>116</v>
      </c>
      <c r="B17" s="5" t="n">
        <v>2.977</v>
      </c>
      <c r="C17" s="5" t="n">
        <v>3.171</v>
      </c>
      <c r="D17" s="5" t="n">
        <v>3.125</v>
      </c>
    </row>
    <row r="18" customFormat="false" ht="15" hidden="false" customHeight="false" outlineLevel="0" collapsed="false">
      <c r="A18" s="10" t="s">
        <v>12</v>
      </c>
      <c r="B18" s="5" t="n">
        <v>2.976</v>
      </c>
      <c r="C18" s="5" t="n">
        <v>3.149</v>
      </c>
      <c r="D18" s="5" t="n">
        <v>3.106</v>
      </c>
    </row>
    <row r="19" customFormat="false" ht="15" hidden="false" customHeight="false" outlineLevel="0" collapsed="false">
      <c r="A19" s="10" t="s">
        <v>13</v>
      </c>
      <c r="B19" s="5" t="n">
        <v>3.012</v>
      </c>
      <c r="C19" s="5" t="n">
        <v>3.154</v>
      </c>
      <c r="D19" s="5" t="n">
        <v>3.149</v>
      </c>
    </row>
    <row r="20" customFormat="false" ht="15" hidden="false" customHeight="false" outlineLevel="0" collapsed="false">
      <c r="A20" s="10" t="s">
        <v>14</v>
      </c>
      <c r="B20" s="5" t="n">
        <v>3.032</v>
      </c>
      <c r="C20" s="5" t="n">
        <v>3.133</v>
      </c>
      <c r="D20" s="5" t="n">
        <v>3.152</v>
      </c>
    </row>
    <row r="21" customFormat="false" ht="15" hidden="false" customHeight="false" outlineLevel="0" collapsed="false">
      <c r="A21" s="10" t="s">
        <v>15</v>
      </c>
      <c r="B21" s="5" t="n">
        <v>3.365</v>
      </c>
      <c r="C21" s="5" t="n">
        <v>3.439</v>
      </c>
      <c r="D21" s="5" t="n">
        <v>3.439</v>
      </c>
    </row>
    <row r="22" customFormat="false" ht="15" hidden="false" customHeight="false" outlineLevel="0" collapsed="false">
      <c r="A22" s="10" t="s">
        <v>16</v>
      </c>
      <c r="B22" s="5" t="n">
        <v>3.032</v>
      </c>
      <c r="C22" s="5" t="n">
        <v>3.213</v>
      </c>
      <c r="D22" s="5" t="n">
        <v>3.12</v>
      </c>
    </row>
    <row r="23" customFormat="false" ht="15" hidden="false" customHeight="false" outlineLevel="0" collapsed="false">
      <c r="A23" s="10" t="s">
        <v>17</v>
      </c>
      <c r="B23" s="5" t="n">
        <v>3.187</v>
      </c>
      <c r="C23" s="5" t="n">
        <v>3.307</v>
      </c>
      <c r="D23" s="5" t="n">
        <v>3.288</v>
      </c>
    </row>
    <row r="24" customFormat="false" ht="15" hidden="false" customHeight="false" outlineLevel="0" collapsed="false">
      <c r="A24" s="10" t="s">
        <v>18</v>
      </c>
      <c r="B24" s="5" t="n">
        <v>3.084</v>
      </c>
      <c r="C24" s="5" t="n">
        <v>3.221</v>
      </c>
      <c r="D24" s="5" t="n">
        <v>3.189</v>
      </c>
    </row>
    <row r="25" customFormat="false" ht="15" hidden="false" customHeight="false" outlineLevel="0" collapsed="false">
      <c r="A25" s="10" t="s">
        <v>19</v>
      </c>
      <c r="B25" s="5" t="n">
        <v>3.161</v>
      </c>
      <c r="C25" s="5" t="n">
        <v>3.29</v>
      </c>
      <c r="D25" s="5" t="n">
        <v>3.253</v>
      </c>
    </row>
    <row r="26" customFormat="false" ht="15" hidden="false" customHeight="false" outlineLevel="0" collapsed="false">
      <c r="A26" s="10" t="s">
        <v>20</v>
      </c>
      <c r="B26" s="5" t="n">
        <v>3.131</v>
      </c>
      <c r="C26" s="5" t="n">
        <v>3.265</v>
      </c>
      <c r="D26" s="5" t="n">
        <v>3.24</v>
      </c>
    </row>
    <row r="27" customFormat="false" ht="15" hidden="false" customHeight="false" outlineLevel="0" collapsed="false">
      <c r="A27" s="10" t="s">
        <v>21</v>
      </c>
      <c r="B27" s="5" t="n">
        <v>3.198</v>
      </c>
      <c r="C27" s="5" t="n">
        <v>3.337</v>
      </c>
      <c r="D27" s="5" t="n">
        <v>3.296</v>
      </c>
    </row>
    <row r="28" customFormat="false" ht="15" hidden="false" customHeight="false" outlineLevel="0" collapsed="false">
      <c r="A28" s="10" t="s">
        <v>22</v>
      </c>
      <c r="B28" s="5" t="n">
        <v>3.132</v>
      </c>
      <c r="C28" s="5" t="n">
        <v>3.257</v>
      </c>
      <c r="D28" s="5" t="n">
        <v>3.241</v>
      </c>
    </row>
    <row r="29" customFormat="false" ht="15" hidden="false" customHeight="false" outlineLevel="0" collapsed="false">
      <c r="A29" s="10" t="s">
        <v>23</v>
      </c>
      <c r="B29" s="5" t="n">
        <v>3.208</v>
      </c>
      <c r="C29" s="5" t="n">
        <v>3.328</v>
      </c>
      <c r="D29" s="5" t="n">
        <v>3.305</v>
      </c>
    </row>
    <row r="30" customFormat="false" ht="15" hidden="false" customHeight="false" outlineLevel="0" collapsed="false">
      <c r="A30" s="10" t="s">
        <v>24</v>
      </c>
      <c r="B30" s="5" t="n">
        <v>3.187</v>
      </c>
      <c r="C30" s="5" t="n">
        <v>3.35</v>
      </c>
      <c r="D30" s="5" t="n">
        <v>3.277</v>
      </c>
    </row>
    <row r="31" customFormat="false" ht="15" hidden="false" customHeight="false" outlineLevel="0" collapsed="false">
      <c r="A31" s="10" t="s">
        <v>25</v>
      </c>
      <c r="B31" s="5" t="n">
        <v>3.22</v>
      </c>
      <c r="C31" s="5" t="n">
        <v>3.367</v>
      </c>
      <c r="D31" s="5" t="n">
        <v>3.313</v>
      </c>
    </row>
    <row r="32" customFormat="false" ht="15" hidden="false" customHeight="false" outlineLevel="0" collapsed="false">
      <c r="A32" s="10" t="s">
        <v>26</v>
      </c>
      <c r="B32" s="5" t="n">
        <v>3.196</v>
      </c>
      <c r="C32" s="5" t="n">
        <v>3.316</v>
      </c>
      <c r="D32" s="5" t="n">
        <v>3.294</v>
      </c>
    </row>
    <row r="33" customFormat="false" ht="15" hidden="false" customHeight="false" outlineLevel="0" collapsed="false">
      <c r="A33" s="10" t="s">
        <v>27</v>
      </c>
      <c r="B33" s="5" t="n">
        <v>3.226</v>
      </c>
      <c r="C33" s="5" t="n">
        <v>3.384</v>
      </c>
      <c r="D33" s="5" t="n">
        <v>3.27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2026-09-29T17:50:04Z</dcterms:created>
  <dc:creator>openpyxl</dc:creator>
  <dc:description/>
  <dc:language>en-US</dc:language>
  <cp:lastModifiedBy/>
  <dcterms:modified xsi:type="dcterms:W3CDTF">2026-09-29T17:50:06Z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