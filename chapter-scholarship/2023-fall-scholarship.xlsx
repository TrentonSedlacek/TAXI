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form" sheetId="1" r:id="rId5"/>
    <sheet state="visible" name="Grade History" sheetId="2" r:id="rId6"/>
    <sheet state="visible" name="FGL" sheetId="3" r:id="rId7"/>
    <sheet state="visible" name="Sep 1" sheetId="4" r:id="rId8"/>
    <sheet state="visible" name="Sep 15" sheetId="5" r:id="rId9"/>
    <sheet state="visible" name="Sep 29" sheetId="6" r:id="rId10"/>
    <sheet state="visible" name="Oct 13" sheetId="7" r:id="rId11"/>
    <sheet state="visible" name="Oct 27" sheetId="8" r:id="rId12"/>
    <sheet state="visible" name="Nov 10" sheetId="9" r:id="rId13"/>
    <sheet state="visible" name="Dec 1" sheetId="10" r:id="rId14"/>
  </sheets>
  <definedNames>
    <definedName name="AE">Feedform!$A$2:$A$64</definedName>
    <definedName name="Four">Feedform!$F$2:$F$66</definedName>
    <definedName name="Avgs">FGL!$O$13</definedName>
    <definedName name="Two">Feedform!$D$2:$D$66</definedName>
    <definedName name="All">Feedform!$B$2:$B$66</definedName>
    <definedName name="Chapter">Feedform!$B$2:$B$66</definedName>
    <definedName name="One">Feedform!$C$2:$C$66</definedName>
    <definedName name="Actives">Feedform!$B$2:$B$51</definedName>
    <definedName name="Five">Feedform!$G$2:$G$66</definedName>
    <definedName name="Avg">FGL!$C$13:$O$13</definedName>
    <definedName name="SIx">Feedform!$H$2:$H$62</definedName>
    <definedName name="Seven">Feedform!$I$2:$I$70</definedName>
    <definedName name="Three">Feedform!$E$2:$E$66</definedName>
    <definedName hidden="1" localSheetId="0" name="Z_1B06D3D5_418F_4A68_87BA_F5112B51256A_.wvu.FilterData">Feedform!$A$1:$H$70</definedName>
  </definedNames>
  <calcPr/>
  <customWorkbookViews>
    <customWorkbookView activeSheetId="0" maximized="1" windowHeight="0" windowWidth="0" guid="{1B06D3D5-418F-4A68-87BA-F5112B51256A}" name="Filter 2"/>
  </customWorkbookViews>
</workbook>
</file>

<file path=xl/sharedStrings.xml><?xml version="1.0" encoding="utf-8"?>
<sst xmlns="http://schemas.openxmlformats.org/spreadsheetml/2006/main" count="1657" uniqueCount="1197">
  <si>
    <t>Timestamp</t>
  </si>
  <si>
    <t>AE</t>
  </si>
  <si>
    <t>GPA</t>
  </si>
  <si>
    <t>Canvas Screenshot(s)</t>
  </si>
  <si>
    <t>Questions/Comments</t>
  </si>
  <si>
    <t>https://drive.google.com/open?id=11cta5LRgQtovJBaJ4NY2V1DwCJPbmQAd</t>
  </si>
  <si>
    <t>plz wrk</t>
  </si>
  <si>
    <t>https://drive.google.com/open?id=1N6QioBCzhRgicgFuinywS3-dwCT1NiGs</t>
  </si>
  <si>
    <t>Balls</t>
  </si>
  <si>
    <t>https://drive.google.com/open?id=1bTYUwTsTYfkLlL2ga8Q1T9NeB6oijPRL</t>
  </si>
  <si>
    <t>https://drive.google.com/open?id=1BX5LRy00MivKvNCrwSbwzLyiE0tLHDWf</t>
  </si>
  <si>
    <t>https://drive.google.com/open?id=1hNJU-0Fg56XdBvkTC9dkzDiQ5ECBH6mg, https://drive.google.com/open?id=1OpqBCnqt0Kg-owKWG_qIO-AM4RsgzRpA</t>
  </si>
  <si>
    <t>https://drive.google.com/open?id=1Qz9NxzjB4Qgxys98BjumB2aNu-TJvAo_</t>
  </si>
  <si>
    <t>Name</t>
  </si>
  <si>
    <t>Spring 2023</t>
  </si>
  <si>
    <t>Cumulative</t>
  </si>
  <si>
    <t>Hiiiiiiiii Brrraaaeeedeeeeennnn</t>
  </si>
  <si>
    <t>https://drive.google.com/open?id=1VMdDWyjHyQViQIlX81M8V3g6gf3eNwE7</t>
  </si>
  <si>
    <t>Fall 2022</t>
  </si>
  <si>
    <t>Spring 2022</t>
  </si>
  <si>
    <t>Fall 2021</t>
  </si>
  <si>
    <t>I have no grades in yet so I put a 4</t>
  </si>
  <si>
    <t>https://drive.google.com/open?id=1cpZv6wSAjT_Q1R1HmcJdKSyoocIPfJV9</t>
  </si>
  <si>
    <t>Brady Sorbin</t>
  </si>
  <si>
    <t>No Data</t>
  </si>
  <si>
    <t>Est - 3</t>
  </si>
  <si>
    <t>Adam Varghese</t>
  </si>
  <si>
    <t xml:space="preserve">No grades in </t>
  </si>
  <si>
    <t>https://drive.google.com/open?id=1h3v47SDCawlykcboFuOCZzHzTisbKAM0, https://drive.google.com/open?id=1puU7uZNYYafQbH38j1qP9uucYwSdQrKQ</t>
  </si>
  <si>
    <t>Toby Tobin</t>
  </si>
  <si>
    <t>https://drive.google.com/open?id=1IOVBxFDBtzd7D-KhKz9J1wuyJSxL049g</t>
  </si>
  <si>
    <t>No data</t>
  </si>
  <si>
    <t>Nathan Herrera</t>
  </si>
  <si>
    <t>Est - 2.3</t>
  </si>
  <si>
    <t>Connor McCratic</t>
  </si>
  <si>
    <t>Jack Kay</t>
  </si>
  <si>
    <t>Kobee Brewer</t>
  </si>
  <si>
    <t>https://drive.google.com/open?id=1574lo42U6L4cTAd6h2GzCPSMTDW5hQ-4</t>
  </si>
  <si>
    <t>Thomas Hope</t>
  </si>
  <si>
    <t>Ethan Webster</t>
  </si>
  <si>
    <t>Harry Wells</t>
  </si>
  <si>
    <t>Jared Ott</t>
  </si>
  <si>
    <t>Sean Doumitt</t>
  </si>
  <si>
    <t>https://drive.google.com/open?id=1TLrbc0iRDbT-EkZYKKVxJAXsw0hDn8vv</t>
  </si>
  <si>
    <t>James Moeller</t>
  </si>
  <si>
    <t>Nolan Johnson</t>
  </si>
  <si>
    <t>Trenton Sedlacek</t>
  </si>
  <si>
    <t>AJ Fields</t>
  </si>
  <si>
    <t>Andrew Wellman</t>
  </si>
  <si>
    <t>Braeden Haptonstall</t>
  </si>
  <si>
    <t>ADPR 283 zero from ungraded syllabus quiz. Real grade is 100</t>
  </si>
  <si>
    <t>Kris Anwar</t>
  </si>
  <si>
    <t>https://drive.google.com/open?id=1eHqBNYe7POyr62MH1vm3ksmL-_gtRe1j</t>
  </si>
  <si>
    <t>Danny Smyth</t>
  </si>
  <si>
    <t>Evan Seipold</t>
  </si>
  <si>
    <t>Callahan Weeks</t>
  </si>
  <si>
    <t>Charlie Gifford</t>
  </si>
  <si>
    <t>Harrison Wells</t>
  </si>
  <si>
    <t>Dennis Ngyuyen</t>
  </si>
  <si>
    <t>https://drive.google.com/open?id=1pXxc6DBJJIdrWgHdSbaVlFouoaeXu10I</t>
  </si>
  <si>
    <t>Nate Hollenbeck</t>
  </si>
  <si>
    <t>Michael Leiting</t>
  </si>
  <si>
    <t>Tyler Day</t>
  </si>
  <si>
    <t>Hunter Kinnaman</t>
  </si>
  <si>
    <t>Sebastian Palka</t>
  </si>
  <si>
    <t>https://drive.google.com/open?id=11LgfsUY8sMOQX_DmhUVUHylU6ekGLx8i, https://drive.google.com/open?id=1VS5QLq_m23-cUVt34g4NzMUboYjaXJKn</t>
  </si>
  <si>
    <t>https://drive.google.com/open?id=16Ia50xYIMSLwLd2jeZElcwnK-72bVqhy</t>
  </si>
  <si>
    <t>Alex Pahadi</t>
  </si>
  <si>
    <t>Jeffrey Noh</t>
  </si>
  <si>
    <t>https://drive.google.com/open?id=1rHW13flVQteVE0X_8k6TX91M5sGhR-TX, https://drive.google.com/open?id=1qhZoEubAyurQn01VAIR36WSVOeDmMiEy, https://drive.google.com/open?id=10PIjUc4-codkh94bUq0tKahdrQC90mRZ</t>
  </si>
  <si>
    <t>https://drive.google.com/open?id=1U6TaHhAZR1pJBiLGqt0y76w-EdJxdv6k</t>
  </si>
  <si>
    <t>Jordan Lockert</t>
  </si>
  <si>
    <t>Rishik Kancharla</t>
  </si>
  <si>
    <t>Logan McDonald</t>
  </si>
  <si>
    <t>Tanner Hipnar</t>
  </si>
  <si>
    <t>Jack Nicholl</t>
  </si>
  <si>
    <t>Sam Mueggenberg</t>
  </si>
  <si>
    <t>https://drive.google.com/open?id=14wCYborAjmr4cQs-FcQnBae8MCZ5y4Xw</t>
  </si>
  <si>
    <t>Brady Ferryman</t>
  </si>
  <si>
    <t>Nico Bianchette</t>
  </si>
  <si>
    <t>Connor Wieseman</t>
  </si>
  <si>
    <t>Anibal Grajeda</t>
  </si>
  <si>
    <t>https://drive.google.com/open?id=1-74S43oFu3wN1_HhlkzWQ7dxsfBrho9E</t>
  </si>
  <si>
    <t>Antonio Soto</t>
  </si>
  <si>
    <t>Zach Hamilton</t>
  </si>
  <si>
    <t>Tommy Lemon</t>
  </si>
  <si>
    <t>Braden Harris</t>
  </si>
  <si>
    <t>Joe Schmit</t>
  </si>
  <si>
    <t>https://drive.google.com/open?id=1wo9x7SsAzNXzNu8Ne_JDQXYZBenHkfvf, https://drive.google.com/open?id=1VXnP-lsUhTPQ_RQuzafoi2PqOH219Azq</t>
  </si>
  <si>
    <t>https://drive.google.com/open?id=1dOu-XzZmLBMZ8kGbSPoKTzt0syxDGVPC</t>
  </si>
  <si>
    <t>Connor Radde</t>
  </si>
  <si>
    <t>Drew Olsen</t>
  </si>
  <si>
    <t>Elijah Doyle</t>
  </si>
  <si>
    <t>https://drive.google.com/open?id=1aZP0u9C0A-GTnFKiiS7WaRY70rdhMKf9</t>
  </si>
  <si>
    <t>Ben Morse</t>
  </si>
  <si>
    <t>Joel Monteleagre</t>
  </si>
  <si>
    <t>Garrett Smith</t>
  </si>
  <si>
    <t>Ethan Halliday</t>
  </si>
  <si>
    <t>Skeet skeet yet yeet</t>
  </si>
  <si>
    <t>https://drive.google.com/open?id=1C73hLUj8XGfKzhGdOukB2DOQ-ZP-x0SN, https://drive.google.com/open?id=10raJC_qypT43pdDea7k53tFFNWm6_iCt</t>
  </si>
  <si>
    <t>4.0 bitch</t>
  </si>
  <si>
    <t>https://drive.google.com/open?id=1-gM6EAWpCksxoiwwdADS2f4MVyBt8iNN</t>
  </si>
  <si>
    <t>Sean Pate</t>
  </si>
  <si>
    <t>Matthew Rowland</t>
  </si>
  <si>
    <t>Riley Pankow</t>
  </si>
  <si>
    <t>Zachary Hamilton</t>
  </si>
  <si>
    <t>Andrew Quick</t>
  </si>
  <si>
    <t>Grade forms make me happy :):) keep being awesome!</t>
  </si>
  <si>
    <t>https://drive.google.com/open?id=1IQ27WMLKUppNAhQ6XthkTTsFVbs3hwqs</t>
  </si>
  <si>
    <t>Carson Dodd</t>
  </si>
  <si>
    <t>Scott Lundin</t>
  </si>
  <si>
    <t xml:space="preserve">Rishik Kancharla </t>
  </si>
  <si>
    <t>https://drive.google.com/open?id=1J0iMVubKnv-ebjWWR6v1EU1aV0ImvcdI</t>
  </si>
  <si>
    <t>Braeden Aherns</t>
  </si>
  <si>
    <t>Owen Micek</t>
  </si>
  <si>
    <t xml:space="preserve">Sebastian Palka </t>
  </si>
  <si>
    <t>Grant Crockett</t>
  </si>
  <si>
    <t>Cutter Riveland</t>
  </si>
  <si>
    <t>i’m him</t>
  </si>
  <si>
    <t>Hunter Fitton</t>
  </si>
  <si>
    <t>https://drive.google.com/open?id=1ps7KZccEvYD5p3TzKUeaHbOtWIjBy1ef, https://drive.google.com/open?id=1cwgNfYyy4iD_8pTzBz9lCsw-GeKwWHdf</t>
  </si>
  <si>
    <t>https://drive.google.com/open?id=15owxuVdbEh9xOub-sIlBbjiFwAsfYMtN, https://drive.google.com/open?id=1tsDo4so4mDEwDCAHNODk8QUGo1i1kYG6</t>
  </si>
  <si>
    <t>I have 2 zero credit classes. I didn’t add those into the calculations because they have no credits. Lmk if that wrong.</t>
  </si>
  <si>
    <t>https://drive.google.com/open?id=10BFb7y9gPrQOvm9PE0qn9eE30pIZbQS7, https://drive.google.com/open?id=1xJScv6lp5zZK9CwdNs4NSlCnYT3BUzoa</t>
  </si>
  <si>
    <t>I got a 5/8 on my SCMA quiz that’s why it says 62</t>
  </si>
  <si>
    <t>https://drive.google.com/open?id=1zWhb4sWf8oR9FEnTxP_zBB4K3dCa0Y9j</t>
  </si>
  <si>
    <t>Miles Budzinski</t>
  </si>
  <si>
    <t>Max Dikker</t>
  </si>
  <si>
    <t>Gage Crowell</t>
  </si>
  <si>
    <t>https://drive.google.com/open?id=1oBpV7BIKF2piSg4LCXPOwUU2ZQE_0gni</t>
  </si>
  <si>
    <t>Del Casteel</t>
  </si>
  <si>
    <t>Fantasy Grades League Standings</t>
  </si>
  <si>
    <t>Mason Mattes</t>
  </si>
  <si>
    <t>Nick Nemec</t>
  </si>
  <si>
    <t>David Frodhart</t>
  </si>
  <si>
    <t>Spencer Sartore</t>
  </si>
  <si>
    <t>https://drive.google.com/open?id=1somufITS4KX7BFEY26zNqs-FstI51bLn</t>
  </si>
  <si>
    <t>Hayden Smith</t>
  </si>
  <si>
    <t>Chuck Schultz</t>
  </si>
  <si>
    <t>C</t>
  </si>
  <si>
    <t xml:space="preserve">Ethan Halliday </t>
  </si>
  <si>
    <t>Jan Gomez</t>
  </si>
  <si>
    <t>Grant Casey</t>
  </si>
  <si>
    <t>JD Loera</t>
  </si>
  <si>
    <t>https://drive.google.com/open?id=18ileF0233t-64J979_zHH3FKVPkkqf_K, https://drive.google.com/open?id=1vbktVi6g9GLzxQ94D-_8sxUMCRoAarUx</t>
  </si>
  <si>
    <t>https://drive.google.com/open?id=1eyksYdMh06N9GStndX99CbEDVyF78_5Y, https://drive.google.com/open?id=1r2zlNWqsCC5PutQz51pDhLqzWeXbkopT</t>
  </si>
  <si>
    <t>https://drive.google.com/open?id=1bxMJdeTg_RwNjuaeRMs7bQG4FSgDWNHb</t>
  </si>
  <si>
    <t>Brady Perna</t>
  </si>
  <si>
    <t xml:space="preserve">Brady Sorbin </t>
  </si>
  <si>
    <t>https://drive.google.com/open?id=1bvbWtPRJGvtwpEIpFor5jrqutCLDexnU</t>
  </si>
  <si>
    <t xml:space="preserve">Owen Micek </t>
  </si>
  <si>
    <t>None</t>
  </si>
  <si>
    <t>https://drive.google.com/open?id=1Y19eSwzjrHZDTauQL6Ahzw3GcVgN4G44</t>
  </si>
  <si>
    <t>Colby Hehnke</t>
  </si>
  <si>
    <t>William Miller</t>
  </si>
  <si>
    <t>Carlos Garcia</t>
  </si>
  <si>
    <t>Robert Kilgore</t>
  </si>
  <si>
    <t>https://drive.google.com/open?id=13qaODTytVTx0ItZ67RaoUl3ux0xhPrIV</t>
  </si>
  <si>
    <t>Evan Siepold</t>
  </si>
  <si>
    <t>Thomas Lemon</t>
  </si>
  <si>
    <t>Jaren Hoffart</t>
  </si>
  <si>
    <t>Team Captains</t>
  </si>
  <si>
    <t>https://drive.google.com/open?id=1nMAATYKfV-1LNbuqauKRtsk1GX-GIgTF, https://drive.google.com/open?id=1RNtw25ENwSw-qQ_sv7gBqjan6_0GypjL</t>
  </si>
  <si>
    <t>https://drive.google.com/open?id=15ze_r2o8OvcXFy4MMmQYTCQ765XqHHcJ, https://drive.google.com/open?id=15IjZS2dsjNsbwNnEPQhgbk8AD3NkL-Nk</t>
  </si>
  <si>
    <t>Colton Billings</t>
  </si>
  <si>
    <t>Some assignments have not yet been graded in the two classes I have 80s in but have been listed as 0. That will be updated soon. The GPA listed is according to my unupdated grades and will increase soon. Thanks!</t>
  </si>
  <si>
    <t>https://drive.google.com/open?id=1rw9faZT8kyYzypv_L84muMmHOGRsSufG</t>
  </si>
  <si>
    <t>Dennis Nguyen</t>
  </si>
  <si>
    <t>Mac Clarke</t>
  </si>
  <si>
    <t>Nah</t>
  </si>
  <si>
    <t>https://drive.google.com/open?id=1eZ396Bn5OU9vXkM95Su2Xh-o-KHkEwhE, https://drive.google.com/open?id=1JkNo3InvraUl1kJygLiUtEOPHhx37jVq, https://drive.google.com/open?id=1wAAzcqYuK49heVSbFQjSxwzHuDmGU-gq</t>
  </si>
  <si>
    <t>My gpa is not actually that bad, I have an untaken math test sitting at a 0</t>
  </si>
  <si>
    <t>https://drive.google.com/open?id=1MU9CWe0XwrALg2_FFgOSHjAVLDqDoUcV</t>
  </si>
  <si>
    <t xml:space="preserve">Nikolas Ostrowski </t>
  </si>
  <si>
    <t xml:space="preserve">Connor Radde </t>
  </si>
  <si>
    <t>https://drive.google.com/open?id=1NDRKDuiNhBFc93FCjMAxqGIH7CKYCKPy</t>
  </si>
  <si>
    <t xml:space="preserve">Grant Crockett </t>
  </si>
  <si>
    <t>https://drive.google.com/open?id=18u3l2PzlhZAOLl84xfrjjc4F7qVVDDEv, https://drive.google.com/open?id=1cklOY5BDJxylBWFdW4OAG4DtZu4ZOyHx</t>
  </si>
  <si>
    <t>https://drive.google.com/open?id=1kpSCtTwwGpHgy6BM0IpBNYpp_wwj26lT</t>
  </si>
  <si>
    <t xml:space="preserve">Dennis Nguyen </t>
  </si>
  <si>
    <t>https://drive.google.com/open?id=1B8bsKt1fLNl7RCz5WnUN1c-hAK2xiS0n</t>
  </si>
  <si>
    <t>Randy Rafert</t>
  </si>
  <si>
    <t>Woooo</t>
  </si>
  <si>
    <t>https://drive.google.com/open?id=1MGfESV2HzZGTjPXr1fqT2kJ8s5H_02_G</t>
  </si>
  <si>
    <t>Tyler Lechner</t>
  </si>
  <si>
    <t xml:space="preserve">Love you </t>
  </si>
  <si>
    <t>https://drive.google.com/open?id=1VTV4Bfn5r_D9ISJ0KG84PI3lpdWpYSwg</t>
  </si>
  <si>
    <t>Joe Kopetka</t>
  </si>
  <si>
    <t>https://drive.google.com/open?id=1H3KO9O3zDGYwRk9yR3G5-K5u3FOpHu-O</t>
  </si>
  <si>
    <t>Bombed my first quiz because my book didn’t deliver in time</t>
  </si>
  <si>
    <t>https://drive.google.com/open?id=1NbZvUqafe3nl3Jz5Vbl8Gm_D2We1AS4o</t>
  </si>
  <si>
    <t>Carter Lawson</t>
  </si>
  <si>
    <t>Wumbo</t>
  </si>
  <si>
    <t>x</t>
  </si>
  <si>
    <t>https://drive.google.com/open?id=1C-Hx6XgWD9da0E1bVV2gnasHOr3f8oA1</t>
  </si>
  <si>
    <t>Callahan</t>
  </si>
  <si>
    <t>Elijah</t>
  </si>
  <si>
    <t>Ben</t>
  </si>
  <si>
    <t>Brady</t>
  </si>
  <si>
    <t>Hubert</t>
  </si>
  <si>
    <t>4.0, 4.0, 4.0, 4.0, 4.0</t>
  </si>
  <si>
    <t>https://drive.google.com/open?id=1wy0Gs_TqfakcHaNASSpQKwSi-6CXUaUQ</t>
  </si>
  <si>
    <t>https://drive.google.com/open?id=1g8syjDYzkGwiXUznbSEchZ_AUzNmwCaE</t>
  </si>
  <si>
    <t>https://drive.google.com/open?id=1kpNM2b5AICAug4eL1N0jThr2E3DIQh4B</t>
  </si>
  <si>
    <t>https://drive.google.com/open?id=1dnp6rbxX6TfttfN_Mv34Gpo0zEun7rDJ</t>
  </si>
  <si>
    <t>https://drive.google.com/open?id=1rnThxxpP3t6a_a73YdyAsh9lX4UheYZ3</t>
  </si>
  <si>
    <t xml:space="preserve">75% isn’t accurate needs to fix participation quiz </t>
  </si>
  <si>
    <t>https://drive.google.com/open?id=1TNTqehrgSY-jXW7dcmOgFS-87Udus8Nx</t>
  </si>
  <si>
    <t>Above House Avg</t>
  </si>
  <si>
    <t>https://drive.google.com/open?id=1qX6mYgYyMh_inzPrn34QvW3ga0rIBJKO, https://drive.google.com/open?id=1JOPm6DGH6qJH3heX2CL7QMrd_m4idfOI, https://drive.google.com/open?id=19wf8p9g-bur4Bhfs-FBxOFEtA33aS_fw</t>
  </si>
  <si>
    <t xml:space="preserve">Some canvas classes are form last year </t>
  </si>
  <si>
    <t>https://drive.google.com/open?id=1GWfxkoP2ENkbQ8-U1HWzl-YoedrhWwMY, https://drive.google.com/open?id=1vGChEpU9KBWyoLJk7WpC9gLzeTDu-FqJ</t>
  </si>
  <si>
    <t xml:space="preserve">There was an assignment that the professor put in canvas wrong </t>
  </si>
  <si>
    <t>Harrison</t>
  </si>
  <si>
    <t>https://drive.google.com/open?id=1Zt0cDuAzY97XY7cNH1FyH1Qk_IzCs0nx</t>
  </si>
  <si>
    <t xml:space="preserve">Tyler Lechner </t>
  </si>
  <si>
    <t xml:space="preserve">Charlie </t>
  </si>
  <si>
    <t>Randy</t>
  </si>
  <si>
    <t>jordan lockert</t>
  </si>
  <si>
    <t>evan siepold</t>
  </si>
  <si>
    <t>Below House Avg</t>
  </si>
  <si>
    <t>David Frohardt</t>
  </si>
  <si>
    <t xml:space="preserve">Nik Ostrowski </t>
  </si>
  <si>
    <t>Canvas Screenshots</t>
  </si>
  <si>
    <t>GPA Calculator Screeshot</t>
  </si>
  <si>
    <t>https://drive.google.com/open?id=1ZBj1q2Ck8Num8Z7lvFlWhSnsWvnQ4Pfh</t>
  </si>
  <si>
    <t>https://drive.google.com/open?id=1Iw9TUfl-0SiCYXlXP-y4e06FAM3llzvv</t>
  </si>
  <si>
    <t>Below 2.75</t>
  </si>
  <si>
    <t>Jeffrey</t>
  </si>
  <si>
    <t xml:space="preserve">Adam Varghese </t>
  </si>
  <si>
    <t xml:space="preserve">Robert Killgore </t>
  </si>
  <si>
    <t>https://drive.google.com/open?id=1y_Q-FhvRvcYT1iP-mahm-6F8XFUC9YXd</t>
  </si>
  <si>
    <t>https://drive.google.com/open?id=1meWlRnRqeh_GBH0GIrteFkxXaHEqAuJr</t>
  </si>
  <si>
    <t>https://drive.google.com/open?id=1waHCEKy6dsT0_xgaVcpO1FipozzHgvP0</t>
  </si>
  <si>
    <t>https://drive.google.com/open?id=1D7lZLWXIk5JKBieABEzfiuNoK_NRj9fR</t>
  </si>
  <si>
    <t>Wasn’t sure if I had to add the grade calculator ss since I still have all As, I knew it was 4.0</t>
  </si>
  <si>
    <t>https://drive.google.com/open?id=1LlB7AWT2wO_J_D4LfaRSvevXyjdo5p9j</t>
  </si>
  <si>
    <t>Chuck</t>
  </si>
  <si>
    <t>https://drive.google.com/open?id=1RMvPFsn6AQ2If899OWpej4mQIReUD_No</t>
  </si>
  <si>
    <t>-</t>
  </si>
  <si>
    <t>I’ve only had a 3 question quiz in my 367 class I’ll get it up</t>
  </si>
  <si>
    <t>https://drive.google.com/open?id=1XIGI9oOyiKVbDPDD4GdCcFS9uXi2fFcY, https://drive.google.com/open?id=1Ff9WHL2rdXPUSUArBPOoBWHR9utIwiSl</t>
  </si>
  <si>
    <t>https://drive.google.com/open?id=1flS0dlmMSk593ayF3bzWMXaum4SXPbiN, https://drive.google.com/open?id=1hPrHiVYGZd3VanlUsG7EgiHwJ-GZ_iYy</t>
  </si>
  <si>
    <t>https://drive.google.com/open?id=164l8OrzzuXEa8gY6HAWFIV_vITF1BZR3</t>
  </si>
  <si>
    <t>https://drive.google.com/open?id=1yf60gpCjw3172BRROtuUdoNIwIEDmoFb</t>
  </si>
  <si>
    <t>Maverick Kellar</t>
  </si>
  <si>
    <t>https://drive.google.com/open?id=1dMR2XnXaXUR3lDISmXoUsnw1JdKM3UOP</t>
  </si>
  <si>
    <t>House Avg = 3.331</t>
  </si>
  <si>
    <t>https://drive.google.com/open?id=1Rx-m89Tnd5g2uBCH_5cwwUPreAlb2pYL</t>
  </si>
  <si>
    <t>Tommy</t>
  </si>
  <si>
    <t xml:space="preserve">Gage </t>
  </si>
  <si>
    <t xml:space="preserve">Del </t>
  </si>
  <si>
    <t>Zach Moeller</t>
  </si>
  <si>
    <t>https://drive.google.com/open?id=1Ch6CtzLil09fI7dHRdIyZSuQeMAY-xTF, https://drive.google.com/open?id=1V6YNA-okexB1z542fxexswdAKtqUgdgO, https://drive.google.com/open?id=1FzYDtsNIzIsexmuwH9JxIHwSjY_1TKGE, https://drive.google.com/open?id=1f12dtMoxz50LtUbpl9w6PIoefBWrQZnh</t>
  </si>
  <si>
    <t>https://drive.google.com/open?id=12Ae068zbE2LIvy-jz7TpBj88gvW0uCYX</t>
  </si>
  <si>
    <t>Tag Niepomnik</t>
  </si>
  <si>
    <t>Tucker May</t>
  </si>
  <si>
    <t>https://drive.google.com/open?id=1Z3vOQXa17M8I0M7RkO_53d2b1lm7wySI, https://drive.google.com/open?id=1tb1rX17LEcQ5qTD7pw-eGqALG26bC5CG</t>
  </si>
  <si>
    <t>https://drive.google.com/open?id=18h32CvHDrtKAkthjGR-G0oW42cJVCjjD</t>
  </si>
  <si>
    <t>Ved Patel</t>
  </si>
  <si>
    <t>https://drive.google.com/open?id=1clUdkvRy_Flf-51li0QjqvJd4hHe3lzs</t>
  </si>
  <si>
    <t>Jared Dodson</t>
  </si>
  <si>
    <t>Ben Stearnes</t>
  </si>
  <si>
    <t>https://drive.google.com/open?id=1qYvCFjfUfoGG8jnNyvEqIaQAUCurgb7C</t>
  </si>
  <si>
    <t>Kris</t>
  </si>
  <si>
    <t xml:space="preserve">Anibal </t>
  </si>
  <si>
    <t>Joel</t>
  </si>
  <si>
    <t>GIS has had just one assignment. EDLC has weird grading thing where it doesn’t show but I have 100% right now</t>
  </si>
  <si>
    <t>Hunter fitton</t>
  </si>
  <si>
    <t>https://drive.google.com/open?id=100Y9Fp5xVDjGu6v6Wt2gxvEnRuKkxko4, https://drive.google.com/open?id=1JO44RuJ41hVU7O098RItYPLqUCSLF1H_</t>
  </si>
  <si>
    <t>https://drive.google.com/open?id=1ti9SU_VMzcx2VRJhI6Wk_h42Zok_1Dhh</t>
  </si>
  <si>
    <t>Cole Bader</t>
  </si>
  <si>
    <t>https://drive.google.com/open?id=1am47T4bWZ_RevdI6Bpkxj1OGk-I0BHUu</t>
  </si>
  <si>
    <t>Charlie Poitras</t>
  </si>
  <si>
    <t>Luke Peterson</t>
  </si>
  <si>
    <t>https://drive.google.com/open?id=1Zy-M5msJ40kcOFP2hdv1CZAPH082y5Ws</t>
  </si>
  <si>
    <t>Why are my balls always itchy</t>
  </si>
  <si>
    <t>https://drive.google.com/open?id=1MnO3a_AWktAIkLERwpve3MWA9vsMlXN_</t>
  </si>
  <si>
    <t xml:space="preserve">Max Lowrance </t>
  </si>
  <si>
    <t xml:space="preserve">Drew Olsen </t>
  </si>
  <si>
    <t>https://drive.google.com/open?id=1zc4CT7m0bHGP1JM68Lo1Lr2Bv8h-10eg</t>
  </si>
  <si>
    <t xml:space="preserve">matthew rowland </t>
  </si>
  <si>
    <t>Too lazy to do gpa calc I have all 100s its a 4 jit</t>
  </si>
  <si>
    <t>https://drive.google.com/open?id=1QSGfR2UkykyMKMcaEA8-hdIXfKp-NLCM</t>
  </si>
  <si>
    <t>Aiden Estrada</t>
  </si>
  <si>
    <t>https://drive.google.com/open?id=1t2UCgX63lipucCNkr8Y6HcxegKdzwjAO</t>
  </si>
  <si>
    <t>https://drive.google.com/open?id=1ZYSAgV7HUwdY7FqvnTgXjtjn3DmKLvAn</t>
  </si>
  <si>
    <t>https://drive.google.com/open?id=1-hL05o0ACDrWy5NPx2Z5t96cRNjPp-Pq</t>
  </si>
  <si>
    <t>Toby</t>
  </si>
  <si>
    <t xml:space="preserve">Sean Doumitt </t>
  </si>
  <si>
    <t xml:space="preserve">Kobee </t>
  </si>
  <si>
    <t>Jack nicholl</t>
  </si>
  <si>
    <t>Nico</t>
  </si>
  <si>
    <t>Braden</t>
  </si>
  <si>
    <t>https://drive.google.com/open?id=1z_AnftL-akGuRRgEZGgjqRyjsHGs8JBE</t>
  </si>
  <si>
    <t>https://drive.google.com/open?id=1lGosSAYrimEnHSogzLGefaSYEhyKOX_1</t>
  </si>
  <si>
    <t>N/A</t>
  </si>
  <si>
    <t>https://drive.google.com/open?id=1MUdNE6r0jGx3uhecnrO23hWEDedtH8Um</t>
  </si>
  <si>
    <t>https://drive.google.com/open?id=1Ol5gqzZOGd32szy9U6SaKjMVwKzdrSra</t>
  </si>
  <si>
    <t>https://drive.google.com/open?id=1x5oSb61v684MXTRUBvDzYY3V19CFY7Pj, https://drive.google.com/open?id=1FFV5KwvI3q3i_E87rQyMRNEODNSQLopm</t>
  </si>
  <si>
    <t>https://drive.google.com/open?id=1lWlL7OkNQ39sprkD4V5b0Gyrm-mOVDi9, https://drive.google.com/open?id=18ZJhsZhWA8lcMjxMCY4TLsbEsZFcvMHn</t>
  </si>
  <si>
    <t>Free R. Kelly</t>
  </si>
  <si>
    <t>https://drive.google.com/open?id=1J6DqjBGJzNGzdJYaCUC15C6uLqIMZlPX</t>
  </si>
  <si>
    <t>https://drive.google.com/open?id=1R4EqLAuz95bygsQOcimCZLQCMcVbcHjY</t>
  </si>
  <si>
    <t>Avg</t>
  </si>
  <si>
    <t>I ain’t sendin all dat</t>
  </si>
  <si>
    <t>https://drive.google.com/open?id=1TH7GJ-WiXTiPAkxzSlDvBsh_yxhS9XYg</t>
  </si>
  <si>
    <t>https://drive.google.com/open?id=150EAdVVlemSqcylzmRobgHPVxrcgkK7F</t>
  </si>
  <si>
    <t>https://drive.google.com/open?id=14VAuiJKcefZ_LPO6sFCCA1-dmWfcFmtj</t>
  </si>
  <si>
    <t>Rank</t>
  </si>
  <si>
    <t>https://drive.google.com/open?id=1ePhkZKV1YTZiKZ42v7QluRn7ReR5oZVO</t>
  </si>
  <si>
    <t>https://drive.google.com/open?id=1lB-B6J2xGEuzfcya6t8lfwBQKnh3X2Sk</t>
  </si>
  <si>
    <t>https://drive.google.com/open?id=1uPMuKJ0Bcfe7ex1hlaHl5mo4GOVI1nrQ</t>
  </si>
  <si>
    <t>Autumn 2022</t>
  </si>
  <si>
    <t>https://drive.google.com/open?id=1R1pBanhb5cY4s4jv6YcUYzKufPv0AvVm</t>
  </si>
  <si>
    <t>https://drive.google.com/open?id=1C-5HuTGA7GrOiQ_EUziJUCfut5SGDpKT</t>
  </si>
  <si>
    <t>https://drive.google.com/open?id=1Q-O-vTHpkiJ4OAE_92K6BDc5tbqdDAtp</t>
  </si>
  <si>
    <t>https://drive.google.com/open?id=1ZytF_go7p8KDu9Vlkynh09cH-pPWegsp</t>
  </si>
  <si>
    <t>https://drive.google.com/open?id=1RrBOAOrLxtOR6wrV-1ClBLxZLqyclkl9</t>
  </si>
  <si>
    <t>House Avg = 3.169</t>
  </si>
  <si>
    <t>https://drive.google.com/open?id=1Wd4c2tteiDqKAxnOZONqfja133iW8vki</t>
  </si>
  <si>
    <t>https://drive.google.com/open?id=16E_6MZ8r5A7uWs1ukOxBRF3cBmVRXJBN, https://drive.google.com/open?id=1jM3tE26QBhVbe6LTHeB2EGAU_AgkXCyd</t>
  </si>
  <si>
    <t>https://drive.google.com/open?id=1dd7riHZZ8fN4QvstVkKFVB7YygRr0srK</t>
  </si>
  <si>
    <t>Jacob Hornbeck</t>
  </si>
  <si>
    <t>https://drive.google.com/open?id=15edWldWIvl-rppQQZ08gZtWVcMDzqvvV, https://drive.google.com/open?id=1Q00smqh9XjPBOKJOovLQQci9WAMOxGy0, https://drive.google.com/open?id=1qUoO-b7YPheu5B1Q99BGVnaa94Xu4Hpk</t>
  </si>
  <si>
    <t>https://drive.google.com/open?id=1Q_wtmye3YRUBYfVngMCUU1sCZU4CvPCJ</t>
  </si>
  <si>
    <t>https://drive.google.com/open?id=1McwMk4F2im5NxOeSnZ6AbwXUFfBLfKOR</t>
  </si>
  <si>
    <t>https://drive.google.com/open?id=1H7niUCFu5rSWPNwypizINmZG5FyFxXHz</t>
  </si>
  <si>
    <t>https://drive.google.com/open?id=1aZF07_Aq8hgKJduY6lqNoBqnBVbql4BS</t>
  </si>
  <si>
    <t>https://drive.google.com/open?id=15Cbst0f-QvDG5iTzBOMZQS4O5acoQlYL</t>
  </si>
  <si>
    <t>https://drive.google.com/open?id=1infA-HrDdHGI1qjBrQQov8oWnt1uuhFY</t>
  </si>
  <si>
    <t>https://drive.google.com/open?id=1LOR7QzaOmM0wFeKGl52i9jdJ1AET3171</t>
  </si>
  <si>
    <t>https://drive.google.com/open?id=1MKvMSUany1YQnQ5snA838q9AnTbXKJE3, https://drive.google.com/open?id=1G_1ykf3NxPwQY8bVX2VjSEP1k2b7oFz9</t>
  </si>
  <si>
    <t>https://drive.google.com/open?id=1_dZc3jPIKwYSv-wNdcDWO9MYhCAyLtk3</t>
  </si>
  <si>
    <t>https://drive.google.com/open?id=15OaK6IlgKW-7GkPSIYdzbsiSiu7pa2jY</t>
  </si>
  <si>
    <t>https://drive.google.com/open?id=1MtPnWxhEBAcIExyhIuTOMPsZJVmVKNQI</t>
  </si>
  <si>
    <t>https://drive.google.com/open?id=1GlUEQU8qkA4H1GPj7DdTN64fZF8kXn7H</t>
  </si>
  <si>
    <t>https://drive.google.com/open?id=1pFVVs1YM_8ZV-snU_kEOx8FV95Up3TBi</t>
  </si>
  <si>
    <t>https://drive.google.com/open?id=1NWQt9nhzIlUA1E4lIT7H2nFeV86uw0dJ</t>
  </si>
  <si>
    <t>https://drive.google.com/open?id=1s50-C69uHOze64rU-h19RmWAtUlpkiai</t>
  </si>
  <si>
    <t>https://drive.google.com/open?id=1u2D00c580QDJrWLcwGU4_sNYnizF4RIe, https://drive.google.com/open?id=1q4fXIJGLaz5yZY24HDrV3UlqkMT3dDSu</t>
  </si>
  <si>
    <t>https://drive.google.com/open?id=1XGEvKrJuFWaL9lbbUaHxYBlr-pSCi00g</t>
  </si>
  <si>
    <t>https://drive.google.com/open?id=109mNk2HssC6nGzy2kun33lk7xELdlBwE</t>
  </si>
  <si>
    <t>https://drive.google.com/open?id=1Z4h3Mm4c0Gl7dsXKpwpiy48KC9ZwT-lz</t>
  </si>
  <si>
    <t>https://drive.google.com/open?id=1_voqD6Ui4HXCm15MK04uVSif_Hzs95WR</t>
  </si>
  <si>
    <t>https://drive.google.com/open?id=1V8oKtz56e6XeHrQvVESxANzgczs--XUj</t>
  </si>
  <si>
    <t>Same extra credit quiz thing for the 77.5</t>
  </si>
  <si>
    <t>https://drive.google.com/open?id=1l9kmDHPpOFlWiJCmW1knHuQMBbtY8bQz, https://drive.google.com/open?id=1iXcGjFUrRhIW1ETdqH-elBDYx0AhTw0_, https://drive.google.com/open?id=1_pG2awkxIuhEfWPsUPUtiYb8UW1zcl5U, https://drive.google.com/open?id=1qcHtV80QlhO8Bm6LQN4F7cEf12-BN2Pb, https://drive.google.com/open?id=1QP-pgxsrUtQuLK6ZrZjFzz2o1U3el53A</t>
  </si>
  <si>
    <t>https://drive.google.com/open?id=1mmyTcVY3PPWQaYQCaj7XmN1rcEDT7DWH</t>
  </si>
  <si>
    <t>https://drive.google.com/open?id=1W4ZllRSTknUbvdaMXE_mSsw9LhbWeZvs</t>
  </si>
  <si>
    <t>https://drive.google.com/open?id=1fiyxwWAiWMtpuDd1EgP3YSFSWXFq1as_</t>
  </si>
  <si>
    <t>https://drive.google.com/open?id=1LL8J0PXgdifLwCFr6fJ2g41pVxeDZC9x</t>
  </si>
  <si>
    <t>https://drive.google.com/open?id=11DUsDVetxKUhAIirC_6RpeGL8Q3rdJEZ, https://drive.google.com/open?id=1g8QcDAl3mxmJx0E04TtcWiG2w_UR_eS7</t>
  </si>
  <si>
    <t>https://drive.google.com/open?id=13KM9KfHBXuhxFfujpWks5aJpqWH8LQiy, https://drive.google.com/open?id=1Jlm8IYpAq2popeQSrRUblMTBYuonJplY</t>
  </si>
  <si>
    <t>https://drive.google.com/open?id=1lDM51vNKyYKpVMMv10zXXFuweFErtr--</t>
  </si>
  <si>
    <t>The OCHEM 2 grade has not been updated to include the extra credit and this Thursday's quiz yet. The professor has said that the grade will come around an A- once that is put in place.</t>
  </si>
  <si>
    <t>https://drive.google.com/open?id=1OKlt9litl9P_bzeSYHo8KNX7R5G4iIx7, https://drive.google.com/open?id=1Ftce1pn7iM13XVSGV6IaZhksSvQq9C5C, https://drive.google.com/open?id=1YYg6z7apx_fJ-urCOJBKrfwjIUQLVMg1</t>
  </si>
  <si>
    <t>https://drive.google.com/open?id=19LgDNwXDzUKpi6ogb_brWts_TmAovdiq</t>
  </si>
  <si>
    <t>https://drive.google.com/open?id=1My86wgbx63-l6jyTcCjYXC7u0UGdkML6</t>
  </si>
  <si>
    <t>https://drive.google.com/open?id=1teadbVa51k1vjRDpUlABA3ZmXvH9WwuT</t>
  </si>
  <si>
    <t>https://drive.google.com/open?id=1g0kNn844Qd7bhfdYA7PX3n7cdGRAjug5, https://drive.google.com/open?id=1HciyZF86BHg_bR5YnZVhNPdMl3rbIszJ</t>
  </si>
  <si>
    <t>https://drive.google.com/open?id=1l-Okd2cqLqtP3x7MQkvr35Fkcey9a3un</t>
  </si>
  <si>
    <t>https://drive.google.com/open?id=18GDnI4AG3uyg-DLIU-CdbbNc06HqMp8M</t>
  </si>
  <si>
    <t>https://drive.google.com/open?id=1sLQT8uBkBUgTqTf0QPYKgwVy5RCx9jo3</t>
  </si>
  <si>
    <t>https://drive.google.com/open?id=1TVn5yhdgB6mNydoKUkJ-rS_P4HaCn3G1</t>
  </si>
  <si>
    <t>https://drive.google.com/open?id=1RORWO_TDTkKOqbWuV1HirBkZ2o9JUCt4</t>
  </si>
  <si>
    <t>Chem lecture and lab is submerged into one grade at end of semester</t>
  </si>
  <si>
    <t>https://drive.google.com/open?id=1VpWgppJZldyK3efkCDTxmHPtAKZIte8p</t>
  </si>
  <si>
    <t>https://drive.google.com/open?id=1oVEN4Hv4J0jbCsWRlmQIDVMA7zZT1jb4</t>
  </si>
  <si>
    <t>https://drive.google.com/open?id=1JXcI3QMtMUKljc2BCpqqE__gscxy4mnG</t>
  </si>
  <si>
    <t>https://drive.google.com/open?id=1y5zQg41frun3QYQLjXCoL5w0ljW_puy_</t>
  </si>
  <si>
    <t>https://drive.google.com/open?id=11qnoCc8sxUEBEQNeSRaBd_cYhYq0lH2B</t>
  </si>
  <si>
    <t>https://drive.google.com/open?id=1LjSQ3WAiHdyNiIx0wXwm1hSvu-_HOEBK</t>
  </si>
  <si>
    <t>https://drive.google.com/open?id=1pEMhjpjRr0a_oj1QGl31dlQMT26cGHDr</t>
  </si>
  <si>
    <t>https://drive.google.com/open?id=1nLdCscLkAkMrDy_rvC7grY2UOK9IBBMT</t>
  </si>
  <si>
    <t>https://drive.google.com/open?id=1z7HJp_Tv4m0vu5CgIAOlv7X2pBlfhPxG</t>
  </si>
  <si>
    <t>https://drive.google.com/open?id=1dxH8HrVeT5lkF-zg5IkJHatef3vq9O_m</t>
  </si>
  <si>
    <t>https://drive.google.com/open?id=1aSEHlzN-bKpqFAurkn4jPu2dGIolvAgo</t>
  </si>
  <si>
    <t>https://drive.google.com/open?id=1j3oD2IllqGcX-mXC4-dS2UbAUv0YDXkw</t>
  </si>
  <si>
    <t>75% is a 100 due to a completion quiz</t>
  </si>
  <si>
    <t>https://drive.google.com/open?id=1e7PUcSsezEaEBTJ005UrAElBxCm71FGb</t>
  </si>
  <si>
    <t>https://drive.google.com/open?id=1uRr3mkGpSkAn5oV-JJAXoJZMq8wMY7wN</t>
  </si>
  <si>
    <t>I rounded up 😗</t>
  </si>
  <si>
    <t>https://drive.google.com/open?id=1zToTdsBIfudFRwUcChLeun_owEhmGP7A</t>
  </si>
  <si>
    <t>https://drive.google.com/open?id=1ZJbbtFePd1qNCrm4HkyXHZIydzrveL-V</t>
  </si>
  <si>
    <t>https://drive.google.com/open?id=1KpXeOlgbcyz53ZQJhALf49LyK-8JBlO2</t>
  </si>
  <si>
    <t>https://drive.google.com/open?id=1pokZtm5_dafLwQPCLE7xrVDLnFC5iX_K</t>
  </si>
  <si>
    <t>https://drive.google.com/open?id=1A4_8wWGjnPGrTgaDZk2dgLhMjXuYrQ5p</t>
  </si>
  <si>
    <t>https://drive.google.com/open?id=1XYS-jLFWbqtdzkXXUFf2vg58PhjD6Oep</t>
  </si>
  <si>
    <t>https://drive.google.com/open?id=1FY1RQezl04onsFGWW7lP1skgRWAz0M6k</t>
  </si>
  <si>
    <t>https://drive.google.com/open?id=1Il-GibU4brUBVDNk-ZJ9dHT7BZsMZJGK</t>
  </si>
  <si>
    <t xml:space="preserve">Damn literally screenshotted it at 2 and just stopped before I could send it. F in the chat </t>
  </si>
  <si>
    <t>https://drive.google.com/open?id=1mnL6AGpDGA0yCb8vKe9dQ_cp83DwDwNC</t>
  </si>
  <si>
    <t>https://drive.google.com/open?id=1Ve_uieZBbK9lNayagdD3QrrxoRETjIr3</t>
  </si>
  <si>
    <t>https://drive.google.com/open?id=1jb_qTFzm_4v1DJFt-0dipFxrljOK6qvt</t>
  </si>
  <si>
    <t>https://drive.google.com/open?id=10zHfFIPpQOJmAxesqem_uK5xiquVmGez</t>
  </si>
  <si>
    <t>https://drive.google.com/open?id=1Qu3PGuTB965qF_xw6Y1Xd-4RtCTFuGK-, https://drive.google.com/open?id=1bH4y_zgsfDHPUeGrEVWdnZ3Y_unaDo0V</t>
  </si>
  <si>
    <t>https://drive.google.com/open?id=1nKTaBMICIJH-05cMnTuNfN3I1EBPDLjm</t>
  </si>
  <si>
    <t>https://drive.google.com/open?id=1wVNTluy_YuRT0WNFNb1FBS0Ob0OTlVi8, https://drive.google.com/open?id=1VGvMOqVBjmO0kzt9bQHzemnUYskrq0zm, https://drive.google.com/open?id=1w2uGo9OjegjH-gF4IYa8nhRrWhk8fAOr</t>
  </si>
  <si>
    <t>https://drive.google.com/open?id=17f2pK6FcaA80nmfASXQnSpYwWXRYErLH</t>
  </si>
  <si>
    <t>https://drive.google.com/open?id=1nmaQZED3UheUFlHYy44TeOrF_ffXAVC_</t>
  </si>
  <si>
    <t>https://drive.google.com/open?id=1e4xf7OzclG4nigTV6kWYS2Lc2ktp0Tf3</t>
  </si>
  <si>
    <t xml:space="preserve">My professor for the jazz class doesn’t understand how extra credit works. So instead of half my assignments being 1.5/0 they’re 1.5/2 which is pulling my grade down not up. It’s an A. </t>
  </si>
  <si>
    <t>https://drive.google.com/open?id=1LfE1IFK0jn-UbW_2NTi0klidRmnRFKpg</t>
  </si>
  <si>
    <t>https://drive.google.com/open?id=1wiwUf8evrXCxRW1sdfZRIiARydzThDHJ</t>
  </si>
  <si>
    <t>https://drive.google.com/open?id=1-XMt1Gt8DBYL2lVkr4bnpNCmWPWhAxK1</t>
  </si>
  <si>
    <t>https://drive.google.com/open?id=1T4vEVaqJoI3YVzdyudg42A8_kJIqsmjd</t>
  </si>
  <si>
    <t>Sorry for the late submission long weekend🤝</t>
  </si>
  <si>
    <t>https://drive.google.com/open?id=1nVG97qTSOeBjVxhryRJevkU8qJNFl8cB</t>
  </si>
  <si>
    <t>https://drive.google.com/open?id=1Il4mkU_iuoh4w8m4qlhf2CHvsp9qnpmF</t>
  </si>
  <si>
    <t>https://drive.google.com/open?id=1dCcG-hqYN9iCqXz2zMB_Q0T7VbEssa7k</t>
  </si>
  <si>
    <t>https://drive.google.com/open?id=1kNJi90VNbiC1xtCH4o-XT4UtTZqLoN8o</t>
  </si>
  <si>
    <t>https://drive.google.com/open?id=1lDa5Bck6N11SaWbHi4mDIBq18yx0GdVK</t>
  </si>
  <si>
    <t>https://drive.google.com/open?id=1KwfsB12mIf7KsxWFTVmF1psVNRFSJIXs</t>
  </si>
  <si>
    <t xml:space="preserve">This is not my actual grade. The teacher hasn’t graded like 3 assignments </t>
  </si>
  <si>
    <t>https://drive.google.com/open?id=1JtvLulxqtQbYt6HTo95l8shAp0SGautm</t>
  </si>
  <si>
    <t>https://drive.google.com/open?id=1d54Qk5yYd3XB-m79Z7WR8TQgBMxE8OTO</t>
  </si>
  <si>
    <t>https://drive.google.com/open?id=1fzezeHVJ1clCq2nc5yuQ1MG9IPpdbW_a</t>
  </si>
  <si>
    <t>https://drive.google.com/open?id=1IsO7MD3YBIgQxGimmd77Oz-ADQwvOLyn</t>
  </si>
  <si>
    <t>Canvas Screenshot</t>
  </si>
  <si>
    <t>GPA Calculator Screenshot</t>
  </si>
  <si>
    <t>https://drive.google.com/open?id=1ZuUDcOfFifIb5cINIF6OoUJp8UtGGyjy</t>
  </si>
  <si>
    <t>https://drive.google.com/open?id=1bpz587jTKlsPKNuMfWup1lFjS5aYEFfy</t>
  </si>
  <si>
    <t>https://drive.google.com/open?id=1DBNknZKuEaFpQcck5sPfd2zwq__IoAlP</t>
  </si>
  <si>
    <t>https://drive.google.com/open?id=1Zkqus3SbKSyKs2NJCVx6R8s0xC8SPiEz</t>
  </si>
  <si>
    <t>https://drive.google.com/open?id=11aArWs6NMgMrqp2He3sgNNmTDCSDOCJu</t>
  </si>
  <si>
    <t>https://drive.google.com/open?id=16iLOMi8QFAvuxa0Lyt0rmef9Xgi9043T</t>
  </si>
  <si>
    <t>Plz</t>
  </si>
  <si>
    <t>https://drive.google.com/open?id=1mwXFSq3lwtm_KGmgYoYt9iazUE-7aGxC</t>
  </si>
  <si>
    <t>https://drive.google.com/open?id=1QWOdQ7p-Jw9XxaHV7yCtuWVbXfVi_uTg</t>
  </si>
  <si>
    <t>I watch you sleep</t>
  </si>
  <si>
    <t>https://drive.google.com/open?id=1BQ_ReE-HWWwj-_cp4Vn5Zkoqp7CkLdRn</t>
  </si>
  <si>
    <t>https://drive.google.com/open?id=1KyloG1ANJUG-eMrODpUWRvsYahhB59ly</t>
  </si>
  <si>
    <t>Green is tutoring classes. GIS class is pretty much completion based. EDLC grade will never show FYI but first exam this week. First finance exam this week. Feeling good about them</t>
  </si>
  <si>
    <t>https://drive.google.com/open?id=1P3L3NdS6w6h5gG-lbOEFieCWP40JqDDg</t>
  </si>
  <si>
    <t>https://drive.google.com/open?id=1LeL5ittcsQ9EtUoQPlI-vw_fwkKmv6pH</t>
  </si>
  <si>
    <t xml:space="preserve">This semester might be rough ngl </t>
  </si>
  <si>
    <t>https://drive.google.com/open?id=14-ur036n4qXzM0e4ShaWYQ2Jw4rajwVK</t>
  </si>
  <si>
    <t>https://drive.google.com/open?id=1jjHKvB-uhouvPV9VrZbJUV8vUelyPvhA</t>
  </si>
  <si>
    <t>https://drive.google.com/open?id=1hu8O0Rp9Mp2nBW8dd6wGrWK3BQqRLpZu</t>
  </si>
  <si>
    <t>https://drive.google.com/open?id=1fWyg2TccmEOXgahwSFE-fxLWdhCtt9VZ</t>
  </si>
  <si>
    <t>https://drive.google.com/open?id=1MVs4r6Tume89QImmW9viGruIMQOzKH3s, https://drive.google.com/open?id=14pZwDPMTPVLGgVnDEBVKt-Evjx-S4G8M, https://drive.google.com/open?id=1OsbIfmI8jZqrFmumvBZ1CTlMzXYXLGV8, https://drive.google.com/open?id=1oTX9NxYAA8kuvw0-dOFCR4xroN21H5pW</t>
  </si>
  <si>
    <t>https://drive.google.com/open?id=1ABpnKtNKpoWWw-hZ0X6zwdIccO2ko0Tc</t>
  </si>
  <si>
    <t>https://drive.google.com/open?id=1a7x0SBRqIkys_MUgdTofpTqpreu4wbzy</t>
  </si>
  <si>
    <t>https://drive.google.com/open?id=1YNRV9soRn5lOzlCtymGifIG050xV-emK</t>
  </si>
  <si>
    <t>https://drive.google.com/open?id=1Jyfx-3vsV6cgDjZ4pRhyogBe9qc_MPCI, https://drive.google.com/open?id=1j33grHwlCOrdOvErbVRmd3WKNFtEcHnQ</t>
  </si>
  <si>
    <t>https://drive.google.com/open?id=1VJgVYa2g8ViUzyF_F23l6kaYPHEOTSrd</t>
  </si>
  <si>
    <t>https://drive.google.com/open?id=1JoSXsx3VRFpVZ45bkYaNe8ZW6b9gICVY</t>
  </si>
  <si>
    <t>https://drive.google.com/open?id=15Jm6JadGnUUEzeeVrNZMp2EriVPGHarz</t>
  </si>
  <si>
    <t>Ignore my first submission, my gpa went up since yesterday lol</t>
  </si>
  <si>
    <t>https://drive.google.com/open?id=18aIG7NykwokPDF8RA3FrF3Y9HfJUGMZT, https://drive.google.com/open?id=1PTzRgQ6uDKzZV4KrJpR6jryzJ8xS-ok7</t>
  </si>
  <si>
    <t>https://drive.google.com/open?id=1MPkd3C5mC_ubV0Jpn1jHbhN-0Xa4Z0A7</t>
  </si>
  <si>
    <t>https://drive.google.com/open?id=1Yd6y5E7ypTwO_BGhfqLQ22G0PQBfOSZb</t>
  </si>
  <si>
    <t>https://drive.google.com/open?id=1SCz8RcKeZqnBPneSWe_KOoIEtcrwotSY</t>
  </si>
  <si>
    <t>I’m over 100% in the jazz class with extra credit if you need proof lmk</t>
  </si>
  <si>
    <t>https://drive.google.com/open?id=1-RyYFhMUj0IbV6L5x_yKrk151GYTp_8n</t>
  </si>
  <si>
    <t>https://drive.google.com/open?id=11F_FVo8J0kZFwxB8jSIXYYvadqq_gSiq</t>
  </si>
  <si>
    <t>https://drive.google.com/open?id=1dzltaPBeod_BGFHPgjea3lJR4NiMJhe_</t>
  </si>
  <si>
    <t>https://drive.google.com/open?id=1oYekO25UiwynM9ZkhzcysIC7OfC0QNdW</t>
  </si>
  <si>
    <t>https://drive.google.com/open?id=1Gw1vyhx10J0kxD8L5URQr3UU2xD5e4Kt, https://drive.google.com/open?id=1PGKJO1YjeNPtc86FZfZFZUIhOMVLp4BZ</t>
  </si>
  <si>
    <t>https://drive.google.com/open?id=16SwlhTSJ3zwse37SmZ-Cl-HLplEhJkUZ</t>
  </si>
  <si>
    <t>https://drive.google.com/open?id=16dFlo0pqlBbR4fij6g9Sjz8-6m9YCXvD</t>
  </si>
  <si>
    <t>https://drive.google.com/open?id=1h9ZI5CsFEAZdYJohGKCkuqFJ7zSQZ1w_</t>
  </si>
  <si>
    <t>https://drive.google.com/open?id=1wwWagOfQWUVCq0iPtbRVG5EHExKgH0go</t>
  </si>
  <si>
    <t>https://drive.google.com/open?id=1CStOvbh4yxTl-w1XSsh4fhIm6aStQgOO</t>
  </si>
  <si>
    <t xml:space="preserve">The only grade in two of my classes are my exam which they moved on me giving me two hours to study for each. Accounting is just kicking my ass but I will be getting it up as I am about to turn in a big project </t>
  </si>
  <si>
    <t>https://drive.google.com/open?id=1QxN_vYsjcpHsBc_Vg4C-o5l9UHn7sT7v</t>
  </si>
  <si>
    <t>https://drive.google.com/open?id=1d8jNxuBncxqo75V7NyHL0UowLvl1LKed</t>
  </si>
  <si>
    <t>Miss you daddy</t>
  </si>
  <si>
    <t>https://drive.google.com/open?id=1KizFJAU-qDYolQhOWPB8laldD8dc2Y0y</t>
  </si>
  <si>
    <t>https://drive.google.com/open?id=1VWtUMSdeMmPWQJhfo4mh8Uii42oLuAgQ</t>
  </si>
  <si>
    <t>https://drive.google.com/open?id=1yMaFlNhAJt_akXgbIiOeoRvNhBBJFS4Z</t>
  </si>
  <si>
    <t>https://drive.google.com/open?id=1V9olrrbrldx14P0_99jGs1iSi5kFAKvv</t>
  </si>
  <si>
    <t>SKEE YEE</t>
  </si>
  <si>
    <t>https://drive.google.com/open?id=1Wvj5KK4eGOT2KB_1jwV88H4vTgnA7Tt-</t>
  </si>
  <si>
    <t>https://drive.google.com/open?id=1ol-okhzur0SdN71iyY9KVx-pNkkBY7P2</t>
  </si>
  <si>
    <t>https://drive.google.com/open?id=1SAPECrO6xtaM3N9F8AiAj78lo7M8M3id, https://drive.google.com/open?id=1Cx6MuOSy33bdHhkvwtmEzWg0jsWGnN2V, https://drive.google.com/open?id=1f49XwBAmyiIQgOGLtj9bKYInz7TaAIhy</t>
  </si>
  <si>
    <t>https://drive.google.com/open?id=1yLVdAc_LpKxrDQBtEBL6Zj7J4q0gOFM-</t>
  </si>
  <si>
    <t>https://drive.google.com/open?id=1rCupmR-qnyArQ9fk-3xhX5DxMsgHf0k-</t>
  </si>
  <si>
    <t>https://drive.google.com/open?id=1Dnid_Emv3Eq1prgK_vP9pyLJXBskq4oO, https://drive.google.com/open?id=1iEfSPcFisDHx-i6oXnwQEy3zJo2BPW1X</t>
  </si>
  <si>
    <t xml:space="preserve">Wasn’t sure which part of the calculator to screenshot so there’s two attached files 
Grades are rough this week, exams didn’t go well in math and chem, but I retake both exams next week. </t>
  </si>
  <si>
    <t>https://drive.google.com/open?id=1oU7JrxEMQvGk6XMSP9DCuaBkTwcHPtP2</t>
  </si>
  <si>
    <t>https://drive.google.com/open?id=119K8_XfXxdBffKqrHZsCkOyR-1eP_Cql</t>
  </si>
  <si>
    <t>https://drive.google.com/open?id=1oUEpDO6Ve5pdQYlQkX1CoDHIYRaUdDjz</t>
  </si>
  <si>
    <t>https://drive.google.com/open?id=1HAdFYItPxqfAPTWVG6hE08nHVRv0t2x5</t>
  </si>
  <si>
    <t>https://drive.google.com/open?id=1ZcwmXSX5vH_Aj2JZg4s04A8yQyv35Fsl, https://drive.google.com/open?id=1nEj-o9vPBILiDcAkv_8xLRqiZhZHyVCf</t>
  </si>
  <si>
    <t>https://drive.google.com/open?id=1syvZYCCTyAAn3RhwFzS7iGDklrAh0Gj7</t>
  </si>
  <si>
    <t>https://drive.google.com/open?id=1TFvIU-IEKZiKpd9rCBXicbXpdkUziC66</t>
  </si>
  <si>
    <t>https://drive.google.com/open?id=1aIRDrPFjxPHUoM77NEuR7ocR1TnYE-MP</t>
  </si>
  <si>
    <t>https://drive.google.com/open?id=1NmuT3K3E5VMIk5tVkZT9G6qp0qWIbHgk, https://drive.google.com/open?id=1ST83oHa8LXW1wrtBGhWiaC-QvZ2PuAxn</t>
  </si>
  <si>
    <t>https://drive.google.com/open?id=1KDJeXKhdH51yPVAJI9r3Yfq4ycrsUFNI</t>
  </si>
  <si>
    <t>RIP GPA after this weeks exam LMAO</t>
  </si>
  <si>
    <t>https://drive.google.com/open?id=1xawxQWlZXM5ME79griENfd7_RkhlAHT8</t>
  </si>
  <si>
    <t>https://drive.google.com/open?id=1gLy97_2WmW-9Z2rNRDh4YftXg027_-bm</t>
  </si>
  <si>
    <t>https://drive.google.com/open?id=1TfYuyDhYkPuzgRRpKsBDnAPsIxn_1tpA</t>
  </si>
  <si>
    <t>https://drive.google.com/open?id=1Gs6b6iWQNAmAfmNxwdDRB8TDztkymOn-</t>
  </si>
  <si>
    <t>Beanz</t>
  </si>
  <si>
    <t>https://drive.google.com/open?id=1G-5Qk032EwBdh8KVKE3QH05wlt12jc9j</t>
  </si>
  <si>
    <t>https://drive.google.com/open?id=1LJkH_SAGmIPJnCv7PvaHjChB_bsbFR4K</t>
  </si>
  <si>
    <t>Rounded up</t>
  </si>
  <si>
    <t>https://drive.google.com/open?id=1pMs8Eb7-UOJK6HbbgOb7q8mNCJT90cCH</t>
  </si>
  <si>
    <t>https://drive.google.com/open?id=1V3GW7lqOcIfeCgjx9YVcY7gDwC7aPsbo</t>
  </si>
  <si>
    <t>https://drive.google.com/open?id=1omv56HaHWo0uKd8jCcurFeHc8vv5CViu</t>
  </si>
  <si>
    <t>https://drive.google.com/open?id=1fzlWukYpCCv4Gem8-0Kra_g5t-gHbYFr</t>
  </si>
  <si>
    <t>https://drive.google.com/open?id=1o6L8vx_p9SDERkrOqrgnYNFdQ1g6ScwS</t>
  </si>
  <si>
    <t/>
  </si>
  <si>
    <t>https://drive.google.com/open?id=1WZjFoRwOXEt9r0RsFGRFbqalxv3DTMTD</t>
  </si>
  <si>
    <t>https://drive.google.com/open?id=10QnkR1xQuIVBfcj0hgNs3POG8yejbwDE</t>
  </si>
  <si>
    <t>https://drive.google.com/open?id=13XtRQhl8GCQygJY9D4evdypC_HjYmyab</t>
  </si>
  <si>
    <t>https://drive.google.com/open?id=11kRGGdUz3Vy0qGLSg3KBYjx-9PkBFR50</t>
  </si>
  <si>
    <t>https://drive.google.com/open?id=1Ul0UvY0ESJiaCvGwYHESq5vTlTXcTvtY</t>
  </si>
  <si>
    <t>Sam McMillen</t>
  </si>
  <si>
    <t>https://drive.google.com/open?id=123bAGq8_pxhgg1l2SMcwRw-8KRPP2zJw</t>
  </si>
  <si>
    <t>https://drive.google.com/open?id=1QVER2oZRITvv8UtuoYgoQdx_8JCShg7C</t>
  </si>
  <si>
    <t>https://drive.google.com/open?id=1F4Pnb14ilNPtmB2XAHVYlX2SBH_UMBQP</t>
  </si>
  <si>
    <t>https://drive.google.com/open?id=1fJ8KoymDq-K6hgC3VOcf-zC78mj8_L5W</t>
  </si>
  <si>
    <t>Date</t>
  </si>
  <si>
    <t>Chapter</t>
  </si>
  <si>
    <t>Active</t>
  </si>
  <si>
    <t>https://drive.google.com/open?id=1Sd1ptkFkxuI6nVJG6Y9afLHh5AX_4G_A</t>
  </si>
  <si>
    <t>Pledge</t>
  </si>
  <si>
    <t>Official</t>
  </si>
  <si>
    <t>FGL Team</t>
  </si>
  <si>
    <t>Dylan Kracker</t>
  </si>
  <si>
    <t>https://drive.google.com/open?id=1FF8uRYWKu6gc0nJ0dVf8R4LtPUvBoS_X</t>
  </si>
  <si>
    <t>https://drive.google.com/open?id=1YrBOZ2gHVAUKBAD4Hx4kUl2u0kff2SWq</t>
  </si>
  <si>
    <t>https://drive.google.com/open?id=1l2Okq6SfISibGzPmODDeNIJR-usVbaIT</t>
  </si>
  <si>
    <t>GPA Calculator Screenshot (random photo if 4.0)</t>
  </si>
  <si>
    <t>https://drive.google.com/open?id=13Pb_0MJrfHQC73gBTBAR3YjI0u9Kjp5a</t>
  </si>
  <si>
    <t>https://drive.google.com/open?id=1TxmqOMTnnJOuBEwYuu3nF4vv63CP6f48, https://drive.google.com/open?id=1Ne4sYz31ntu_uKaoDPIkKy56ElZHuths, https://drive.google.com/open?id=1mAhmBvXnXpfyoMLoZrAZ38lGRmR4O42w, https://drive.google.com/open?id=1WA-aLHfLtQTcOvtlt-SK9NolQ7bUlCva</t>
  </si>
  <si>
    <t>https://drive.google.com/open?id=1_dyZwgPMU02DCGIaorKSc1DsiifAsqYQ</t>
  </si>
  <si>
    <t xml:space="preserve">Grades with anthropology will change. My professor made a mistake on instructions so she gave us an extension to fix things. </t>
  </si>
  <si>
    <t>https://drive.google.com/open?id=1K2kLJAesu7oBGsbmnzL2IYVCFJ4kWcnT</t>
  </si>
  <si>
    <t>https://drive.google.com/open?id=1jjBY0SQ4NLle2jiLSbm6Ty6vV2-A2gGY</t>
  </si>
  <si>
    <t>https://drive.google.com/open?id=1CC3Y4KtmfQ8dvdbXqO4sjqwAQRfXPStK</t>
  </si>
  <si>
    <t>Team Ben</t>
  </si>
  <si>
    <t>https://drive.google.com/open?id=1_is7ULanv8sq_oMoDvdCToaBQSArfwxA</t>
  </si>
  <si>
    <t>https://drive.google.com/open?id=1yd5S-dLiRMeMkD8nqBC3Ot6VsdrEWL_b</t>
  </si>
  <si>
    <t>Brett Hipsher</t>
  </si>
  <si>
    <t>https://drive.google.com/open?id=1FZpkLJNhyFyhabNdjc1HAZMGmSiyJPPo</t>
  </si>
  <si>
    <t>https://drive.google.com/open?id=1-P7DPytGHBE10lWrJ7WZJT-3-MCDM8Ah</t>
  </si>
  <si>
    <t>https://drive.google.com/open?id=1xsi0aAok6L3nc0rc5tR6I0EgD4CT0Hk-</t>
  </si>
  <si>
    <t xml:space="preserve">Missed 1 class cuz of ozarks and it was graded attendance so my grade dropped from a 94 to an 88 so imma kms </t>
  </si>
  <si>
    <t>https://drive.google.com/open?id=1qDn9IUbLaij7_RyxctQ-Bc1OQyXmRuPU</t>
  </si>
  <si>
    <t>https://drive.google.com/open?id=1ghJLHz8mU5A5wzMbO-SQd99gyTPG_Adm</t>
  </si>
  <si>
    <t>https://drive.google.com/open?id=1zUcHLjxbQHXtJlCZzXkdl8mi-Wn4OCW1</t>
  </si>
  <si>
    <t>https://drive.google.com/open?id=1bhT_8yNQeBa8BH4rf2DP-i5IgmgB9T5R, https://drive.google.com/open?id=15Xd88yCG63GHmiC-f1YFcbvIXvtLrqak</t>
  </si>
  <si>
    <t>https://drive.google.com/open?id=19NGeLnYyPye1Nxhti_YX5sJIOBDaCTnX</t>
  </si>
  <si>
    <t>Team Rishik</t>
  </si>
  <si>
    <t>https://drive.google.com/open?id=1pq5kKziwav4QP1qv10AKY5QGGDg0o-yf, https://drive.google.com/open?id=1l64WMr3g1DBxD45-SvNLahdjE4kG0SdM</t>
  </si>
  <si>
    <t>https://drive.google.com/open?id=1MTfYF0Llz5HNRJU8zXqW00qFGN-5Y7dE</t>
  </si>
  <si>
    <t xml:space="preserve">Working on it. Trust the process </t>
  </si>
  <si>
    <t>https://drive.google.com/open?id=11eq-InmkTeuW8cwhpVt74wbzzhEvCHo-</t>
  </si>
  <si>
    <t>https://drive.google.com/open?id=1QZymuJZLzwTMLsP0MqEQmfmLx-1-56GD, https://drive.google.com/open?id=1xaYOfo2Gdk1GbkcTq1yNrPJ63XAkYD_c, https://drive.google.com/open?id=1m8Dv3rhORaYaJlDWbSqPW5b7NDUX4m7u, https://drive.google.com/open?id=1W6uP7yUXvFWo7gmHbQsZLFlc-nMC2IEY</t>
  </si>
  <si>
    <t>https://drive.google.com/open?id=17zzSj1ypq0Jr1-sTV5qgICI-8WZYp6IH</t>
  </si>
  <si>
    <t>https://drive.google.com/open?id=1MNyJUTHqXtew0dWJyO-1AdDlTj1OH2Wc</t>
  </si>
  <si>
    <t>https://drive.google.com/open?id=1VUKTV7eIslXY-oEXgNd6JMorYP55vkM9, https://drive.google.com/open?id=1f5zKHZWFINe0FO9j6buY0HagyeO2GTSN, https://drive.google.com/open?id=1S47hSa3e3KBsou2L5DWQVRspGa2JvnNs, https://drive.google.com/open?id=1kKZso4fKHS7GQwBITPPxCKPW79KccLRo</t>
  </si>
  <si>
    <t>https://drive.google.com/open?id=1A2TvyTBiBQtf4BbwoKoVG0jnb75EyU4Y</t>
  </si>
  <si>
    <t>https://drive.google.com/open?id=19DIKGej8kroi2W7zVF054QTbzxFHJ8Dn</t>
  </si>
  <si>
    <t>https://drive.google.com/open?id=1JTfzoOSodILg-d8ziW-0tszheSkDZJgp</t>
  </si>
  <si>
    <t>https://drive.google.com/open?id=1gk8d-rGvXEDKtAGEASsUo8DLaFCnSyFv</t>
  </si>
  <si>
    <t>https://drive.google.com/open?id=1zVBlMHBoQk5BgTELyeckM3zoFVtLucHV</t>
  </si>
  <si>
    <t>There is one grade in the grade book for the two classes I’m doing terrible in. I’m gonna bring those up</t>
  </si>
  <si>
    <t>https://drive.google.com/open?id=1YUX0XHfi331C8ZNwD_S3eY8a2CunDA_9</t>
  </si>
  <si>
    <t>Team Braeden</t>
  </si>
  <si>
    <t>Midterm in US History should boost grade a lot. Also talking with JOUR 200 professor to raise grade. Hoping for around a 3.0 by the next grade check</t>
  </si>
  <si>
    <t>https://drive.google.com/open?id=1bWJrET0dz9pfY-kxAXnnbLVBR4i0IMwf</t>
  </si>
  <si>
    <t>https://drive.google.com/open?id=1AgMzwoQOH_UaoAt1v9l5gXAmLCSfD_XF</t>
  </si>
  <si>
    <t>Alex Bjorman</t>
  </si>
  <si>
    <t>https://drive.google.com/open?id=1kttDkGQEGoa1DKy-J1iY1yCh74DJrp60</t>
  </si>
  <si>
    <t>https://drive.google.com/open?id=15FUmPWJIG-FzVI-3Gx7RTA54oRZgiqe9</t>
  </si>
  <si>
    <t>https://drive.google.com/open?id=1lbqwjGxabQZCgm85Zsi4xw_142hsU_4o, https://drive.google.com/open?id=14AzT-V_PpSYMoC0lSMnO5_XMIo9jWoFs</t>
  </si>
  <si>
    <t>https://drive.google.com/open?id=1Ubninzg7POadvKh1L8u934FiWd12jVKz, https://drive.google.com/open?id=1sX9oaXnxwFMGMbsZaXAehkg_Dnv0YIXI</t>
  </si>
  <si>
    <t>https://drive.google.com/open?id=1qUd03wJxrqCawpoLKOMJ0elMooG4QrCd</t>
  </si>
  <si>
    <t>Im working on getting them up I’m averaging an 81 on test I just need more grades in my lower classes</t>
  </si>
  <si>
    <t>https://drive.google.com/open?id=1kpQLUuc2Fwd5-jb_X2_xkK8r-wYcSpzO</t>
  </si>
  <si>
    <t xml:space="preserve">Working hard to turn myself around. ADPR 283 grade inaccurate. </t>
  </si>
  <si>
    <t>https://drive.google.com/open?id=1LguZ2E0qbiKCZ90Kyen--SmM9SJk0Uap</t>
  </si>
  <si>
    <t>https://drive.google.com/open?id=1CqOjTMWhOXOj-l50jiEIn11_MeVoQfTo</t>
  </si>
  <si>
    <t>Team Scott</t>
  </si>
  <si>
    <t>https://drive.google.com/open?id=1TCNx-ocwLLpJGqyVM-At792Fi7c6LRCV</t>
  </si>
  <si>
    <t>ELDC almost an A- but hanging on (94%). GIS a 100% rn just completion work. Finance will eventually go up to B/B+ next exam (will actually study this time 🥺) but admittedly EDLC will probably slip to A- temporarily so it’s more good than bad but instead of 3.75 it might be 3.65/3.7 by end of month and planning for 3.833 end of semester (one A-, rest As)</t>
  </si>
  <si>
    <t>https://drive.google.com/open?id=1FBNZXsVG7ei4c9Y2R7p3gwil7cuxnsN2</t>
  </si>
  <si>
    <t>Zach Player</t>
  </si>
  <si>
    <t>The 85% is worth no credits</t>
  </si>
  <si>
    <t>https://drive.google.com/open?id=1_SRX0EWtE530jiMSzuRtJtFQUrILvFYr</t>
  </si>
  <si>
    <t>https://drive.google.com/open?id=1RMi4bZedwPfR85kZJ4uUOlszyETUlMYD</t>
  </si>
  <si>
    <t>https://drive.google.com/open?id=1TN2Ex4y76vAcr5hWneAWjZ732PJrcECs</t>
  </si>
  <si>
    <t>Team James</t>
  </si>
  <si>
    <t>https://drive.google.com/open?id=1tqgVeEAzcM77J3hvDAysKiDoFUBrpOVt</t>
  </si>
  <si>
    <t>James Mallory</t>
  </si>
  <si>
    <t>https://drive.google.com/open?id=1vcGZy11RkWp5SAfBZ93x8RmiRThdj8mP, https://drive.google.com/open?id=1Idde7izKt_Lu1oDyGJkOCBbrFmLrlamN</t>
  </si>
  <si>
    <t>https://drive.google.com/open?id=1PBCJlb4rB9EHeidOWXEKfhne4Cqhojc9</t>
  </si>
  <si>
    <t>https://drive.google.com/open?id=15wguvWWRh-fWG6REQhXtxjO1boYXw8lV</t>
  </si>
  <si>
    <t>https://drive.google.com/open?id=19Vs9zFOojnst94aevuCCxuVFoRxL4Xsq</t>
  </si>
  <si>
    <t>Team Sean</t>
  </si>
  <si>
    <t>https://drive.google.com/open?id=19HkNzkDehTV5rJxCQE2xxybd-ZTIhtpi</t>
  </si>
  <si>
    <t>https://drive.google.com/open?id=1x9IdwgS056cywYtgJV-boMpTkzX4MW-K</t>
  </si>
  <si>
    <t>Kadren Miller</t>
  </si>
  <si>
    <t>https://drive.google.com/open?id=1mEPL6uREp3Svwgk6fqzET25uXV6_QvjY</t>
  </si>
  <si>
    <t xml:space="preserve">The jazz class is over 100% with extra credit lmk if you want to see proof </t>
  </si>
  <si>
    <t>https://drive.google.com/open?id=1mEQA-SsP_gGRqXuMMINMYc7-cs_6JbSM, https://drive.google.com/open?id=1kYIX2LK7UqU79bHjQ9T-PPzUdKYTglAP</t>
  </si>
  <si>
    <t>https://drive.google.com/open?id=1LF-22OAM16SAbn53cZTq8ty1KFykWix1</t>
  </si>
  <si>
    <t>https://drive.google.com/open?id=1tNpuqCO4OMGGBzXwJHL0-iU3-LmvIWQD</t>
  </si>
  <si>
    <t>https://drive.google.com/open?id=1ppAZas-2sBG0_IqvohK1F5XF58NJxTiJ, https://drive.google.com/open?id=148IfcDunSqKX5bBXoId9seouwi0lJGOo</t>
  </si>
  <si>
    <t>https://drive.google.com/open?id=1gOmtzXPuA6vgtb4vxmAUpwKA7lTE1SQM</t>
  </si>
  <si>
    <t>https://drive.google.com/open?id=1Xl0KOZoojoNktD2K_VN4DBKCN_S0wP5E</t>
  </si>
  <si>
    <t>https://drive.google.com/open?id=1UJ16UtS9gsvaoiboLwmCMbYua7SKurKX</t>
  </si>
  <si>
    <t>Team Harry</t>
  </si>
  <si>
    <t>https://drive.google.com/open?id=1EgP19W82o0520hYBcEWByEAIFfsu-ws6</t>
  </si>
  <si>
    <t>https://drive.google.com/open?id=1Oc0S_hQZ4PkDBgkqijMqxXQVgh3p4sHB</t>
  </si>
  <si>
    <t>Chapter Avg</t>
  </si>
  <si>
    <t>https://drive.google.com/open?id=1HrCNF0WOnRWMTbwnbx_-mSfpQm4SmFmK</t>
  </si>
  <si>
    <t>https://drive.google.com/open?id=1z5ckK6LF9Kow6XXFk230hOAVCSbJM_U5</t>
  </si>
  <si>
    <t xml:space="preserve">Took a math exam and I’m still waiting for it to update. </t>
  </si>
  <si>
    <t>https://drive.google.com/open?id=1W4aTRKrUC0fn_MUxz3xyEfw9wR8Sod4e</t>
  </si>
  <si>
    <t>https://drive.google.com/open?id=1JOdk3urUcM8_fQRDmWtx4vPDs_rNeWty</t>
  </si>
  <si>
    <t>Active Avg</t>
  </si>
  <si>
    <t>https://drive.google.com/open?id=1r4vy8XaofIyn_s8krHBJ-6eC-wbyximr</t>
  </si>
  <si>
    <t>https://drive.google.com/open?id=1SzsowdlcSYDdS97xqLgbiMEkVf49jHLS</t>
  </si>
  <si>
    <t>Pledge Avg</t>
  </si>
  <si>
    <t>https://drive.google.com/open?id=1t4OJU4REAedNtX6DfaQPZLgoSSdSqU5t, https://drive.google.com/open?id=1PspXy6mmnn0PgD_RGXVKqxusx-DCxnRe</t>
  </si>
  <si>
    <t>https://drive.google.com/open?id=17U7BUSIOilZG-97fsTPvzfHHzMyPoKnV</t>
  </si>
  <si>
    <t>https://drive.google.com/open?id=1GPg7LxJXe9UieccnBBfldvNNPpI0MjYq</t>
  </si>
  <si>
    <t>https://drive.google.com/open?id=16AhIhetWAFY7O-_G_HA7XofWTLJjNBbH, https://drive.google.com/open?id=1WwKZ45fXJMG1QhwZ4mYDIVFKyFjPKkIg</t>
  </si>
  <si>
    <t>https://drive.google.com/open?id=1E__NI0djoJC2KR5irC9jXBbmi_CHhaS7</t>
  </si>
  <si>
    <t>https://drive.google.com/open?id=1io7YW3VmtKx-O9FHM0iHRv5p5WQss1jW</t>
  </si>
  <si>
    <t>F22 (Pledges)</t>
  </si>
  <si>
    <t>S22</t>
  </si>
  <si>
    <t>F21</t>
  </si>
  <si>
    <t>S21</t>
  </si>
  <si>
    <t>F20</t>
  </si>
  <si>
    <t>S20</t>
  </si>
  <si>
    <t>F19</t>
  </si>
  <si>
    <t>Before</t>
  </si>
  <si>
    <t>Mean</t>
  </si>
  <si>
    <t>https://drive.google.com/open?id=1gTxf0_AG7We8NqnowSMQfgJWqPj463mC</t>
  </si>
  <si>
    <t>https://drive.google.com/open?id=1b3RbhYRiDbLxG_HNQObdfH-ws5GaqRee, https://drive.google.com/open?id=1lJTBC7jibn5O4SBXBgHWFG-ph4KN1b7G</t>
  </si>
  <si>
    <t>https://drive.google.com/open?id=1dhWqmQab1a9aAw2VHVizVOzj2iYTyJmc</t>
  </si>
  <si>
    <t>https://drive.google.com/open?id=1_16g4rZh-fAh1TfblbCBTuZg1BZRqucv, https://drive.google.com/open?id=1A9M8EarxWtwUaiSxh46I2aqt0pKsAN3C</t>
  </si>
  <si>
    <t>https://drive.google.com/open?id=1AGUKqIwavm8Zbtbhg2bIfPmdcG3F256s</t>
  </si>
  <si>
    <t>https://drive.google.com/open?id=1CsqnV5RJWUiu5fHR9kLqj-AMsrCU6Zc8</t>
  </si>
  <si>
    <t>https://drive.google.com/open?id=1GFYT-2TzKallcuIIJpuP4zD0Nvv2pmse</t>
  </si>
  <si>
    <t>https://drive.google.com/open?id=1QQVxDI9gmo5bZZsTirH1XOoTXSK0VJW-</t>
  </si>
  <si>
    <t>Standard Dev</t>
  </si>
  <si>
    <t>https://drive.google.com/open?id=1sxBtqH6HgKUd6kRlwY05HjUT3yqD6FDr</t>
  </si>
  <si>
    <t>https://drive.google.com/open?id=15ctjp-0pHNwOaEvA1dRUnKBOSVwc-GzN</t>
  </si>
  <si>
    <t>https://drive.google.com/open?id=1_vXhj4CkBSxlRh9B5gkkIMNlI_u4umFa</t>
  </si>
  <si>
    <t>https://drive.google.com/open?id=1TloDtstgs3Pbw4Y22f1Cr9vI-8XnjGkp</t>
  </si>
  <si>
    <t>https://drive.google.com/open?id=1Wr_gSp8p9BXMFeqBMazUXaWob-C7FIzo</t>
  </si>
  <si>
    <t>https://drive.google.com/open?id=1lXAS5tTAN6DFAaVWrtHPAg8Q0bKnGW4j</t>
  </si>
  <si>
    <t>Coefficient of Variation</t>
  </si>
  <si>
    <t xml:space="preserve">My fucking testing class cucked my gpa. Got a 3/4 on this project proposal assignment and it dropped my grade 9% somehow. </t>
  </si>
  <si>
    <t>https://drive.google.com/open?id=1j64AwnOfwrzT8sqY96UXDMSfs_mMzfAS</t>
  </si>
  <si>
    <t>https://drive.google.com/open?id=1I7EHUmYgM9z0hebHrC3qoyxrdBBAPc1D</t>
  </si>
  <si>
    <t>https://drive.google.com/open?id=1dPJ__cWrSF-cz715-itnk3PME2X7xVag, https://drive.google.com/open?id=1Z38luPmmG-c6E55ZM4Mtwh_QTQ6uKT2n, https://drive.google.com/open?id=15R0y3oQoJolSJpaMGh5QcYYaft0lMCQ-</t>
  </si>
  <si>
    <t>https://drive.google.com/open?id=1cD62YKkpQ0kMMEHm7Yhcwc_NDgTeJtet</t>
  </si>
  <si>
    <t>https://drive.google.com/open?id=1aow6HJaZwn-FFGNKOiQQfGaLZZG8H2LY</t>
  </si>
  <si>
    <t>Please help.</t>
  </si>
  <si>
    <t>https://drive.google.com/open?id=12W2-RHA8uq-tNlNnMdIbxD_Ri0j16ryg, https://drive.google.com/open?id=1m1eP_nac6ffTsU7tsR_2A9OQIU_7jqw5</t>
  </si>
  <si>
    <t>https://drive.google.com/open?id=1p3IPcib7kfF-Ly9rVvCuMJVpy9MRpARY, https://drive.google.com/open?id=10jY8TPRK7xz0jPSfvsl-oRhQtZE5as0m</t>
  </si>
  <si>
    <t>https://drive.google.com/open?id=1g03muwf7tvCSfDrU-FiXo77qN4XOuIze</t>
  </si>
  <si>
    <t>https://drive.google.com/open?id=1oQf9Mp-N7l4hIFcW9i6PDtL8t5BmDhhU, https://drive.google.com/open?id=1RrW7yOVCMsU6knF5BaQp-2Um-2ayH3rq, https://drive.google.com/open?id=1LjWU1WO8llATLKtvcl4xc-8isskbRo8m</t>
  </si>
  <si>
    <t>https://drive.google.com/open?id=1AHZFAs0DxhuLEoST1FvDCNE_XAxcnQdP</t>
  </si>
  <si>
    <t>https://drive.google.com/open?id=1RPOiglXRF9nOX67xkPl_BN9A0e-pESNx</t>
  </si>
  <si>
    <t>https://drive.google.com/open?id=12mIlXwa9QHXVxjA-TiINKtCMwmhhMmWm-AXPxtDb0eo</t>
  </si>
  <si>
    <t>https://drive.google.com/open?id=1nHZfUUw9sio9HD5q-zPGf4dfW8ak7mgc, https://drive.google.com/open?id=1ysBkk-ipGm2FeA8CGE00ZJESYxnnRbeh</t>
  </si>
  <si>
    <t>https://drive.google.com/open?id=137VzuvWICJFsHeCihIuriJ6uF_xnXU-5</t>
  </si>
  <si>
    <t>https://drive.google.com/open?id=1XIwh6y0huXX6lDfz7B50PXjjumkpHGqv2np_x2A_HVM</t>
  </si>
  <si>
    <t>https://drive.google.com/open?id=1bqyhLZvs53JYa-5JICFcv-HRUMr0Vv-Y, https://drive.google.com/open?id=1fEBUxUnD9jaySgNvTMy90MfXN6lj_N9Q</t>
  </si>
  <si>
    <t>https://drive.google.com/open?id=1csHGeod1-OoIVg69v0AN2nM4S7mlujYQ, https://drive.google.com/open?id=1sE86Nn3_5ruuiRY0fCdBO1Cm0u4AruDX</t>
  </si>
  <si>
    <t>https://drive.google.com/open?id=1oPIhUNtp5NNf3SJTTDqloiFBuIucmj9l</t>
  </si>
  <si>
    <t>https://drive.google.com/open?id=18OY2VEVkolegJuNv04-MY8DT516eJvsA</t>
  </si>
  <si>
    <t>https://drive.google.com/open?id=1v0mCFfd2F9-obL3DkqOkL23Cib_XwcLg</t>
  </si>
  <si>
    <t>https://drive.google.com/open?id=1Ch5yiVD2PmR5Z2-wG8SAcEgpGqvd7AFm</t>
  </si>
  <si>
    <t>https://drive.google.com/open?id=1wfkIot9WdQVW95go_SFRAJwm0HZnnQvg</t>
  </si>
  <si>
    <t>https://drive.google.com/open?id=1efbx5JURSgj8AZLyNBedIGzkdrv1Icwm</t>
  </si>
  <si>
    <t>https://drive.google.com/open?id=1vKpBDDB5ku3yFlq98yNy6rM21dGJ3zNx</t>
  </si>
  <si>
    <t>https://drive.google.com/open?id=1Adhg5Ew6H_gclFmA4inoMIu8oeUWfQ8Y</t>
  </si>
  <si>
    <t>my history class has optional assignments as 0/1 so my grade looks bad but it’s actually 100</t>
  </si>
  <si>
    <t>https://drive.google.com/open?id=1DUlpsG5i8pfS1-i-bAHyMLa3NmgggVmF</t>
  </si>
  <si>
    <t>https://drive.google.com/open?id=14eBuPg2F4NOHQ9bvu3XLgA9-lIlQLRM6</t>
  </si>
  <si>
    <t>Term</t>
  </si>
  <si>
    <t>https://drive.google.com/open?id=1OxE5Q53AA5VO-afxBR9eJWs9mQ76waUt</t>
  </si>
  <si>
    <t>Theta Xi GPA</t>
  </si>
  <si>
    <t>https://drive.google.com/open?id=11OZwsx7ydoL7VOe8M_5xB0JLcwU4VtAH</t>
  </si>
  <si>
    <t>Greek Male Average</t>
  </si>
  <si>
    <t>All Male Average</t>
  </si>
  <si>
    <t>https://drive.google.com/open?id=1H7koE0U77nh1IBlZGNZOcPUXxbl8zVvq, https://drive.google.com/open?id=1HlSn2zoBPqMl_xjdqOtRaxRix11Gw2jf, https://drive.google.com/open?id=1I3iqAXJdGmFi1cHwB0GWdsMVdUfJqvaM</t>
  </si>
  <si>
    <t>https://drive.google.com/open?id=1kqyL-YrX1JCZBhQM7qnS1TKiBvbWUfti</t>
  </si>
  <si>
    <t>Chef</t>
  </si>
  <si>
    <t>Fall 18</t>
  </si>
  <si>
    <t>https://drive.google.com/open?id=1UiM0eUeS74ceOXxOFrRGgKuG0qmUFAyf</t>
  </si>
  <si>
    <t>Ranked 46/51</t>
  </si>
  <si>
    <t>https://drive.google.com/open?id=1p03ekJDXB7yx6I1EroJ40nzPRAN0UdrW</t>
  </si>
  <si>
    <t>https://drive.google.com/open?id=1EXrF89i4ChsiToBAYV1z9tjQXT0eBkiM</t>
  </si>
  <si>
    <t>Spring 19</t>
  </si>
  <si>
    <t>Ranked 41/51</t>
  </si>
  <si>
    <t>https://drive.google.com/open?id=1wnsToYa_2pQgBHiynQGSpwsPi9vbcdV3</t>
  </si>
  <si>
    <t>Gifford</t>
  </si>
  <si>
    <t>Fall 19</t>
  </si>
  <si>
    <t>https://drive.google.com/open?id=1PgLWTA5IeKDiJYz2QL6l24S__UZSgaAg</t>
  </si>
  <si>
    <t>Fall 20</t>
  </si>
  <si>
    <t xml:space="preserve">I’ve been getting my work done early and trying really hard to get these grades up but the first exams in these classes way them so heavy </t>
  </si>
  <si>
    <t>https://drive.google.com/open?id=1iP-8I01ptSmA275n0ciItbp2LWO912Lr</t>
  </si>
  <si>
    <t>https://drive.google.com/open?id=1c3quzvSpnom9srRAlindVopeCrbO7Odf</t>
  </si>
  <si>
    <t>Nate</t>
  </si>
  <si>
    <t>Spring 21</t>
  </si>
  <si>
    <t>https://drive.google.com/open?id=1wKx3C-nSRSNBVXh7SO3aUI8zOXSROpv2</t>
  </si>
  <si>
    <t>Jordan</t>
  </si>
  <si>
    <t>Fall 21</t>
  </si>
  <si>
    <t>Trenton</t>
  </si>
  <si>
    <t>https://drive.google.com/open?id=1Z8LknACE_wXO-viTCEaXQbMamfW1ELVA</t>
  </si>
  <si>
    <t>Spring 22</t>
  </si>
  <si>
    <t>Fall 22</t>
  </si>
  <si>
    <t>https://drive.google.com/open?id=1hSb8SO2wDres4modWe1GvwXBpARKop1d</t>
  </si>
  <si>
    <t>Haptonstall</t>
  </si>
  <si>
    <t>Spring 23</t>
  </si>
  <si>
    <t>https://drive.google.com/open?id=1znKMhiFMr6zWuZH2rnPWkN7wRQhJ4mdH</t>
  </si>
  <si>
    <t>Fall 23</t>
  </si>
  <si>
    <t>https://drive.google.com/open?id=1Ph1jCTxhYRjBvCHa0xElT5to4C7c4z7v</t>
  </si>
  <si>
    <t>Smyth</t>
  </si>
  <si>
    <t>Spring 24</t>
  </si>
  <si>
    <t xml:space="preserve">Sorry for the grade drop </t>
  </si>
  <si>
    <t>https://drive.google.com/open?id=1zPC613duScoMy1aYvRTdFBFYZNJ--W6u, https://drive.google.com/open?id=14vQH2pJutyXnhqm8SdlssNZXWB2JkBwU, https://drive.google.com/open?id=1oNhKvKy0Fe-LPZPTXze4Pcy6Jbf3UgwX, https://drive.google.com/open?id=1cGiMqUXadMLEEpapDym953PJ2xbZYGEp, https://drive.google.com/open?id=1Vx9QXei2CdpJOfVpC9nhJc3EfE3diSRe</t>
  </si>
  <si>
    <t>https://drive.google.com/open?id=1b58XjtLaIt5EyDtcYMpPlC5tYmaQglS_</t>
  </si>
  <si>
    <t>https://drive.google.com/open?id=1mefnGdaCeZcZ_G33NyhDl9tcjceuLPn-</t>
  </si>
  <si>
    <t>https://drive.google.com/open?id=1TNAo_Ec3TEXHHs8GFk1bWz3i4ccMiWuH</t>
  </si>
  <si>
    <t>https://drive.google.com/open?id=1d_4RNReW5ltIHLnY_pfW7-KWDRotiakM</t>
  </si>
  <si>
    <t>https://drive.google.com/open?id=1UZ-NLpC0MAj9PIqGcccPBhXGvgN9f9UK</t>
  </si>
  <si>
    <t>https://drive.google.com/open?id=19axX42FxTlGVV7zCCg0SKq8ydBpogeHT</t>
  </si>
  <si>
    <t>https://drive.google.com/open?id=1JFtqXFQPZ5Cq3-gUHgsSznv_JL7udnvQ</t>
  </si>
  <si>
    <t>https://drive.google.com/open?id=15YBrmIMLUWZOJMjMxOPyjUgxNZN2ytYx</t>
  </si>
  <si>
    <t>https://drive.google.com/open?id=1WAB1ad4EBDnK2_xZ1tj6mOWj178UUi3x</t>
  </si>
  <si>
    <t>https://drive.google.com/open?id=1siemyIByQxdNzjewjcS68dj16xaUN4le</t>
  </si>
  <si>
    <t>https://drive.google.com/open?id=1107AuuZglkTEmHownpg1Eg1fnPZziD-e</t>
  </si>
  <si>
    <t>https://drive.google.com/open?id=1lwbQcfFhXJ6D4jxCwxFj_-Ij28k1OM18</t>
  </si>
  <si>
    <t>https://drive.google.com/open?id=1lF868fp-x8TA70KUpPvPLI9HbdjFuFH0, https://drive.google.com/open?id=14cd23TG34peMBOBzFttvLZGc_oU_GJTs</t>
  </si>
  <si>
    <t>https://drive.google.com/open?id=1c6su5dsbBSXoqEujsTbXfOCwMq706D6D</t>
  </si>
  <si>
    <t>https://drive.google.com/open?id=1OqTBxvZCsaXoXEjILOo6ZS2s8RPwnMFM</t>
  </si>
  <si>
    <t>https://drive.google.com/open?id=1F7_ZTBXEnoXCQXG6fQh3uXctVVAUY430</t>
  </si>
  <si>
    <t>https://drive.google.com/open?id=12G8wyqyrynmrB5AC8152Dt2AwGKK49jU</t>
  </si>
  <si>
    <t xml:space="preserve">Fuck the hoes </t>
  </si>
  <si>
    <t>https://drive.google.com/open?id=1pzu3qNmfQzf44SotzqhZiEiD9f6hFPCH, https://drive.google.com/open?id=1LHUf6UmpuErOU0vOLARUI0Gvp0RJJ8uD, https://drive.google.com/open?id=1h04LkDL2UNfU541Jjylh51smEHX80qmi, https://drive.google.com/open?id=16iFUqbHdyUOf3ovkZOGoAxnW_RAvLCM8</t>
  </si>
  <si>
    <t>https://drive.google.com/open?id=17_Py-GF923PxFluEeD27TRXXps5xkOTD</t>
  </si>
  <si>
    <t>https://drive.google.com/open?id=1ECtfzWFOlr8TFsuGvcbZ9sf10QhCmT3_, https://drive.google.com/open?id=1L8DnX69QKRuNJ_l5tLVqmsUZI1M2Nme6, https://drive.google.com/open?id=1kk4KME03YJplF0yeiLvhhdhihcO0WKbA</t>
  </si>
  <si>
    <t>https://drive.google.com/open?id=143ldczsBOzXVl1-tgzZqOhhzmPFHHPZR</t>
  </si>
  <si>
    <t xml:space="preserve">CSCE 101 is P/F and a reminder that it says I have 50 percent in Teac331, but as explained in one of my ss, thats the maximum amount of points I can have until I complete the rest of the assignment in November as scheduled </t>
  </si>
  <si>
    <t>https://drive.google.com/open?id=1_R4srK2hHZF0wyWjXMDypeACFi0pG-cK</t>
  </si>
  <si>
    <t>https://drive.google.com/open?id=1Z3s2nhmVpjz6_MWGwfuVNWqlhv2AFx89</t>
  </si>
  <si>
    <t>https://drive.google.com/open?id=1YSPu2FBs4ATdvOgTZK_nPlxywBROiqv0, https://drive.google.com/open?id=1aqHtocHhzJ_lz9ys1hgsYyUp_VXFEbkh</t>
  </si>
  <si>
    <t>https://drive.google.com/open?id=1I2UcTxYtUfV3s6EgjMdJXEh_3MPjCAPv</t>
  </si>
  <si>
    <t>https://drive.google.com/open?id=1a-_z3IwDgnPiBq6dq7jDu_SC0qT7r9DX</t>
  </si>
  <si>
    <t>https://drive.google.com/open?id=1gGCtMhOdcl4Mnwyz-DzBZT-0TnPoMFxP</t>
  </si>
  <si>
    <t>https://drive.google.com/open?id=1sxOn2zPZrs8hy3OVoFa8-Z-GVIUihmbq</t>
  </si>
  <si>
    <t>https://drive.google.com/open?id=1sWp3l8xBYfZFCL57-PDBIle-MZMvmXLN, https://drive.google.com/open?id=1bd5cabm3z5758N-0TsrcARol5k96ZjHX, https://drive.google.com/open?id=1ZlNLK1wMhkodbLAx3gcx_icOohQI7ox2, https://drive.google.com/open?id=1WW4pSxaPhnfSETKvO7SpbZ9pDKROFJyC</t>
  </si>
  <si>
    <t>https://drive.google.com/open?id=14hqtgjCruorDrV9ufsoOeFrR8ifnKADx</t>
  </si>
  <si>
    <t>https://drive.google.com/open?id=1YIfCC7CZlp7D7SaA7FNbBnsftbsd5fTE</t>
  </si>
  <si>
    <t>https://drive.google.com/open?id=19Imp2qqnDCpMVtq-pI-li9SgT6MKMrkE</t>
  </si>
  <si>
    <t>https://drive.google.com/open?id=1N9VuGICwRpDCi2zPXwn5AUVTubpbNiqz, https://drive.google.com/open?id=1zX2o-yLX7UGUMuORfYycSL56NJr1s9o0</t>
  </si>
  <si>
    <t>https://drive.google.com/open?id=1C5oZC5_b40HjYcsAxHourZ_l2dUrfYWF</t>
  </si>
  <si>
    <t>https://drive.google.com/open?id=1banDhQvgxiXOF9q5fpAjbN9CV5lEZKyG</t>
  </si>
  <si>
    <t>https://drive.google.com/open?id=1p0p0PTt4Zlke36QA-huVTJQMcg8js4Tk</t>
  </si>
  <si>
    <t>https://drive.google.com/open?id=1J9lAnfmPjwinYCUBviSt38f_DLpg7EX8</t>
  </si>
  <si>
    <t>https://drive.google.com/open?id=1kNpW9ohuBn6mzOYeCQQVrHt9ajNEq1LX</t>
  </si>
  <si>
    <t>https://drive.google.com/open?id=1hadK7XIynhY8Z3HmLvLd2NkzMWMaIaFX</t>
  </si>
  <si>
    <t>https://drive.google.com/open?id=1RV6oeGWn0CgeHFj0IKlD0esi9ROyEBLD</t>
  </si>
  <si>
    <t>https://drive.google.com/open?id=1EoxvqjErTx5CuRh-T3LwsBRSmQMfV6Wu</t>
  </si>
  <si>
    <t>https://drive.google.com/open?id=1yV19H72Sa1wKNxwv28uz_rUpvDi8tZtC</t>
  </si>
  <si>
    <t>https://drive.google.com/open?id=10zcTrVDpP2NhppEYxXoW39AfaIWc1RtK</t>
  </si>
  <si>
    <t>https://drive.google.com/open?id=1QP-9v3Pz-XkLbLiVxVlWv_LC00cJaiWk</t>
  </si>
  <si>
    <t>https://drive.google.com/open?id=1bvbKtn4WQNqFVjPaXSGJXTRM26OKLbVI</t>
  </si>
  <si>
    <t>https://drive.google.com/open?id=10Icpw9eu-inj8sZvf3aiin0OwqDe-74n</t>
  </si>
  <si>
    <t>https://drive.google.com/open?id=16aC7-FbZkZeqO6DBaSgQYLdyts7mzo2I</t>
  </si>
  <si>
    <t>Don’t know why calc recitation went back to N/A but it went down to a B+ before:( finally broke my MJ run🤣</t>
  </si>
  <si>
    <t>https://drive.google.com/open?id=1fpkqUHeuRZoxfu5VC0x7KE6bkBx2E2VK</t>
  </si>
  <si>
    <t>https://drive.google.com/open?id=1j-FU82p-MS5W-K9p7T_eDA8TATXeHb-l</t>
  </si>
  <si>
    <t>https://drive.google.com/open?id=1A00G8JPPP7Qw6f8923RUz-6dOMF5VE_Q</t>
  </si>
  <si>
    <t>https://drive.google.com/open?id=1i-n5RLfZpnRwFc11PpCYrIOFO4HswlU1</t>
  </si>
  <si>
    <t>https://drive.google.com/open?id=11XnHOXEbywRDVBvUYCBWex4FR1h-IY3X, https://drive.google.com/open?id=1v3ZW3QyDNmhQmv-MoULjeh3ukuYpqI7O</t>
  </si>
  <si>
    <t>https://drive.google.com/open?id=1aju80r58lmVSq28zqCaVCFE9e4-9YDOG</t>
  </si>
  <si>
    <t>https://drive.google.com/open?id=1HgkD3CF8bN06ScmKGP5EBZ_yzdg0guGj</t>
  </si>
  <si>
    <t>https://drive.google.com/open?id=1DFRz9xdQWtOYov1wVWa54n5D0DmObMSd</t>
  </si>
  <si>
    <t>https://drive.google.com/open?id=1VSzp2i9VofNyfypSycu2vTvYVaHRKAp2</t>
  </si>
  <si>
    <t>https://drive.google.com/open?id=1_O7VnLPVR13aBYq5viIKFMWAGdimfz_p</t>
  </si>
  <si>
    <t xml:space="preserve">The 89 on the gen chem is just the attendance questions grade. For some reason it doesn’t apply my exam and assignment scores to that percentage but I literally got a 99 and 98 on my exams and have got 100 on all my assignments. </t>
  </si>
  <si>
    <t>https://drive.google.com/open?id=1Uhre5CWpNyILTuOOhgxFnefKYxeDbmHP</t>
  </si>
  <si>
    <t>https://drive.google.com/open?id=1uSaQ5NALsNfsF759td85BhZyAFEIEVp3</t>
  </si>
  <si>
    <t>https://drive.google.com/open?id=1-b8yZ7o-DYoLSTNMGEIRwYEzVX_IclzH</t>
  </si>
  <si>
    <t>Im going to end above a 2.75 after my blaw extra credit goes in at the end of the semester</t>
  </si>
  <si>
    <t>https://drive.google.com/open?id=1yNSxu9z2Q7xVUG76trdMHIIxu23lLZNT</t>
  </si>
  <si>
    <t>https://drive.google.com/open?id=1lXDfOVpz2OfWbmcObxlGIhYzP70FAQHk</t>
  </si>
  <si>
    <t>https://drive.google.com/open?id=1CVJ1K8tMfZ2N6p_huOY5eaPRXBQ1GB39</t>
  </si>
  <si>
    <t>Fade school</t>
  </si>
  <si>
    <t>https://drive.google.com/open?id=1RzWqNWm8be062wCRdCfFErsqi2AbtMCs</t>
  </si>
  <si>
    <t>https://drive.google.com/open?id=1PhUATu2KKHZCMZI33pOiu42x4X97w2Up</t>
  </si>
  <si>
    <t>https://drive.google.com/open?id=1imJ2j-v9lTQ7EvAFnfttew1lIpgmBsLw</t>
  </si>
  <si>
    <t>https://drive.google.com/open?id=1RVMU5U8Ngw0oKDyQNXDPN24vKLirhpLP</t>
  </si>
  <si>
    <t>https://drive.google.com/open?id=1kiT24zbgRBpWNDMQHeNBCT_CdBXDbakI, https://drive.google.com/open?id=1H8YAWTcE0OENAS5YcKMP1IVhAI4qbHsJ</t>
  </si>
  <si>
    <t>https://drive.google.com/open?id=1uMHmh91srLrFYGfT5ROMcXO3aMNNoc6w</t>
  </si>
  <si>
    <t>It’s worse than I thought but I’m going to try my hardest to work on these next tests. I hate tests that are worth 20% of my grade</t>
  </si>
  <si>
    <t>https://drive.google.com/open?id=1295Rqf5M5yOkE-Yrz1LjXnGOzi_TEj9D</t>
  </si>
  <si>
    <t>https://drive.google.com/open?id=105_tP4v1x8e8kGZmwVNWut46OX0ERxqt</t>
  </si>
  <si>
    <t>https://drive.google.com/open?id=1vp_MEGEWULSVmjYfrr2j_4YIUKsL-4Ce</t>
  </si>
  <si>
    <t>https://drive.google.com/open?id=1QcQ8BLSvqwSxbuCan-9tZlImicAqkYFS</t>
  </si>
  <si>
    <t>https://drive.google.com/open?id=1tTbjYuKFIynwrn20lmAcOQcBb6Bd55Ay, https://drive.google.com/open?id=1bjQ_vlwRa4VAKUPVq75SqVOYtHP38aIA</t>
  </si>
  <si>
    <t>https://drive.google.com/open?id=1oj-bJAkyFwRYn2HwK_0PfIB9p1nKB0iZ</t>
  </si>
  <si>
    <t>https://drive.google.com/open?id=1vQaPxrWQEIewvGNO1O9hofuP47FB5hmC</t>
  </si>
  <si>
    <t>https://drive.google.com/open?id=1BOtqGZxyLcjYDymB6du4bf5Ili7UItnP</t>
  </si>
  <si>
    <t>https://drive.google.com/open?id=1Pro2SAi3kcJEEh2maUKKEtEbWnd7Tall</t>
  </si>
  <si>
    <t>https://drive.google.com/open?id=19XOqa5bSyTcxJq5TVSc39j2MUGfySoQx</t>
  </si>
  <si>
    <t>https://drive.google.com/open?id=1iV4zbk3mZPRM42SoH8PM48AVu2QUEL2i</t>
  </si>
  <si>
    <t>https://drive.google.com/open?id=16FxXfnKEsQJfbHxBOKx6tmxYF66DtVdX</t>
  </si>
  <si>
    <t>https://drive.google.com/open?id=1JPy962F0bXPpQpENzcWWarvQCmbilNWk</t>
  </si>
  <si>
    <t>https://drive.google.com/open?id=11n-lk128PnMGeTIs9FEk0dBLB3ad7jdr</t>
  </si>
  <si>
    <t>https://drive.google.com/open?id=1gKb9V6UpZRKRsYiuLCwwYe3vjh5NJ2Hf</t>
  </si>
  <si>
    <t>https://drive.google.com/open?id=1LEO8I6jAGUbnLpDp3YtRAP7HD2t7Lyjg</t>
  </si>
  <si>
    <t>For that 87.5, it’s a pass/fail class and my professor is being an asshat. I literally have a 100 in that class they just put a ducking 0 in on a random assignment for no reason. I already emailed the prof and she said she will fix it at the end of the semester *bruh*</t>
  </si>
  <si>
    <t>https://drive.google.com/open?id=1v49urHvFP4MKA7rvcCFz7g4YnPsrolIx, https://drive.google.com/open?id=13USU_VMIynaSRLM7Xrw31Llwps6RuHsf</t>
  </si>
  <si>
    <t>https://drive.google.com/open?id=12h5BoApktqYhF7F3HYzFC767FWAkW6D_</t>
  </si>
  <si>
    <t>https://drive.google.com/open?id=1GoKvQ11wVdZTpKeHLgAgBwXzChgbSYbv</t>
  </si>
  <si>
    <t>https://drive.google.com/open?id=18Vye9LVytt86VUBM68bz4Kwnv6Ef3mtS</t>
  </si>
  <si>
    <t>https://drive.google.com/open?id=128OlETBSihAIgnRqlUnbTuwE5fzUabDI</t>
  </si>
  <si>
    <t>https://drive.google.com/open?id=1sFK5ZSBc3nUzuHOy5evvgCk1i2a5nTcg</t>
  </si>
  <si>
    <t>https://drive.google.com/open?id=1blRsNuHBQbbnrrGMRhWCREswmveQcpE7</t>
  </si>
  <si>
    <t>https://drive.google.com/open?id=162J-cYDEpToEt3FLnmjeEkLRhttvZD7j</t>
  </si>
  <si>
    <t>https://drive.google.com/open?id=1mtOnrvlQX51zqKkOEA3m-y_dUcwrpWGi</t>
  </si>
  <si>
    <t>https://drive.google.com/open?id=1HO9DwDhyCVPAn5wSxBcKM8gSeGajZ-kb</t>
  </si>
  <si>
    <t>https://drive.google.com/open?id=1iEsd7HON0Mg5vhEgUihVmDsrxJv-Kn1A</t>
  </si>
  <si>
    <t>https://drive.google.com/open?id=1cjz9taVtZIH2z41OIndtCMwn8gETKPu1</t>
  </si>
  <si>
    <t>https://drive.google.com/open?id=17RlGU3FHRHVx9RNfbq9asMbUOX0POsKE</t>
  </si>
  <si>
    <t>(3A’s, one C). C should go to C+ by next week (3.583) and exam is early Nov. GIS 100%, EDLC a 92% which is still an A</t>
  </si>
  <si>
    <t>https://drive.google.com/open?id=18_qb0AfB4XrjlgbckMiDLZUopWnJ5Atd</t>
  </si>
  <si>
    <t>https://drive.google.com/open?id=1mOAZKZuPM7V4mZK9VvCc3yYzp-Q-ec3C</t>
  </si>
  <si>
    <t>https://drive.google.com/open?id=1Ba25zejEM2lhdPJLhPL-vomVutPfRaph</t>
  </si>
  <si>
    <t>https://drive.google.com/open?id=1e5wRpeYhLdf7a-UkTaSufhPwQViAbMtY</t>
  </si>
  <si>
    <t xml:space="preserve">I haven’t included it in past reports but I forgot my business writing portion is an average from both the canvas classrooms. </t>
  </si>
  <si>
    <t>https://drive.google.com/open?id=11Tw2E-pqLrdvz8tcQ4YE7PRPmXMpg7Ir</t>
  </si>
  <si>
    <t>https://drive.google.com/open?id=1PIsVrTv5wKdClclAnzNc-1HPB9sRXbbY</t>
  </si>
  <si>
    <t>https://drive.google.com/open?id=1oI4HPKdVUr1y8tCwxD2SunXvWyAHQb_G</t>
  </si>
  <si>
    <t>https://drive.google.com/open?id=1DEdm2ysCVIA19F0x1bJ9n9l7uyKmllzu</t>
  </si>
  <si>
    <t>https://drive.google.com/open?id=1mNJlG4TptVGNT884iB0oCLnj-l0RovMz</t>
  </si>
  <si>
    <t>https://drive.google.com/open?id=1JpvSmIlM5RtLMTtduVOLVUXWMvLLhFSr</t>
  </si>
  <si>
    <t>https://drive.google.com/open?id=1FEw6qk0IkP5nfqQJTwyxmkAzn43_eLIM, https://drive.google.com/open?id=1fKA49Nn9dQhpTzS310dK3GAJaGD2BtBO</t>
  </si>
  <si>
    <t>https://drive.google.com/open?id=1rKNc95Y52Do4CJiNmI3Q5wxoM-pI-SWR</t>
  </si>
  <si>
    <t>https://drive.google.com/open?id=1XngcYq2q7rtOH4ojdDN_Whzrvn1nJdWn</t>
  </si>
  <si>
    <t>There is a grading discrepancy in CHEM252 and AGEN225. I have talked with profs and my actual grades have been used in the GPA calculator. Also there's an assignment upgraded in CHEM252 which would drive up my grade soon.</t>
  </si>
  <si>
    <t>https://drive.google.com/open?id=10G1LRC7HW4EnNf8QAVpDQWuQdlwlUI9J</t>
  </si>
  <si>
    <t>https://drive.google.com/open?id=1vDONaTjh09pdvaWLRCJuL_lW0IybuC1o, https://drive.google.com/open?id=1JuATP7Tk0pqtrDN87aUxC70pn6SLSyzK</t>
  </si>
  <si>
    <t>https://drive.google.com/open?id=1CIx9Ey2OxYpOClkt8Ne406f3NC4qqyfd</t>
  </si>
  <si>
    <t>https://drive.google.com/open?id=1j_A4aQ03xOagyaa2JKMknmjouOJ12_98</t>
  </si>
  <si>
    <t>https://drive.google.com/open?id=1exdxLM-6-tH99tjokjm-9PZ40o3TTPui</t>
  </si>
  <si>
    <t xml:space="preserve">My grade in OCHEM has tanked but that's because our TA has not input the grades for the last two recitation quizzes yet. This will change soon. Thanks. Sorry for the late submission. </t>
  </si>
  <si>
    <t>https://drive.google.com/open?id=1yZEIChZS40XfdfqtZPLmWZtH7Y2DnPKR</t>
  </si>
  <si>
    <t>https://drive.google.com/open?id=1pDuEGCiDE8TKdoQ2SrGNOt8v9KLX3Tnp</t>
  </si>
  <si>
    <t>https://drive.google.com/open?id=15O2JJIeMBJ0y0YSUEJryJ63jSgieTY_N</t>
  </si>
  <si>
    <t>https://drive.google.com/open?id=1I6GRml-TepsLLIjDFcE2h_KcNs9VmF0H</t>
  </si>
  <si>
    <t>https://drive.google.com/open?id=1pwo4mRtAGwPW25gw5sWiV5ovclL26oX9</t>
  </si>
  <si>
    <t>https://drive.google.com/open?id=1b_orNv6uVcj3mwzr_mYIPFJ3lyM3J56-</t>
  </si>
  <si>
    <t>https://drive.google.com/open?id=1AC8V2ul4-aFxKv16hNlI40xbNtYMQByv</t>
  </si>
  <si>
    <t>https://drive.google.com/open?id=1zkGxX58hz2Dbus4wGL8FId-nFYBzbk29, https://drive.google.com/open?id=1HkbLmKJtouXIZteZxL4uyNyqpZPMJo9N</t>
  </si>
  <si>
    <t>https://drive.google.com/open?id=1GoVzBiUkLZPmQdPAZgRxjVGMp8g3ITWa</t>
  </si>
  <si>
    <t>https://drive.google.com/open?id=1jtrI2Ir8dZ8Hu-BDshAHdh6QzCDt3otF</t>
  </si>
  <si>
    <t>https://drive.google.com/open?id=19MkzBWttdwTGyz9FlwdxcA2gXSSRoZ7Q</t>
  </si>
  <si>
    <t>https://drive.google.com/open?id=1YPogNTuolp4Sf-xU9YpZsnxf2AXDPTZ8</t>
  </si>
  <si>
    <t>https://drive.google.com/open?id=1mIm0y9U2xReo6SFi_4UhR4_2IdpOa4aO, https://drive.google.com/open?id=1UoJMM57F_h8MFwucqoPI6Dl39rIYH-et, https://drive.google.com/open?id=1-qiDmtn8jhD8noGdmAynl1aPp9guNR8J, https://drive.google.com/open?id=11hmCq8eQ837JPtidcalqsnlbd37vjY2e</t>
  </si>
  <si>
    <t>https://drive.google.com/open?id=1_wH4cwDIUC4f-Yh-zlnYDyQIEskbq3xe</t>
  </si>
  <si>
    <t>https://drive.google.com/open?id=1AZRldnUIzMIjXRqKU9zoZTu1J_OPu1Sr</t>
  </si>
  <si>
    <t xml:space="preserve">CSCE 101 is being taken as pass/fail, and I provided a ss showing that I actually have 100 percent in TEAC331 even though it says I have a 50 percent </t>
  </si>
  <si>
    <t>https://drive.google.com/open?id=1JyBKNpTpv6kTYLp-HlcboAeQzciHe1CD</t>
  </si>
  <si>
    <t>No late fine daddy</t>
  </si>
  <si>
    <t>https://drive.google.com/open?id=1H5LlDt4jJdrqZYshAzF0aO-lKtd23GnM</t>
  </si>
  <si>
    <t>https://drive.google.com/open?id=17rVyw5i7-OXTtoOKfyBX4Jfcic4KxT31</t>
  </si>
  <si>
    <t>https://drive.google.com/open?id=1lAYDXosoGI-F6L-lmmSqYpaHzIIVAUex</t>
  </si>
  <si>
    <t>https://drive.google.com/open?id=1t7-DlASdxyUDgB77g-JGLfd23zr4bHF3</t>
  </si>
  <si>
    <t>https://drive.google.com/open?id=1gcD_KXFIaQYTHPsg-_JY25A503alOZ5G</t>
  </si>
  <si>
    <t>https://drive.google.com/open?id=1LAwFhtvekJK4Ec5zFIVCxidO9M3aCIoB</t>
  </si>
  <si>
    <t xml:space="preserve">My info to ADPR class is a 89 btw it’s on a dif app I can see my score rn </t>
  </si>
  <si>
    <t>sorbin</t>
  </si>
  <si>
    <t>siepold</t>
  </si>
  <si>
    <t>nik</t>
  </si>
  <si>
    <t>colby</t>
  </si>
  <si>
    <t>JD</t>
  </si>
  <si>
    <t>https://drive.google.com/open?id=1jod_uvCczzTpalhonpCxOyWMPyki14-N</t>
  </si>
  <si>
    <t>https://drive.google.com/open?id=11tzERG1kkvmt1DYRHYC09KkF43jt4umh, https://drive.google.com/open?id=1rtoLARw4iQ088Z6YrDAbUpeU0giMzCiM, https://drive.google.com/open?id=1ID_e2deI3xboUzm87tupU3EokPuANJge, https://drive.google.com/open?id=1sbSea_mo-CDqx-o3JiROCrmbAHGwp6Wm, https://drive.google.com/open?id=1uqy0NCYsE5VUIc3V7SBTdwsqx9wxHPjO</t>
  </si>
  <si>
    <t>https://drive.google.com/open?id=1yz0HKBc3XJ3f7_oETUOpcuONc4PZR9S1</t>
  </si>
  <si>
    <t>https://drive.google.com/open?id=1HEbnS9rrGAngLK0nxIf6vXGYi2pMpsDi</t>
  </si>
  <si>
    <t>https://drive.google.com/open?id=1QqH0qrRFpszdh4ARhAqilhW2qynBRWTc</t>
  </si>
  <si>
    <t>Using the calculated score for Hist of Jazz grade instead of canvas grade, canvas grade does not factor in extra credit.</t>
  </si>
  <si>
    <t>https://drive.google.com/open?id=1ggRPALnu9QlDiGSJAkAdaqRRq4FoPUDF</t>
  </si>
  <si>
    <t>https://drive.google.com/open?id=1qLe65AkKzOgj8JPaVU6hLaPS4hM_Umep</t>
  </si>
  <si>
    <t>https://drive.google.com/open?id=1TabgeG45ZMU8Fwxr_hu4o_jqNyeHhrGe</t>
  </si>
  <si>
    <t>https://drive.google.com/open?id=1YiZOnz5pk0OHS0tVatOknFkWADRVvQt9</t>
  </si>
  <si>
    <t>If teachers aren’t grading big assignments is it rude for me to email them ask for that grade?</t>
  </si>
  <si>
    <t>https://drive.google.com/open?id=1Z6v8O5Pfp5U0oV6YaeY6BZi4iWzPG01B, https://drive.google.com/open?id=1j2bTUfXr23MBU_R3A1IJMNMbIk1gUlxk, https://drive.google.com/open?id=1YQPeH59YipLq89zJwIAcCdtvInhHRbwx</t>
  </si>
  <si>
    <t>https://drive.google.com/open?id=1kwYVuf8ToD9I-KpwMDsB5lDuZpse-sgf</t>
  </si>
  <si>
    <t>https://drive.google.com/open?id=13iUkpQ8FArm6g2PwztcJDNpF9xWCgDfM</t>
  </si>
  <si>
    <t>https://drive.google.com/open?id=1oZJEA7iaF2BTGHM4JTrBsfEO2xhU6OHt</t>
  </si>
  <si>
    <t>GPA Calculator</t>
  </si>
  <si>
    <t xml:space="preserve">Questions/Comments </t>
  </si>
  <si>
    <t>https://drive.google.com/open?id=1j0ad9W_PGobD9MoIJ9J586m14-P6aLDU, https://drive.google.com/open?id=1ZI9Uqc-bDIHImwK6VNSz5KSkzigOrTr8</t>
  </si>
  <si>
    <t>https://drive.google.com/open?id=1eA5ZuRnBdlHxsClqLUNPdbWpurooqUeK</t>
  </si>
  <si>
    <t xml:space="preserve">It’s lit </t>
  </si>
  <si>
    <t>https://drive.google.com/open?id=1KTQD4H2y24Ql5GE-vMqpK-o7AGFikFes</t>
  </si>
  <si>
    <t>CSCE is pass, no pass</t>
  </si>
  <si>
    <t>https://drive.google.com/open?id=1CfQRklphYG-fgpJhKRF_celKHY7-LAOs</t>
  </si>
  <si>
    <t>https://drive.google.com/open?id=1vUIArkcjVHpvPEytLr4oLiTaLxTdatiy</t>
  </si>
  <si>
    <t>https://drive.google.com/open?id=1ejEHB2EEf1wE94sAsZ5DzF4j0tZUPayw</t>
  </si>
  <si>
    <t>The GPA I listed isn’t very accurate. There’s a massive backlog of grades in both JOUR200A and HIST110. Talked with my professors and they should be better by next week, I have countless assignments that are ungraded but marked as 0s in each of them, including a quiz. Both should be sitting around a 70 come next grade check, and still potential for Bs in each</t>
  </si>
  <si>
    <t>https://drive.google.com/open?id=1ecmQyRexHFacw2LZwELvfOp-QiDlhkLs</t>
  </si>
  <si>
    <t>https://drive.google.com/open?id=1Ji_tV3NkVXubUkqasrBzsBSOFSbcJ8p_</t>
  </si>
  <si>
    <t>https://drive.google.com/open?id=1LvnwqNtgrqETR77Gbnv5V8jQTxXVGANV</t>
  </si>
  <si>
    <t>https://drive.google.com/open?id=1OBahePxre0A-i-8XNu-3yxVX8e81SVnS</t>
  </si>
  <si>
    <t>https://drive.google.com/open?id=19_ezwK6XHb48uE5ZKK0xJE1Kam-e639o</t>
  </si>
  <si>
    <t>https://drive.google.com/open?id=15vpBg9GrwrZv7vHbKLhWiC6s832qV3wA</t>
  </si>
  <si>
    <t>https://drive.google.com/open?id=12q--ZmPXcdcbyN1l8awR6y29qHG-4R74</t>
  </si>
  <si>
    <t>https://drive.google.com/open?id=1YJf4-iLu8XDd3eE-thiiuhh0XZJiULBQ</t>
  </si>
  <si>
    <t>https://drive.google.com/open?id=1eZpJDCF2EPsLJg_iw3o_DEB63ZIxud5w, https://drive.google.com/open?id=1489_OGs9XfeN6vI5EfNrR0E16X9F4pF0</t>
  </si>
  <si>
    <t>https://drive.google.com/open?id=1tPllTc_mUIiITtHvhay2b6nHW5tTZD_o</t>
  </si>
  <si>
    <t xml:space="preserve">Jazz class has hella extra credit I’ll prove it to you if need be. </t>
  </si>
  <si>
    <t>https://drive.google.com/open?id=1bI98LB2UlUBC3agqg3oe7kYZju5Vbz6-, https://drive.google.com/open?id=1LLSRP4oGBBqjawWfAzKQoK6fd6ORrn2r</t>
  </si>
  <si>
    <t>https://drive.google.com/open?id=1YfQ_n4yRzS0BKo-HewkEGR-hc6ql5LnU</t>
  </si>
  <si>
    <t>https://drive.google.com/open?id=1pStXo8s1qrPs6e13BWqvYBM6Uhz2HDgD</t>
  </si>
  <si>
    <t>https://drive.google.com/open?id=1hz8ai-RoRypSy2zRoekL3ur2G4q9MzJM, https://drive.google.com/open?id=1_zXaUYB7-mRb-obn_f3kOcG1_bj_uWVD</t>
  </si>
  <si>
    <t>https://drive.google.com/open?id=12-G8Zmj6bo28f_8BtAa8Z34ch0Kd4J5B</t>
  </si>
  <si>
    <t>https://drive.google.com/open?id=1z-VoKyCfMXA9lO1veYnNhTW2QFQM9YlZ</t>
  </si>
  <si>
    <t>https://drive.google.com/open?id=1GBGByTSWoBmAbBOhxY_k946AHtArqoJh, https://drive.google.com/open?id=1xZYxFDeGKbY2Szq3XEdgsKE8W2uSrBei, https://drive.google.com/open?id=11abvR4_Dpzqdyj3DGCy6L97rMCa6A4ij, https://drive.google.com/open?id=19Xipnxg5FJOzXU20uM1oiH1GeEmFDh6I</t>
  </si>
  <si>
    <t>https://drive.google.com/open?id=10I2xqCANfYxM02z5f1aPFiag6gtbpDG2</t>
  </si>
  <si>
    <t>https://drive.google.com/open?id=1kOzIQqROME2P_fCk3G0IBac0p_HXQ0n5</t>
  </si>
  <si>
    <t>https://drive.google.com/open?id=1FTJc_UAxQiO9bYzYhMUVtHB7aF_P8B-Y, https://drive.google.com/open?id=1TZM6k1NJdpOn5R_PfFpAgDhBd535uYn8, https://drive.google.com/open?id=1I-Tmzj4G5gWWAlVqGXsBE0anoDBZMtr1, https://drive.google.com/open?id=12oQK6QXmxwQH6UVQdpZrRa3LVZuwtFht</t>
  </si>
  <si>
    <t>https://drive.google.com/open?id=1p_r9SsL1sFkmHJJzxq9kiC8Yup9OGE2A</t>
  </si>
  <si>
    <t>https://drive.google.com/open?id=1FMKLeJwAvrJv_ZgfNBPOalHET7QmJax1</t>
  </si>
  <si>
    <t>https://drive.google.com/open?id=1a3MyIuESYkcFpRnZsiok7DPEGXGQtd_Y</t>
  </si>
  <si>
    <t>Working on getting shit back up</t>
  </si>
  <si>
    <t>https://drive.google.com/open?id=1zyJq_opr-szDaktj-lnYTd7XjTubLGCB</t>
  </si>
  <si>
    <t>https://drive.google.com/open?id=1BupsuyNOq9kifLLI5_jOrT8Gy0PADgj4</t>
  </si>
  <si>
    <t>https://drive.google.com/open?id=1Vkw1lM2CWcj_BjGGYNZ8OHMwwQ9Ol-82</t>
  </si>
  <si>
    <t>https://drive.google.com/open?id=1fMV5BDjqSVAmw80-Uv_J6uqbuZ6M_AJP, https://drive.google.com/open?id=1yqeWW7y_eHAODiYRbcK43ti-ER0g2M_l</t>
  </si>
  <si>
    <t>https://drive.google.com/open?id=1JVBsxIJxZKUaBY20YWxAkkRNyzFSu8yq</t>
  </si>
  <si>
    <t xml:space="preserve">Asalamaylekum </t>
  </si>
  <si>
    <t>https://drive.google.com/open?id=1Adc3fQmBBi2j0v9t7DnFkAAVZTPKCwtS</t>
  </si>
  <si>
    <t>https://drive.google.com/open?id=1FmQIoEFl6miZFEgmzDnajpcFxKUKqc7A</t>
  </si>
  <si>
    <t>https://drive.google.com/open?id=1MdlfK-i_E1SF1y0oc-FWIwn_6DciJmn8</t>
  </si>
  <si>
    <t>https://drive.google.com/open?id=1h-ZIRwP5XB0PjfVGJFEC1KoZOzxeIYeO</t>
  </si>
  <si>
    <t>https://drive.google.com/open?id=14sFHtCEO0BoPyg3VQTWomTfuaha9Nwj6</t>
  </si>
  <si>
    <t>So again, the 90% in gen Chem is an isolated attendance grade. My actual grade in chem is significantly higher than just the attendance grade, probably like a 96+ I’d say</t>
  </si>
  <si>
    <t>https://drive.google.com/open?id=1EbqjCWpM7BDnSC1bUKWB4X0VeqeKIhLq</t>
  </si>
  <si>
    <t>https://drive.google.com/open?id=1lp_l3GrBOG5L9_v0tTPTNWSyylJXTG3B</t>
  </si>
  <si>
    <t>https://drive.google.com/open?id=1vFiwI6fG6Cny8hoSWEeKJo6HpajfztOA</t>
  </si>
  <si>
    <t>https://drive.google.com/open?id=1kJJvWDeMNs8MA5qY_R4z3WyLliYBKn-Q</t>
  </si>
  <si>
    <t>Nah blud</t>
  </si>
  <si>
    <t>https://drive.google.com/open?id=1IjmqUUZFFgC3Jfg-OgxuoEo9L6zauq6h</t>
  </si>
  <si>
    <t>https://drive.google.com/open?id=1Pj38Yvjm5-mPOUE_ftv4JuqCfm6aXbHI</t>
  </si>
  <si>
    <t>https://drive.google.com/open?id=1wKecE_ujfR3OJZV2a7WxWtO06IvPhq8s</t>
  </si>
  <si>
    <t>https://drive.google.com/open?id=1tX71dZihaCLSvLXG5_aCeCd-4D5DeXeE</t>
  </si>
  <si>
    <t>https://drive.google.com/open?id=1ZgfS8a96YsxBpltj3m9b611B8qaSVt80</t>
  </si>
  <si>
    <t>https://drive.google.com/open?id=1Vgcg1NDBDFxD1GA1sv4uPfVkd2RoG9X_</t>
  </si>
  <si>
    <t>https://drive.google.com/open?id=1-nrApZVpwmaM85Cwe3lngnPoictzBO5O</t>
  </si>
  <si>
    <t>Can’t remember if I turned it in or not lmao</t>
  </si>
  <si>
    <t>https://drive.google.com/open?id=1K5bt30w2EGnTRvMDKg5gCwxz_awnGFic</t>
  </si>
  <si>
    <t>🫡</t>
  </si>
  <si>
    <t>https://drive.google.com/open?id=1hWpRxFE0Qcj3ux-Lqt2v7PgTcfjlS_17</t>
  </si>
  <si>
    <t>https://drive.google.com/open?id=1eFNxI2b5Ly1VfsW7h-65c5EP-i_I5Xxc</t>
  </si>
  <si>
    <t>https://drive.google.com/open?id=1hi4PZzOXBhcZPsbnESRCC06LDr4on-Lr</t>
  </si>
  <si>
    <t>Chemistry grade is inaccurate. iClicker grade (10% of total grade) is currently 55/108, but is not solidified until end of semester. I.e the TA entered the grade as current/total needed by December so it will improve as time goes on. One exam is also dropped so I expect to have a 4.0 by semester.</t>
  </si>
  <si>
    <t>https://drive.google.com/open?id=1FbNQBYfOFZtueJefL7FkhNEQSrWfRkIx</t>
  </si>
  <si>
    <t>https://drive.google.com/open?id=1kTK7uGz82UN-WMllxq9HWCxnQNf_x-ec</t>
  </si>
  <si>
    <t>https://drive.google.com/open?id=1g89K-o0TPsejAeRmzOOy0DuFs6a3l-av</t>
  </si>
  <si>
    <t>https://drive.google.com/open?id=1Qiwtl13w0GLl3WGBRtUVLMMtHZtJ393I</t>
  </si>
  <si>
    <t>https://drive.google.com/open?id=1zlWzN4KG2KiHWAwYg_kFBHDjiEJjP4sE</t>
  </si>
  <si>
    <t>https://drive.google.com/open?id=1yWVqoHQXVOLRj88jQwkqIxOMJHjDYEr0</t>
  </si>
  <si>
    <t>https://drive.google.com/open?id=1jeRxIge5BINv3KkIv5GNlYUrhzG-fhqO, https://drive.google.com/open?id=1fwDQgWNwy7s1YthTLejjtd2T-L00WvB2</t>
  </si>
  <si>
    <t>https://drive.google.com/open?id=1dTd3VtEx2mECh3outQKGN7BCUM8dyVIz</t>
  </si>
  <si>
    <t>Yuck</t>
  </si>
  <si>
    <t>https://drive.google.com/open?id=1S6g0cs9lO6aHoQ0kBx5Cd-WTMdY4sBwY</t>
  </si>
  <si>
    <t>https://drive.google.com/open?id=1-t2-KLAKVP96X_ilE7BTZOCE5bPYQk0Q</t>
  </si>
  <si>
    <t>https://drive.google.com/open?id=1l1-uK9UahsO3mcQqj8RE8qceapZ8sdY6</t>
  </si>
  <si>
    <t>https://drive.google.com/open?id=1G234UUsUu4kzsoI95lRP2j7OElrkvzd4</t>
  </si>
  <si>
    <t>https://drive.google.com/open?id=1oD_vW8GLCLRKNUwIysfXJWgbBh3cyA8R, https://drive.google.com/open?id=1ItWBBshHe2gHJvsN5IHMIGVbV_QFt4bA</t>
  </si>
  <si>
    <t>https://drive.google.com/open?id=1CfkZSN58wI_fmWCe5T2w-h8qhsrEUkEs</t>
  </si>
  <si>
    <t>Fucked up my last OCHEM exam. But the lowest one gets averaged out though so I'll be fine.</t>
  </si>
  <si>
    <t>https://drive.google.com/open?id=168oFvFKxfGQqkaZKF6MTq83fsuX6nBhj</t>
  </si>
  <si>
    <t>https://drive.google.com/open?id=1FmU3QaA3SB9XtJawd5OLPahZ0czL77Jh</t>
  </si>
  <si>
    <t>https://drive.google.com/open?id=10TOROG660TA9h6xpDlE1aB4VtAEoJC85</t>
  </si>
  <si>
    <t>https://drive.google.com/open?id=13LbsO_PRZGoQWJyqvWmPU8MeW7DjY9FQ</t>
  </si>
  <si>
    <t>https://drive.google.com/open?id=1mV7pdfjFcFk1SEDRLRjPtoWEa6sl_AQY</t>
  </si>
  <si>
    <t>https://drive.google.com/open?id=1wHsUnzZrI2PVxeHSx89-yoW-jJ9lJc6O</t>
  </si>
  <si>
    <t>https://drive.google.com/open?id=1ERTNiE4tYmCzW1bsw1GFg9gSVBowNK-g</t>
  </si>
  <si>
    <t>https://drive.google.com/open?id=1v8_1LMlvfJ4eQkHYzCsioESIUliH3ueS</t>
  </si>
  <si>
    <t>https://drive.google.com/open?id=1dbcCi7VF9Pruyd7GFQo6b-ufoHWjHL9t</t>
  </si>
  <si>
    <t>https://drive.google.com/open?id=13XS43z_81kkAThk_7SyQwMJC0DFMzkqq</t>
  </si>
  <si>
    <t>https://drive.google.com/open?id=1hJgWVcniTf-qUlXGW6XjYfDjtmS_R0As</t>
  </si>
  <si>
    <t>https://drive.google.com/open?id=1_bnRbx02rZ6ELOvJLkL_LbiyWQBzoJXG</t>
  </si>
  <si>
    <t>https://drive.google.com/open?id=1oqd_S0lYD3MnVtOu-ENEZEXJTg6pAt7P, https://drive.google.com/open?id=1qtvOg-__IR04JL_NosbBnXHCxVqOipIl</t>
  </si>
  <si>
    <t>https://drive.google.com/open?id=1158O3DdUackB-bzlR8zHYUjuSDwaMnnB</t>
  </si>
  <si>
    <t>Not accurate GPA my class that dropped from 100 to 75 has an assignment that is 0/50 because it hasn’t been graded should jump back to between 85-90% soon</t>
  </si>
  <si>
    <t>https://drive.google.com/open?id=1d0cdyCljpEwG8sS3ZPvZ2RO0jz-9KGlB</t>
  </si>
  <si>
    <t>https://drive.google.com/open?id=1nfRXOxGIkT8wsXbyKHLv4du8WVTPK99S</t>
  </si>
  <si>
    <t>Kill me</t>
  </si>
  <si>
    <t>Question/Comments</t>
  </si>
  <si>
    <t>https://drive.google.com/open?id=18yFWeJr6c8DFSf9c9rSBXqNYgQoAO9j2</t>
  </si>
  <si>
    <t>https://drive.google.com/open?id=1ShI73PbLUMo-WSWdWgJjAMmq3TRM7SrL, https://drive.google.com/open?id=1uILPdb4cp0REIvr3kxFqnfYaKuvE6s5a</t>
  </si>
  <si>
    <t>https://drive.google.com/open?id=1PVH5jsQX3Qlv0s7fpi7ppIjKxPCuAaBn</t>
  </si>
  <si>
    <t>https://drive.google.com/open?id=1fDxLev1Pm4664YMkuFN0XHW7TmWGagzA</t>
  </si>
  <si>
    <t>https://drive.google.com/open?id=1Hp03mziP87UvV5RN2UnhQZjrQI3gIOsF</t>
  </si>
  <si>
    <t>https://drive.google.com/open?id=1yACfpxHYn7H8XtERrhScYcBhXlzzh4pa</t>
  </si>
  <si>
    <t>https://drive.google.com/open?id=1nsRDbzsKCkf_YJ2xGziQZvI3rjUBoWCY</t>
  </si>
  <si>
    <t>https://drive.google.com/open?id=1S38H2Q54TAsqATOthUBSUniWjMQTjqQ3</t>
  </si>
  <si>
    <t>https://drive.google.com/open?id=17metTmYVUr3JLmYebPq7q7hTWJdgp7eB</t>
  </si>
  <si>
    <t>Blaw is a B- he hasnt manually done the curve on any of the test, im going to end at around an B+ with extra credit you already know what I have to say about my shit grades</t>
  </si>
  <si>
    <t>https://drive.google.com/open?id=1j-9Rp-1F2U2Au0b6MW49QKGuP8LF_H8S</t>
  </si>
  <si>
    <t>https://drive.google.com/open?id=1hV1Hond9kbDxA0iUVax_2S5fTgEZsYaC</t>
  </si>
  <si>
    <t>https://drive.google.com/open?id=1w43OrDDUDDyAifbOBu3pJV1sJoHJzu8v</t>
  </si>
  <si>
    <t>https://drive.google.com/open?id=1hfc6sp3qpl0wsqvC8vowt7ryMHAB0EbJ, https://drive.google.com/open?id=11hAstXuUxJTCb9UWN-jrcbndQqcP4kBD</t>
  </si>
  <si>
    <t>https://drive.google.com/open?id=1qyiZtfn9-VZKipXx_VMfy4pW1op3GUvE</t>
  </si>
  <si>
    <t>https://drive.google.com/open?id=12apy2Nvqg9_7nSOHnZnx_lUMKYc98yW_</t>
  </si>
  <si>
    <t>https://drive.google.com/open?id=1dxi91hx31_w3n1LaPYoNf3-nz2fbYMdy</t>
  </si>
  <si>
    <t>https://drive.google.com/open?id=1PQJf1uFzqc_eUTljQZFX5r2noGRFf1TK</t>
  </si>
  <si>
    <t>https://drive.google.com/open?id=1GJtzIIjWRvzh0nVoRUwcIo-YNsDLSogp</t>
  </si>
  <si>
    <t>https://drive.google.com/open?id=1cwTfTXiNZLJwnFobD1TRXo_D8qQ0uRI8</t>
  </si>
  <si>
    <t>https://drive.google.com/open?id=1YibOgVDONUtke6WlvGzz4TCKfLJd6f__</t>
  </si>
  <si>
    <t>https://drive.google.com/open?id=1Z-M5YXQ2CaRHGRUU2tRaaTIOeeVAkrLq</t>
  </si>
  <si>
    <t>https://drive.google.com/open?id=1Y6D5Eu82xQn1MpvEA-kwSq9_fjgWmxec</t>
  </si>
  <si>
    <t>https://drive.google.com/open?id=1utRFipQbCBCBpA7hW7SeaJf_pQJB715u, https://drive.google.com/open?id=1Jh9XRRt7tHwPyiDAgfQ54I4AGYmUQVWT, https://drive.google.com/open?id=1V0Oo3dij5ezAQC2sXdTRcqCETMGbfNkQ, https://drive.google.com/open?id=1xIj-opFT7Nv88BaHFDWW0d-3jwKwBGCt</t>
  </si>
  <si>
    <t>https://drive.google.com/open?id=16hxILN1QlA4VGM3-nQjIQYR33JkUzC0i</t>
  </si>
  <si>
    <t>https://drive.google.com/open?id=1kveAM6VjnfWic-jsNM7CXB9j3QAJYeQf</t>
  </si>
  <si>
    <t>https://drive.google.com/open?id=1KwxWwxbti5-K-YyFUGbq7TG-jNuaf0Zl, https://drive.google.com/open?id=1YVqfzJTQcg-BUQcgBYUWYhs5_6Kr0PgI</t>
  </si>
  <si>
    <t>https://drive.google.com/open?id=1ExDFmHWIH5pEEKOc49XJrSr4jdH5bbGD</t>
  </si>
  <si>
    <t>https://drive.google.com/open?id=1HNLJHynUuj7NvAWloETNz2M1ahLH7xGZ, https://drive.google.com/open?id=140j15qhJVvUYfo0owLv_ZEZ4oEISOOSk</t>
  </si>
  <si>
    <t>https://drive.google.com/open?id=1YlrsMVGWJZI268P8yfldJ9RZtR3MSYj8</t>
  </si>
  <si>
    <t>https://drive.google.com/open?id=1ADyNmTo7le8Bn_gSKi0K3k-fx8_KkXaR</t>
  </si>
  <si>
    <t>https://drive.google.com/open?id=1DOHSQ2EPS3cuL1ujTbKnvSuxlkD6R5DD</t>
  </si>
  <si>
    <t>https://drive.google.com/open?id=1IKTjIwQAV1jlMOgS5paUxR3EsmERr6Uf</t>
  </si>
  <si>
    <t>https://drive.google.com/open?id=1i-t3pUlV_TzmrkVpOkASGh9vsdUe7f_n</t>
  </si>
  <si>
    <t>https://drive.google.com/open?id=1K1HQJsn7bo5PawkqaG_VDkQCqvRAW2St</t>
  </si>
  <si>
    <t>https://drive.google.com/open?id=1N7NW-cFtw_h9192BGG15Az4ZNJ8d-G6G</t>
  </si>
  <si>
    <t>https://drive.google.com/open?id=1KkEI9qLTCGn0xQe5BdPqF38tA0WaTQGR</t>
  </si>
  <si>
    <t>https://drive.google.com/open?id=1xp-OfrR1nikInp9lWxJ5GVU8lpdd_e-W</t>
  </si>
  <si>
    <t>https://drive.google.com/open?id=1mtW8zZ-nWZvex-1yxEPN-3BERgv2pmPD</t>
  </si>
  <si>
    <t xml:space="preserve">The grade in the jazz class is over 100% with extra credit. Lmk if you need further evidence. </t>
  </si>
  <si>
    <t>https://drive.google.com/open?id=1YJd_jcjubFC2XBvrl7dHcq-o28tGFRhj</t>
  </si>
  <si>
    <t>https://drive.google.com/open?id=1pNjy3m8BznoQJoZY-strkG2OohehVG0N</t>
  </si>
  <si>
    <t>https://drive.google.com/open?id=1a9RyYYCzQqow4KlUmLek0hH8vAzNjZkx</t>
  </si>
  <si>
    <t>https://drive.google.com/open?id=131XqnABfjUdQxwsFx5SY6aPWQxYsN999</t>
  </si>
  <si>
    <t>Resubmitted, my management grade went up to an A-</t>
  </si>
  <si>
    <t>https://drive.google.com/open?id=1HuV2MnJWU98ZzhfrVrzAqHE7-X8XOyvK</t>
  </si>
  <si>
    <t>Hi Happy</t>
  </si>
  <si>
    <t>https://drive.google.com/open?id=1_BV0OBmqGPZwQWhCGQUyAGuj7XTvHuaI</t>
  </si>
  <si>
    <t>https://drive.google.com/open?id=1-4fUWMDgAtyEdmtmWYIjgBMm5M9EQ939</t>
  </si>
  <si>
    <t>https://drive.google.com/open?id=1mu8GIrpQIuELnXHXB6q1pFhdBMXFIXil</t>
  </si>
  <si>
    <t>Grades r goin up💪💪</t>
  </si>
  <si>
    <t>https://drive.google.com/open?id=13_s6C5CwQYwIlJt27JsaCf9jZFJtmhr5</t>
  </si>
  <si>
    <t>https://drive.google.com/open?id=1AmSoqlew814OJiCEYbIdboQkxjqgfB8d</t>
  </si>
  <si>
    <t>https://drive.google.com/open?id=1n-smqvheZxIuyW5_RQIaifK1FBjcK9uw</t>
  </si>
  <si>
    <t>https://drive.google.com/open?id=15DgvMerlYVcTEySF3ES0ee13yazZlBc4, https://drive.google.com/open?id=1IachfhqNZqTrQuYql5LdpEhVdbXeMURA, https://drive.google.com/open?id=1cS51Bwd-ComdXOiZMnZIzf3qhOGvxAUZ</t>
  </si>
  <si>
    <t>https://drive.google.com/open?id=1d-a3aFc59aD-GzyzJO-C_51wuKQiaCe3, https://drive.google.com/open?id=1Y1dAgKIPm9m3AFMcBXl0J6UMcxuMJqbS</t>
  </si>
  <si>
    <t>https://drive.google.com/open?id=1Qh9bSc3Igs-_f9kBtj8dbIwv_kom9rOL</t>
  </si>
  <si>
    <t>https://drive.google.com/open?id=1hQQcMak8wAkeIQJmGtvUuvGALOpiQZHu</t>
  </si>
  <si>
    <t>https://drive.google.com/open?id=18_WNxPHRhgjxbR60CLK-EsEJUIlAl0E2</t>
  </si>
  <si>
    <t>https://drive.google.com/open?id=1zMB6N4rP7T_oYWsEyKYgsvHj3JnZA8iV</t>
  </si>
  <si>
    <t>https://drive.google.com/open?id=1ZPL75pgeg4J2gv9SzZRTxzw9tG42RW7Z</t>
  </si>
  <si>
    <t>https://drive.google.com/open?id=1iV_M9hKUrl57yTMWMW0JUZW0fyy3gBXF</t>
  </si>
  <si>
    <t>https://drive.google.com/open?id=1DgsJWpMmMzcKWIYPVvlN4TCUK2Yk372T</t>
  </si>
  <si>
    <t>https://drive.google.com/open?id=1Mq37M-CVMtlVagIDtUQ8yp8FkOC5Cgqo</t>
  </si>
  <si>
    <t>https://drive.google.com/open?id=1OyqvfekJwA6bF6rjV7Bwz3G_bqFfgnA3</t>
  </si>
  <si>
    <t>https://drive.google.com/open?id=1bKj3kegyx5xgZBV-7iYc2Rnd9L2oQ78J</t>
  </si>
  <si>
    <t xml:space="preserve">The 92 in the top right is only an attendance grade it’s not my actual grade in the class I actually have much higher cause I did good on my exams. </t>
  </si>
  <si>
    <t>https://drive.google.com/open?id=1MaqmOyjnauKZku57AnHV3Mo3GJJj5eML</t>
  </si>
  <si>
    <t>https://drive.google.com/open?id=16sLE-ZoI7_0eyMizg_7CvvMkyVi_H3nV</t>
  </si>
  <si>
    <t>https://drive.google.com/open?id=1kxCRfE1KxzQ2E-pNVfn2sXeQUlFixKP3</t>
  </si>
  <si>
    <t>https://drive.google.com/open?id=1uShOD8yc_LOFT7GQG8lw5XFsl1dATZHc</t>
  </si>
  <si>
    <t>https://drive.google.com/open?id=18tp2abEk-eWFD5U2DyG32u7rWS4v8uv5</t>
  </si>
  <si>
    <t>Sorry my grades are trash I’ll still end above a 2.75 I’m waiting for BLaw extra credit to kick in and for him to round the test which he will at the end of the semester</t>
  </si>
  <si>
    <t>https://drive.google.com/open?id=1aQd_JzvB9D0y4x7gKLCZkp1xJrfbS-wS</t>
  </si>
  <si>
    <t>https://drive.google.com/open?id=1Tq9vXEiFQZ1Ec6I18vntJ2ZnqLmiT452</t>
  </si>
  <si>
    <t>https://drive.google.com/open?id=15tRh8xlzcHRllCB4TPBI9YtfWPCHUQ0X</t>
  </si>
  <si>
    <t>https://drive.google.com/open?id=1S0QXfvIYXknn9JezYskk53c2TCYj0QKT</t>
  </si>
  <si>
    <t>https://drive.google.com/open?id=10pBdYHadnT2Z5DSvhqSn4ZP-T2NmiHD5</t>
  </si>
  <si>
    <t>https://drive.google.com/open?id=1PZrGd-3j5dwMWtYvjUBeRH-1Lcr9SNdz</t>
  </si>
  <si>
    <t>https://drive.google.com/open?id=1Gvr4nvieMe2-8XBJM6MHK85cIpr-DkbH</t>
  </si>
  <si>
    <t>https://drive.google.com/open?id=1uhp7YvoLj_MmpWs77ds1oLC8jmmnVIBk</t>
  </si>
  <si>
    <t>https://drive.google.com/open?id=1fLvwheNYHUP9TJAk_vpWiD-Lz_IllzaG</t>
  </si>
  <si>
    <t>https://drive.google.com/open?id=1MGQzQTZehSierbQo7MBiPHEYCOz-bLAW</t>
  </si>
  <si>
    <t>https://drive.google.com/open?id=1zDhvojqwdPjrAwhdMFzYm4nIztd3Ty2C</t>
  </si>
  <si>
    <t>Miles dustzinki</t>
  </si>
  <si>
    <t>https://drive.google.com/open?id=1cB7p5_7rw06mOQ9oBBttcZNbMi2Ve-5-</t>
  </si>
  <si>
    <t>https://drive.google.com/open?id=1uPgT2MCVfjJnhkMRCWhzeGcnlvZzkHpQ</t>
  </si>
  <si>
    <t>https://drive.google.com/open?id=1THvuolHP5RAPMR6YkI4avNvApwjXZYyD</t>
  </si>
  <si>
    <t>https://drive.google.com/open?id=1KWX6XzAwVkHxfbYG_b_h6zi_-VTAUpGa</t>
  </si>
  <si>
    <t>https://drive.google.com/open?id=11AS6kOex3aesluW-uQKw2K_TfbkvUjk2</t>
  </si>
  <si>
    <t>https://drive.google.com/open?id=1-pxexxe8LCxlqwGmdNTy0MPu86pqX9aU</t>
  </si>
  <si>
    <t>https://drive.google.com/open?id=1H72WYkFjruQp7n10zy01oXdiKSpgz5LT</t>
  </si>
  <si>
    <t>https://drive.google.com/open?id=1AjI7p_xhxO-ZaiIs4cu8-GATRLr4itb6</t>
  </si>
  <si>
    <t xml:space="preserve">Sorry it was submitted late, was planning on turning it in earlier today but I was studying for my exam that I just took. </t>
  </si>
  <si>
    <t>https://drive.google.com/open?id=10-nHfJ09U5Jtvcz8lO4m6NW0P0sX7nbC, https://drive.google.com/open?id=1hxYZ9DZuqsdCh5q-q7qIZ2BM8JVIj6ZM</t>
  </si>
  <si>
    <t>https://drive.google.com/open?id=1ZQqXNvj-N9gVvCG0rJXobUqyMr-bR2Yp</t>
  </si>
  <si>
    <t>https://drive.google.com/open?id=1jMTG_LKZVkZpTnA70-iIdyo7RofY_6dU</t>
  </si>
  <si>
    <t>https://drive.google.com/open?id=15f3HDofnmX8Hfuu1mdgC13GAeONDoI74</t>
  </si>
  <si>
    <t>https://drive.google.com/open?id=1zxw6Daos2lxpHd13s4hJ-vKoyBbl1WXT</t>
  </si>
  <si>
    <t>https://drive.google.com/open?id=1gbmXLvnBAQajwibFH8jTftgM9Q7VDBr4</t>
  </si>
  <si>
    <t>Got 90% on finance so brought grade from C to B! Now at a 3.75 (4+4+4+3)/4</t>
  </si>
  <si>
    <t>https://drive.google.com/open?id=11H353ASQB9HVHTENvKlmibjLt3t6j-c1</t>
  </si>
  <si>
    <t>https://drive.google.com/open?id=1fiHCPj3VYgE_nOIeeylzPZKTy_1x9mlU</t>
  </si>
  <si>
    <t>https://drive.google.com/open?id=1NHBht10edTwE7XrNyk_YZC-2umGXymk0</t>
  </si>
  <si>
    <t>Hard work pays off. Hist grade up from F, Jour grade up from D</t>
  </si>
  <si>
    <t>https://drive.google.com/open?id=16dX5Xjpi4CTR-TmySKRVHDp-XLrXLdyL</t>
  </si>
  <si>
    <t>https://drive.google.com/open?id=1i0lFzer-I8duLMA1Pnlo9Z5i3wYqduf1</t>
  </si>
  <si>
    <t>https://drive.google.com/open?id=1Jc4YbN_WMHvGWAl0s7_LplGx_19OZLfR</t>
  </si>
  <si>
    <t>https://drive.google.com/open?id=1qz-QPOW1gGbOn8P-cQ1bt_MWv6wWZ0zv</t>
  </si>
  <si>
    <t>https://drive.google.com/open?id=17bGfkTUugx4fm6Nslpl60cWqZXBHGkiL</t>
  </si>
  <si>
    <t>https://drive.google.com/open?id=1zwBbvoxDWFDn31eZLCVy8WzZihb9kkl_</t>
  </si>
  <si>
    <t>https://drive.google.com/open?id=1-V8V5iTlc3mYNFo8IJzODgtdd8uAeI7I</t>
  </si>
  <si>
    <t>https://drive.google.com/open?id=1x1Y0KNoi0qIakTPQE7OXV4hzS1Jx3JR6</t>
  </si>
  <si>
    <t>https://drive.google.com/open?id=1M4Vu5ktut24_jMoF2i8RJXHDC0qU1TQ8</t>
  </si>
  <si>
    <t>IM FUST BUHD</t>
  </si>
  <si>
    <t>https://drive.google.com/open?id=1yqm-QGOvzo3bktcgCEt8lvmyZBhz6tyF, https://drive.google.com/open?id=1Br7slA48OegtgFO8AyhXTtMaeNaHTpOF</t>
  </si>
  <si>
    <t>https://drive.google.com/open?id=1AgvzdZs-MicsrkZmeYrjWdY0YLfDnys-</t>
  </si>
  <si>
    <t>https://drive.google.com/open?id=1ZAK62t_hPAMwxhXyXe66cGFqTRp-F-ni</t>
  </si>
  <si>
    <t>I’ll give you some slop slop for no fine.</t>
  </si>
  <si>
    <t>https://drive.google.com/open?id=1Zk5gAFbX5mb-piyeywTMQHbsXYNzMYZz, https://drive.google.com/open?id=152BN2Y0pl_MrBv3HPpGB2D_aMY86BC69</t>
  </si>
  <si>
    <t>https://drive.google.com/open?id=19sAETLdi6kTVuQEiRaRElJ9vv_LYEEVn</t>
  </si>
  <si>
    <t>Grant</t>
  </si>
  <si>
    <t>Siepold</t>
  </si>
  <si>
    <t>pate</t>
  </si>
  <si>
    <t>https://drive.google.com/open?id=1P1M6Mdcc6EKbaUdDVWpsjXod_NCVc0P5, https://drive.google.com/open?id=194sSlGbrk9bXinAi6K1oLh5Y-IFX5fZY, https://drive.google.com/open?id=13RrpQPlcF3NwrcXeguKvZu4-bEVeZKv2, https://drive.google.com/open?id=1f1PSPNG-uYOq4ULKQbtVorJnrE-gTT6u</t>
  </si>
  <si>
    <t>https://drive.google.com/open?id=1p1YT74gznYb0K_ow71ooTetwq-4i7r8-</t>
  </si>
  <si>
    <t>2 A, 1 A-, 1 B. Expecting a 3.83+</t>
  </si>
  <si>
    <t>https://drive.google.com/open?id=1Zv6rvevXvOr9PSgtxgESVqmWxan7weBl</t>
  </si>
  <si>
    <t>https://drive.google.com/open?id=1VmLlXV8dkjERZUeqFDQE6wj7tTZyXNq5</t>
  </si>
  <si>
    <t>https://drive.google.com/open?id=1TgfZlSx5Pn0rE2iAvck_uWbsg0NkKe5y</t>
  </si>
  <si>
    <t>https://drive.google.com/open?id=1VtjRDxhpABIOnRcLtW6S11vbx2WhKaVj</t>
  </si>
  <si>
    <t>meow meow meow meow meow meow meow</t>
  </si>
  <si>
    <t>https://drive.google.com/open?id=1kO3C1tKwKDIZZYsOPfuA6kOdflPHWO12</t>
  </si>
  <si>
    <t>https://drive.google.com/open?id=15dWX5mLSMTeGnlVVInmPPgjPEdIjhJqM, https://drive.google.com/open?id=1kGnj9rdmyNNOQFOHOV53lW2bSu0l205_, https://drive.google.com/open?id=1i86YG5Q54mPqyxieK2hsnsKvTqqoNLYp</t>
  </si>
  <si>
    <t>https://drive.google.com/open?id=1ME7nwFw28NQNUnScj6v_oPSX4aoO7WtT</t>
  </si>
  <si>
    <t>https://drive.google.com/open?id=1ILWuq4WndQNPSWPyD-jZ9qDoJlpsYddW</t>
  </si>
  <si>
    <t>https://drive.google.com/open?id=1c1RVo8ED7JF4eGG95ZddLq1ZtJ0skWu0, https://drive.google.com/open?id=1QzxMMO_Z6w2jkQ6q-4Fn1fszqoqnhUdJ</t>
  </si>
  <si>
    <t>https://drive.google.com/open?id=1v78ZRTYvzxEqv0lN8CvjqL0hjsxUcJYO</t>
  </si>
  <si>
    <t>https://drive.google.com/open?id=1VzTnbfNUNhvpFnVpR5mZmhiM41Lu-CvG, https://drive.google.com/open?id=1EZzTym_SWZawou4B0dzifIS-0r0xggm1</t>
  </si>
  <si>
    <t>https://drive.google.com/open?id=1bMb2ZAz4ySQn5R9n6MQFh3Q8eA_BlLwu</t>
  </si>
  <si>
    <t>The recitation grade in statics and ochem has been factored when calculating the gpa</t>
  </si>
  <si>
    <t>https://drive.google.com/open?id=1RiDLXZnQ_MG7os-pG91E_xsTbEs2r0a9</t>
  </si>
  <si>
    <t>https://drive.google.com/open?id=1qJSL_axlQLCo-o2WFS_rBX3jYPVHyvxH</t>
  </si>
  <si>
    <t>https://drive.google.com/open?id=1UihWszquklQmA3aP7wNXclCWVDzUTxG5</t>
  </si>
  <si>
    <t>https://drive.google.com/open?id=1RUATIbmTKNQdvD0n7XOOvKMzRcctobxn</t>
  </si>
  <si>
    <t>https://drive.google.com/open?id=1bEJS1_r2O61Rpiw-HqgJNeokYUke__c4</t>
  </si>
  <si>
    <t>https://drive.google.com/open?id=1e60CjBCw9E82-7S7h1A_HBQJz3NUzJ5q</t>
  </si>
  <si>
    <t>https://drive.google.com/open?id=1dxrVcdqANmqwtZNVUO8ncDXLEWzcqAjn</t>
  </si>
  <si>
    <t>https://drive.google.com/open?id=1PHAYyaINbIF86gMCfGbpu7P3v19O0hRs</t>
  </si>
  <si>
    <t>https://drive.google.com/open?id=1u6LMYmU4sBE1cTiVNMNFp6rz5TTGwuPE</t>
  </si>
  <si>
    <t>https://drive.google.com/open?id=1hztqSSHifIC4m60BPcjC7Z4JCgSn6A-0</t>
  </si>
  <si>
    <t xml:space="preserve">My balls are itchy </t>
  </si>
  <si>
    <t>https://drive.google.com/open?id=1TNZKL3xqVEA0sCwpZeyC0a1uwh_mXLGR</t>
  </si>
  <si>
    <t>https://drive.google.com/open?id=1YEkiNVj5RkFgTKImeOQRhvOb3WbbiSUl</t>
  </si>
  <si>
    <t>https://drive.google.com/open?id=1TOTrXxorHGAlHGDUAntcr_eSMrNNQ7hM</t>
  </si>
  <si>
    <t>https://drive.google.com/open?id=1IvoEobmZYZ5azTRdmC3EiGaxJYfZR73P</t>
  </si>
  <si>
    <t>https://drive.google.com/open?id=1_4Nq0dFoFJL4PWlU_tTr9-TIVFIWM05R</t>
  </si>
  <si>
    <t>https://drive.google.com/open?id=1beMnRNeRCboHU7DZeni-WUjR1otB-lHF</t>
  </si>
  <si>
    <t>.</t>
  </si>
  <si>
    <t>https://drive.google.com/open?id=1xEyDPaAkwTS2VWtJo7xpno6juZBl_Rpy</t>
  </si>
  <si>
    <t>https://drive.google.com/open?id=17RJwwTbNJx77pAQsCgEBetKaUd2u-IPA</t>
  </si>
  <si>
    <t>https://drive.google.com/open?id=1__tduvt7O_gux6okjHWcZipBTRIDe_VQ</t>
  </si>
  <si>
    <t>https://drive.google.com/open?id=1cYcuvU2Y8aj8_nuQF7HSXaxqWUiXNEX1</t>
  </si>
  <si>
    <t>https://drive.google.com/open?id=1CYzixbXw1q3J6g_ojRy2GccLPfmctxUi</t>
  </si>
  <si>
    <t>https://drive.google.com/open?id=1bKDoXzVeQHyVSO6WRY2z-ZU8_TtCevIx</t>
  </si>
  <si>
    <t>https://drive.google.com/open?id=1kH8xljz0c-y6BX2axwprutZl0UlOcxiF</t>
  </si>
  <si>
    <t>https://drive.google.com/open?id=1PchFGp2rIwq9ieg47nYvQLF4_yHc8CWl</t>
  </si>
  <si>
    <t>Rounded up, also missin 2 classes since they have been pulled.</t>
  </si>
  <si>
    <t>https://drive.google.com/open?id=1lshUpFStMy5PAQ_7HjoRoc69GlPQmhB8, https://drive.google.com/open?id=1bf5p-IW1S0tMvhg4HRwkfYXrSUNoH_oi, https://drive.google.com/open?id=1VD1ZG6Ptoy9mqi0gKu6W1r51ZtzVeJBU</t>
  </si>
  <si>
    <t>https://drive.google.com/open?id=1ouLYpoA0U344CGyUFMJamRR8eoX6GK__</t>
  </si>
  <si>
    <t>https://drive.google.com/open?id=1DgUrVuQAAXSsmfWvqe45Gr0oGLCBTDfT, https://drive.google.com/open?id=1vJGYhSbuROHsMala2Ra_vNslSF7I7ZZA</t>
  </si>
  <si>
    <t>https://drive.google.com/open?id=1x9JN8lp5N5edqI0fw5tf0-kAl6Yg4XDo</t>
  </si>
  <si>
    <t>https://drive.google.com/open?id=1oC7noJ9XYW2sEB5bzQfuwbVBrFBPGelt, https://drive.google.com/open?id=1KUdqxuQRqY6OT5r9hvm4BkNekIZcqbg9</t>
  </si>
  <si>
    <t>https://drive.google.com/open?id=1Ilt1RwYcpz63Arlj7g7ie9-NpsU3yVPE</t>
  </si>
  <si>
    <t>https://drive.google.com/open?id=1WhYd8Y7TKomWeTbFs1YucYbHgcIL_3bi</t>
  </si>
  <si>
    <t>https://drive.google.com/open?id=1OR6D0PMoKArGqGKxvAnOHfBYTWe_aiP2</t>
  </si>
  <si>
    <t>https://drive.google.com/open?id=1I-9ZrP1Ys3S3EVXJnByKOhcveqOtUf8c</t>
  </si>
  <si>
    <t>https://drive.google.com/open?id=1RrnjSXGqP74UotrzoAWCGW3OVzVn3tZq</t>
  </si>
  <si>
    <t>I actually have a 4.0 trust</t>
  </si>
  <si>
    <t>https://drive.google.com/open?id=1jSdeILKEwCraE5aw7HVJmwHaF1knu7YE</t>
  </si>
  <si>
    <t>https://drive.google.com/open?id=1uKTKbZefKTIk8i6nC00nWz-AcX4hJEyG</t>
  </si>
  <si>
    <t>https://drive.google.com/open?id=1al8y2BHyyi9m4B-aysHaVIG-I-1_qSfB</t>
  </si>
  <si>
    <t>https://drive.google.com/open?id=1aKfZv7ahDjDpo2psb4JBvnrQL_nIKmUN</t>
  </si>
  <si>
    <t>https://drive.google.com/open?id=1xe4VgAz6GWdqX-yAAm98o8JBwTOXZHKz</t>
  </si>
  <si>
    <t>https://drive.google.com/open?id=1LqZ2s3lnbdAD4Xb9NAJSrQP6XWRNap5K</t>
  </si>
  <si>
    <t>My actual Anatomy grade together is that 88% so B+ and the rest are all As</t>
  </si>
  <si>
    <t>https://drive.google.com/open?id=1YEtMtsKgEhK-ISVsQ0NKSuMK9iauPXkS</t>
  </si>
  <si>
    <t>https://drive.google.com/open?id=16PnMLb_qWZNXHKqK9Wzu4oLxIokD0ypS</t>
  </si>
  <si>
    <t>https://drive.google.com/open?id=19QorYuu7YZTjks4ATtYZa-79UzV0aWO1</t>
  </si>
  <si>
    <t>https://drive.google.com/open?id=1zpZzaXrNEIRArK-lwut9TdLB_8JeH090</t>
  </si>
  <si>
    <t xml:space="preserve">92 is an A in that class (just like it says) </t>
  </si>
  <si>
    <t>https://drive.google.com/open?id=1iQyeM1_2sFXU4h4klYEZ4DkOac1s7Lxn</t>
  </si>
  <si>
    <t>https://drive.google.com/open?id=1RjI9wV_kLQ5R_IzEHg9hefbHsphr3RAS</t>
  </si>
  <si>
    <t>https://drive.google.com/open?id=1SGU8n0xHPaxhtlUgVTFbDI8PzztTX2e5</t>
  </si>
  <si>
    <t>https://drive.google.com/open?id=1un8qpa_odX2oePVTbpL4jyP8uawVaV0Q</t>
  </si>
  <si>
    <t>thope</t>
  </si>
  <si>
    <t>aiden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</si>
</sst>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000"/>
    <numFmt numFmtId="166" formatCode="mmm d"/>
    <numFmt numFmtId="167" formatCode="0.000"/>
    <numFmt numFmtId="168" formatCode="mmmm d"/>
  </numFmts>
  <fonts count="17">
    <font>
      <sz val="10.0"/>
      <color rgb="FF000000"/>
      <name val="Arial"/>
      <scheme val="minor"/>
    </font>
    <font>
      <color theme="1"/>
      <name val="Arial"/>
      <scheme val="minor"/>
    </font>
    <font>
      <u/>
      <color rgb="FF0000FF"/>
    </font>
    <font>
      <sz val="12.0"/>
      <color theme="1"/>
      <name val="Constantia"/>
    </font>
    <font>
      <sz val="12.0"/>
      <color rgb="FF000000"/>
      <name val="Constantia"/>
    </font>
    <font>
      <sz val="12.0"/>
      <color rgb="FF252525"/>
      <name val="Constantia"/>
    </font>
    <font/>
    <font>
      <b/>
      <sz val="12.0"/>
      <color theme="1"/>
      <name val="Constantia"/>
    </font>
    <font>
      <b/>
      <sz val="13.0"/>
      <color theme="1"/>
      <name val="Constantia"/>
    </font>
    <font>
      <color theme="1"/>
      <name val="Arial"/>
    </font>
    <font>
      <sz val="12.0"/>
      <color theme="1"/>
      <name val="Arial"/>
    </font>
    <font>
      <color rgb="FF000000"/>
      <name val="&quot;Times New Roman&quot;"/>
    </font>
    <font>
      <strike/>
      <sz val="12.0"/>
      <color theme="1"/>
      <name val="Constantia"/>
    </font>
    <font>
      <u/>
      <color rgb="FF0000FF"/>
    </font>
    <font>
      <sz val="13.0"/>
      <color theme="1"/>
      <name val="Constantia"/>
    </font>
    <font>
      <strike/>
      <sz val="12.0"/>
      <color rgb="FF252525"/>
      <name val="Constantia"/>
    </font>
    <font>
      <strike/>
      <sz val="13.0"/>
      <color theme="1"/>
      <name val="Constantia"/>
    </font>
  </fonts>
  <fills count="84">
    <fill>
      <patternFill patternType="none"/>
    </fill>
    <fill>
      <patternFill patternType="lightGray"/>
    </fill>
    <fill>
      <patternFill patternType="solid">
        <fgColor rgb="FFA4C2F4"/>
        <bgColor rgb="FFA4C2F4"/>
      </patternFill>
    </fill>
    <fill>
      <patternFill patternType="solid">
        <fgColor rgb="FFACC9FE"/>
        <bgColor rgb="FFACC9FE"/>
      </patternFill>
    </fill>
    <fill>
      <patternFill patternType="solid">
        <fgColor rgb="FFFFFFFF"/>
        <bgColor rgb="FFFFFFFF"/>
      </patternFill>
    </fill>
    <fill>
      <patternFill patternType="solid">
        <fgColor rgb="FF57BB8A"/>
        <bgColor rgb="FF57BB8A"/>
      </patternFill>
    </fill>
    <fill>
      <patternFill patternType="solid">
        <fgColor rgb="FFF3F3F3"/>
        <bgColor rgb="FFF3F3F3"/>
      </patternFill>
    </fill>
    <fill>
      <patternFill patternType="solid">
        <fgColor rgb="FFE8F0FE"/>
        <bgColor rgb="FFE8F0FE"/>
      </patternFill>
    </fill>
    <fill>
      <patternFill patternType="solid">
        <fgColor rgb="FF6CC499"/>
        <bgColor rgb="FF6CC499"/>
      </patternFill>
    </fill>
    <fill>
      <patternFill patternType="solid">
        <fgColor rgb="FF69C397"/>
        <bgColor rgb="FF69C397"/>
      </patternFill>
    </fill>
    <fill>
      <patternFill patternType="solid">
        <fgColor rgb="FF75C89F"/>
        <bgColor rgb="FF75C89F"/>
      </patternFill>
    </fill>
    <fill>
      <patternFill patternType="solid">
        <fgColor rgb="FF82CDA8"/>
        <bgColor rgb="FF82CDA8"/>
      </patternFill>
    </fill>
    <fill>
      <patternFill patternType="solid">
        <fgColor rgb="FF84CDA9"/>
        <bgColor rgb="FF84CDA9"/>
      </patternFill>
    </fill>
    <fill>
      <patternFill patternType="solid">
        <fgColor rgb="FF92D3B3"/>
        <bgColor rgb="FF92D3B3"/>
      </patternFill>
    </fill>
    <fill>
      <patternFill patternType="solid">
        <fgColor rgb="FF86CEAB"/>
        <bgColor rgb="FF86CEAB"/>
      </patternFill>
    </fill>
    <fill>
      <patternFill patternType="solid">
        <fgColor rgb="FF94D4B4"/>
        <bgColor rgb="FF94D4B4"/>
      </patternFill>
    </fill>
    <fill>
      <patternFill patternType="solid">
        <fgColor rgb="FF8AD0AD"/>
        <bgColor rgb="FF8AD0AD"/>
      </patternFill>
    </fill>
    <fill>
      <patternFill patternType="solid">
        <fgColor rgb="FFA1D9BE"/>
        <bgColor rgb="FFA1D9BE"/>
      </patternFill>
    </fill>
    <fill>
      <patternFill patternType="solid">
        <fgColor rgb="FF90D2B2"/>
        <bgColor rgb="FF90D2B2"/>
      </patternFill>
    </fill>
    <fill>
      <patternFill patternType="solid">
        <fgColor rgb="FFA6DBC1"/>
        <bgColor rgb="FFA6DBC1"/>
      </patternFill>
    </fill>
    <fill>
      <patternFill patternType="solid">
        <fgColor rgb="FF96D5B6"/>
        <bgColor rgb="FF96D5B6"/>
      </patternFill>
    </fill>
    <fill>
      <patternFill patternType="solid">
        <fgColor rgb="FFABDDC5"/>
        <bgColor rgb="FFABDDC5"/>
      </patternFill>
    </fill>
    <fill>
      <patternFill patternType="solid">
        <fgColor rgb="FF98D6B7"/>
        <bgColor rgb="FF98D6B7"/>
      </patternFill>
    </fill>
    <fill>
      <patternFill patternType="solid">
        <fgColor rgb="FFB2E0C9"/>
        <bgColor rgb="FFB2E0C9"/>
      </patternFill>
    </fill>
    <fill>
      <patternFill patternType="solid">
        <fgColor rgb="FF9ED8BC"/>
        <bgColor rgb="FF9ED8BC"/>
      </patternFill>
    </fill>
    <fill>
      <patternFill patternType="solid">
        <fgColor rgb="FFB2E0CA"/>
        <bgColor rgb="FFB2E0CA"/>
      </patternFill>
    </fill>
    <fill>
      <patternFill patternType="solid">
        <fgColor rgb="FFC3E7D6"/>
        <bgColor rgb="FFC3E7D6"/>
      </patternFill>
    </fill>
    <fill>
      <patternFill patternType="solid">
        <fgColor rgb="FFC5E8D7"/>
        <bgColor rgb="FFC5E8D7"/>
      </patternFill>
    </fill>
    <fill>
      <patternFill patternType="solid">
        <fgColor rgb="FFC7E9D8"/>
        <bgColor rgb="FFC7E9D8"/>
      </patternFill>
    </fill>
    <fill>
      <patternFill patternType="solid">
        <fgColor rgb="FFC8E9D9"/>
        <bgColor rgb="FFC8E9D9"/>
      </patternFill>
    </fill>
    <fill>
      <patternFill patternType="solid">
        <fgColor rgb="FFB8E3CE"/>
        <bgColor rgb="FFB8E3CE"/>
      </patternFill>
    </fill>
    <fill>
      <patternFill patternType="solid">
        <fgColor rgb="FFDEF2E8"/>
        <bgColor rgb="FFDEF2E8"/>
      </patternFill>
    </fill>
    <fill>
      <patternFill patternType="solid">
        <fgColor rgb="FFC2E7D5"/>
        <bgColor rgb="FFC2E7D5"/>
      </patternFill>
    </fill>
    <fill>
      <patternFill patternType="solid">
        <fgColor rgb="FFEEF8F3"/>
        <bgColor rgb="FFEEF8F3"/>
      </patternFill>
    </fill>
    <fill>
      <patternFill patternType="solid">
        <fgColor rgb="FFCCEADB"/>
        <bgColor rgb="FFCCEADB"/>
      </patternFill>
    </fill>
    <fill>
      <patternFill patternType="solid">
        <fgColor rgb="FFCDEBDC"/>
        <bgColor rgb="FFCDEBDC"/>
      </patternFill>
    </fill>
    <fill>
      <patternFill patternType="solid">
        <fgColor rgb="FFFEFCFB"/>
        <bgColor rgb="FFFEFCFB"/>
      </patternFill>
    </fill>
    <fill>
      <patternFill patternType="solid">
        <fgColor rgb="FFD2EDE0"/>
        <bgColor rgb="FFD2EDE0"/>
      </patternFill>
    </fill>
    <fill>
      <patternFill patternType="solid">
        <fgColor rgb="FFFEFBFB"/>
        <bgColor rgb="FFFEFBFB"/>
      </patternFill>
    </fill>
    <fill>
      <patternFill patternType="solid">
        <fgColor rgb="FFD3EDE0"/>
        <bgColor rgb="FFD3EDE0"/>
      </patternFill>
    </fill>
    <fill>
      <patternFill patternType="solid">
        <fgColor rgb="FFD5EEE2"/>
        <bgColor rgb="FFD5EEE2"/>
      </patternFill>
    </fill>
    <fill>
      <patternFill patternType="solid">
        <fgColor rgb="FFDDF2E8"/>
        <bgColor rgb="FFDDF2E8"/>
      </patternFill>
    </fill>
    <fill>
      <patternFill patternType="solid">
        <fgColor rgb="FFFDF7F7"/>
        <bgColor rgb="FFFDF7F7"/>
      </patternFill>
    </fill>
    <fill>
      <patternFill patternType="solid">
        <fgColor rgb="FFFDF6F5"/>
        <bgColor rgb="FFFDF6F5"/>
      </patternFill>
    </fill>
    <fill>
      <patternFill patternType="solid">
        <fgColor rgb="FFFCF3F2"/>
        <bgColor rgb="FFFCF3F2"/>
      </patternFill>
    </fill>
    <fill>
      <patternFill patternType="solid">
        <fgColor rgb="FFFFF2CC"/>
        <bgColor rgb="FFFFF2CC"/>
      </patternFill>
    </fill>
    <fill>
      <patternFill patternType="solid">
        <fgColor rgb="FFFDF8F8"/>
        <bgColor rgb="FFFDF8F8"/>
      </patternFill>
    </fill>
    <fill>
      <patternFill patternType="solid">
        <fgColor rgb="FFFCF1F0"/>
        <bgColor rgb="FFFCF1F0"/>
      </patternFill>
    </fill>
    <fill>
      <patternFill patternType="solid">
        <fgColor rgb="FFFCF0EF"/>
        <bgColor rgb="FFFCF0EF"/>
      </patternFill>
    </fill>
    <fill>
      <patternFill patternType="solid">
        <fgColor rgb="FFFBEEED"/>
        <bgColor rgb="FFFBEEED"/>
      </patternFill>
    </fill>
    <fill>
      <patternFill patternType="solid">
        <fgColor rgb="FFFBEDEB"/>
        <bgColor rgb="FFFBEDEB"/>
      </patternFill>
    </fill>
    <fill>
      <patternFill patternType="solid">
        <fgColor rgb="FFFBECEB"/>
        <bgColor rgb="FFFBECEB"/>
      </patternFill>
    </fill>
    <fill>
      <patternFill patternType="solid">
        <fgColor rgb="FFFFFF00"/>
        <bgColor rgb="FFFFFF00"/>
      </patternFill>
    </fill>
    <fill>
      <patternFill patternType="solid">
        <fgColor rgb="FFFAE9E8"/>
        <bgColor rgb="FFFAE9E8"/>
      </patternFill>
    </fill>
    <fill>
      <patternFill patternType="solid">
        <fgColor rgb="FFFAE8E6"/>
        <bgColor rgb="FFFAE8E6"/>
      </patternFill>
    </fill>
    <fill>
      <patternFill patternType="solid">
        <fgColor rgb="FFFAE7E6"/>
        <bgColor rgb="FFFAE7E6"/>
      </patternFill>
    </fill>
    <fill>
      <patternFill patternType="solid">
        <fgColor rgb="FFFBEAE9"/>
        <bgColor rgb="FFFBEAE9"/>
      </patternFill>
    </fill>
    <fill>
      <patternFill patternType="solid">
        <fgColor rgb="FFFAE8E7"/>
        <bgColor rgb="FFFAE8E7"/>
      </patternFill>
    </fill>
    <fill>
      <patternFill patternType="solid">
        <fgColor rgb="FFFAE4E3"/>
        <bgColor rgb="FFFAE4E3"/>
      </patternFill>
    </fill>
    <fill>
      <patternFill patternType="solid">
        <fgColor rgb="FFF9E2E0"/>
        <bgColor rgb="FFF9E2E0"/>
      </patternFill>
    </fill>
    <fill>
      <patternFill patternType="solid">
        <fgColor rgb="FF00FFFF"/>
        <bgColor rgb="FF00FFFF"/>
      </patternFill>
    </fill>
    <fill>
      <patternFill patternType="solid">
        <fgColor rgb="FFF9E1DF"/>
        <bgColor rgb="FFF9E1DF"/>
      </patternFill>
    </fill>
    <fill>
      <patternFill patternType="solid">
        <fgColor rgb="FFF9E0DD"/>
        <bgColor rgb="FFF9E0DD"/>
      </patternFill>
    </fill>
    <fill>
      <patternFill patternType="solid">
        <fgColor rgb="FFF8DEDC"/>
        <bgColor rgb="FFF8DEDC"/>
      </patternFill>
    </fill>
    <fill>
      <patternFill patternType="solid">
        <fgColor rgb="FFF8DDDB"/>
        <bgColor rgb="FFF8DDDB"/>
      </patternFill>
    </fill>
    <fill>
      <patternFill patternType="solid">
        <fgColor rgb="FFF8DBD9"/>
        <bgColor rgb="FFF8DBD9"/>
      </patternFill>
    </fill>
    <fill>
      <patternFill patternType="solid">
        <fgColor rgb="FFF7D5D2"/>
        <bgColor rgb="FFF7D5D2"/>
      </patternFill>
    </fill>
    <fill>
      <patternFill patternType="solid">
        <fgColor rgb="FFF8DBD8"/>
        <bgColor rgb="FFF8DBD8"/>
      </patternFill>
    </fill>
    <fill>
      <patternFill patternType="solid">
        <fgColor rgb="FFF6D2CF"/>
        <bgColor rgb="FFF6D2CF"/>
      </patternFill>
    </fill>
    <fill>
      <patternFill patternType="solid">
        <fgColor rgb="FFF7D9D7"/>
        <bgColor rgb="FFF7D9D7"/>
      </patternFill>
    </fill>
    <fill>
      <patternFill patternType="solid">
        <fgColor rgb="FFF3C3BF"/>
        <bgColor rgb="FFF3C3BF"/>
      </patternFill>
    </fill>
    <fill>
      <patternFill patternType="solid">
        <fgColor rgb="FFF0B4AF"/>
        <bgColor rgb="FFF0B4AF"/>
      </patternFill>
    </fill>
    <fill>
      <patternFill patternType="solid">
        <fgColor rgb="FFEFAFAA"/>
        <bgColor rgb="FFEFAFAA"/>
      </patternFill>
    </fill>
    <fill>
      <patternFill patternType="solid">
        <fgColor rgb="FFEA928A"/>
        <bgColor rgb="FFEA928A"/>
      </patternFill>
    </fill>
    <fill>
      <patternFill patternType="solid">
        <fgColor rgb="FFE67C73"/>
        <bgColor rgb="FFE67C73"/>
      </patternFill>
    </fill>
    <fill>
      <patternFill patternType="solid">
        <fgColor rgb="FFAADDC4"/>
        <bgColor rgb="FFAADDC4"/>
      </patternFill>
    </fill>
    <fill>
      <patternFill patternType="solid">
        <fgColor rgb="FFF4CCCC"/>
        <bgColor rgb="FFF4CCCC"/>
      </patternFill>
    </fill>
    <fill>
      <patternFill patternType="solid">
        <fgColor rgb="FFD9D9D9"/>
        <bgColor rgb="FFD9D9D9"/>
      </patternFill>
    </fill>
    <fill>
      <patternFill patternType="solid">
        <fgColor rgb="FFF9CB9C"/>
        <bgColor rgb="FFF9CB9C"/>
      </patternFill>
    </fill>
    <fill>
      <patternFill patternType="solid">
        <fgColor rgb="FFBDBDBD"/>
        <bgColor rgb="FFBDBDBD"/>
      </patternFill>
    </fill>
    <fill>
      <patternFill patternType="solid">
        <fgColor rgb="FFCFE2F3"/>
        <bgColor rgb="FFCFE2F3"/>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s>
  <borders count="16">
    <border/>
    <border>
      <left style="thin">
        <color rgb="FF000000"/>
      </left>
    </border>
    <border>
      <left style="thin">
        <color rgb="FF000000"/>
      </left>
      <right style="thin">
        <color rgb="FF000000"/>
      </righ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left style="thin">
        <color rgb="FF000000"/>
      </lef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5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readingOrder="0" vertical="bottom"/>
    </xf>
    <xf borderId="0" fillId="0" fontId="3" numFmtId="0" xfId="0" applyAlignment="1" applyFont="1">
      <alignment readingOrder="0"/>
    </xf>
    <xf borderId="0" fillId="0" fontId="3" numFmtId="0" xfId="0" applyAlignment="1" applyFont="1">
      <alignment readingOrder="0"/>
    </xf>
    <xf borderId="0" fillId="2" fontId="3" numFmtId="0" xfId="0" applyAlignment="1" applyFill="1" applyFont="1">
      <alignment horizontal="right" vertical="bottom"/>
    </xf>
    <xf borderId="0" fillId="2" fontId="3" numFmtId="0" xfId="0" applyAlignment="1" applyFill="1" applyFont="1">
      <alignment vertical="bottom"/>
    </xf>
    <xf borderId="0" fillId="3" fontId="3" numFmtId="0" xfId="0" applyAlignment="1" applyFill="1" applyFont="1">
      <alignment vertical="bottom"/>
    </xf>
    <xf borderId="0" fillId="2" fontId="3" numFmtId="0" xfId="0" applyAlignment="1" applyFill="1" applyFont="1">
      <alignment vertical="bottom"/>
    </xf>
    <xf borderId="0" fillId="0" fontId="3" numFmtId="0" xfId="0" applyFont="1"/>
    <xf borderId="1" fillId="0" fontId="3" numFmtId="0" xfId="0" applyAlignment="1" applyBorder="1" applyFont="1">
      <alignment horizontal="right" vertical="bottom"/>
    </xf>
    <xf borderId="2" fillId="0" fontId="3" numFmtId="0" xfId="0" applyAlignment="1" applyBorder="1" applyFont="1">
      <alignment readingOrder="0" vertical="bottom"/>
    </xf>
    <xf borderId="0" fillId="0" fontId="3" numFmtId="0" xfId="0" applyAlignment="1" applyFont="1">
      <alignment readingOrder="0"/>
    </xf>
    <xf borderId="0" fillId="0" fontId="4" numFmtId="165" xfId="0" applyAlignment="1" applyFont="1" applyNumberFormat="1">
      <alignment horizontal="right" readingOrder="0"/>
    </xf>
    <xf borderId="0" fillId="0" fontId="4" numFmtId="0" xfId="0" applyAlignment="1" applyFont="1">
      <alignment horizontal="right" readingOrder="0"/>
    </xf>
    <xf borderId="0" fillId="4" fontId="3" numFmtId="0" xfId="0" applyAlignment="1" applyFill="1" applyFont="1">
      <alignment horizontal="right" vertical="bottom"/>
    </xf>
    <xf borderId="0" fillId="4" fontId="3" numFmtId="0" xfId="0" applyAlignment="1" applyFill="1" applyFont="1">
      <alignment vertical="bottom"/>
    </xf>
    <xf borderId="0" fillId="5" fontId="3" numFmtId="0" xfId="0" applyAlignment="1" applyFill="1" applyFont="1">
      <alignment horizontal="right" vertical="bottom"/>
    </xf>
    <xf borderId="0" fillId="4" fontId="3" numFmtId="165" xfId="0" applyAlignment="1" applyFill="1" applyFont="1" applyNumberFormat="1">
      <alignment vertical="bottom"/>
    </xf>
    <xf borderId="0" fillId="4" fontId="3" numFmtId="0" xfId="0" applyAlignment="1" applyFill="1" applyFont="1">
      <alignment vertical="bottom"/>
    </xf>
    <xf borderId="0" fillId="6" fontId="3" numFmtId="0" xfId="0" applyAlignment="1" applyFill="1" applyFont="1">
      <alignment horizontal="right" vertical="bottom"/>
    </xf>
    <xf borderId="0" fillId="6" fontId="3" numFmtId="0" xfId="0" applyAlignment="1" applyFill="1" applyFont="1">
      <alignment vertical="bottom"/>
    </xf>
    <xf borderId="0" fillId="5" fontId="3" numFmtId="0" xfId="0" applyAlignment="1" applyFill="1" applyFont="1">
      <alignment horizontal="right" vertical="bottom"/>
    </xf>
    <xf borderId="0" fillId="6" fontId="3" numFmtId="165" xfId="0" applyAlignment="1" applyFill="1" applyFont="1" applyNumberFormat="1">
      <alignment vertical="bottom"/>
    </xf>
    <xf borderId="0" fillId="7" fontId="3" numFmtId="0" xfId="0" applyAlignment="1" applyFill="1" applyFont="1">
      <alignment horizontal="right" vertical="bottom"/>
    </xf>
    <xf borderId="0" fillId="6" fontId="3" numFmtId="0" xfId="0" applyAlignment="1" applyFill="1" applyFont="1">
      <alignment vertical="bottom"/>
    </xf>
    <xf borderId="0" fillId="7" fontId="3" numFmtId="0" xfId="0" applyAlignment="1" applyFill="1" applyFont="1">
      <alignment vertical="bottom"/>
    </xf>
    <xf borderId="1" fillId="0" fontId="3" numFmtId="0" xfId="0" applyAlignment="1" applyBorder="1" applyFont="1">
      <alignment horizontal="right" readingOrder="0" vertical="bottom"/>
    </xf>
    <xf borderId="0" fillId="0" fontId="3" numFmtId="165" xfId="0" applyAlignment="1" applyFont="1" applyNumberFormat="1">
      <alignment horizontal="right" readingOrder="0" vertical="bottom"/>
    </xf>
    <xf borderId="1" fillId="4" fontId="3" numFmtId="0" xfId="0" applyAlignment="1" applyBorder="1" applyFill="1" applyFont="1">
      <alignment horizontal="right" vertical="bottom"/>
    </xf>
    <xf borderId="2" fillId="4" fontId="3" numFmtId="0" xfId="0" applyAlignment="1" applyBorder="1" applyFill="1" applyFont="1">
      <alignment vertical="bottom"/>
    </xf>
    <xf borderId="0" fillId="0" fontId="3" numFmtId="0" xfId="0" applyAlignment="1" applyFont="1">
      <alignment horizontal="right" readingOrder="0"/>
    </xf>
    <xf borderId="1" fillId="7" fontId="3" numFmtId="0" xfId="0" applyAlignment="1" applyBorder="1" applyFill="1" applyFont="1">
      <alignment horizontal="right" vertical="bottom"/>
    </xf>
    <xf borderId="2" fillId="7" fontId="3" numFmtId="0" xfId="0" applyAlignment="1" applyBorder="1" applyFill="1" applyFont="1">
      <alignment vertical="bottom"/>
    </xf>
    <xf borderId="0" fillId="4" fontId="3" numFmtId="0" xfId="0" applyAlignment="1" applyFill="1" applyFont="1">
      <alignment horizontal="right" vertical="bottom"/>
    </xf>
    <xf borderId="0" fillId="6" fontId="3" numFmtId="0" xfId="0" applyAlignment="1" applyFill="1" applyFont="1">
      <alignment horizontal="right" vertical="bottom"/>
    </xf>
    <xf borderId="0" fillId="8" fontId="3" numFmtId="0" xfId="0" applyAlignment="1" applyFill="1" applyFont="1">
      <alignment horizontal="right" vertical="bottom"/>
    </xf>
    <xf borderId="0" fillId="9" fontId="3" numFmtId="0" xfId="0" applyAlignment="1" applyFill="1" applyFont="1">
      <alignment horizontal="right" vertical="bottom"/>
    </xf>
    <xf borderId="2" fillId="0" fontId="3" numFmtId="0" xfId="0" applyAlignment="1" applyBorder="1" applyFont="1">
      <alignment vertical="bottom"/>
    </xf>
    <xf borderId="0" fillId="10" fontId="3" numFmtId="0" xfId="0" applyAlignment="1" applyFill="1" applyFont="1">
      <alignment horizontal="right" vertical="bottom"/>
    </xf>
    <xf borderId="0" fillId="11" fontId="3" numFmtId="0" xfId="0" applyAlignment="1" applyFill="1" applyFont="1">
      <alignment horizontal="right" vertical="bottom"/>
    </xf>
    <xf borderId="0" fillId="12" fontId="3" numFmtId="0" xfId="0" applyAlignment="1" applyFill="1" applyFont="1">
      <alignment horizontal="right" vertical="bottom"/>
    </xf>
    <xf borderId="0" fillId="13" fontId="3" numFmtId="0" xfId="0" applyAlignment="1" applyFill="1" applyFont="1">
      <alignment horizontal="right" vertical="bottom"/>
    </xf>
    <xf borderId="0" fillId="14" fontId="3" numFmtId="0" xfId="0" applyAlignment="1" applyFill="1" applyFont="1">
      <alignment horizontal="right" vertical="bottom"/>
    </xf>
    <xf borderId="2" fillId="7" fontId="3" numFmtId="0" xfId="0" applyAlignment="1" applyBorder="1" applyFill="1" applyFont="1">
      <alignment horizontal="right" vertical="bottom"/>
    </xf>
    <xf borderId="3" fillId="7" fontId="3" numFmtId="0" xfId="0" applyAlignment="1" applyBorder="1" applyFill="1" applyFont="1">
      <alignment vertical="bottom"/>
    </xf>
    <xf borderId="0" fillId="15" fontId="3" numFmtId="0" xfId="0" applyAlignment="1" applyFill="1" applyFont="1">
      <alignment horizontal="right" vertical="bottom"/>
    </xf>
    <xf borderId="0" fillId="16" fontId="3" numFmtId="0" xfId="0" applyAlignment="1" applyFill="1" applyFont="1">
      <alignment horizontal="right" vertical="bottom"/>
    </xf>
    <xf borderId="3" fillId="7" fontId="3" numFmtId="0" xfId="0" applyAlignment="1" applyBorder="1" applyFill="1" applyFont="1">
      <alignment vertical="bottom"/>
    </xf>
    <xf borderId="0" fillId="17" fontId="3" numFmtId="0" xfId="0" applyAlignment="1" applyFill="1" applyFont="1">
      <alignment horizontal="right" vertical="bottom"/>
    </xf>
    <xf borderId="0" fillId="18" fontId="3" numFmtId="0" xfId="0" applyAlignment="1" applyFill="1" applyFont="1">
      <alignment horizontal="right" vertical="bottom"/>
    </xf>
    <xf borderId="0" fillId="19" fontId="3" numFmtId="0" xfId="0" applyAlignment="1" applyFill="1" applyFont="1">
      <alignment horizontal="right" vertical="bottom"/>
    </xf>
    <xf borderId="0" fillId="20" fontId="3" numFmtId="0" xfId="0" applyAlignment="1" applyFill="1" applyFont="1">
      <alignment horizontal="right" vertical="bottom"/>
    </xf>
    <xf borderId="2" fillId="4" fontId="3" numFmtId="0" xfId="0" applyAlignment="1" applyBorder="1" applyFill="1" applyFont="1">
      <alignment horizontal="right" vertical="bottom"/>
    </xf>
    <xf borderId="3" fillId="4" fontId="3" numFmtId="0" xfId="0" applyAlignment="1" applyBorder="1" applyFill="1" applyFont="1">
      <alignment vertical="bottom"/>
    </xf>
    <xf borderId="0" fillId="21" fontId="3" numFmtId="0" xfId="0" applyAlignment="1" applyFill="1" applyFont="1">
      <alignment horizontal="right" vertical="bottom"/>
    </xf>
    <xf borderId="0" fillId="22" fontId="3" numFmtId="0" xfId="0" applyAlignment="1" applyFill="1" applyFont="1">
      <alignment horizontal="right" vertical="bottom"/>
    </xf>
    <xf borderId="2" fillId="0" fontId="3" numFmtId="0" xfId="0" applyAlignment="1" applyBorder="1" applyFont="1">
      <alignment horizontal="right" vertical="bottom"/>
    </xf>
    <xf borderId="3" fillId="0" fontId="3" numFmtId="0" xfId="0" applyAlignment="1" applyBorder="1" applyFont="1">
      <alignment vertical="bottom"/>
    </xf>
    <xf borderId="0" fillId="23" fontId="3" numFmtId="0" xfId="0" applyAlignment="1" applyFill="1" applyFont="1">
      <alignment horizontal="right" vertical="bottom"/>
    </xf>
    <xf borderId="0" fillId="24" fontId="3" numFmtId="0" xfId="0" applyAlignment="1" applyFill="1" applyFont="1">
      <alignment horizontal="right" vertical="bottom"/>
    </xf>
    <xf borderId="2" fillId="4" fontId="3" numFmtId="0" xfId="0" applyAlignment="1" applyBorder="1" applyFill="1" applyFont="1">
      <alignment horizontal="right" vertical="bottom"/>
    </xf>
    <xf borderId="0" fillId="25" fontId="3" numFmtId="0" xfId="0" applyAlignment="1" applyFill="1" applyFont="1">
      <alignment horizontal="right" vertical="bottom"/>
    </xf>
    <xf borderId="0" fillId="21" fontId="3" numFmtId="0" xfId="0" applyAlignment="1" applyFill="1" applyFont="1">
      <alignment horizontal="right" vertical="bottom"/>
    </xf>
    <xf borderId="3" fillId="0" fontId="3" numFmtId="0" xfId="0" applyAlignment="1" applyBorder="1" applyFont="1">
      <alignment vertical="bottom"/>
    </xf>
    <xf borderId="0" fillId="26" fontId="3" numFmtId="0" xfId="0" applyAlignment="1" applyFill="1" applyFont="1">
      <alignment horizontal="right" vertical="bottom"/>
    </xf>
    <xf borderId="0" fillId="27" fontId="3" numFmtId="0" xfId="0" applyAlignment="1" applyFill="1" applyFont="1">
      <alignment horizontal="right" vertical="bottom"/>
    </xf>
    <xf borderId="0" fillId="28" fontId="3" numFmtId="0" xfId="0" applyAlignment="1" applyFill="1" applyFont="1">
      <alignment horizontal="right" vertical="bottom"/>
    </xf>
    <xf borderId="3" fillId="4" fontId="3" numFmtId="0" xfId="0" applyAlignment="1" applyBorder="1" applyFill="1" applyFont="1">
      <alignment vertical="bottom"/>
    </xf>
    <xf borderId="0" fillId="29" fontId="3" numFmtId="0" xfId="0" applyAlignment="1" applyFill="1" applyFont="1">
      <alignment horizontal="right" vertical="bottom"/>
    </xf>
    <xf borderId="0" fillId="30" fontId="3" numFmtId="0" xfId="0" applyAlignment="1" applyFill="1" applyFont="1">
      <alignment horizontal="right" vertical="bottom"/>
    </xf>
    <xf borderId="0" fillId="0" fontId="3" numFmtId="165" xfId="0" applyAlignment="1" applyFont="1" applyNumberFormat="1">
      <alignment horizontal="right" readingOrder="0" vertical="bottom"/>
    </xf>
    <xf borderId="0" fillId="31" fontId="3" numFmtId="0" xfId="0" applyAlignment="1" applyFill="1" applyFont="1">
      <alignment horizontal="right" vertical="bottom"/>
    </xf>
    <xf borderId="0" fillId="32" fontId="3" numFmtId="0" xfId="0" applyAlignment="1" applyFill="1" applyFont="1">
      <alignment horizontal="right" vertical="bottom"/>
    </xf>
    <xf borderId="0" fillId="33" fontId="3" numFmtId="0" xfId="0" applyAlignment="1" applyFill="1" applyFont="1">
      <alignment horizontal="right" vertical="bottom"/>
    </xf>
    <xf borderId="0" fillId="34" fontId="3" numFmtId="0" xfId="0" applyAlignment="1" applyFill="1" applyFont="1">
      <alignment horizontal="right" vertical="bottom"/>
    </xf>
    <xf borderId="0" fillId="35" fontId="3" numFmtId="0" xfId="0" applyAlignment="1" applyFill="1" applyFont="1">
      <alignment horizontal="right" vertical="bottom"/>
    </xf>
    <xf borderId="0" fillId="36" fontId="3" numFmtId="0" xfId="0" applyAlignment="1" applyFill="1" applyFont="1">
      <alignment horizontal="right" vertical="bottom"/>
    </xf>
    <xf borderId="0" fillId="37" fontId="3" numFmtId="0" xfId="0" applyAlignment="1" applyFill="1" applyFont="1">
      <alignment horizontal="right" vertical="bottom"/>
    </xf>
    <xf borderId="0" fillId="38" fontId="3" numFmtId="0" xfId="0" applyAlignment="1" applyFill="1" applyFont="1">
      <alignment horizontal="right" vertical="bottom"/>
    </xf>
    <xf borderId="0" fillId="39" fontId="3" numFmtId="0" xfId="0" applyAlignment="1" applyFill="1" applyFont="1">
      <alignment horizontal="right" vertical="bottom"/>
    </xf>
    <xf borderId="2" fillId="7" fontId="3" numFmtId="0" xfId="0" applyAlignment="1" applyBorder="1" applyFill="1" applyFont="1">
      <alignment horizontal="right" vertical="bottom"/>
    </xf>
    <xf borderId="0" fillId="40" fontId="3" numFmtId="0" xfId="0" applyAlignment="1" applyFill="1" applyFont="1">
      <alignment horizontal="right" vertical="bottom"/>
    </xf>
    <xf borderId="0" fillId="41" fontId="3" numFmtId="0" xfId="0" applyAlignment="1" applyFill="1" applyFont="1">
      <alignment horizontal="right" vertical="bottom"/>
    </xf>
    <xf borderId="0" fillId="42" fontId="3" numFmtId="0" xfId="0" applyAlignment="1" applyFill="1" applyFont="1">
      <alignment horizontal="right" vertical="bottom"/>
    </xf>
    <xf borderId="4" fillId="3" fontId="3" numFmtId="0" xfId="0" applyAlignment="1" applyBorder="1" applyFill="1" applyFont="1">
      <alignment horizontal="center" readingOrder="0" vertical="bottom"/>
    </xf>
    <xf borderId="3" fillId="7" fontId="5" numFmtId="0" xfId="0" applyAlignment="1" applyBorder="1" applyFill="1" applyFont="1">
      <alignment vertical="bottom"/>
    </xf>
    <xf borderId="5" fillId="3" fontId="6" numFmtId="0" xfId="0" applyBorder="1" applyFill="1" applyFont="1"/>
    <xf borderId="0" fillId="43" fontId="3" numFmtId="0" xfId="0" applyAlignment="1" applyFill="1" applyFont="1">
      <alignment horizontal="right" vertical="bottom"/>
    </xf>
    <xf borderId="6" fillId="3" fontId="6" numFmtId="0" xfId="0" applyBorder="1" applyFill="1" applyFont="1"/>
    <xf borderId="0" fillId="44" fontId="3" numFmtId="0" xfId="0" applyAlignment="1" applyFill="1" applyFont="1">
      <alignment horizontal="right" vertical="bottom"/>
    </xf>
    <xf borderId="7" fillId="4" fontId="3" numFmtId="0" xfId="0" applyAlignment="1" applyBorder="1" applyFill="1" applyFont="1">
      <alignment horizontal="center" readingOrder="0" vertical="bottom"/>
    </xf>
    <xf borderId="8" fillId="45" fontId="3" numFmtId="0" xfId="0" applyAlignment="1" applyBorder="1" applyFill="1" applyFont="1">
      <alignment horizontal="center" readingOrder="0" vertical="bottom"/>
    </xf>
    <xf borderId="0" fillId="46" fontId="3" numFmtId="0" xfId="0" applyAlignment="1" applyFill="1" applyFont="1">
      <alignment horizontal="right" vertical="bottom"/>
    </xf>
    <xf borderId="2" fillId="0" fontId="3" numFmtId="0" xfId="0" applyAlignment="1" applyBorder="1" applyFont="1">
      <alignment horizontal="right" vertical="bottom"/>
    </xf>
    <xf borderId="3" fillId="0" fontId="5" numFmtId="0" xfId="0" applyAlignment="1" applyBorder="1" applyFont="1">
      <alignment vertical="bottom"/>
    </xf>
    <xf borderId="0" fillId="47" fontId="3" numFmtId="0" xfId="0" applyAlignment="1" applyFill="1" applyFont="1">
      <alignment horizontal="right" vertical="bottom"/>
    </xf>
    <xf borderId="3" fillId="0" fontId="3" numFmtId="0" xfId="0" applyAlignment="1" applyBorder="1" applyFont="1">
      <alignment readingOrder="0" vertical="bottom"/>
    </xf>
    <xf borderId="0" fillId="48" fontId="3" numFmtId="0" xfId="0" applyAlignment="1" applyFill="1" applyFont="1">
      <alignment horizontal="right" vertical="bottom"/>
    </xf>
    <xf borderId="9" fillId="4" fontId="3" numFmtId="0" xfId="0" applyAlignment="1" applyBorder="1" applyFill="1" applyFont="1">
      <alignment horizontal="center" readingOrder="0" vertical="bottom"/>
    </xf>
    <xf borderId="3" fillId="7" fontId="7" numFmtId="0" xfId="0" applyAlignment="1" applyBorder="1" applyFill="1" applyFont="1">
      <alignment vertical="bottom"/>
    </xf>
    <xf borderId="0" fillId="49" fontId="3" numFmtId="0" xfId="0" applyAlignment="1" applyFill="1" applyFont="1">
      <alignment horizontal="right" vertical="bottom"/>
    </xf>
    <xf borderId="3" fillId="4" fontId="7" numFmtId="0" xfId="0" applyAlignment="1" applyBorder="1" applyFill="1" applyFont="1">
      <alignment vertical="bottom"/>
    </xf>
    <xf borderId="0" fillId="50" fontId="3" numFmtId="0" xfId="0" applyAlignment="1" applyFill="1" applyFont="1">
      <alignment horizontal="right" vertical="bottom"/>
    </xf>
    <xf borderId="3" fillId="7" fontId="7" numFmtId="0" xfId="0" applyAlignment="1" applyBorder="1" applyFill="1" applyFont="1">
      <alignment vertical="bottom"/>
    </xf>
    <xf borderId="0" fillId="51" fontId="3" numFmtId="0" xfId="0" applyAlignment="1" applyFill="1" applyFont="1">
      <alignment horizontal="right" vertical="bottom"/>
    </xf>
    <xf borderId="9" fillId="4" fontId="3" numFmtId="0" xfId="0" applyAlignment="1" applyBorder="1" applyFill="1" applyFont="1">
      <alignment horizontal="center" readingOrder="0" vertical="bottom"/>
    </xf>
    <xf borderId="3" fillId="52" fontId="7" numFmtId="0" xfId="0" applyAlignment="1" applyBorder="1" applyFill="1" applyFont="1">
      <alignment vertical="bottom"/>
    </xf>
    <xf borderId="0" fillId="53" fontId="3" numFmtId="0" xfId="0" applyAlignment="1" applyFill="1" applyFont="1">
      <alignment horizontal="right" vertical="bottom"/>
    </xf>
    <xf borderId="3" fillId="4" fontId="8" numFmtId="0" xfId="0" applyAlignment="1" applyBorder="1" applyFill="1" applyFont="1">
      <alignment vertical="bottom"/>
    </xf>
    <xf borderId="0" fillId="54" fontId="3" numFmtId="0" xfId="0" applyAlignment="1" applyFill="1" applyFont="1">
      <alignment horizontal="right" vertical="bottom"/>
    </xf>
    <xf borderId="0" fillId="55" fontId="3" numFmtId="0" xfId="0" applyAlignment="1" applyFill="1" applyFont="1">
      <alignment horizontal="right" vertical="bottom"/>
    </xf>
    <xf borderId="0" fillId="56" fontId="3" numFmtId="0" xfId="0" applyAlignment="1" applyFill="1" applyFont="1">
      <alignment horizontal="right" vertical="bottom"/>
    </xf>
    <xf borderId="3" fillId="4" fontId="3" numFmtId="0" xfId="0" applyAlignment="1" applyBorder="1" applyFill="1" applyFont="1">
      <alignment horizontal="right" vertical="bottom"/>
    </xf>
    <xf borderId="3" fillId="4" fontId="7" numFmtId="0" xfId="0" applyAlignment="1" applyBorder="1" applyFill="1" applyFont="1">
      <alignment vertical="bottom"/>
    </xf>
    <xf borderId="10" fillId="4" fontId="3" numFmtId="0" xfId="0" applyAlignment="1" applyBorder="1" applyFill="1" applyFont="1">
      <alignment horizontal="center" readingOrder="0" vertical="bottom"/>
    </xf>
    <xf borderId="0" fillId="55" fontId="3" numFmtId="0" xfId="0" applyAlignment="1" applyFill="1" applyFont="1">
      <alignment horizontal="right" vertical="bottom"/>
    </xf>
    <xf borderId="0" fillId="57" fontId="3" numFmtId="0" xfId="0" applyAlignment="1" applyFill="1" applyFont="1">
      <alignment horizontal="right" vertical="bottom"/>
    </xf>
    <xf borderId="8" fillId="2" fontId="3" numFmtId="0" xfId="0" applyAlignment="1" applyBorder="1" applyFill="1" applyFont="1">
      <alignment horizontal="center" vertical="bottom"/>
    </xf>
    <xf borderId="7" fillId="0" fontId="6" numFmtId="0" xfId="0" applyBorder="1" applyFont="1"/>
    <xf borderId="0" fillId="4" fontId="7" numFmtId="0" xfId="0" applyAlignment="1" applyFill="1" applyFont="1">
      <alignment vertical="bottom"/>
    </xf>
    <xf borderId="0" fillId="58" fontId="3" numFmtId="0" xfId="0" applyAlignment="1" applyFill="1" applyFont="1">
      <alignment horizontal="right" vertical="bottom"/>
    </xf>
    <xf borderId="10" fillId="0" fontId="6" numFmtId="0" xfId="0" applyBorder="1" applyFont="1"/>
    <xf borderId="0" fillId="6" fontId="7" numFmtId="0" xfId="0" applyAlignment="1" applyFill="1" applyFont="1">
      <alignment vertical="bottom"/>
    </xf>
    <xf borderId="0" fillId="7" fontId="3" numFmtId="0" xfId="0" applyAlignment="1" applyFill="1" applyFont="1">
      <alignment horizontal="center" vertical="bottom"/>
    </xf>
    <xf borderId="0" fillId="59" fontId="3" numFmtId="0" xfId="0" applyAlignment="1" applyFill="1" applyFont="1">
      <alignment horizontal="right" vertical="bottom"/>
    </xf>
    <xf borderId="1" fillId="7" fontId="3" numFmtId="0" xfId="0" applyAlignment="1" applyBorder="1" applyFill="1" applyFont="1">
      <alignment horizontal="center" readingOrder="0" vertical="bottom"/>
    </xf>
    <xf borderId="0" fillId="6" fontId="7" numFmtId="165" xfId="0" applyAlignment="1" applyFill="1" applyFont="1" applyNumberFormat="1">
      <alignment vertical="bottom"/>
    </xf>
    <xf borderId="0" fillId="4" fontId="7" numFmtId="0" xfId="0" applyAlignment="1" applyFill="1" applyFont="1">
      <alignment vertical="bottom"/>
    </xf>
    <xf borderId="0" fillId="59" fontId="3" numFmtId="0" xfId="0" applyAlignment="1" applyFill="1" applyFont="1">
      <alignment horizontal="right" vertical="bottom"/>
    </xf>
    <xf borderId="0" fillId="4" fontId="7" numFmtId="165" xfId="0" applyAlignment="1" applyFill="1" applyFont="1" applyNumberFormat="1">
      <alignment vertical="bottom"/>
    </xf>
    <xf borderId="9" fillId="7" fontId="3" numFmtId="0" xfId="0" applyAlignment="1" applyBorder="1" applyFill="1" applyFont="1">
      <alignment horizontal="center" readingOrder="0" vertical="bottom"/>
    </xf>
    <xf borderId="3" fillId="7" fontId="3" numFmtId="0" xfId="0" applyAlignment="1" applyBorder="1" applyFill="1" applyFont="1">
      <alignment horizontal="right" vertical="bottom"/>
    </xf>
    <xf borderId="1" fillId="60" fontId="3" numFmtId="0" xfId="0" applyAlignment="1" applyBorder="1" applyFill="1" applyFont="1">
      <alignment horizontal="center" vertical="bottom"/>
    </xf>
    <xf borderId="3" fillId="52" fontId="7" numFmtId="0" xfId="0" applyAlignment="1" applyBorder="1" applyFill="1" applyFont="1">
      <alignment vertical="bottom"/>
    </xf>
    <xf borderId="0" fillId="6" fontId="7" numFmtId="0" xfId="0" applyAlignment="1" applyFill="1" applyFont="1">
      <alignment vertical="bottom"/>
    </xf>
    <xf borderId="0" fillId="61" fontId="3" numFmtId="0" xfId="0" applyAlignment="1" applyFill="1" applyFont="1">
      <alignment horizontal="right" vertical="bottom"/>
    </xf>
    <xf borderId="7" fillId="7" fontId="3" numFmtId="0" xfId="0" applyAlignment="1" applyBorder="1" applyFill="1" applyFont="1">
      <alignment horizontal="center" readingOrder="0" vertical="bottom"/>
    </xf>
    <xf borderId="3" fillId="4" fontId="3" numFmtId="0" xfId="0" applyAlignment="1" applyBorder="1" applyFill="1" applyFont="1">
      <alignment horizontal="right" vertical="bottom"/>
    </xf>
    <xf borderId="0" fillId="7" fontId="3" numFmtId="0" xfId="0" applyAlignment="1" applyFill="1" applyFont="1">
      <alignment horizontal="center" readingOrder="0" vertical="bottom"/>
    </xf>
    <xf borderId="0" fillId="62" fontId="3" numFmtId="0" xfId="0" applyAlignment="1" applyFill="1" applyFont="1">
      <alignment horizontal="right" vertical="bottom"/>
    </xf>
    <xf borderId="0" fillId="63" fontId="3" numFmtId="0" xfId="0" applyAlignment="1" applyFill="1" applyFont="1">
      <alignment horizontal="right" vertical="bottom"/>
    </xf>
    <xf borderId="0" fillId="0" fontId="3" numFmtId="0" xfId="0" applyAlignment="1" applyFont="1">
      <alignment horizontal="right" vertical="bottom"/>
    </xf>
    <xf borderId="0" fillId="7" fontId="5" numFmtId="0" xfId="0" applyAlignment="1" applyFill="1" applyFont="1">
      <alignment vertical="bottom"/>
    </xf>
    <xf borderId="0" fillId="64" fontId="3" numFmtId="0" xfId="0" applyAlignment="1" applyFill="1" applyFont="1">
      <alignment horizontal="right" vertical="bottom"/>
    </xf>
    <xf borderId="9" fillId="7" fontId="3" numFmtId="0" xfId="0" applyAlignment="1" applyBorder="1" applyFill="1" applyFont="1">
      <alignment horizontal="center" readingOrder="0" vertical="bottom"/>
    </xf>
    <xf borderId="1" fillId="7" fontId="3" numFmtId="0" xfId="0" applyAlignment="1" applyBorder="1" applyFill="1" applyFont="1">
      <alignment horizontal="center" vertical="bottom"/>
    </xf>
    <xf borderId="0" fillId="0" fontId="7" numFmtId="0" xfId="0" applyAlignment="1" applyFont="1">
      <alignment vertical="bottom"/>
    </xf>
    <xf borderId="0" fillId="65" fontId="3" numFmtId="0" xfId="0" applyAlignment="1" applyFill="1" applyFont="1">
      <alignment horizontal="right" vertical="bottom"/>
    </xf>
    <xf borderId="0" fillId="66" fontId="3" numFmtId="0" xfId="0" applyAlignment="1" applyFill="1" applyFont="1">
      <alignment horizontal="right" vertical="bottom"/>
    </xf>
    <xf borderId="0" fillId="67" fontId="3" numFmtId="0" xfId="0" applyAlignment="1" applyFill="1" applyFont="1">
      <alignment horizontal="right" vertical="bottom"/>
    </xf>
    <xf borderId="0" fillId="7" fontId="3" numFmtId="0" xfId="0" applyAlignment="1" applyFill="1" applyFont="1">
      <alignment horizontal="center" vertical="bottom"/>
    </xf>
    <xf borderId="0" fillId="68" fontId="3" numFmtId="0" xfId="0" applyAlignment="1" applyFill="1" applyFont="1">
      <alignment horizontal="right" vertical="bottom"/>
    </xf>
    <xf borderId="0" fillId="0" fontId="7" numFmtId="0" xfId="0" applyAlignment="1" applyFont="1">
      <alignment vertical="bottom"/>
    </xf>
    <xf borderId="0" fillId="0" fontId="4" numFmtId="165" xfId="0" applyAlignment="1" applyFont="1" applyNumberFormat="1">
      <alignment horizontal="right"/>
    </xf>
    <xf borderId="0" fillId="69" fontId="3" numFmtId="0" xfId="0" applyAlignment="1" applyFill="1" applyFont="1">
      <alignment horizontal="right" vertical="bottom"/>
    </xf>
    <xf borderId="0" fillId="70" fontId="3" numFmtId="0" xfId="0" applyAlignment="1" applyFill="1" applyFont="1">
      <alignment horizontal="right" vertical="bottom"/>
    </xf>
    <xf borderId="0" fillId="0" fontId="3" numFmtId="165" xfId="0" applyAlignment="1" applyFont="1" applyNumberFormat="1">
      <alignment horizontal="right" vertical="bottom"/>
    </xf>
    <xf borderId="0" fillId="6" fontId="9" numFmtId="0" xfId="0" applyAlignment="1" applyFill="1" applyFont="1">
      <alignment vertical="bottom"/>
    </xf>
    <xf borderId="0" fillId="6" fontId="9" numFmtId="0" xfId="0" applyAlignment="1" applyFill="1" applyFont="1">
      <alignment horizontal="right" vertical="bottom"/>
    </xf>
    <xf borderId="0" fillId="0" fontId="7" numFmtId="0" xfId="0" applyAlignment="1" applyFont="1">
      <alignment vertical="bottom"/>
    </xf>
    <xf borderId="0" fillId="4" fontId="9" numFmtId="0" xfId="0" applyAlignment="1" applyFill="1" applyFont="1">
      <alignment vertical="bottom"/>
    </xf>
    <xf borderId="0" fillId="0" fontId="7" numFmtId="0" xfId="0" applyAlignment="1" applyFont="1">
      <alignment vertical="bottom"/>
    </xf>
    <xf borderId="0" fillId="71" fontId="3" numFmtId="0" xfId="0" applyAlignment="1" applyFill="1" applyFont="1">
      <alignment horizontal="right" vertical="bottom"/>
    </xf>
    <xf borderId="0" fillId="72" fontId="3" numFmtId="0" xfId="0" applyAlignment="1" applyFill="1" applyFont="1">
      <alignment horizontal="right" vertical="bottom"/>
    </xf>
    <xf borderId="0" fillId="73" fontId="3" numFmtId="0" xfId="0" applyAlignment="1" applyFill="1" applyFont="1">
      <alignment horizontal="right" vertical="bottom"/>
    </xf>
    <xf borderId="0" fillId="74" fontId="3" numFmtId="0" xfId="0" applyAlignment="1" applyFill="1" applyFont="1">
      <alignment horizontal="right" vertical="bottom"/>
    </xf>
    <xf borderId="0" fillId="0" fontId="3" numFmtId="0" xfId="0" applyAlignment="1" applyFont="1">
      <alignment horizontal="right" vertical="bottom"/>
    </xf>
    <xf borderId="0" fillId="4" fontId="10" numFmtId="0" xfId="0" applyAlignment="1" applyFill="1" applyFont="1">
      <alignment horizontal="right" vertical="bottom"/>
    </xf>
    <xf borderId="0" fillId="0" fontId="9" numFmtId="0" xfId="0" applyAlignment="1" applyFont="1">
      <alignment vertical="bottom"/>
    </xf>
    <xf borderId="0" fillId="0" fontId="9" numFmtId="0" xfId="0" applyAlignment="1" applyFont="1">
      <alignment vertical="bottom"/>
    </xf>
    <xf borderId="0" fillId="0" fontId="3" numFmtId="0" xfId="0" applyAlignment="1" applyFont="1">
      <alignment horizontal="right" vertical="bottom"/>
    </xf>
    <xf borderId="3" fillId="7" fontId="3" numFmtId="0" xfId="0" applyAlignment="1" applyBorder="1" applyFill="1" applyFont="1">
      <alignment horizontal="center" readingOrder="0" vertical="bottom"/>
    </xf>
    <xf borderId="11" fillId="4" fontId="3" numFmtId="0" xfId="0" applyAlignment="1" applyBorder="1" applyFill="1" applyFont="1">
      <alignment horizontal="center" vertical="bottom"/>
    </xf>
    <xf borderId="12" fillId="75" fontId="3" numFmtId="0" xfId="0" applyAlignment="1" applyBorder="1" applyFill="1" applyFont="1">
      <alignment horizontal="center" vertical="bottom"/>
    </xf>
    <xf borderId="12" fillId="45" fontId="3" numFmtId="0" xfId="0" applyAlignment="1" applyBorder="1" applyFill="1" applyFont="1">
      <alignment horizontal="center" vertical="bottom"/>
    </xf>
    <xf borderId="0" fillId="4" fontId="3" numFmtId="0" xfId="0" applyAlignment="1" applyFill="1" applyFont="1">
      <alignment horizontal="center" vertical="bottom"/>
    </xf>
    <xf borderId="1" fillId="4" fontId="3" numFmtId="0" xfId="0" applyAlignment="1" applyBorder="1" applyFill="1" applyFont="1">
      <alignment horizontal="center" vertical="bottom"/>
    </xf>
    <xf borderId="0" fillId="4" fontId="3" numFmtId="0" xfId="0" applyAlignment="1" applyFill="1" applyFont="1">
      <alignment horizontal="center" vertical="bottom"/>
    </xf>
    <xf borderId="0" fillId="4" fontId="3" numFmtId="0" xfId="0" applyAlignment="1" applyFill="1" applyFont="1">
      <alignment horizontal="center" vertical="bottom"/>
    </xf>
    <xf borderId="3" fillId="4" fontId="3" numFmtId="0" xfId="0" applyAlignment="1" applyBorder="1" applyFill="1" applyFont="1">
      <alignment horizontal="center" readingOrder="0" vertical="bottom"/>
    </xf>
    <xf borderId="0" fillId="75" fontId="3" numFmtId="0" xfId="0" applyAlignment="1" applyFill="1" applyFont="1">
      <alignment readingOrder="0"/>
    </xf>
    <xf borderId="8" fillId="7" fontId="3" numFmtId="0" xfId="0" applyAlignment="1" applyBorder="1" applyFill="1" applyFont="1">
      <alignment horizontal="center" vertical="bottom"/>
    </xf>
    <xf borderId="4" fillId="75" fontId="3" numFmtId="0" xfId="0" applyAlignment="1" applyBorder="1" applyFill="1" applyFont="1">
      <alignment horizontal="center" vertical="bottom"/>
    </xf>
    <xf borderId="5" fillId="75" fontId="3" numFmtId="0" xfId="0" applyAlignment="1" applyBorder="1" applyFill="1" applyFont="1">
      <alignment horizontal="center" vertical="bottom"/>
    </xf>
    <xf borderId="6" fillId="75" fontId="3" numFmtId="0" xfId="0" applyAlignment="1" applyBorder="1" applyFill="1" applyFont="1">
      <alignment horizontal="center" vertical="bottom"/>
    </xf>
    <xf borderId="1" fillId="7" fontId="3" numFmtId="0" xfId="0" applyAlignment="1" applyBorder="1" applyFill="1" applyFont="1">
      <alignment horizontal="center" vertical="bottom"/>
    </xf>
    <xf borderId="1" fillId="7" fontId="3" numFmtId="0" xfId="0" applyAlignment="1" applyBorder="1" applyFill="1" applyFont="1">
      <alignment horizontal="center" vertical="bottom"/>
    </xf>
    <xf borderId="0" fillId="7" fontId="3" numFmtId="0" xfId="0" applyAlignment="1" applyFill="1" applyFont="1">
      <alignment horizontal="center" vertical="bottom"/>
    </xf>
    <xf borderId="0" fillId="7" fontId="3" numFmtId="0" xfId="0" applyAlignment="1" applyFill="1" applyFont="1">
      <alignment horizontal="center" readingOrder="0" vertical="bottom"/>
    </xf>
    <xf borderId="0" fillId="45" fontId="3" numFmtId="0" xfId="0" applyAlignment="1" applyFill="1" applyFont="1">
      <alignment readingOrder="0"/>
    </xf>
    <xf borderId="8" fillId="4" fontId="3" numFmtId="0" xfId="0" applyAlignment="1" applyBorder="1" applyFill="1" applyFont="1">
      <alignment horizontal="center" vertical="bottom"/>
    </xf>
    <xf borderId="1" fillId="75" fontId="3" numFmtId="0" xfId="0" applyAlignment="1" applyBorder="1" applyFill="1" applyFont="1">
      <alignment horizontal="center" vertical="bottom"/>
    </xf>
    <xf borderId="2" fillId="75" fontId="3" numFmtId="0" xfId="0" applyAlignment="1" applyBorder="1" applyFill="1" applyFont="1">
      <alignment horizontal="center" vertical="bottom"/>
    </xf>
    <xf borderId="0" fillId="75" fontId="3" numFmtId="0" xfId="0" applyAlignment="1" applyFill="1" applyFont="1">
      <alignment horizontal="center" vertical="bottom"/>
    </xf>
    <xf borderId="8" fillId="0" fontId="3" numFmtId="0" xfId="0" applyAlignment="1" applyBorder="1" applyFont="1">
      <alignment horizontal="right" readingOrder="0" vertical="bottom"/>
    </xf>
    <xf borderId="2" fillId="45" fontId="3" numFmtId="0" xfId="0" applyAlignment="1" applyBorder="1" applyFill="1" applyFont="1">
      <alignment horizontal="center" vertical="bottom"/>
    </xf>
    <xf borderId="11" fillId="0" fontId="3" numFmtId="0" xfId="0" applyAlignment="1" applyBorder="1" applyFont="1">
      <alignment readingOrder="0" vertical="bottom"/>
    </xf>
    <xf borderId="3" fillId="75" fontId="3" numFmtId="0" xfId="0" applyAlignment="1" applyBorder="1" applyFill="1" applyFont="1">
      <alignment horizontal="center" vertical="bottom"/>
    </xf>
    <xf borderId="7" fillId="0" fontId="3" numFmtId="166" xfId="0" applyAlignment="1" applyBorder="1" applyFont="1" applyNumberFormat="1">
      <alignment readingOrder="0"/>
    </xf>
    <xf borderId="1" fillId="4" fontId="5" numFmtId="0" xfId="0" applyAlignment="1" applyBorder="1" applyFill="1" applyFont="1">
      <alignment horizontal="center" vertical="bottom"/>
    </xf>
    <xf borderId="10" fillId="0" fontId="3" numFmtId="166" xfId="0" applyAlignment="1" applyBorder="1" applyFont="1" applyNumberFormat="1">
      <alignment readingOrder="0"/>
    </xf>
    <xf borderId="1" fillId="60" fontId="3" numFmtId="0" xfId="0" applyAlignment="1" applyBorder="1" applyFill="1" applyFont="1">
      <alignment horizontal="center" vertical="bottom"/>
    </xf>
    <xf borderId="0" fillId="0" fontId="11" numFmtId="0" xfId="0" applyAlignment="1" applyFont="1">
      <alignment readingOrder="0" shrinkToFit="0" vertical="bottom" wrapText="0"/>
    </xf>
    <xf borderId="2" fillId="0" fontId="3" numFmtId="0" xfId="0" applyAlignment="1" applyBorder="1" applyFont="1">
      <alignment vertical="bottom"/>
    </xf>
    <xf borderId="0" fillId="0" fontId="3" numFmtId="0" xfId="0" applyFont="1"/>
    <xf borderId="1" fillId="4" fontId="3" numFmtId="0" xfId="0" applyAlignment="1" applyBorder="1" applyFill="1" applyFont="1">
      <alignment horizontal="center" vertical="bottom"/>
    </xf>
    <xf borderId="0" fillId="4" fontId="5" numFmtId="0" xfId="0" applyAlignment="1" applyFill="1" applyFont="1">
      <alignment horizontal="center" vertical="bottom"/>
    </xf>
    <xf borderId="0" fillId="76" fontId="3" numFmtId="0" xfId="0" applyAlignment="1" applyFill="1" applyFont="1">
      <alignment readingOrder="0"/>
    </xf>
    <xf borderId="0" fillId="0" fontId="11" numFmtId="0" xfId="0" applyAlignment="1" applyFont="1">
      <alignment horizontal="right" readingOrder="0" shrinkToFit="0" vertical="bottom" wrapText="0"/>
    </xf>
    <xf borderId="1" fillId="45" fontId="3" numFmtId="0" xfId="0" applyAlignment="1" applyBorder="1" applyFill="1" applyFont="1">
      <alignment horizontal="center" vertical="bottom"/>
    </xf>
    <xf borderId="0" fillId="45" fontId="3" numFmtId="0" xfId="0" applyAlignment="1" applyFill="1" applyFont="1">
      <alignment horizontal="center" vertical="bottom"/>
    </xf>
    <xf borderId="9" fillId="7" fontId="3" numFmtId="0" xfId="0" applyAlignment="1" applyBorder="1" applyFill="1" applyFont="1">
      <alignment horizontal="center" vertical="bottom"/>
    </xf>
    <xf borderId="0" fillId="77" fontId="3" numFmtId="0" xfId="0" applyAlignment="1" applyFill="1" applyFont="1">
      <alignment readingOrder="0"/>
    </xf>
    <xf borderId="3" fillId="45" fontId="3" numFmtId="0" xfId="0" applyAlignment="1" applyBorder="1" applyFill="1" applyFont="1">
      <alignment horizontal="center" vertical="bottom"/>
    </xf>
    <xf borderId="0" fillId="0" fontId="3" numFmtId="0" xfId="0" applyAlignment="1" applyFont="1">
      <alignment readingOrder="0"/>
    </xf>
    <xf borderId="13" fillId="4" fontId="3" numFmtId="0" xfId="0" applyAlignment="1" applyBorder="1" applyFill="1" applyFont="1">
      <alignment horizontal="center" readingOrder="0" vertical="bottom"/>
    </xf>
    <xf borderId="2" fillId="0" fontId="12" numFmtId="0" xfId="0" applyAlignment="1" applyBorder="1" applyFont="1">
      <alignment readingOrder="0" vertical="bottom"/>
    </xf>
    <xf borderId="13" fillId="60" fontId="3" numFmtId="0" xfId="0" applyAlignment="1" applyBorder="1" applyFill="1" applyFont="1">
      <alignment horizontal="center" vertical="bottom"/>
    </xf>
    <xf borderId="0" fillId="0" fontId="13" numFmtId="0" xfId="0" applyAlignment="1" applyFont="1">
      <alignment readingOrder="0"/>
    </xf>
    <xf borderId="9" fillId="4" fontId="3" numFmtId="0" xfId="0" applyAlignment="1" applyBorder="1" applyFill="1" applyFont="1">
      <alignment horizontal="center" vertical="bottom"/>
    </xf>
    <xf borderId="13" fillId="4" fontId="3" numFmtId="0" xfId="0" applyAlignment="1" applyBorder="1" applyFill="1" applyFont="1">
      <alignment horizontal="center" vertical="bottom"/>
    </xf>
    <xf borderId="0" fillId="78" fontId="3" numFmtId="0" xfId="0" applyAlignment="1" applyFill="1" applyFont="1">
      <alignment horizontal="center" vertical="bottom"/>
    </xf>
    <xf borderId="1" fillId="77" fontId="3" numFmtId="0" xfId="0" applyAlignment="1" applyBorder="1" applyFill="1" applyFont="1">
      <alignment horizontal="center" vertical="bottom"/>
    </xf>
    <xf borderId="3" fillId="64" fontId="3" numFmtId="0" xfId="0" applyAlignment="1" applyBorder="1" applyFill="1" applyFont="1">
      <alignment horizontal="center" vertical="bottom"/>
    </xf>
    <xf borderId="0" fillId="60" fontId="5" numFmtId="0" xfId="0" applyAlignment="1" applyFill="1" applyFont="1">
      <alignment horizontal="center" vertical="bottom"/>
    </xf>
    <xf borderId="0" fillId="78" fontId="3" numFmtId="0" xfId="0" applyAlignment="1" applyFill="1" applyFont="1">
      <alignment horizontal="center" readingOrder="0" vertical="bottom"/>
    </xf>
    <xf borderId="0" fillId="7" fontId="5" numFmtId="0" xfId="0" applyAlignment="1" applyFill="1" applyFont="1">
      <alignment horizontal="center" readingOrder="0" vertical="bottom"/>
    </xf>
    <xf borderId="0" fillId="78" fontId="5" numFmtId="0" xfId="0" applyAlignment="1" applyFill="1" applyFont="1">
      <alignment horizontal="center" readingOrder="0" vertical="bottom"/>
    </xf>
    <xf borderId="1" fillId="64" fontId="3" numFmtId="0" xfId="0" applyAlignment="1" applyBorder="1" applyFill="1" applyFont="1">
      <alignment horizontal="center" vertical="bottom"/>
    </xf>
    <xf borderId="0" fillId="64" fontId="3" numFmtId="0" xfId="0" applyAlignment="1" applyFill="1" applyFont="1">
      <alignment horizontal="center" vertical="bottom"/>
    </xf>
    <xf borderId="0" fillId="4" fontId="5" numFmtId="0" xfId="0" applyAlignment="1" applyFill="1" applyFont="1">
      <alignment horizontal="center" readingOrder="0" vertical="bottom"/>
    </xf>
    <xf borderId="0" fillId="60" fontId="3" numFmtId="0" xfId="0" applyAlignment="1" applyFill="1" applyFont="1">
      <alignment horizontal="center" vertical="bottom"/>
    </xf>
    <xf borderId="0" fillId="4" fontId="3" numFmtId="0" xfId="0" applyAlignment="1" applyFill="1" applyFont="1">
      <alignment horizontal="center" readingOrder="0"/>
    </xf>
    <xf borderId="0" fillId="78" fontId="5" numFmtId="0" xfId="0" applyAlignment="1" applyFill="1" applyFont="1">
      <alignment horizontal="center" readingOrder="0" vertical="bottom"/>
    </xf>
    <xf borderId="0" fillId="77" fontId="3" numFmtId="0" xfId="0" applyAlignment="1" applyFill="1" applyFont="1">
      <alignment horizontal="center" vertical="bottom"/>
    </xf>
    <xf borderId="2" fillId="77" fontId="3" numFmtId="0" xfId="0" applyAlignment="1" applyBorder="1" applyFill="1" applyFont="1">
      <alignment horizontal="center" vertical="bottom"/>
    </xf>
    <xf borderId="0" fillId="0" fontId="7" numFmtId="0" xfId="0" applyFont="1"/>
    <xf borderId="5" fillId="78" fontId="3" numFmtId="0" xfId="0" applyAlignment="1" applyBorder="1" applyFill="1" applyFont="1">
      <alignment horizontal="center" vertical="bottom"/>
    </xf>
    <xf borderId="0" fillId="7" fontId="3" numFmtId="0" xfId="0" applyAlignment="1" applyFill="1" applyFont="1">
      <alignment horizontal="center" readingOrder="0"/>
    </xf>
    <xf borderId="0" fillId="7" fontId="3" numFmtId="0" xfId="0" applyAlignment="1" applyFill="1" applyFont="1">
      <alignment horizontal="center" readingOrder="0" shrinkToFit="0" vertical="bottom" wrapText="0"/>
    </xf>
    <xf borderId="0" fillId="7" fontId="5" numFmtId="0" xfId="0" applyAlignment="1" applyFill="1" applyFont="1">
      <alignment horizontal="center" vertical="bottom"/>
    </xf>
    <xf borderId="1" fillId="4" fontId="3" numFmtId="0" xfId="0" applyAlignment="1" applyBorder="1" applyFill="1" applyFont="1">
      <alignment horizontal="center" readingOrder="0"/>
    </xf>
    <xf borderId="1" fillId="4" fontId="3" numFmtId="0" xfId="0" applyAlignment="1" applyBorder="1" applyFill="1" applyFont="1">
      <alignment horizontal="center"/>
    </xf>
    <xf borderId="0" fillId="4" fontId="3" numFmtId="0" xfId="0" applyAlignment="1" applyFill="1" applyFont="1">
      <alignment horizontal="center" readingOrder="0" vertical="bottom"/>
    </xf>
    <xf borderId="9" fillId="4" fontId="3" numFmtId="0" xfId="0" applyAlignment="1" applyBorder="1" applyFill="1" applyFont="1">
      <alignment horizontal="center"/>
    </xf>
    <xf borderId="14" fillId="4" fontId="3" numFmtId="0" xfId="0" applyAlignment="1" applyBorder="1" applyFill="1" applyFont="1">
      <alignment horizontal="center" readingOrder="0" vertical="bottom"/>
    </xf>
    <xf borderId="13" fillId="4" fontId="3" numFmtId="0" xfId="0" applyAlignment="1" applyBorder="1" applyFill="1" applyFont="1">
      <alignment horizontal="center"/>
    </xf>
    <xf borderId="9" fillId="4" fontId="3" numFmtId="0" xfId="0" applyAlignment="1" applyBorder="1" applyFill="1" applyFont="1">
      <alignment horizontal="center" readingOrder="0"/>
    </xf>
    <xf borderId="3" fillId="4" fontId="3" numFmtId="0" xfId="0" applyAlignment="1" applyBorder="1" applyFill="1" applyFont="1">
      <alignment horizontal="center" readingOrder="0"/>
    </xf>
    <xf borderId="13" fillId="75" fontId="3" numFmtId="0" xfId="0" applyAlignment="1" applyBorder="1" applyFill="1" applyFont="1">
      <alignment horizontal="center" vertical="bottom"/>
    </xf>
    <xf borderId="15" fillId="45" fontId="3" numFmtId="0" xfId="0" applyAlignment="1" applyBorder="1" applyFill="1" applyFont="1">
      <alignment horizontal="center" vertical="bottom"/>
    </xf>
    <xf borderId="9" fillId="45" fontId="3" numFmtId="0" xfId="0" applyAlignment="1" applyBorder="1" applyFill="1" applyFont="1">
      <alignment horizontal="center" vertical="bottom"/>
    </xf>
    <xf borderId="9" fillId="75" fontId="3" numFmtId="0" xfId="0" applyAlignment="1" applyBorder="1" applyFill="1" applyFont="1">
      <alignment horizontal="center" vertical="bottom"/>
    </xf>
    <xf borderId="15" fillId="64" fontId="3" numFmtId="0" xfId="0" applyAlignment="1" applyBorder="1" applyFill="1" applyFont="1">
      <alignment horizontal="center" shrinkToFit="0" vertical="bottom" wrapText="0"/>
    </xf>
    <xf borderId="14" fillId="7" fontId="3" numFmtId="0" xfId="0" applyAlignment="1" applyBorder="1" applyFill="1" applyFont="1">
      <alignment vertical="bottom"/>
    </xf>
    <xf borderId="8" fillId="7" fontId="3" numFmtId="0" xfId="0" applyAlignment="1" applyBorder="1" applyFill="1" applyFont="1">
      <alignment horizontal="center" readingOrder="0"/>
    </xf>
    <xf borderId="7" fillId="7" fontId="3" numFmtId="0" xfId="0" applyAlignment="1" applyBorder="1" applyFill="1" applyFont="1">
      <alignment horizontal="center" readingOrder="0"/>
    </xf>
    <xf borderId="7" fillId="7" fontId="3" numFmtId="167" xfId="0" applyAlignment="1" applyBorder="1" applyFill="1" applyFont="1" applyNumberFormat="1">
      <alignment horizontal="center"/>
    </xf>
    <xf borderId="9" fillId="7" fontId="3" numFmtId="167" xfId="0" applyAlignment="1" applyBorder="1" applyFill="1" applyFont="1" applyNumberFormat="1">
      <alignment horizontal="center"/>
    </xf>
    <xf borderId="0" fillId="0" fontId="3" numFmtId="0" xfId="0" applyFont="1"/>
    <xf borderId="10" fillId="7" fontId="3" numFmtId="0" xfId="0" applyAlignment="1" applyBorder="1" applyFill="1" applyFont="1">
      <alignment horizontal="center" readingOrder="0"/>
    </xf>
    <xf borderId="0" fillId="4" fontId="3" numFmtId="0" xfId="0" applyAlignment="1" applyFill="1" applyFont="1">
      <alignment horizontal="center" readingOrder="0"/>
    </xf>
    <xf borderId="0" fillId="4" fontId="3" numFmtId="0" xfId="0" applyAlignment="1" applyFill="1" applyFont="1">
      <alignment horizontal="center"/>
    </xf>
    <xf borderId="0" fillId="7" fontId="3" numFmtId="0" xfId="0" applyAlignment="1" applyFill="1" applyFont="1">
      <alignment horizontal="center" readingOrder="0"/>
    </xf>
    <xf borderId="0" fillId="7" fontId="3" numFmtId="0" xfId="0" applyAlignment="1" applyFill="1" applyFont="1">
      <alignment horizontal="center"/>
    </xf>
    <xf borderId="8" fillId="3" fontId="3" numFmtId="0" xfId="0" applyAlignment="1" applyBorder="1" applyFill="1" applyFont="1">
      <alignment horizontal="center" vertical="bottom"/>
    </xf>
    <xf borderId="13" fillId="4" fontId="3" numFmtId="0" xfId="0" applyAlignment="1" applyBorder="1" applyFill="1" applyFont="1">
      <alignment horizontal="center" vertical="bottom"/>
    </xf>
    <xf borderId="9" fillId="76" fontId="3" numFmtId="0" xfId="0" applyAlignment="1" applyBorder="1" applyFill="1" applyFont="1">
      <alignment horizontal="center" vertical="bottom"/>
    </xf>
    <xf borderId="0" fillId="3" fontId="3" numFmtId="0" xfId="0" applyAlignment="1" applyFill="1" applyFont="1">
      <alignment horizontal="center" readingOrder="0"/>
    </xf>
    <xf borderId="0" fillId="3" fontId="3" numFmtId="0" xfId="0" applyAlignment="1" applyFill="1" applyFont="1">
      <alignment readingOrder="0"/>
    </xf>
    <xf borderId="0" fillId="3" fontId="3" numFmtId="0" xfId="0" applyAlignment="1" applyFill="1" applyFont="1">
      <alignment horizontal="center"/>
    </xf>
    <xf borderId="1" fillId="4" fontId="3" numFmtId="0" xfId="0" applyAlignment="1" applyBorder="1" applyFill="1" applyFont="1">
      <alignment horizontal="center" vertical="bottom"/>
    </xf>
    <xf borderId="0" fillId="76" fontId="3" numFmtId="0" xfId="0" applyAlignment="1" applyFill="1" applyFont="1">
      <alignment horizontal="center" vertical="bottom"/>
    </xf>
    <xf borderId="13" fillId="7" fontId="3" numFmtId="0" xfId="0" applyAlignment="1" applyBorder="1" applyFill="1" applyFont="1">
      <alignment horizontal="center" vertical="bottom"/>
    </xf>
    <xf borderId="9" fillId="77" fontId="3" numFmtId="0" xfId="0" applyAlignment="1" applyBorder="1" applyFill="1" applyFont="1">
      <alignment horizontal="center" vertical="bottom"/>
    </xf>
    <xf borderId="9" fillId="7" fontId="3" numFmtId="0" xfId="0" applyAlignment="1" applyBorder="1" applyFill="1" applyFont="1">
      <alignment horizontal="center" vertical="bottom"/>
    </xf>
    <xf borderId="0" fillId="4" fontId="3" numFmtId="0" xfId="0" applyFill="1" applyFont="1"/>
    <xf borderId="0" fillId="7" fontId="9" numFmtId="0" xfId="0" applyAlignment="1" applyFill="1" applyFont="1">
      <alignment vertical="bottom"/>
    </xf>
    <xf borderId="0" fillId="75" fontId="3" numFmtId="0" xfId="0" applyAlignment="1" applyFill="1" applyFont="1">
      <alignment vertical="bottom"/>
    </xf>
    <xf borderId="9" fillId="4" fontId="9" numFmtId="0" xfId="0" applyAlignment="1" applyBorder="1" applyFill="1" applyFont="1">
      <alignment vertical="bottom"/>
    </xf>
    <xf borderId="9" fillId="4" fontId="3" numFmtId="0" xfId="0" applyAlignment="1" applyBorder="1" applyFill="1" applyFont="1">
      <alignment horizontal="center" vertical="bottom"/>
    </xf>
    <xf borderId="3" fillId="7" fontId="3" numFmtId="0" xfId="0" applyAlignment="1" applyBorder="1" applyFill="1" applyFont="1">
      <alignment readingOrder="0" vertical="bottom"/>
    </xf>
    <xf borderId="3" fillId="7" fontId="3" numFmtId="0" xfId="0" applyAlignment="1" applyBorder="1" applyFill="1" applyFont="1">
      <alignment horizontal="right" vertical="bottom"/>
    </xf>
    <xf borderId="3" fillId="4" fontId="14" numFmtId="0" xfId="0" applyAlignment="1" applyBorder="1" applyFill="1" applyFont="1">
      <alignment vertical="bottom"/>
    </xf>
    <xf borderId="3" fillId="4" fontId="5" numFmtId="0" xfId="0" applyAlignment="1" applyBorder="1" applyFill="1" applyFont="1">
      <alignment vertical="bottom"/>
    </xf>
    <xf borderId="9" fillId="0" fontId="3" numFmtId="0" xfId="0" applyBorder="1" applyFont="1"/>
    <xf borderId="6" fillId="7" fontId="3" numFmtId="0" xfId="0" applyAlignment="1" applyBorder="1" applyFill="1" applyFont="1">
      <alignment horizontal="right" readingOrder="0" vertical="bottom"/>
    </xf>
    <xf borderId="5" fillId="7" fontId="3" numFmtId="0" xfId="0" applyAlignment="1" applyBorder="1" applyFill="1" applyFont="1">
      <alignment vertical="bottom"/>
    </xf>
    <xf borderId="0" fillId="0" fontId="3" numFmtId="0" xfId="0" applyAlignment="1" applyFont="1">
      <alignment vertical="bottom"/>
    </xf>
    <xf borderId="3" fillId="4" fontId="3" numFmtId="0" xfId="0" applyAlignment="1" applyBorder="1" applyFill="1" applyFont="1">
      <alignment horizontal="right" readingOrder="0" vertical="bottom"/>
    </xf>
    <xf borderId="0" fillId="4" fontId="5" numFmtId="0" xfId="0" applyAlignment="1" applyFill="1" applyFont="1">
      <alignment vertical="bottom"/>
    </xf>
    <xf borderId="3" fillId="7" fontId="3" numFmtId="0" xfId="0" applyAlignment="1" applyBorder="1" applyFill="1" applyFont="1">
      <alignment horizontal="right" readingOrder="0" vertical="bottom"/>
    </xf>
    <xf borderId="0" fillId="7" fontId="3" numFmtId="0" xfId="0" applyAlignment="1" applyFill="1" applyFont="1">
      <alignment vertical="bottom"/>
    </xf>
    <xf borderId="0" fillId="7" fontId="14" numFmtId="0" xfId="0" applyAlignment="1" applyFill="1" applyFont="1">
      <alignment vertical="bottom"/>
    </xf>
    <xf borderId="0" fillId="7" fontId="15" numFmtId="0" xfId="0" applyAlignment="1" applyFill="1" applyFont="1">
      <alignment readingOrder="0" vertical="bottom"/>
    </xf>
    <xf borderId="4" fillId="0" fontId="3" numFmtId="0" xfId="0" applyAlignment="1" applyBorder="1" applyFont="1">
      <alignment readingOrder="0"/>
    </xf>
    <xf borderId="5" fillId="0" fontId="3" numFmtId="0" xfId="0" applyAlignment="1" applyBorder="1" applyFont="1">
      <alignment readingOrder="0"/>
    </xf>
    <xf borderId="6" fillId="0" fontId="3" numFmtId="0" xfId="0" applyAlignment="1" applyBorder="1" applyFont="1">
      <alignment readingOrder="0"/>
    </xf>
    <xf borderId="3" fillId="0" fontId="3" numFmtId="0" xfId="0" applyAlignment="1" applyBorder="1" applyFont="1">
      <alignment horizontal="right" vertical="bottom"/>
    </xf>
    <xf borderId="0" fillId="4" fontId="15" numFmtId="0" xfId="0" applyAlignment="1" applyFill="1" applyFont="1">
      <alignment vertical="bottom"/>
    </xf>
    <xf borderId="1" fillId="0" fontId="3" numFmtId="166" xfId="0" applyAlignment="1" applyBorder="1" applyFont="1" applyNumberFormat="1">
      <alignment readingOrder="0"/>
    </xf>
    <xf borderId="0" fillId="0" fontId="3" numFmtId="167" xfId="0" applyFont="1" applyNumberFormat="1"/>
    <xf borderId="3" fillId="0" fontId="3" numFmtId="167" xfId="0" applyBorder="1" applyFont="1" applyNumberFormat="1"/>
    <xf borderId="1" fillId="0" fontId="3" numFmtId="0" xfId="0" applyAlignment="1" applyBorder="1" applyFont="1">
      <alignment readingOrder="0"/>
    </xf>
    <xf borderId="3" fillId="0" fontId="7" numFmtId="0" xfId="0" applyBorder="1" applyFont="1"/>
    <xf borderId="3" fillId="0" fontId="3" numFmtId="0" xfId="0" applyAlignment="1" applyBorder="1" applyFont="1">
      <alignment horizontal="right" readingOrder="0" vertical="bottom"/>
    </xf>
    <xf borderId="0" fillId="4" fontId="15" numFmtId="0" xfId="0" applyAlignment="1" applyFill="1" applyFont="1">
      <alignment readingOrder="0" vertical="bottom"/>
    </xf>
    <xf borderId="0" fillId="4" fontId="5" numFmtId="0" xfId="0" applyAlignment="1" applyFill="1" applyFont="1">
      <alignment readingOrder="0" vertical="bottom"/>
    </xf>
    <xf borderId="3" fillId="7" fontId="3" numFmtId="0" xfId="0" applyAlignment="1" applyBorder="1" applyFill="1" applyFont="1">
      <alignment readingOrder="0"/>
    </xf>
    <xf borderId="0" fillId="7" fontId="16" numFmtId="0" xfId="0" applyAlignment="1" applyFill="1" applyFont="1">
      <alignment readingOrder="0"/>
    </xf>
    <xf borderId="0" fillId="7" fontId="3" numFmtId="0" xfId="0" applyFill="1" applyFont="1"/>
    <xf borderId="0" fillId="7" fontId="16" numFmtId="0" xfId="0" applyFill="1" applyFont="1"/>
    <xf borderId="3" fillId="7" fontId="3" numFmtId="0" xfId="0" applyBorder="1" applyFill="1" applyFont="1"/>
    <xf borderId="3" fillId="0" fontId="3" numFmtId="0" xfId="0" applyAlignment="1" applyBorder="1" applyFont="1">
      <alignment readingOrder="0"/>
    </xf>
    <xf borderId="0" fillId="0" fontId="12" numFmtId="0" xfId="0" applyAlignment="1" applyFont="1">
      <alignment readingOrder="0"/>
    </xf>
    <xf borderId="0" fillId="0" fontId="3" numFmtId="167" xfId="0" applyFont="1" applyNumberFormat="1"/>
    <xf borderId="13" fillId="0" fontId="3" numFmtId="168" xfId="0" applyAlignment="1" applyBorder="1" applyFont="1" applyNumberFormat="1">
      <alignment readingOrder="0"/>
    </xf>
    <xf borderId="9" fillId="0" fontId="3" numFmtId="0" xfId="0" applyAlignment="1" applyBorder="1" applyFont="1">
      <alignment readingOrder="0"/>
    </xf>
    <xf borderId="14" fillId="0" fontId="3" numFmtId="167" xfId="0" applyBorder="1" applyFont="1" applyNumberFormat="1"/>
    <xf borderId="13" fillId="0" fontId="3" numFmtId="0" xfId="0" applyAlignment="1" applyBorder="1" applyFont="1">
      <alignment readingOrder="0"/>
    </xf>
    <xf borderId="9" fillId="0" fontId="3" numFmtId="167" xfId="0" applyBorder="1" applyFont="1" applyNumberFormat="1"/>
    <xf borderId="14" fillId="0" fontId="7" numFmtId="0" xfId="0" applyBorder="1" applyFont="1"/>
    <xf borderId="11" fillId="0" fontId="3" numFmtId="0" xfId="0" applyAlignment="1" applyBorder="1" applyFont="1">
      <alignment vertical="bottom"/>
    </xf>
    <xf borderId="11" fillId="0" fontId="3" numFmtId="167" xfId="0" applyAlignment="1" applyBorder="1" applyFont="1" applyNumberFormat="1">
      <alignment horizontal="right" vertical="bottom"/>
    </xf>
    <xf borderId="11" fillId="0" fontId="3" numFmtId="167" xfId="0" applyAlignment="1" applyBorder="1" applyFont="1" applyNumberFormat="1">
      <alignment horizontal="center" vertical="bottom"/>
    </xf>
    <xf borderId="11" fillId="0" fontId="3" numFmtId="167" xfId="0" applyAlignment="1" applyBorder="1" applyFont="1" applyNumberFormat="1">
      <alignment horizontal="center" shrinkToFit="0" vertical="bottom" wrapText="0"/>
    </xf>
    <xf borderId="11" fillId="0" fontId="3" numFmtId="0" xfId="0" applyAlignment="1" applyBorder="1" applyFont="1">
      <alignment vertical="bottom"/>
    </xf>
    <xf borderId="13" fillId="0" fontId="3" numFmtId="166" xfId="0" applyAlignment="1" applyBorder="1" applyFont="1" applyNumberFormat="1">
      <alignment readingOrder="0"/>
    </xf>
    <xf borderId="14" fillId="0" fontId="3" numFmtId="0" xfId="0" applyBorder="1" applyFont="1"/>
    <xf borderId="4" fillId="79" fontId="3" numFmtId="0" xfId="0" applyAlignment="1" applyBorder="1" applyFill="1" applyFont="1">
      <alignment horizontal="center" readingOrder="0"/>
    </xf>
    <xf borderId="5" fillId="79" fontId="3" numFmtId="0" xfId="0" applyAlignment="1" applyBorder="1" applyFill="1" applyFont="1">
      <alignment horizontal="center" readingOrder="0"/>
    </xf>
    <xf borderId="5" fillId="79" fontId="6" numFmtId="0" xfId="0" applyBorder="1" applyFill="1" applyFont="1"/>
    <xf borderId="6" fillId="79" fontId="3" numFmtId="0" xfId="0" applyAlignment="1" applyBorder="1" applyFill="1" applyFont="1">
      <alignment horizontal="center" readingOrder="0"/>
    </xf>
    <xf borderId="0" fillId="4" fontId="3" numFmtId="0" xfId="0" applyAlignment="1" applyFill="1" applyFont="1">
      <alignment readingOrder="0"/>
    </xf>
    <xf borderId="0" fillId="0" fontId="3" numFmtId="0" xfId="0" applyAlignment="1" applyFont="1">
      <alignment horizontal="center" readingOrder="0"/>
    </xf>
    <xf borderId="1" fillId="80" fontId="3" numFmtId="0" xfId="0" applyAlignment="1" applyBorder="1" applyFill="1" applyFont="1">
      <alignment horizontal="center" readingOrder="0"/>
    </xf>
    <xf borderId="0" fillId="81" fontId="3" numFmtId="167" xfId="0" applyAlignment="1" applyFill="1" applyFont="1" applyNumberFormat="1">
      <alignment horizontal="center" readingOrder="0"/>
    </xf>
    <xf borderId="0" fillId="4" fontId="3" numFmtId="167" xfId="0" applyAlignment="1" applyFill="1" applyFont="1" applyNumberFormat="1">
      <alignment horizontal="center" readingOrder="0"/>
    </xf>
    <xf borderId="3" fillId="4" fontId="3" numFmtId="167" xfId="0" applyAlignment="1" applyBorder="1" applyFill="1" applyFont="1" applyNumberFormat="1">
      <alignment horizontal="center" readingOrder="0"/>
    </xf>
    <xf borderId="0" fillId="4" fontId="3" numFmtId="167" xfId="0" applyFill="1" applyFont="1" applyNumberFormat="1"/>
    <xf borderId="0" fillId="82" fontId="3" numFmtId="167" xfId="0" applyAlignment="1" applyFill="1" applyFont="1" applyNumberFormat="1">
      <alignment horizontal="center" readingOrder="0"/>
    </xf>
    <xf borderId="0" fillId="83" fontId="3" numFmtId="167" xfId="0" applyAlignment="1" applyFill="1" applyFont="1" applyNumberFormat="1">
      <alignment horizontal="center" readingOrder="0"/>
    </xf>
    <xf borderId="0" fillId="81" fontId="3" numFmtId="0" xfId="0" applyAlignment="1" applyFill="1" applyFont="1">
      <alignment horizontal="center" readingOrder="0"/>
    </xf>
    <xf borderId="0" fillId="4" fontId="1" numFmtId="0" xfId="0" applyFill="1" applyFont="1"/>
    <xf borderId="13" fillId="4" fontId="3" numFmtId="0" xfId="0" applyAlignment="1" applyBorder="1" applyFill="1" applyFont="1">
      <alignment horizontal="center" readingOrder="0"/>
    </xf>
    <xf borderId="9" fillId="4" fontId="3" numFmtId="0" xfId="0" applyAlignment="1" applyBorder="1" applyFill="1" applyFont="1">
      <alignment horizontal="center" readingOrder="0"/>
    </xf>
    <xf borderId="14" fillId="4" fontId="3" numFmtId="0" xfId="0" applyAlignment="1" applyBorder="1" applyFill="1" applyFont="1">
      <alignment horizontal="center"/>
    </xf>
    <xf borderId="0" fillId="0" fontId="3" numFmtId="167" xfId="0" applyAlignment="1" applyFont="1" applyNumberFormat="1">
      <alignment readingOrder="0"/>
    </xf>
  </cellXfs>
  <cellStyles count="1">
    <cellStyle xfId="0" name="Normal" builtinId="0"/>
  </cellStyles>
  <dxfs count="12">
    <dxf>
      <font/>
      <fill>
        <patternFill patternType="none"/>
      </fill>
      <border/>
    </dxf>
    <dxf>
      <font/>
      <fill>
        <patternFill patternType="solid">
          <fgColor rgb="FFA4C2F4"/>
          <bgColor rgb="FFA4C2F4"/>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ACC9FE"/>
          <bgColor rgb="FFACC9FE"/>
        </patternFill>
      </fill>
      <border/>
    </dxf>
    <dxf>
      <font/>
      <fill>
        <patternFill patternType="solid">
          <fgColor rgb="FFE8F0FE"/>
          <bgColor rgb="FFE8F0FE"/>
        </patternFill>
      </fill>
      <border/>
    </dxf>
    <dxf>
      <font/>
      <fill>
        <patternFill patternType="solid">
          <fgColor rgb="FF57BB8A"/>
          <bgColor rgb="FF57BB8A"/>
        </patternFill>
      </fill>
      <border/>
    </dxf>
    <dxf>
      <font/>
      <fill>
        <patternFill patternType="solid">
          <fgColor rgb="FFE7F9EF"/>
          <bgColor rgb="FFE7F9EF"/>
        </patternFill>
      </fill>
      <border/>
    </dxf>
    <dxf>
      <font/>
      <fill>
        <patternFill patternType="solid">
          <fgColor rgb="FFBDBDBD"/>
          <bgColor rgb="FFBDBDBD"/>
        </patternFill>
      </fill>
      <border/>
    </dxf>
    <dxf>
      <font>
        <b/>
      </font>
      <fill>
        <patternFill patternType="none"/>
      </fill>
      <border/>
    </dxf>
    <dxf>
      <font>
        <b/>
        <color rgb="FFC53929"/>
      </font>
      <fill>
        <patternFill patternType="none"/>
      </fill>
      <border/>
    </dxf>
    <dxf>
      <font/>
      <fill>
        <patternFill patternType="solid">
          <fgColor rgb="FFB7E1CD"/>
          <bgColor rgb="FFB7E1CD"/>
        </patternFill>
      </fill>
      <border/>
    </dxf>
  </dxfs>
  <tableStyles count="11">
    <tableStyle count="3" pivot="0" name="Grade History-style">
      <tableStyleElement dxfId="1" type="headerRow"/>
      <tableStyleElement dxfId="2" type="firstRowStripe"/>
      <tableStyleElement dxfId="3" type="secondRowStripe"/>
    </tableStyle>
    <tableStyle count="3" pivot="0" name="Grade History-style 2">
      <tableStyleElement dxfId="1" type="headerRow"/>
      <tableStyleElement dxfId="2" type="firstRowStripe"/>
      <tableStyleElement dxfId="3" type="secondRowStripe"/>
    </tableStyle>
    <tableStyle count="3" pivot="0" name="Grade History-style 3">
      <tableStyleElement dxfId="4" type="headerRow"/>
      <tableStyleElement dxfId="2" type="firstRowStripe"/>
      <tableStyleElement dxfId="5" type="secondRowStripe"/>
    </tableStyle>
    <tableStyle count="3" pivot="0" name="Grade History-style 4">
      <tableStyleElement dxfId="1" type="headerRow"/>
      <tableStyleElement dxfId="2" type="firstRowStripe"/>
      <tableStyleElement dxfId="3" type="secondRowStripe"/>
    </tableStyle>
    <tableStyle count="3" pivot="0" name="Grade History-style 5">
      <tableStyleElement dxfId="4" type="headerRow"/>
      <tableStyleElement dxfId="2" type="firstRowStripe"/>
      <tableStyleElement dxfId="5" type="secondRowStripe"/>
    </tableStyle>
    <tableStyle count="2" pivot="0" name="FGL-style">
      <tableStyleElement dxfId="3" type="firstRowStripe"/>
      <tableStyleElement dxfId="2" type="secondRowStripe"/>
    </tableStyle>
    <tableStyle count="3" pivot="0" name="Feedform-style">
      <tableStyleElement dxfId="4" type="headerRow"/>
      <tableStyleElement dxfId="2" type="firstRowStripe"/>
      <tableStyleElement dxfId="5" type="secondRowStripe"/>
    </tableStyle>
    <tableStyle count="3" pivot="0" name="Feedform-style 2">
      <tableStyleElement dxfId="1" type="headerRow"/>
      <tableStyleElement dxfId="2" type="firstRowStripe"/>
      <tableStyleElement dxfId="5" type="secondRowStripe"/>
    </tableStyle>
    <tableStyle count="3" pivot="0" name="Feedform-style 3">
      <tableStyleElement dxfId="6" type="headerRow"/>
      <tableStyleElement dxfId="2" type="firstRowStripe"/>
      <tableStyleElement dxfId="7" type="secondRowStripe"/>
    </tableStyle>
    <tableStyle count="3" pivot="0" name="Feedform-style 4">
      <tableStyleElement dxfId="8" type="headerRow"/>
      <tableStyleElement dxfId="2" type="firstRowStripe"/>
      <tableStyleElement dxfId="3" type="secondRowStripe"/>
    </tableStyle>
    <tableStyle count="3" pivot="0" name="Feedform-style 5">
      <tableStyleElement dxfId="8"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Verdana"/>
              </a:defRPr>
            </a:pPr>
            <a:r>
              <a:rPr b="0">
                <a:solidFill>
                  <a:srgbClr val="757575"/>
                </a:solidFill>
                <a:latin typeface="Verdana"/>
              </a:rPr>
              <a:t>Fantasy Grade League Standings</a:t>
            </a:r>
          </a:p>
        </c:rich>
      </c:tx>
      <c:overlay val="0"/>
    </c:title>
    <c:plotArea>
      <c:layout/>
      <c:barChart>
        <c:barDir val="col"/>
        <c:varyColors val="0"/>
        <c:ser>
          <c:idx val="0"/>
          <c:order val="0"/>
          <c:spPr>
            <a:solidFill>
              <a:srgbClr val="57BB8A"/>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Feedform!$Q$64:$Q$70</c:f>
            </c:strRef>
          </c:cat>
          <c:val>
            <c:numRef>
              <c:f>Feedform!$R$64:$R$70</c:f>
              <c:numCache/>
            </c:numRef>
          </c:val>
        </c:ser>
        <c:axId val="2119343650"/>
        <c:axId val="172436090"/>
      </c:barChart>
      <c:catAx>
        <c:axId val="2119343650"/>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a:ln>
            <a:noFill/>
          </a:ln>
        </c:spPr>
        <c:txPr>
          <a:bodyPr/>
          <a:lstStyle/>
          <a:p>
            <a:pPr lvl="0">
              <a:defRPr b="0">
                <a:solidFill>
                  <a:srgbClr val="000000"/>
                </a:solidFill>
                <a:latin typeface="Verdana"/>
              </a:defRPr>
            </a:pPr>
          </a:p>
        </c:txPr>
        <c:crossAx val="172436090"/>
      </c:catAx>
      <c:valAx>
        <c:axId val="172436090"/>
        <c:scaling>
          <c:orientation val="minMax"/>
          <c:max val="4.0"/>
          <c:min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Verdana"/>
              </a:defRPr>
            </a:pPr>
          </a:p>
        </c:txPr>
        <c:crossAx val="2119343650"/>
      </c:valAx>
    </c:plotArea>
    <c:legend>
      <c:legendPos val="r"/>
      <c:overlay val="0"/>
      <c:txPr>
        <a:bodyPr/>
        <a:lstStyle/>
        <a:p>
          <a:pPr lvl="0">
            <a:defRPr b="0">
              <a:solidFill>
                <a:srgbClr val="1A1A1A"/>
              </a:solidFill>
              <a:latin typeface="Verdana"/>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Active and Pledge Avgs</a:t>
            </a:r>
          </a:p>
        </c:rich>
      </c:tx>
      <c:overlay val="0"/>
    </c:title>
    <c:plotArea>
      <c:layout/>
      <c:lineChart>
        <c:ser>
          <c:idx val="0"/>
          <c:order val="0"/>
          <c:tx>
            <c:v>Actives</c:v>
          </c:tx>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Feedform!$K$63:$K$70</c:f>
            </c:strRef>
          </c:cat>
          <c:val>
            <c:numRef>
              <c:f>Feedform!$M$63:$M$70</c:f>
              <c:numCache/>
            </c:numRef>
          </c:val>
          <c:smooth val="1"/>
        </c:ser>
        <c:ser>
          <c:idx val="1"/>
          <c:order val="1"/>
          <c:tx>
            <c:v>Pledges</c:v>
          </c:tx>
          <c:spPr>
            <a:ln cmpd="sng">
              <a:solidFill>
                <a:srgbClr val="EA4335"/>
              </a:solidFill>
            </a:ln>
          </c:spPr>
          <c:marker>
            <c:symbol val="circle"/>
            <c:size val="7"/>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Feedform!$K$63:$K$70</c:f>
            </c:strRef>
          </c:cat>
          <c:val>
            <c:numRef>
              <c:f>Feedform!$N$63:$N$70</c:f>
              <c:numCache/>
            </c:numRef>
          </c:val>
          <c:smooth val="1"/>
        </c:ser>
        <c:axId val="1250039991"/>
        <c:axId val="911257592"/>
      </c:lineChart>
      <c:catAx>
        <c:axId val="1250039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1257592"/>
      </c:catAx>
      <c:valAx>
        <c:axId val="911257592"/>
        <c:scaling>
          <c:orientation val="minMax"/>
          <c:min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003999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Pledge Class GPAs</a:t>
            </a:r>
          </a:p>
        </c:rich>
      </c:tx>
      <c:overlay val="0"/>
    </c:title>
    <c:plotArea>
      <c:layout/>
      <c:barChart>
        <c:barDir val="col"/>
        <c:ser>
          <c:idx val="0"/>
          <c:order val="0"/>
          <c:tx>
            <c:strRef>
              <c:f>Feedform!$K$77</c:f>
            </c:strRef>
          </c:tx>
          <c:spPr>
            <a:solidFill>
              <a:schemeClr val="accent1"/>
            </a:solidFill>
            <a:ln cmpd="sng">
              <a:noFill/>
            </a:ln>
          </c:spPr>
          <c:invertIfNegative val="0"/>
          <c:cat>
            <c:strRef>
              <c:f>Feedform!$L$74:$S$74</c:f>
            </c:strRef>
          </c:cat>
          <c:val>
            <c:numRef>
              <c:f>Feedform!$L$77:$S$77</c:f>
              <c:numCache/>
            </c:numRef>
          </c:val>
        </c:ser>
        <c:ser>
          <c:idx val="1"/>
          <c:order val="1"/>
          <c:tx>
            <c:strRef>
              <c:f>Feedform!$K$78</c:f>
            </c:strRef>
          </c:tx>
          <c:spPr>
            <a:solidFill>
              <a:schemeClr val="accent2"/>
            </a:solidFill>
            <a:ln cmpd="sng">
              <a:noFill/>
            </a:ln>
          </c:spPr>
          <c:invertIfNegative val="0"/>
          <c:cat>
            <c:strRef>
              <c:f>Feedform!$L$74:$S$74</c:f>
            </c:strRef>
          </c:cat>
          <c:val>
            <c:numRef>
              <c:f>Feedform!$L$78:$S$78</c:f>
              <c:numCache/>
            </c:numRef>
          </c:val>
        </c:ser>
        <c:ser>
          <c:idx val="2"/>
          <c:order val="2"/>
          <c:tx>
            <c:strRef>
              <c:f>Feedform!$K$79</c:f>
            </c:strRef>
          </c:tx>
          <c:spPr>
            <a:solidFill>
              <a:schemeClr val="accent3"/>
            </a:solidFill>
            <a:ln cmpd="sng">
              <a:noFill/>
            </a:ln>
          </c:spPr>
          <c:invertIfNegative val="0"/>
          <c:cat>
            <c:strRef>
              <c:f>Feedform!$L$74:$S$74</c:f>
            </c:strRef>
          </c:cat>
          <c:val>
            <c:numRef>
              <c:f>Feedform!$L$79:$S$79</c:f>
              <c:numCache/>
            </c:numRef>
          </c:val>
        </c:ser>
        <c:axId val="605381998"/>
        <c:axId val="489322825"/>
      </c:barChart>
      <c:catAx>
        <c:axId val="605381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89322825"/>
      </c:catAx>
      <c:valAx>
        <c:axId val="489322825"/>
        <c:scaling>
          <c:orientation val="minMax"/>
          <c:max val="4.0"/>
          <c:min val="2.7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538199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Verdana"/>
              </a:defRPr>
            </a:pPr>
            <a:r>
              <a:rPr b="0">
                <a:solidFill>
                  <a:srgbClr val="757575"/>
                </a:solidFill>
                <a:latin typeface="Verdana"/>
              </a:rPr>
              <a:t>Fantasy Grade League Standings</a:t>
            </a:r>
          </a:p>
        </c:rich>
      </c:tx>
      <c:overlay val="0"/>
    </c:title>
    <c:plotArea>
      <c:layout/>
      <c:barChart>
        <c:barDir val="col"/>
        <c:varyColors val="0"/>
        <c:ser>
          <c:idx val="0"/>
          <c:order val="0"/>
          <c:spPr>
            <a:solidFill>
              <a:srgbClr val="57BB8A"/>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Feedform!$Q$64:$Q$70</c:f>
            </c:strRef>
          </c:cat>
          <c:val>
            <c:numRef>
              <c:f>Feedform!$R$64:$R$70</c:f>
              <c:numCache/>
            </c:numRef>
          </c:val>
        </c:ser>
        <c:axId val="1199654693"/>
        <c:axId val="1223808406"/>
      </c:barChart>
      <c:catAx>
        <c:axId val="1199654693"/>
        <c:scaling>
          <c:orientation val="minMax"/>
        </c:scaling>
        <c:delete val="0"/>
        <c:axPos val="b"/>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spPr>
          <a:ln>
            <a:noFill/>
          </a:ln>
        </c:spPr>
        <c:txPr>
          <a:bodyPr/>
          <a:lstStyle/>
          <a:p>
            <a:pPr lvl="0">
              <a:defRPr b="0">
                <a:solidFill>
                  <a:srgbClr val="000000"/>
                </a:solidFill>
                <a:latin typeface="Verdana"/>
              </a:defRPr>
            </a:pPr>
          </a:p>
        </c:txPr>
        <c:crossAx val="1223808406"/>
      </c:catAx>
      <c:valAx>
        <c:axId val="1223808406"/>
        <c:scaling>
          <c:orientation val="minMax"/>
          <c:max val="4.0"/>
          <c:min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Verdana"/>
                  </a:defRPr>
                </a:pPr>
                <a:r>
                  <a:rPr b="0">
                    <a:solidFill>
                      <a:srgbClr val="000000"/>
                    </a:solidFill>
                    <a:latin typeface="Verdana"/>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Verdana"/>
              </a:defRPr>
            </a:pPr>
          </a:p>
        </c:txPr>
        <c:crossAx val="1199654693"/>
      </c:valAx>
    </c:plotArea>
    <c:legend>
      <c:legendPos val="r"/>
      <c:overlay val="0"/>
      <c:txPr>
        <a:bodyPr/>
        <a:lstStyle/>
        <a:p>
          <a:pPr lvl="0">
            <a:defRPr b="0">
              <a:solidFill>
                <a:srgbClr val="1A1A1A"/>
              </a:solidFill>
              <a:latin typeface="Verdana"/>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209550</xdr:colOff>
      <xdr:row>4</xdr:row>
      <xdr:rowOff>0</xdr:rowOff>
    </xdr:from>
    <xdr:ext cx="5724525" cy="3514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457200</xdr:colOff>
      <xdr:row>1</xdr:row>
      <xdr:rowOff>95250</xdr:rowOff>
    </xdr:from>
    <xdr:ext cx="6238875" cy="367665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257175</xdr:colOff>
      <xdr:row>39</xdr:row>
      <xdr:rowOff>95250</xdr:rowOff>
    </xdr:from>
    <xdr:ext cx="6581775" cy="310515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66675</xdr:colOff>
      <xdr:row>19</xdr:row>
      <xdr:rowOff>66675</xdr:rowOff>
    </xdr:from>
    <xdr:ext cx="5953125" cy="23336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J65" displayName="Table_7" name="Table_7" id="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Feedform-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K63:O70" displayName="Table_8" name="Table_8" id="8">
  <tableColumns count="5">
    <tableColumn name="Date" id="1"/>
    <tableColumn name="Chapter" id="2"/>
    <tableColumn name="Active" id="3"/>
    <tableColumn name="Pledge" id="4"/>
    <tableColumn name="Official" id="5"/>
  </tableColumns>
  <tableStyleInfo name="Feedform-style 2" showColumnStripes="0" showFirstColumn="1" showLastColumn="1" showRowStripes="1"/>
</table>
</file>

<file path=xl/tables/table3.xml><?xml version="1.0" encoding="utf-8"?>
<table xmlns="http://schemas.openxmlformats.org/spreadsheetml/2006/main" ref="Q63:S69" displayName="Table_9" name="Table_9" id="9">
  <tableColumns count="3">
    <tableColumn name="FGL Team" id="1"/>
    <tableColumn name="GPA" id="2"/>
    <tableColumn name="Rank" id="3"/>
  </tableColumns>
  <tableStyleInfo name="Feedform-style 3" showColumnStripes="0" showFirstColumn="1" showLastColumn="1" showRowStripes="1"/>
</table>
</file>

<file path=xl/tables/table4.xml><?xml version="1.0" encoding="utf-8"?>
<table xmlns="http://schemas.openxmlformats.org/spreadsheetml/2006/main" headerRowCount="0" ref="H66" displayName="Table_10" name="Table_10" id="10">
  <tableColumns count="1">
    <tableColumn name="Column1" id="1"/>
  </tableColumns>
  <tableStyleInfo name="Feedform-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K74:S80" displayName="Table_11" name="Table_11" id="11">
  <tableColumns count="9">
    <tableColumn name="Date" id="1"/>
    <tableColumn name="F22 (Pledges)" id="2"/>
    <tableColumn name="S22" id="3"/>
    <tableColumn name="F21" id="4"/>
    <tableColumn name="S21" id="5"/>
    <tableColumn name="F20" id="6"/>
    <tableColumn name="S20" id="7"/>
    <tableColumn name="F19" id="8"/>
    <tableColumn name="Before" id="9"/>
  </tableColumns>
  <tableStyleInfo name="Feedform-style 5" showColumnStripes="0" showFirstColumn="1" showLastColumn="1" showRowStripes="1"/>
</table>
</file>

<file path=xl/tables/table6.xml><?xml version="1.0" encoding="utf-8"?>
<table xmlns="http://schemas.openxmlformats.org/spreadsheetml/2006/main" headerRowCount="0" ref="A1:E64" displayName="Table_1" name="Table_1" id="1">
  <tableColumns count="5">
    <tableColumn name="Column1" id="1"/>
    <tableColumn name="Column2" id="2"/>
    <tableColumn name="Column3" id="3"/>
    <tableColumn name="Column4" id="4"/>
    <tableColumn name="Column5" id="5"/>
  </tableColumns>
  <tableStyleInfo name="Grade History-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F1:G68" displayName="Table_2" name="Table_2" id="2">
  <tableColumns count="2">
    <tableColumn name="Column1" id="1"/>
    <tableColumn name="Column2" id="2"/>
  </tableColumns>
  <tableStyleInfo name="Grade History-style 2"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H1:J68" displayName="Table_3" name="Table_3" id="3">
  <tableColumns count="3">
    <tableColumn name="Column1" id="1"/>
    <tableColumn name="Column2" id="2"/>
    <tableColumn name="Column3" id="3"/>
  </tableColumns>
  <tableStyleInfo name="Grade History-style 3"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K1:L68" displayName="Table_4" name="Table_4" id="4">
  <tableColumns count="2">
    <tableColumn name="Name" id="1"/>
    <tableColumn name="Spring 2022" id="2"/>
  </tableColumns>
  <tableStyleInfo name="Grade History-style 4" showColumnStripes="0" showFirstColumn="1" showLastColumn="1" showRowStripes="1"/>
</table>
</file>

<file path=xl/tables/table10.xml><?xml version="1.0" encoding="utf-8"?>
<table xmlns="http://schemas.openxmlformats.org/spreadsheetml/2006/main" ref="M1:N68" displayName="Table_5" name="Table_5" id="5">
  <tableColumns count="2">
    <tableColumn name="Name" id="1"/>
    <tableColumn name="Fall 2021" id="2"/>
  </tableColumns>
  <tableStyleInfo name="Grade History-style 5" showColumnStripes="0" showFirstColumn="1" showLastColumn="1" showRowStripes="1"/>
</table>
</file>

<file path=xl/tables/table11.xml><?xml version="1.0" encoding="utf-8"?>
<table xmlns="http://schemas.openxmlformats.org/spreadsheetml/2006/main" headerRowCount="0" ref="Q25:Q43" displayName="Table_6" name="Table_6" id="6">
  <tableColumns count="1">
    <tableColumn name="Column1" id="1"/>
  </tableColumns>
  <tableStyleInfo name="FG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10.xml"/><Relationship Id="rId10" Type="http://schemas.openxmlformats.org/officeDocument/2006/relationships/table" Target="../tables/table9.xml"/><Relationship Id="rId9" Type="http://schemas.openxmlformats.org/officeDocument/2006/relationships/table" Target="../tables/table8.xml"/><Relationship Id="rId7" Type="http://schemas.openxmlformats.org/officeDocument/2006/relationships/table" Target="../tables/table6.xml"/><Relationship Id="rId8"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g8syjDYzkGwiXUznbSEchZ_AUzNmwCaE" TargetMode="External"/><Relationship Id="rId20" Type="http://schemas.openxmlformats.org/officeDocument/2006/relationships/hyperlink" Target="https://drive.google.com/open?id=1IQ27WMLKUppNAhQ6XthkTTsFVbs3hwqs" TargetMode="External"/><Relationship Id="rId42" Type="http://schemas.openxmlformats.org/officeDocument/2006/relationships/hyperlink" Target="https://drive.google.com/open?id=1dnp6rbxX6TfttfN_Mv34Gpo0zEun7rDJ" TargetMode="External"/><Relationship Id="rId41" Type="http://schemas.openxmlformats.org/officeDocument/2006/relationships/hyperlink" Target="https://drive.google.com/open?id=1kpNM2b5AICAug4eL1N0jThr2E3DIQh4B" TargetMode="External"/><Relationship Id="rId22" Type="http://schemas.openxmlformats.org/officeDocument/2006/relationships/hyperlink" Target="https://drive.google.com/open?id=1zWhb4sWf8oR9FEnTxP_zBB4K3dCa0Y9j" TargetMode="External"/><Relationship Id="rId44" Type="http://schemas.openxmlformats.org/officeDocument/2006/relationships/hyperlink" Target="https://drive.google.com/open?id=1TNTqehrgSY-jXW7dcmOgFS-87Udus8Nx" TargetMode="External"/><Relationship Id="rId21" Type="http://schemas.openxmlformats.org/officeDocument/2006/relationships/hyperlink" Target="https://drive.google.com/open?id=1J0iMVubKnv-ebjWWR6v1EU1aV0ImvcdI" TargetMode="External"/><Relationship Id="rId43" Type="http://schemas.openxmlformats.org/officeDocument/2006/relationships/hyperlink" Target="https://drive.google.com/open?id=1rnThxxpP3t6a_a73YdyAsh9lX4UheYZ3" TargetMode="External"/><Relationship Id="rId24" Type="http://schemas.openxmlformats.org/officeDocument/2006/relationships/hyperlink" Target="https://drive.google.com/open?id=1somufITS4KX7BFEY26zNqs-FstI51bLn" TargetMode="External"/><Relationship Id="rId46" Type="http://schemas.openxmlformats.org/officeDocument/2006/relationships/drawing" Target="../drawings/drawing4.xml"/><Relationship Id="rId23" Type="http://schemas.openxmlformats.org/officeDocument/2006/relationships/hyperlink" Target="https://drive.google.com/open?id=1oBpV7BIKF2piSg4LCXPOwUU2ZQE_0gni" TargetMode="External"/><Relationship Id="rId45" Type="http://schemas.openxmlformats.org/officeDocument/2006/relationships/hyperlink" Target="https://drive.google.com/open?id=1Zt0cDuAzY97XY7cNH1FyH1Qk_IzCs0nx" TargetMode="External"/><Relationship Id="rId1" Type="http://schemas.openxmlformats.org/officeDocument/2006/relationships/hyperlink" Target="https://drive.google.com/open?id=11cta5LRgQtovJBaJ4NY2V1DwCJPbmQAd" TargetMode="External"/><Relationship Id="rId2" Type="http://schemas.openxmlformats.org/officeDocument/2006/relationships/hyperlink" Target="https://drive.google.com/open?id=1N6QioBCzhRgicgFuinywS3-dwCT1NiGs" TargetMode="External"/><Relationship Id="rId3" Type="http://schemas.openxmlformats.org/officeDocument/2006/relationships/hyperlink" Target="https://drive.google.com/open?id=1bTYUwTsTYfkLlL2ga8Q1T9NeB6oijPRL" TargetMode="External"/><Relationship Id="rId4" Type="http://schemas.openxmlformats.org/officeDocument/2006/relationships/hyperlink" Target="https://drive.google.com/open?id=1BX5LRy00MivKvNCrwSbwzLyiE0tLHDWf" TargetMode="External"/><Relationship Id="rId9" Type="http://schemas.openxmlformats.org/officeDocument/2006/relationships/hyperlink" Target="https://drive.google.com/open?id=1574lo42U6L4cTAd6h2GzCPSMTDW5hQ-4" TargetMode="External"/><Relationship Id="rId26" Type="http://schemas.openxmlformats.org/officeDocument/2006/relationships/hyperlink" Target="https://drive.google.com/open?id=1bvbWtPRJGvtwpEIpFor5jrqutCLDexnU" TargetMode="External"/><Relationship Id="rId25" Type="http://schemas.openxmlformats.org/officeDocument/2006/relationships/hyperlink" Target="https://drive.google.com/open?id=1bxMJdeTg_RwNjuaeRMs7bQG4FSgDWNHb" TargetMode="External"/><Relationship Id="rId28" Type="http://schemas.openxmlformats.org/officeDocument/2006/relationships/hyperlink" Target="https://drive.google.com/open?id=13qaODTytVTx0ItZ67RaoUl3ux0xhPrIV" TargetMode="External"/><Relationship Id="rId27" Type="http://schemas.openxmlformats.org/officeDocument/2006/relationships/hyperlink" Target="https://drive.google.com/open?id=1Y19eSwzjrHZDTauQL6Ahzw3GcVgN4G44" TargetMode="External"/><Relationship Id="rId5" Type="http://schemas.openxmlformats.org/officeDocument/2006/relationships/hyperlink" Target="https://drive.google.com/open?id=1Qz9NxzjB4Qgxys98BjumB2aNu-TJvAo_" TargetMode="External"/><Relationship Id="rId6" Type="http://schemas.openxmlformats.org/officeDocument/2006/relationships/hyperlink" Target="https://drive.google.com/open?id=1VMdDWyjHyQViQIlX81M8V3g6gf3eNwE7" TargetMode="External"/><Relationship Id="rId29" Type="http://schemas.openxmlformats.org/officeDocument/2006/relationships/hyperlink" Target="https://drive.google.com/open?id=1rw9faZT8kyYzypv_L84muMmHOGRsSufG" TargetMode="External"/><Relationship Id="rId7" Type="http://schemas.openxmlformats.org/officeDocument/2006/relationships/hyperlink" Target="https://drive.google.com/open?id=1cpZv6wSAjT_Q1R1HmcJdKSyoocIPfJV9" TargetMode="External"/><Relationship Id="rId8" Type="http://schemas.openxmlformats.org/officeDocument/2006/relationships/hyperlink" Target="https://drive.google.com/open?id=1IOVBxFDBtzd7D-KhKz9J1wuyJSxL049g" TargetMode="External"/><Relationship Id="rId31" Type="http://schemas.openxmlformats.org/officeDocument/2006/relationships/hyperlink" Target="https://drive.google.com/open?id=1NDRKDuiNhBFc93FCjMAxqGIH7CKYCKPy" TargetMode="External"/><Relationship Id="rId30" Type="http://schemas.openxmlformats.org/officeDocument/2006/relationships/hyperlink" Target="https://drive.google.com/open?id=1MU9CWe0XwrALg2_FFgOSHjAVLDqDoUcV" TargetMode="External"/><Relationship Id="rId11" Type="http://schemas.openxmlformats.org/officeDocument/2006/relationships/hyperlink" Target="https://drive.google.com/open?id=1eHqBNYe7POyr62MH1vm3ksmL-_gtRe1j" TargetMode="External"/><Relationship Id="rId33" Type="http://schemas.openxmlformats.org/officeDocument/2006/relationships/hyperlink" Target="https://drive.google.com/open?id=1B8bsKt1fLNl7RCz5WnUN1c-hAK2xiS0n" TargetMode="External"/><Relationship Id="rId10" Type="http://schemas.openxmlformats.org/officeDocument/2006/relationships/hyperlink" Target="https://drive.google.com/open?id=1TLrbc0iRDbT-EkZYKKVxJAXsw0hDn8vv" TargetMode="External"/><Relationship Id="rId32" Type="http://schemas.openxmlformats.org/officeDocument/2006/relationships/hyperlink" Target="https://drive.google.com/open?id=1kpSCtTwwGpHgy6BM0IpBNYpp_wwj26lT" TargetMode="External"/><Relationship Id="rId13" Type="http://schemas.openxmlformats.org/officeDocument/2006/relationships/hyperlink" Target="https://drive.google.com/open?id=16Ia50xYIMSLwLd2jeZElcwnK-72bVqhy" TargetMode="External"/><Relationship Id="rId35" Type="http://schemas.openxmlformats.org/officeDocument/2006/relationships/hyperlink" Target="https://drive.google.com/open?id=1VTV4Bfn5r_D9ISJ0KG84PI3lpdWpYSwg" TargetMode="External"/><Relationship Id="rId12" Type="http://schemas.openxmlformats.org/officeDocument/2006/relationships/hyperlink" Target="https://drive.google.com/open?id=1pXxc6DBJJIdrWgHdSbaVlFouoaeXu10I" TargetMode="External"/><Relationship Id="rId34" Type="http://schemas.openxmlformats.org/officeDocument/2006/relationships/hyperlink" Target="https://drive.google.com/open?id=1MGfESV2HzZGTjPXr1fqT2kJ8s5H_02_G" TargetMode="External"/><Relationship Id="rId15" Type="http://schemas.openxmlformats.org/officeDocument/2006/relationships/hyperlink" Target="https://drive.google.com/open?id=14wCYborAjmr4cQs-FcQnBae8MCZ5y4Xw" TargetMode="External"/><Relationship Id="rId37" Type="http://schemas.openxmlformats.org/officeDocument/2006/relationships/hyperlink" Target="https://drive.google.com/open?id=1NbZvUqafe3nl3Jz5Vbl8Gm_D2We1AS4o" TargetMode="External"/><Relationship Id="rId14" Type="http://schemas.openxmlformats.org/officeDocument/2006/relationships/hyperlink" Target="https://drive.google.com/open?id=1U6TaHhAZR1pJBiLGqt0y76w-EdJxdv6k" TargetMode="External"/><Relationship Id="rId36" Type="http://schemas.openxmlformats.org/officeDocument/2006/relationships/hyperlink" Target="https://drive.google.com/open?id=1H3KO9O3zDGYwRk9yR3G5-K5u3FOpHu-O" TargetMode="External"/><Relationship Id="rId17" Type="http://schemas.openxmlformats.org/officeDocument/2006/relationships/hyperlink" Target="https://drive.google.com/open?id=1dOu-XzZmLBMZ8kGbSPoKTzt0syxDGVPC" TargetMode="External"/><Relationship Id="rId39" Type="http://schemas.openxmlformats.org/officeDocument/2006/relationships/hyperlink" Target="https://drive.google.com/open?id=1wy0Gs_TqfakcHaNASSpQKwSi-6CXUaUQ" TargetMode="External"/><Relationship Id="rId16" Type="http://schemas.openxmlformats.org/officeDocument/2006/relationships/hyperlink" Target="https://drive.google.com/open?id=1-74S43oFu3wN1_HhlkzWQ7dxsfBrho9E" TargetMode="External"/><Relationship Id="rId38" Type="http://schemas.openxmlformats.org/officeDocument/2006/relationships/hyperlink" Target="https://drive.google.com/open?id=1C-Hx6XgWD9da0E1bVV2gnasHOr3f8oA1" TargetMode="External"/><Relationship Id="rId19" Type="http://schemas.openxmlformats.org/officeDocument/2006/relationships/hyperlink" Target="https://drive.google.com/open?id=1-gM6EAWpCksxoiwwdADS2f4MVyBt8iNN" TargetMode="External"/><Relationship Id="rId18" Type="http://schemas.openxmlformats.org/officeDocument/2006/relationships/hyperlink" Target="https://drive.google.com/open?id=1aZP0u9C0A-GTnFKiiS7WaRY70rdhMKf9"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Q-O-vTHpkiJ4OAE_92K6BDc5tbqdDAtp" TargetMode="External"/><Relationship Id="rId42" Type="http://schemas.openxmlformats.org/officeDocument/2006/relationships/hyperlink" Target="https://drive.google.com/open?id=1RrBOAOrLxtOR6wrV-1ClBLxZLqyclkl9" TargetMode="External"/><Relationship Id="rId41" Type="http://schemas.openxmlformats.org/officeDocument/2006/relationships/hyperlink" Target="https://drive.google.com/open?id=1ZytF_go7p8KDu9Vlkynh09cH-pPWegsp" TargetMode="External"/><Relationship Id="rId44" Type="http://schemas.openxmlformats.org/officeDocument/2006/relationships/hyperlink" Target="https://drive.google.com/open?id=1dd7riHZZ8fN4QvstVkKFVB7YygRr0srK" TargetMode="External"/><Relationship Id="rId43" Type="http://schemas.openxmlformats.org/officeDocument/2006/relationships/hyperlink" Target="https://drive.google.com/open?id=1Wd4c2tteiDqKAxnOZONqfja133iW8vki" TargetMode="External"/><Relationship Id="rId46" Type="http://schemas.openxmlformats.org/officeDocument/2006/relationships/hyperlink" Target="https://drive.google.com/open?id=1McwMk4F2im5NxOeSnZ6AbwXUFfBLfKOR" TargetMode="External"/><Relationship Id="rId45" Type="http://schemas.openxmlformats.org/officeDocument/2006/relationships/hyperlink" Target="https://drive.google.com/open?id=1Q_wtmye3YRUBYfVngMCUU1sCZU4CvPCJ" TargetMode="External"/><Relationship Id="rId107" Type="http://schemas.openxmlformats.org/officeDocument/2006/relationships/hyperlink" Target="https://drive.google.com/open?id=1LfE1IFK0jn-UbW_2NTi0klidRmnRFKpg" TargetMode="External"/><Relationship Id="rId106" Type="http://schemas.openxmlformats.org/officeDocument/2006/relationships/hyperlink" Target="https://drive.google.com/open?id=1e4xf7OzclG4nigTV6kWYS2Lc2ktp0Tf3" TargetMode="External"/><Relationship Id="rId105" Type="http://schemas.openxmlformats.org/officeDocument/2006/relationships/hyperlink" Target="https://drive.google.com/open?id=1nmaQZED3UheUFlHYy44TeOrF_ffXAVC_" TargetMode="External"/><Relationship Id="rId104" Type="http://schemas.openxmlformats.org/officeDocument/2006/relationships/hyperlink" Target="https://drive.google.com/open?id=17f2pK6FcaA80nmfASXQnSpYwWXRYErLH" TargetMode="External"/><Relationship Id="rId109" Type="http://schemas.openxmlformats.org/officeDocument/2006/relationships/hyperlink" Target="https://drive.google.com/open?id=1-XMt1Gt8DBYL2lVkr4bnpNCmWPWhAxK1" TargetMode="External"/><Relationship Id="rId108" Type="http://schemas.openxmlformats.org/officeDocument/2006/relationships/hyperlink" Target="https://drive.google.com/open?id=1wiwUf8evrXCxRW1sdfZRIiARydzThDHJ" TargetMode="External"/><Relationship Id="rId48" Type="http://schemas.openxmlformats.org/officeDocument/2006/relationships/hyperlink" Target="https://drive.google.com/open?id=1aZF07_Aq8hgKJduY6lqNoBqnBVbql4BS" TargetMode="External"/><Relationship Id="rId47" Type="http://schemas.openxmlformats.org/officeDocument/2006/relationships/hyperlink" Target="https://drive.google.com/open?id=1H7niUCFu5rSWPNwypizINmZG5FyFxXHz" TargetMode="External"/><Relationship Id="rId49" Type="http://schemas.openxmlformats.org/officeDocument/2006/relationships/hyperlink" Target="https://drive.google.com/open?id=15Cbst0f-QvDG5iTzBOMZQS4O5acoQlYL" TargetMode="External"/><Relationship Id="rId103" Type="http://schemas.openxmlformats.org/officeDocument/2006/relationships/hyperlink" Target="https://drive.google.com/open?id=1nKTaBMICIJH-05cMnTuNfN3I1EBPDLjm" TargetMode="External"/><Relationship Id="rId102" Type="http://schemas.openxmlformats.org/officeDocument/2006/relationships/hyperlink" Target="https://drive.google.com/open?id=10zHfFIPpQOJmAxesqem_uK5xiquVmGez" TargetMode="External"/><Relationship Id="rId101" Type="http://schemas.openxmlformats.org/officeDocument/2006/relationships/hyperlink" Target="https://drive.google.com/open?id=1jb_qTFzm_4v1DJFt-0dipFxrljOK6qvt" TargetMode="External"/><Relationship Id="rId100" Type="http://schemas.openxmlformats.org/officeDocument/2006/relationships/hyperlink" Target="https://drive.google.com/open?id=1Ve_uieZBbK9lNayagdD3QrrxoRETjIr3" TargetMode="External"/><Relationship Id="rId31" Type="http://schemas.openxmlformats.org/officeDocument/2006/relationships/hyperlink" Target="https://drive.google.com/open?id=1R4EqLAuz95bygsQOcimCZLQCMcVbcHjY" TargetMode="External"/><Relationship Id="rId30" Type="http://schemas.openxmlformats.org/officeDocument/2006/relationships/hyperlink" Target="https://drive.google.com/open?id=1J6DqjBGJzNGzdJYaCUC15C6uLqIMZlPX" TargetMode="External"/><Relationship Id="rId33" Type="http://schemas.openxmlformats.org/officeDocument/2006/relationships/hyperlink" Target="https://drive.google.com/open?id=150EAdVVlemSqcylzmRobgHPVxrcgkK7F" TargetMode="External"/><Relationship Id="rId32" Type="http://schemas.openxmlformats.org/officeDocument/2006/relationships/hyperlink" Target="https://drive.google.com/open?id=1TH7GJ-WiXTiPAkxzSlDvBsh_yxhS9XYg" TargetMode="External"/><Relationship Id="rId35" Type="http://schemas.openxmlformats.org/officeDocument/2006/relationships/hyperlink" Target="https://drive.google.com/open?id=1ePhkZKV1YTZiKZ42v7QluRn7ReR5oZVO" TargetMode="External"/><Relationship Id="rId34" Type="http://schemas.openxmlformats.org/officeDocument/2006/relationships/hyperlink" Target="https://drive.google.com/open?id=14VAuiJKcefZ_LPO6sFCCA1-dmWfcFmtj" TargetMode="External"/><Relationship Id="rId37" Type="http://schemas.openxmlformats.org/officeDocument/2006/relationships/hyperlink" Target="https://drive.google.com/open?id=1uPMuKJ0Bcfe7ex1hlaHl5mo4GOVI1nrQ" TargetMode="External"/><Relationship Id="rId36" Type="http://schemas.openxmlformats.org/officeDocument/2006/relationships/hyperlink" Target="https://drive.google.com/open?id=1lB-B6J2xGEuzfcya6t8lfwBQKnh3X2Sk" TargetMode="External"/><Relationship Id="rId39" Type="http://schemas.openxmlformats.org/officeDocument/2006/relationships/hyperlink" Target="https://drive.google.com/open?id=1C-5HuTGA7GrOiQ_EUziJUCfut5SGDpKT" TargetMode="External"/><Relationship Id="rId38" Type="http://schemas.openxmlformats.org/officeDocument/2006/relationships/hyperlink" Target="https://drive.google.com/open?id=1R1pBanhb5cY4s4jv6YcUYzKufPv0AvVm" TargetMode="External"/><Relationship Id="rId20" Type="http://schemas.openxmlformats.org/officeDocument/2006/relationships/hyperlink" Target="https://drive.google.com/open?id=1MnO3a_AWktAIkLERwpve3MWA9vsMlXN_" TargetMode="External"/><Relationship Id="rId22" Type="http://schemas.openxmlformats.org/officeDocument/2006/relationships/hyperlink" Target="https://drive.google.com/open?id=1QSGfR2UkykyMKMcaEA8-hdIXfKp-NLCM" TargetMode="External"/><Relationship Id="rId21" Type="http://schemas.openxmlformats.org/officeDocument/2006/relationships/hyperlink" Target="https://drive.google.com/open?id=1zc4CT7m0bHGP1JM68Lo1Lr2Bv8h-10eg" TargetMode="External"/><Relationship Id="rId24" Type="http://schemas.openxmlformats.org/officeDocument/2006/relationships/hyperlink" Target="https://drive.google.com/open?id=1ZYSAgV7HUwdY7FqvnTgXjtjn3DmKLvAn" TargetMode="External"/><Relationship Id="rId23" Type="http://schemas.openxmlformats.org/officeDocument/2006/relationships/hyperlink" Target="https://drive.google.com/open?id=1t2UCgX63lipucCNkr8Y6HcxegKdzwjAO" TargetMode="External"/><Relationship Id="rId26" Type="http://schemas.openxmlformats.org/officeDocument/2006/relationships/hyperlink" Target="https://drive.google.com/open?id=1z_AnftL-akGuRRgEZGgjqRyjsHGs8JBE" TargetMode="External"/><Relationship Id="rId121" Type="http://schemas.openxmlformats.org/officeDocument/2006/relationships/drawing" Target="../drawings/drawing5.xml"/><Relationship Id="rId25" Type="http://schemas.openxmlformats.org/officeDocument/2006/relationships/hyperlink" Target="https://drive.google.com/open?id=1-hL05o0ACDrWy5NPx2Z5t96cRNjPp-Pq" TargetMode="External"/><Relationship Id="rId120" Type="http://schemas.openxmlformats.org/officeDocument/2006/relationships/hyperlink" Target="https://drive.google.com/open?id=1IsO7MD3YBIgQxGimmd77Oz-ADQwvOLyn" TargetMode="External"/><Relationship Id="rId28" Type="http://schemas.openxmlformats.org/officeDocument/2006/relationships/hyperlink" Target="https://drive.google.com/open?id=1MUdNE6r0jGx3uhecnrO23hWEDedtH8Um" TargetMode="External"/><Relationship Id="rId27" Type="http://schemas.openxmlformats.org/officeDocument/2006/relationships/hyperlink" Target="https://drive.google.com/open?id=1lGosSAYrimEnHSogzLGefaSYEhyKOX_1" TargetMode="External"/><Relationship Id="rId29" Type="http://schemas.openxmlformats.org/officeDocument/2006/relationships/hyperlink" Target="https://drive.google.com/open?id=1Ol5gqzZOGd32szy9U6SaKjMVwKzdrSra" TargetMode="External"/><Relationship Id="rId95" Type="http://schemas.openxmlformats.org/officeDocument/2006/relationships/hyperlink" Target="https://drive.google.com/open?id=1A4_8wWGjnPGrTgaDZk2dgLhMjXuYrQ5p" TargetMode="External"/><Relationship Id="rId94" Type="http://schemas.openxmlformats.org/officeDocument/2006/relationships/hyperlink" Target="https://drive.google.com/open?id=1pokZtm5_dafLwQPCLE7xrVDLnFC5iX_K" TargetMode="External"/><Relationship Id="rId97" Type="http://schemas.openxmlformats.org/officeDocument/2006/relationships/hyperlink" Target="https://drive.google.com/open?id=1FY1RQezl04onsFGWW7lP1skgRWAz0M6k" TargetMode="External"/><Relationship Id="rId96" Type="http://schemas.openxmlformats.org/officeDocument/2006/relationships/hyperlink" Target="https://drive.google.com/open?id=1XYS-jLFWbqtdzkXXUFf2vg58PhjD6Oep" TargetMode="External"/><Relationship Id="rId11" Type="http://schemas.openxmlformats.org/officeDocument/2006/relationships/hyperlink" Target="https://drive.google.com/open?id=1dMR2XnXaXUR3lDISmXoUsnw1JdKM3UOP" TargetMode="External"/><Relationship Id="rId99" Type="http://schemas.openxmlformats.org/officeDocument/2006/relationships/hyperlink" Target="https://drive.google.com/open?id=1mnL6AGpDGA0yCb8vKe9dQ_cp83DwDwNC" TargetMode="External"/><Relationship Id="rId10" Type="http://schemas.openxmlformats.org/officeDocument/2006/relationships/hyperlink" Target="https://drive.google.com/open?id=1yf60gpCjw3172BRROtuUdoNIwIEDmoFb" TargetMode="External"/><Relationship Id="rId98" Type="http://schemas.openxmlformats.org/officeDocument/2006/relationships/hyperlink" Target="https://drive.google.com/open?id=1Il-GibU4brUBVDNk-ZJ9dHT7BZsMZJGK" TargetMode="External"/><Relationship Id="rId13" Type="http://schemas.openxmlformats.org/officeDocument/2006/relationships/hyperlink" Target="https://drive.google.com/open?id=12Ae068zbE2LIvy-jz7TpBj88gvW0uCYX" TargetMode="External"/><Relationship Id="rId12" Type="http://schemas.openxmlformats.org/officeDocument/2006/relationships/hyperlink" Target="https://drive.google.com/open?id=1Rx-m89Tnd5g2uBCH_5cwwUPreAlb2pYL" TargetMode="External"/><Relationship Id="rId91" Type="http://schemas.openxmlformats.org/officeDocument/2006/relationships/hyperlink" Target="https://drive.google.com/open?id=1zToTdsBIfudFRwUcChLeun_owEhmGP7A" TargetMode="External"/><Relationship Id="rId90" Type="http://schemas.openxmlformats.org/officeDocument/2006/relationships/hyperlink" Target="https://drive.google.com/open?id=1uRr3mkGpSkAn5oV-JJAXoJZMq8wMY7wN" TargetMode="External"/><Relationship Id="rId93" Type="http://schemas.openxmlformats.org/officeDocument/2006/relationships/hyperlink" Target="https://drive.google.com/open?id=1KpXeOlgbcyz53ZQJhALf49LyK-8JBlO2" TargetMode="External"/><Relationship Id="rId92" Type="http://schemas.openxmlformats.org/officeDocument/2006/relationships/hyperlink" Target="https://drive.google.com/open?id=1ZJbbtFePd1qNCrm4HkyXHZIydzrveL-V" TargetMode="External"/><Relationship Id="rId118" Type="http://schemas.openxmlformats.org/officeDocument/2006/relationships/hyperlink" Target="https://drive.google.com/open?id=1d54Qk5yYd3XB-m79Z7WR8TQgBMxE8OTO" TargetMode="External"/><Relationship Id="rId117" Type="http://schemas.openxmlformats.org/officeDocument/2006/relationships/hyperlink" Target="https://drive.google.com/open?id=1JtvLulxqtQbYt6HTo95l8shAp0SGautm" TargetMode="External"/><Relationship Id="rId116" Type="http://schemas.openxmlformats.org/officeDocument/2006/relationships/hyperlink" Target="https://drive.google.com/open?id=1KwfsB12mIf7KsxWFTVmF1psVNRFSJIXs" TargetMode="External"/><Relationship Id="rId115" Type="http://schemas.openxmlformats.org/officeDocument/2006/relationships/hyperlink" Target="https://drive.google.com/open?id=1lDa5Bck6N11SaWbHi4mDIBq18yx0GdVK" TargetMode="External"/><Relationship Id="rId119" Type="http://schemas.openxmlformats.org/officeDocument/2006/relationships/hyperlink" Target="https://drive.google.com/open?id=1fzezeHVJ1clCq2nc5yuQ1MG9IPpdbW_a" TargetMode="External"/><Relationship Id="rId15" Type="http://schemas.openxmlformats.org/officeDocument/2006/relationships/hyperlink" Target="https://drive.google.com/open?id=1clUdkvRy_Flf-51li0QjqvJd4hHe3lzs" TargetMode="External"/><Relationship Id="rId110" Type="http://schemas.openxmlformats.org/officeDocument/2006/relationships/hyperlink" Target="https://drive.google.com/open?id=1T4vEVaqJoI3YVzdyudg42A8_kJIqsmjd" TargetMode="External"/><Relationship Id="rId14" Type="http://schemas.openxmlformats.org/officeDocument/2006/relationships/hyperlink" Target="https://drive.google.com/open?id=18h32CvHDrtKAkthjGR-G0oW42cJVCjjD" TargetMode="External"/><Relationship Id="rId17" Type="http://schemas.openxmlformats.org/officeDocument/2006/relationships/hyperlink" Target="https://drive.google.com/open?id=1ti9SU_VMzcx2VRJhI6Wk_h42Zok_1Dhh" TargetMode="External"/><Relationship Id="rId16" Type="http://schemas.openxmlformats.org/officeDocument/2006/relationships/hyperlink" Target="https://drive.google.com/open?id=1qYvCFjfUfoGG8jnNyvEqIaQAUCurgb7C" TargetMode="External"/><Relationship Id="rId19" Type="http://schemas.openxmlformats.org/officeDocument/2006/relationships/hyperlink" Target="https://drive.google.com/open?id=1Zy-M5msJ40kcOFP2hdv1CZAPH082y5Ws" TargetMode="External"/><Relationship Id="rId114" Type="http://schemas.openxmlformats.org/officeDocument/2006/relationships/hyperlink" Target="https://drive.google.com/open?id=1kNJi90VNbiC1xtCH4o-XT4UtTZqLoN8o" TargetMode="External"/><Relationship Id="rId18" Type="http://schemas.openxmlformats.org/officeDocument/2006/relationships/hyperlink" Target="https://drive.google.com/open?id=1am47T4bWZ_RevdI6Bpkxj1OGk-I0BHUu" TargetMode="External"/><Relationship Id="rId113" Type="http://schemas.openxmlformats.org/officeDocument/2006/relationships/hyperlink" Target="https://drive.google.com/open?id=1dCcG-hqYN9iCqXz2zMB_Q0T7VbEssa7k" TargetMode="External"/><Relationship Id="rId112" Type="http://schemas.openxmlformats.org/officeDocument/2006/relationships/hyperlink" Target="https://drive.google.com/open?id=1Il4mkU_iuoh4w8m4qlhf2CHvsp9qnpmF" TargetMode="External"/><Relationship Id="rId111" Type="http://schemas.openxmlformats.org/officeDocument/2006/relationships/hyperlink" Target="https://drive.google.com/open?id=1nVG97qTSOeBjVxhryRJevkU8qJNFl8cB" TargetMode="External"/><Relationship Id="rId84" Type="http://schemas.openxmlformats.org/officeDocument/2006/relationships/hyperlink" Target="https://drive.google.com/open?id=1nLdCscLkAkMrDy_rvC7grY2UOK9IBBMT" TargetMode="External"/><Relationship Id="rId83" Type="http://schemas.openxmlformats.org/officeDocument/2006/relationships/hyperlink" Target="https://drive.google.com/open?id=1pEMhjpjRr0a_oj1QGl31dlQMT26cGHDr" TargetMode="External"/><Relationship Id="rId86" Type="http://schemas.openxmlformats.org/officeDocument/2006/relationships/hyperlink" Target="https://drive.google.com/open?id=1dxH8HrVeT5lkF-zg5IkJHatef3vq9O_m" TargetMode="External"/><Relationship Id="rId85" Type="http://schemas.openxmlformats.org/officeDocument/2006/relationships/hyperlink" Target="https://drive.google.com/open?id=1z7HJp_Tv4m0vu5CgIAOlv7X2pBlfhPxG" TargetMode="External"/><Relationship Id="rId88" Type="http://schemas.openxmlformats.org/officeDocument/2006/relationships/hyperlink" Target="https://drive.google.com/open?id=1j3oD2IllqGcX-mXC4-dS2UbAUv0YDXkw" TargetMode="External"/><Relationship Id="rId87" Type="http://schemas.openxmlformats.org/officeDocument/2006/relationships/hyperlink" Target="https://drive.google.com/open?id=1aSEHlzN-bKpqFAurkn4jPu2dGIolvAgo" TargetMode="External"/><Relationship Id="rId89" Type="http://schemas.openxmlformats.org/officeDocument/2006/relationships/hyperlink" Target="https://drive.google.com/open?id=1e7PUcSsezEaEBTJ005UrAElBxCm71FGb" TargetMode="External"/><Relationship Id="rId80" Type="http://schemas.openxmlformats.org/officeDocument/2006/relationships/hyperlink" Target="https://drive.google.com/open?id=1y5zQg41frun3QYQLjXCoL5w0ljW_puy_" TargetMode="External"/><Relationship Id="rId82" Type="http://schemas.openxmlformats.org/officeDocument/2006/relationships/hyperlink" Target="https://drive.google.com/open?id=1LjSQ3WAiHdyNiIx0wXwm1hSvu-_HOEBK" TargetMode="External"/><Relationship Id="rId81" Type="http://schemas.openxmlformats.org/officeDocument/2006/relationships/hyperlink" Target="https://drive.google.com/open?id=11qnoCc8sxUEBEQNeSRaBd_cYhYq0lH2B" TargetMode="External"/><Relationship Id="rId1" Type="http://schemas.openxmlformats.org/officeDocument/2006/relationships/hyperlink" Target="https://drive.google.com/open?id=1ZBj1q2Ck8Num8Z7lvFlWhSnsWvnQ4Pfh" TargetMode="External"/><Relationship Id="rId2" Type="http://schemas.openxmlformats.org/officeDocument/2006/relationships/hyperlink" Target="https://drive.google.com/open?id=1Iw9TUfl-0SiCYXlXP-y4e06FAM3llzvv" TargetMode="External"/><Relationship Id="rId3" Type="http://schemas.openxmlformats.org/officeDocument/2006/relationships/hyperlink" Target="https://drive.google.com/open?id=1y_Q-FhvRvcYT1iP-mahm-6F8XFUC9YXd" TargetMode="External"/><Relationship Id="rId4" Type="http://schemas.openxmlformats.org/officeDocument/2006/relationships/hyperlink" Target="https://drive.google.com/open?id=1meWlRnRqeh_GBH0GIrteFkxXaHEqAuJr" TargetMode="External"/><Relationship Id="rId9" Type="http://schemas.openxmlformats.org/officeDocument/2006/relationships/hyperlink" Target="https://drive.google.com/open?id=164l8OrzzuXEa8gY6HAWFIV_vITF1BZR3" TargetMode="External"/><Relationship Id="rId5" Type="http://schemas.openxmlformats.org/officeDocument/2006/relationships/hyperlink" Target="https://drive.google.com/open?id=1waHCEKy6dsT0_xgaVcpO1FipozzHgvP0" TargetMode="External"/><Relationship Id="rId6" Type="http://schemas.openxmlformats.org/officeDocument/2006/relationships/hyperlink" Target="https://drive.google.com/open?id=1D7lZLWXIk5JKBieABEzfiuNoK_NRj9fR" TargetMode="External"/><Relationship Id="rId7" Type="http://schemas.openxmlformats.org/officeDocument/2006/relationships/hyperlink" Target="https://drive.google.com/open?id=1LlB7AWT2wO_J_D4LfaRSvevXyjdo5p9j" TargetMode="External"/><Relationship Id="rId8" Type="http://schemas.openxmlformats.org/officeDocument/2006/relationships/hyperlink" Target="https://drive.google.com/open?id=1RMvPFsn6AQ2If899OWpej4mQIReUD_No" TargetMode="External"/><Relationship Id="rId73" Type="http://schemas.openxmlformats.org/officeDocument/2006/relationships/hyperlink" Target="https://drive.google.com/open?id=18GDnI4AG3uyg-DLIU-CdbbNc06HqMp8M" TargetMode="External"/><Relationship Id="rId72" Type="http://schemas.openxmlformats.org/officeDocument/2006/relationships/hyperlink" Target="https://drive.google.com/open?id=1l-Okd2cqLqtP3x7MQkvr35Fkcey9a3un" TargetMode="External"/><Relationship Id="rId75" Type="http://schemas.openxmlformats.org/officeDocument/2006/relationships/hyperlink" Target="https://drive.google.com/open?id=1TVn5yhdgB6mNydoKUkJ-rS_P4HaCn3G1" TargetMode="External"/><Relationship Id="rId74" Type="http://schemas.openxmlformats.org/officeDocument/2006/relationships/hyperlink" Target="https://drive.google.com/open?id=1sLQT8uBkBUgTqTf0QPYKgwVy5RCx9jo3" TargetMode="External"/><Relationship Id="rId77" Type="http://schemas.openxmlformats.org/officeDocument/2006/relationships/hyperlink" Target="https://drive.google.com/open?id=1VpWgppJZldyK3efkCDTxmHPtAKZIte8p" TargetMode="External"/><Relationship Id="rId76" Type="http://schemas.openxmlformats.org/officeDocument/2006/relationships/hyperlink" Target="https://drive.google.com/open?id=1RORWO_TDTkKOqbWuV1HirBkZ2o9JUCt4" TargetMode="External"/><Relationship Id="rId79" Type="http://schemas.openxmlformats.org/officeDocument/2006/relationships/hyperlink" Target="https://drive.google.com/open?id=1JXcI3QMtMUKljc2BCpqqE__gscxy4mnG" TargetMode="External"/><Relationship Id="rId78" Type="http://schemas.openxmlformats.org/officeDocument/2006/relationships/hyperlink" Target="https://drive.google.com/open?id=1oVEN4Hv4J0jbCsWRlmQIDVMA7zZT1jb4" TargetMode="External"/><Relationship Id="rId71" Type="http://schemas.openxmlformats.org/officeDocument/2006/relationships/hyperlink" Target="https://drive.google.com/open?id=1teadbVa51k1vjRDpUlABA3ZmXvH9WwuT" TargetMode="External"/><Relationship Id="rId70" Type="http://schemas.openxmlformats.org/officeDocument/2006/relationships/hyperlink" Target="https://drive.google.com/open?id=1My86wgbx63-l6jyTcCjYXC7u0UGdkML6" TargetMode="External"/><Relationship Id="rId62" Type="http://schemas.openxmlformats.org/officeDocument/2006/relationships/hyperlink" Target="https://drive.google.com/open?id=1_voqD6Ui4HXCm15MK04uVSif_Hzs95WR" TargetMode="External"/><Relationship Id="rId61" Type="http://schemas.openxmlformats.org/officeDocument/2006/relationships/hyperlink" Target="https://drive.google.com/open?id=1Z4h3Mm4c0Gl7dsXKpwpiy48KC9ZwT-lz" TargetMode="External"/><Relationship Id="rId64" Type="http://schemas.openxmlformats.org/officeDocument/2006/relationships/hyperlink" Target="https://drive.google.com/open?id=1mmyTcVY3PPWQaYQCaj7XmN1rcEDT7DWH" TargetMode="External"/><Relationship Id="rId63" Type="http://schemas.openxmlformats.org/officeDocument/2006/relationships/hyperlink" Target="https://drive.google.com/open?id=1V8oKtz56e6XeHrQvVESxANzgczs--XUj" TargetMode="External"/><Relationship Id="rId66" Type="http://schemas.openxmlformats.org/officeDocument/2006/relationships/hyperlink" Target="https://drive.google.com/open?id=1fiyxwWAiWMtpuDd1EgP3YSFSWXFq1as_" TargetMode="External"/><Relationship Id="rId65" Type="http://schemas.openxmlformats.org/officeDocument/2006/relationships/hyperlink" Target="https://drive.google.com/open?id=1W4ZllRSTknUbvdaMXE_mSsw9LhbWeZvs" TargetMode="External"/><Relationship Id="rId68" Type="http://schemas.openxmlformats.org/officeDocument/2006/relationships/hyperlink" Target="https://drive.google.com/open?id=1lDM51vNKyYKpVMMv10zXXFuweFErtr--" TargetMode="External"/><Relationship Id="rId67" Type="http://schemas.openxmlformats.org/officeDocument/2006/relationships/hyperlink" Target="https://drive.google.com/open?id=1LL8J0PXgdifLwCFr6fJ2g41pVxeDZC9x" TargetMode="External"/><Relationship Id="rId60" Type="http://schemas.openxmlformats.org/officeDocument/2006/relationships/hyperlink" Target="https://drive.google.com/open?id=109mNk2HssC6nGzy2kun33lk7xELdlBwE" TargetMode="External"/><Relationship Id="rId69" Type="http://schemas.openxmlformats.org/officeDocument/2006/relationships/hyperlink" Target="https://drive.google.com/open?id=19LgDNwXDzUKpi6ogb_brWts_TmAovdiq" TargetMode="External"/><Relationship Id="rId51" Type="http://schemas.openxmlformats.org/officeDocument/2006/relationships/hyperlink" Target="https://drive.google.com/open?id=1LOR7QzaOmM0wFeKGl52i9jdJ1AET3171" TargetMode="External"/><Relationship Id="rId50" Type="http://schemas.openxmlformats.org/officeDocument/2006/relationships/hyperlink" Target="https://drive.google.com/open?id=1infA-HrDdHGI1qjBrQQov8oWnt1uuhFY" TargetMode="External"/><Relationship Id="rId53" Type="http://schemas.openxmlformats.org/officeDocument/2006/relationships/hyperlink" Target="https://drive.google.com/open?id=15OaK6IlgKW-7GkPSIYdzbsiSiu7pa2jY" TargetMode="External"/><Relationship Id="rId52" Type="http://schemas.openxmlformats.org/officeDocument/2006/relationships/hyperlink" Target="https://drive.google.com/open?id=1_dZc3jPIKwYSv-wNdcDWO9MYhCAyLtk3" TargetMode="External"/><Relationship Id="rId55" Type="http://schemas.openxmlformats.org/officeDocument/2006/relationships/hyperlink" Target="https://drive.google.com/open?id=1GlUEQU8qkA4H1GPj7DdTN64fZF8kXn7H" TargetMode="External"/><Relationship Id="rId54" Type="http://schemas.openxmlformats.org/officeDocument/2006/relationships/hyperlink" Target="https://drive.google.com/open?id=1MtPnWxhEBAcIExyhIuTOMPsZJVmVKNQI" TargetMode="External"/><Relationship Id="rId57" Type="http://schemas.openxmlformats.org/officeDocument/2006/relationships/hyperlink" Target="https://drive.google.com/open?id=1NWQt9nhzIlUA1E4lIT7H2nFeV86uw0dJ" TargetMode="External"/><Relationship Id="rId56" Type="http://schemas.openxmlformats.org/officeDocument/2006/relationships/hyperlink" Target="https://drive.google.com/open?id=1pFVVs1YM_8ZV-snU_kEOx8FV95Up3TBi" TargetMode="External"/><Relationship Id="rId59" Type="http://schemas.openxmlformats.org/officeDocument/2006/relationships/hyperlink" Target="https://drive.google.com/open?id=1XGEvKrJuFWaL9lbbUaHxYBlr-pSCi00g" TargetMode="External"/><Relationship Id="rId58" Type="http://schemas.openxmlformats.org/officeDocument/2006/relationships/hyperlink" Target="https://drive.google.com/open?id=1s50-C69uHOze64rU-h19RmWAtUlpkiai"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open?id=1V9olrrbrldx14P0_99jGs1iSi5kFAKvv" TargetMode="External"/><Relationship Id="rId42" Type="http://schemas.openxmlformats.org/officeDocument/2006/relationships/hyperlink" Target="https://drive.google.com/open?id=1ol-okhzur0SdN71iyY9KVx-pNkkBY7P2" TargetMode="External"/><Relationship Id="rId41" Type="http://schemas.openxmlformats.org/officeDocument/2006/relationships/hyperlink" Target="https://drive.google.com/open?id=1Wvj5KK4eGOT2KB_1jwV88H4vTgnA7Tt-" TargetMode="External"/><Relationship Id="rId44" Type="http://schemas.openxmlformats.org/officeDocument/2006/relationships/hyperlink" Target="https://drive.google.com/open?id=1rCupmR-qnyArQ9fk-3xhX5DxMsgHf0k-" TargetMode="External"/><Relationship Id="rId43" Type="http://schemas.openxmlformats.org/officeDocument/2006/relationships/hyperlink" Target="https://drive.google.com/open?id=1yLVdAc_LpKxrDQBtEBL6Zj7J4q0gOFM-" TargetMode="External"/><Relationship Id="rId46" Type="http://schemas.openxmlformats.org/officeDocument/2006/relationships/hyperlink" Target="https://drive.google.com/open?id=119K8_XfXxdBffKqrHZsCkOyR-1eP_Cql" TargetMode="External"/><Relationship Id="rId45" Type="http://schemas.openxmlformats.org/officeDocument/2006/relationships/hyperlink" Target="https://drive.google.com/open?id=1oU7JrxEMQvGk6XMSP9DCuaBkTwcHPtP2" TargetMode="External"/><Relationship Id="rId107" Type="http://schemas.openxmlformats.org/officeDocument/2006/relationships/hyperlink" Target="https://drive.google.com/open?id=1E__NI0djoJC2KR5irC9jXBbmi_CHhaS7" TargetMode="External"/><Relationship Id="rId106" Type="http://schemas.openxmlformats.org/officeDocument/2006/relationships/hyperlink" Target="https://drive.google.com/open?id=17U7BUSIOilZG-97fsTPvzfHHzMyPoKnV" TargetMode="External"/><Relationship Id="rId105" Type="http://schemas.openxmlformats.org/officeDocument/2006/relationships/hyperlink" Target="https://drive.google.com/open?id=1r4vy8XaofIyn_s8krHBJ-6eC-wbyximr" TargetMode="External"/><Relationship Id="rId104" Type="http://schemas.openxmlformats.org/officeDocument/2006/relationships/hyperlink" Target="https://drive.google.com/open?id=1W4aTRKrUC0fn_MUxz3xyEfw9wR8Sod4e" TargetMode="External"/><Relationship Id="rId109" Type="http://schemas.openxmlformats.org/officeDocument/2006/relationships/hyperlink" Target="https://drive.google.com/open?id=1AGUKqIwavm8Zbtbhg2bIfPmdcG3F256s" TargetMode="External"/><Relationship Id="rId108" Type="http://schemas.openxmlformats.org/officeDocument/2006/relationships/hyperlink" Target="https://drive.google.com/open?id=1dhWqmQab1a9aAw2VHVizVOzj2iYTyJmc" TargetMode="External"/><Relationship Id="rId48" Type="http://schemas.openxmlformats.org/officeDocument/2006/relationships/hyperlink" Target="https://drive.google.com/open?id=1HAdFYItPxqfAPTWVG6hE08nHVRv0t2x5" TargetMode="External"/><Relationship Id="rId47" Type="http://schemas.openxmlformats.org/officeDocument/2006/relationships/hyperlink" Target="https://drive.google.com/open?id=1oUEpDO6Ve5pdQYlQkX1CoDHIYRaUdDjz" TargetMode="External"/><Relationship Id="rId49" Type="http://schemas.openxmlformats.org/officeDocument/2006/relationships/hyperlink" Target="https://drive.google.com/open?id=1syvZYCCTyAAn3RhwFzS7iGDklrAh0Gj7" TargetMode="External"/><Relationship Id="rId103" Type="http://schemas.openxmlformats.org/officeDocument/2006/relationships/hyperlink" Target="https://drive.google.com/open?id=1HrCNF0WOnRWMTbwnbx_-mSfpQm4SmFmK" TargetMode="External"/><Relationship Id="rId102" Type="http://schemas.openxmlformats.org/officeDocument/2006/relationships/hyperlink" Target="https://drive.google.com/open?id=1EgP19W82o0520hYBcEWByEAIFfsu-ws6" TargetMode="External"/><Relationship Id="rId101" Type="http://schemas.openxmlformats.org/officeDocument/2006/relationships/hyperlink" Target="https://drive.google.com/open?id=1Xl0KOZoojoNktD2K_VN4DBKCN_S0wP5E" TargetMode="External"/><Relationship Id="rId100" Type="http://schemas.openxmlformats.org/officeDocument/2006/relationships/hyperlink" Target="https://drive.google.com/open?id=1tNpuqCO4OMGGBzXwJHL0-iU3-LmvIWQD" TargetMode="External"/><Relationship Id="rId31" Type="http://schemas.openxmlformats.org/officeDocument/2006/relationships/hyperlink" Target="https://drive.google.com/open?id=16dFlo0pqlBbR4fij6g9Sjz8-6m9YCXvD" TargetMode="External"/><Relationship Id="rId30" Type="http://schemas.openxmlformats.org/officeDocument/2006/relationships/hyperlink" Target="https://drive.google.com/open?id=16SwlhTSJ3zwse37SmZ-Cl-HLplEhJkUZ" TargetMode="External"/><Relationship Id="rId33" Type="http://schemas.openxmlformats.org/officeDocument/2006/relationships/hyperlink" Target="https://drive.google.com/open?id=1wwWagOfQWUVCq0iPtbRVG5EHExKgH0go" TargetMode="External"/><Relationship Id="rId32" Type="http://schemas.openxmlformats.org/officeDocument/2006/relationships/hyperlink" Target="https://drive.google.com/open?id=1h9ZI5CsFEAZdYJohGKCkuqFJ7zSQZ1w_" TargetMode="External"/><Relationship Id="rId35" Type="http://schemas.openxmlformats.org/officeDocument/2006/relationships/hyperlink" Target="https://drive.google.com/open?id=1QxN_vYsjcpHsBc_Vg4C-o5l9UHn7sT7v" TargetMode="External"/><Relationship Id="rId34" Type="http://schemas.openxmlformats.org/officeDocument/2006/relationships/hyperlink" Target="https://drive.google.com/open?id=1CStOvbh4yxTl-w1XSsh4fhIm6aStQgOO" TargetMode="External"/><Relationship Id="rId37" Type="http://schemas.openxmlformats.org/officeDocument/2006/relationships/hyperlink" Target="https://drive.google.com/open?id=1KizFJAU-qDYolQhOWPB8laldD8dc2Y0y" TargetMode="External"/><Relationship Id="rId36" Type="http://schemas.openxmlformats.org/officeDocument/2006/relationships/hyperlink" Target="https://drive.google.com/open?id=1d8jNxuBncxqo75V7NyHL0UowLvl1LKed" TargetMode="External"/><Relationship Id="rId39" Type="http://schemas.openxmlformats.org/officeDocument/2006/relationships/hyperlink" Target="https://drive.google.com/open?id=1yMaFlNhAJt_akXgbIiOeoRvNhBBJFS4Z" TargetMode="External"/><Relationship Id="rId38" Type="http://schemas.openxmlformats.org/officeDocument/2006/relationships/hyperlink" Target="https://drive.google.com/open?id=1VWtUMSdeMmPWQJhfo4mh8Uii42oLuAgQ" TargetMode="External"/><Relationship Id="rId20" Type="http://schemas.openxmlformats.org/officeDocument/2006/relationships/hyperlink" Target="https://drive.google.com/open?id=1VJgVYa2g8ViUzyF_F23l6kaYPHEOTSrd" TargetMode="External"/><Relationship Id="rId22" Type="http://schemas.openxmlformats.org/officeDocument/2006/relationships/hyperlink" Target="https://drive.google.com/open?id=15Jm6JadGnUUEzeeVrNZMp2EriVPGHarz" TargetMode="External"/><Relationship Id="rId21" Type="http://schemas.openxmlformats.org/officeDocument/2006/relationships/hyperlink" Target="https://drive.google.com/open?id=1JoSXsx3VRFpVZ45bkYaNe8ZW6b9gICVY" TargetMode="External"/><Relationship Id="rId24" Type="http://schemas.openxmlformats.org/officeDocument/2006/relationships/hyperlink" Target="https://drive.google.com/open?id=1Yd6y5E7ypTwO_BGhfqLQ22G0PQBfOSZb" TargetMode="External"/><Relationship Id="rId23" Type="http://schemas.openxmlformats.org/officeDocument/2006/relationships/hyperlink" Target="https://drive.google.com/open?id=1MPkd3C5mC_ubV0Jpn1jHbhN-0Xa4Z0A7" TargetMode="External"/><Relationship Id="rId129" Type="http://schemas.openxmlformats.org/officeDocument/2006/relationships/drawing" Target="../drawings/drawing6.xml"/><Relationship Id="rId128" Type="http://schemas.openxmlformats.org/officeDocument/2006/relationships/hyperlink" Target="https://drive.google.com/open?id=1c3quzvSpnom9srRAlindVopeCrbO7Odf" TargetMode="External"/><Relationship Id="rId127" Type="http://schemas.openxmlformats.org/officeDocument/2006/relationships/hyperlink" Target="https://drive.google.com/open?id=1PgLWTA5IeKDiJYz2QL6l24S__UZSgaAg" TargetMode="External"/><Relationship Id="rId126" Type="http://schemas.openxmlformats.org/officeDocument/2006/relationships/hyperlink" Target="https://drive.google.com/open?id=1EXrF89i4ChsiToBAYV1z9tjQXT0eBkiM" TargetMode="External"/><Relationship Id="rId26" Type="http://schemas.openxmlformats.org/officeDocument/2006/relationships/hyperlink" Target="https://drive.google.com/open?id=1-RyYFhMUj0IbV6L5x_yKrk151GYTp_8n" TargetMode="External"/><Relationship Id="rId121" Type="http://schemas.openxmlformats.org/officeDocument/2006/relationships/hyperlink" Target="https://drive.google.com/open?id=1wfkIot9WdQVW95go_SFRAJwm0HZnnQvg" TargetMode="External"/><Relationship Id="rId25" Type="http://schemas.openxmlformats.org/officeDocument/2006/relationships/hyperlink" Target="https://drive.google.com/open?id=1SCz8RcKeZqnBPneSWe_KOoIEtcrwotSY" TargetMode="External"/><Relationship Id="rId120" Type="http://schemas.openxmlformats.org/officeDocument/2006/relationships/hyperlink" Target="https://drive.google.com/open?id=1Ch5yiVD2PmR5Z2-wG8SAcEgpGqvd7AFm" TargetMode="External"/><Relationship Id="rId28" Type="http://schemas.openxmlformats.org/officeDocument/2006/relationships/hyperlink" Target="https://drive.google.com/open?id=1dzltaPBeod_BGFHPgjea3lJR4NiMJhe_" TargetMode="External"/><Relationship Id="rId27" Type="http://schemas.openxmlformats.org/officeDocument/2006/relationships/hyperlink" Target="https://drive.google.com/open?id=11F_FVo8J0kZFwxB8jSIXYYvadqq_gSiq" TargetMode="External"/><Relationship Id="rId125" Type="http://schemas.openxmlformats.org/officeDocument/2006/relationships/hyperlink" Target="https://drive.google.com/open?id=1UiM0eUeS74ceOXxOFrRGgKuG0qmUFAyf" TargetMode="External"/><Relationship Id="rId29" Type="http://schemas.openxmlformats.org/officeDocument/2006/relationships/hyperlink" Target="https://drive.google.com/open?id=1oYekO25UiwynM9ZkhzcysIC7OfC0QNdW" TargetMode="External"/><Relationship Id="rId124" Type="http://schemas.openxmlformats.org/officeDocument/2006/relationships/hyperlink" Target="https://drive.google.com/open?id=11OZwsx7ydoL7VOe8M_5xB0JLcwU4VtAH" TargetMode="External"/><Relationship Id="rId123" Type="http://schemas.openxmlformats.org/officeDocument/2006/relationships/hyperlink" Target="https://drive.google.com/open?id=14eBuPg2F4NOHQ9bvu3XLgA9-lIlQLRM6" TargetMode="External"/><Relationship Id="rId122" Type="http://schemas.openxmlformats.org/officeDocument/2006/relationships/hyperlink" Target="https://drive.google.com/open?id=1Adhg5Ew6H_gclFmA4inoMIu8oeUWfQ8Y" TargetMode="External"/><Relationship Id="rId95" Type="http://schemas.openxmlformats.org/officeDocument/2006/relationships/hyperlink" Target="https://drive.google.com/open?id=1_SRX0EWtE530jiMSzuRtJtFQUrILvFYr" TargetMode="External"/><Relationship Id="rId94" Type="http://schemas.openxmlformats.org/officeDocument/2006/relationships/hyperlink" Target="https://drive.google.com/open?id=1TCNx-ocwLLpJGqyVM-At792Fi7c6LRCV" TargetMode="External"/><Relationship Id="rId97" Type="http://schemas.openxmlformats.org/officeDocument/2006/relationships/hyperlink" Target="https://drive.google.com/open?id=1PBCJlb4rB9EHeidOWXEKfhne4Cqhojc9" TargetMode="External"/><Relationship Id="rId96" Type="http://schemas.openxmlformats.org/officeDocument/2006/relationships/hyperlink" Target="https://drive.google.com/open?id=1TN2Ex4y76vAcr5hWneAWjZ732PJrcECs" TargetMode="External"/><Relationship Id="rId11" Type="http://schemas.openxmlformats.org/officeDocument/2006/relationships/hyperlink" Target="https://drive.google.com/open?id=1P3L3NdS6w6h5gG-lbOEFieCWP40JqDDg" TargetMode="External"/><Relationship Id="rId99" Type="http://schemas.openxmlformats.org/officeDocument/2006/relationships/hyperlink" Target="https://drive.google.com/open?id=1mEPL6uREp3Svwgk6fqzET25uXV6_QvjY" TargetMode="External"/><Relationship Id="rId10" Type="http://schemas.openxmlformats.org/officeDocument/2006/relationships/hyperlink" Target="https://drive.google.com/open?id=1KyloG1ANJUG-eMrODpUWRvsYahhB59ly" TargetMode="External"/><Relationship Id="rId98" Type="http://schemas.openxmlformats.org/officeDocument/2006/relationships/hyperlink" Target="https://drive.google.com/open?id=19HkNzkDehTV5rJxCQE2xxybd-ZTIhtpi" TargetMode="External"/><Relationship Id="rId13" Type="http://schemas.openxmlformats.org/officeDocument/2006/relationships/hyperlink" Target="https://drive.google.com/open?id=14-ur036n4qXzM0e4ShaWYQ2Jw4rajwVK" TargetMode="External"/><Relationship Id="rId12" Type="http://schemas.openxmlformats.org/officeDocument/2006/relationships/hyperlink" Target="https://drive.google.com/open?id=1LeL5ittcsQ9EtUoQPlI-vw_fwkKmv6pH" TargetMode="External"/><Relationship Id="rId91" Type="http://schemas.openxmlformats.org/officeDocument/2006/relationships/hyperlink" Target="https://drive.google.com/open?id=15FUmPWJIG-FzVI-3Gx7RTA54oRZgiqe9" TargetMode="External"/><Relationship Id="rId90" Type="http://schemas.openxmlformats.org/officeDocument/2006/relationships/hyperlink" Target="https://drive.google.com/open?id=1AgMzwoQOH_UaoAt1v9l5gXAmLCSfD_XF" TargetMode="External"/><Relationship Id="rId93" Type="http://schemas.openxmlformats.org/officeDocument/2006/relationships/hyperlink" Target="https://drive.google.com/open?id=1CqOjTMWhOXOj-l50jiEIn11_MeVoQfTo" TargetMode="External"/><Relationship Id="rId92" Type="http://schemas.openxmlformats.org/officeDocument/2006/relationships/hyperlink" Target="https://drive.google.com/open?id=1qUd03wJxrqCawpoLKOMJ0elMooG4QrCd" TargetMode="External"/><Relationship Id="rId118" Type="http://schemas.openxmlformats.org/officeDocument/2006/relationships/hyperlink" Target="https://drive.google.com/open?id=1XIwh6y0huXX6lDfz7B50PXjjumkpHGqv2np_x2A_HVM" TargetMode="External"/><Relationship Id="rId117" Type="http://schemas.openxmlformats.org/officeDocument/2006/relationships/hyperlink" Target="https://drive.google.com/open?id=12mIlXwa9QHXVxjA-TiINKtCMwmhhMmWm-AXPxtDb0eo" TargetMode="External"/><Relationship Id="rId116" Type="http://schemas.openxmlformats.org/officeDocument/2006/relationships/hyperlink" Target="https://drive.google.com/open?id=1AHZFAs0DxhuLEoST1FvDCNE_XAxcnQdP" TargetMode="External"/><Relationship Id="rId115" Type="http://schemas.openxmlformats.org/officeDocument/2006/relationships/hyperlink" Target="https://drive.google.com/open?id=1cD62YKkpQ0kMMEHm7Yhcwc_NDgTeJtet" TargetMode="External"/><Relationship Id="rId119" Type="http://schemas.openxmlformats.org/officeDocument/2006/relationships/hyperlink" Target="https://drive.google.com/open?id=18OY2VEVkolegJuNv04-MY8DT516eJvsA" TargetMode="External"/><Relationship Id="rId15" Type="http://schemas.openxmlformats.org/officeDocument/2006/relationships/hyperlink" Target="https://drive.google.com/open?id=1hu8O0Rp9Mp2nBW8dd6wGrWK3BQqRLpZu" TargetMode="External"/><Relationship Id="rId110" Type="http://schemas.openxmlformats.org/officeDocument/2006/relationships/hyperlink" Target="https://drive.google.com/open?id=1GFYT-2TzKallcuIIJpuP4zD0Nvv2pmse" TargetMode="External"/><Relationship Id="rId14" Type="http://schemas.openxmlformats.org/officeDocument/2006/relationships/hyperlink" Target="https://drive.google.com/open?id=1jjHKvB-uhouvPV9VrZbJUV8vUelyPvhA" TargetMode="External"/><Relationship Id="rId17" Type="http://schemas.openxmlformats.org/officeDocument/2006/relationships/hyperlink" Target="https://drive.google.com/open?id=1ABpnKtNKpoWWw-hZ0X6zwdIccO2ko0Tc" TargetMode="External"/><Relationship Id="rId16" Type="http://schemas.openxmlformats.org/officeDocument/2006/relationships/hyperlink" Target="https://drive.google.com/open?id=1fWyg2TccmEOXgahwSFE-fxLWdhCtt9VZ" TargetMode="External"/><Relationship Id="rId19" Type="http://schemas.openxmlformats.org/officeDocument/2006/relationships/hyperlink" Target="https://drive.google.com/open?id=1YNRV9soRn5lOzlCtymGifIG050xV-emK" TargetMode="External"/><Relationship Id="rId114" Type="http://schemas.openxmlformats.org/officeDocument/2006/relationships/hyperlink" Target="https://drive.google.com/open?id=1j64AwnOfwrzT8sqY96UXDMSfs_mMzfAS" TargetMode="External"/><Relationship Id="rId18" Type="http://schemas.openxmlformats.org/officeDocument/2006/relationships/hyperlink" Target="https://drive.google.com/open?id=1a7x0SBRqIkys_MUgdTofpTqpreu4wbzy" TargetMode="External"/><Relationship Id="rId113" Type="http://schemas.openxmlformats.org/officeDocument/2006/relationships/hyperlink" Target="https://drive.google.com/open?id=1lXAS5tTAN6DFAaVWrtHPAg8Q0bKnGW4j" TargetMode="External"/><Relationship Id="rId112" Type="http://schemas.openxmlformats.org/officeDocument/2006/relationships/hyperlink" Target="https://drive.google.com/open?id=1_vXhj4CkBSxlRh9B5gkkIMNlI_u4umFa" TargetMode="External"/><Relationship Id="rId111" Type="http://schemas.openxmlformats.org/officeDocument/2006/relationships/hyperlink" Target="https://drive.google.com/open?id=1sxBtqH6HgKUd6kRlwY05HjUT3yqD6FDr" TargetMode="External"/><Relationship Id="rId84" Type="http://schemas.openxmlformats.org/officeDocument/2006/relationships/hyperlink" Target="https://drive.google.com/open?id=19NGeLnYyPye1Nxhti_YX5sJIOBDaCTnX" TargetMode="External"/><Relationship Id="rId83" Type="http://schemas.openxmlformats.org/officeDocument/2006/relationships/hyperlink" Target="https://drive.google.com/open?id=1ghJLHz8mU5A5wzMbO-SQd99gyTPG_Adm" TargetMode="External"/><Relationship Id="rId86" Type="http://schemas.openxmlformats.org/officeDocument/2006/relationships/hyperlink" Target="https://drive.google.com/open?id=1MNyJUTHqXtew0dWJyO-1AdDlTj1OH2Wc" TargetMode="External"/><Relationship Id="rId85" Type="http://schemas.openxmlformats.org/officeDocument/2006/relationships/hyperlink" Target="https://drive.google.com/open?id=11eq-InmkTeuW8cwhpVt74wbzzhEvCHo-" TargetMode="External"/><Relationship Id="rId88" Type="http://schemas.openxmlformats.org/officeDocument/2006/relationships/hyperlink" Target="https://drive.google.com/open?id=1JTfzoOSodILg-d8ziW-0tszheSkDZJgp" TargetMode="External"/><Relationship Id="rId87" Type="http://schemas.openxmlformats.org/officeDocument/2006/relationships/hyperlink" Target="https://drive.google.com/open?id=19DIKGej8kroi2W7zVF054QTbzxFHJ8Dn" TargetMode="External"/><Relationship Id="rId89" Type="http://schemas.openxmlformats.org/officeDocument/2006/relationships/hyperlink" Target="https://drive.google.com/open?id=1YUX0XHfi331C8ZNwD_S3eY8a2CunDA_9" TargetMode="External"/><Relationship Id="rId80" Type="http://schemas.openxmlformats.org/officeDocument/2006/relationships/hyperlink" Target="https://drive.google.com/open?id=1yd5S-dLiRMeMkD8nqBC3Ot6VsdrEWL_b" TargetMode="External"/><Relationship Id="rId82" Type="http://schemas.openxmlformats.org/officeDocument/2006/relationships/hyperlink" Target="https://drive.google.com/open?id=1xsi0aAok6L3nc0rc5tR6I0EgD4CT0Hk-" TargetMode="External"/><Relationship Id="rId81" Type="http://schemas.openxmlformats.org/officeDocument/2006/relationships/hyperlink" Target="https://drive.google.com/open?id=1-P7DPytGHBE10lWrJ7WZJT-3-MCDM8Ah" TargetMode="External"/><Relationship Id="rId1" Type="http://schemas.openxmlformats.org/officeDocument/2006/relationships/hyperlink" Target="https://drive.google.com/open?id=1ZuUDcOfFifIb5cINIF6OoUJp8UtGGyjy" TargetMode="External"/><Relationship Id="rId2" Type="http://schemas.openxmlformats.org/officeDocument/2006/relationships/hyperlink" Target="https://drive.google.com/open?id=1bpz587jTKlsPKNuMfWup1lFjS5aYEFfy" TargetMode="External"/><Relationship Id="rId3" Type="http://schemas.openxmlformats.org/officeDocument/2006/relationships/hyperlink" Target="https://drive.google.com/open?id=1DBNknZKuEaFpQcck5sPfd2zwq__IoAlP" TargetMode="External"/><Relationship Id="rId4" Type="http://schemas.openxmlformats.org/officeDocument/2006/relationships/hyperlink" Target="https://drive.google.com/open?id=1Zkqus3SbKSyKs2NJCVx6R8s0xC8SPiEz" TargetMode="External"/><Relationship Id="rId9" Type="http://schemas.openxmlformats.org/officeDocument/2006/relationships/hyperlink" Target="https://drive.google.com/open?id=1BQ_ReE-HWWwj-_cp4Vn5Zkoqp7CkLdRn" TargetMode="External"/><Relationship Id="rId5" Type="http://schemas.openxmlformats.org/officeDocument/2006/relationships/hyperlink" Target="https://drive.google.com/open?id=11aArWs6NMgMrqp2He3sgNNmTDCSDOCJu" TargetMode="External"/><Relationship Id="rId6" Type="http://schemas.openxmlformats.org/officeDocument/2006/relationships/hyperlink" Target="https://drive.google.com/open?id=16iLOMi8QFAvuxa0Lyt0rmef9Xgi9043T" TargetMode="External"/><Relationship Id="rId7" Type="http://schemas.openxmlformats.org/officeDocument/2006/relationships/hyperlink" Target="https://drive.google.com/open?id=1mwXFSq3lwtm_KGmgYoYt9iazUE-7aGxC" TargetMode="External"/><Relationship Id="rId8" Type="http://schemas.openxmlformats.org/officeDocument/2006/relationships/hyperlink" Target="https://drive.google.com/open?id=1QWOdQ7p-Jw9XxaHV7yCtuWVbXfVi_uTg" TargetMode="External"/><Relationship Id="rId73" Type="http://schemas.openxmlformats.org/officeDocument/2006/relationships/hyperlink" Target="https://drive.google.com/open?id=1Sd1ptkFkxuI6nVJG6Y9afLHh5AX_4G_A" TargetMode="External"/><Relationship Id="rId72" Type="http://schemas.openxmlformats.org/officeDocument/2006/relationships/hyperlink" Target="https://drive.google.com/open?id=1fJ8KoymDq-K6hgC3VOcf-zC78mj8_L5W" TargetMode="External"/><Relationship Id="rId75" Type="http://schemas.openxmlformats.org/officeDocument/2006/relationships/hyperlink" Target="https://drive.google.com/open?id=1YrBOZ2gHVAUKBAD4Hx4kUl2u0kff2SWq" TargetMode="External"/><Relationship Id="rId74" Type="http://schemas.openxmlformats.org/officeDocument/2006/relationships/hyperlink" Target="https://drive.google.com/open?id=1FF8uRYWKu6gc0nJ0dVf8R4LtPUvBoS_X" TargetMode="External"/><Relationship Id="rId77" Type="http://schemas.openxmlformats.org/officeDocument/2006/relationships/hyperlink" Target="https://drive.google.com/open?id=1_dyZwgPMU02DCGIaorKSc1DsiifAsqYQ" TargetMode="External"/><Relationship Id="rId76" Type="http://schemas.openxmlformats.org/officeDocument/2006/relationships/hyperlink" Target="https://drive.google.com/open?id=1l2Okq6SfISibGzPmODDeNIJR-usVbaIT" TargetMode="External"/><Relationship Id="rId79" Type="http://schemas.openxmlformats.org/officeDocument/2006/relationships/hyperlink" Target="https://drive.google.com/open?id=1CC3Y4KtmfQ8dvdbXqO4sjqwAQRfXPStK" TargetMode="External"/><Relationship Id="rId78" Type="http://schemas.openxmlformats.org/officeDocument/2006/relationships/hyperlink" Target="https://drive.google.com/open?id=1K2kLJAesu7oBGsbmnzL2IYVCFJ4kWcnT" TargetMode="External"/><Relationship Id="rId71" Type="http://schemas.openxmlformats.org/officeDocument/2006/relationships/hyperlink" Target="https://drive.google.com/open?id=1F4Pnb14ilNPtmB2XAHVYlX2SBH_UMBQP" TargetMode="External"/><Relationship Id="rId70" Type="http://schemas.openxmlformats.org/officeDocument/2006/relationships/hyperlink" Target="https://drive.google.com/open?id=1QVER2oZRITvv8UtuoYgoQdx_8JCShg7C" TargetMode="External"/><Relationship Id="rId62" Type="http://schemas.openxmlformats.org/officeDocument/2006/relationships/hyperlink" Target="https://drive.google.com/open?id=1fzlWukYpCCv4Gem8-0Kra_g5t-gHbYFr" TargetMode="External"/><Relationship Id="rId61" Type="http://schemas.openxmlformats.org/officeDocument/2006/relationships/hyperlink" Target="https://drive.google.com/open?id=1omv56HaHWo0uKd8jCcurFeHc8vv5CViu" TargetMode="External"/><Relationship Id="rId64" Type="http://schemas.openxmlformats.org/officeDocument/2006/relationships/hyperlink" Target="https://drive.google.com/open?id=1WZjFoRwOXEt9r0RsFGRFbqalxv3DTMTD" TargetMode="External"/><Relationship Id="rId63" Type="http://schemas.openxmlformats.org/officeDocument/2006/relationships/hyperlink" Target="https://drive.google.com/open?id=1o6L8vx_p9SDERkrOqrgnYNFdQ1g6ScwS" TargetMode="External"/><Relationship Id="rId66" Type="http://schemas.openxmlformats.org/officeDocument/2006/relationships/hyperlink" Target="https://drive.google.com/open?id=13XtRQhl8GCQygJY9D4evdypC_HjYmyab" TargetMode="External"/><Relationship Id="rId65" Type="http://schemas.openxmlformats.org/officeDocument/2006/relationships/hyperlink" Target="https://drive.google.com/open?id=10QnkR1xQuIVBfcj0hgNs3POG8yejbwDE" TargetMode="External"/><Relationship Id="rId68" Type="http://schemas.openxmlformats.org/officeDocument/2006/relationships/hyperlink" Target="https://drive.google.com/open?id=1Ul0UvY0ESJiaCvGwYHESq5vTlTXcTvtY" TargetMode="External"/><Relationship Id="rId67" Type="http://schemas.openxmlformats.org/officeDocument/2006/relationships/hyperlink" Target="https://drive.google.com/open?id=11kRGGdUz3Vy0qGLSg3KBYjx-9PkBFR50" TargetMode="External"/><Relationship Id="rId60" Type="http://schemas.openxmlformats.org/officeDocument/2006/relationships/hyperlink" Target="https://drive.google.com/open?id=1V3GW7lqOcIfeCgjx9YVcY7gDwC7aPsbo" TargetMode="External"/><Relationship Id="rId69" Type="http://schemas.openxmlformats.org/officeDocument/2006/relationships/hyperlink" Target="https://drive.google.com/open?id=123bAGq8_pxhgg1l2SMcwRw-8KRPP2zJw" TargetMode="External"/><Relationship Id="rId51" Type="http://schemas.openxmlformats.org/officeDocument/2006/relationships/hyperlink" Target="https://drive.google.com/open?id=1aIRDrPFjxPHUoM77NEuR7ocR1TnYE-MP" TargetMode="External"/><Relationship Id="rId50" Type="http://schemas.openxmlformats.org/officeDocument/2006/relationships/hyperlink" Target="https://drive.google.com/open?id=1TFvIU-IEKZiKpd9rCBXicbXpdkUziC66" TargetMode="External"/><Relationship Id="rId53" Type="http://schemas.openxmlformats.org/officeDocument/2006/relationships/hyperlink" Target="https://drive.google.com/open?id=1xawxQWlZXM5ME79griENfd7_RkhlAHT8" TargetMode="External"/><Relationship Id="rId52" Type="http://schemas.openxmlformats.org/officeDocument/2006/relationships/hyperlink" Target="https://drive.google.com/open?id=1KDJeXKhdH51yPVAJI9r3Yfq4ycrsUFNI" TargetMode="External"/><Relationship Id="rId55" Type="http://schemas.openxmlformats.org/officeDocument/2006/relationships/hyperlink" Target="https://drive.google.com/open?id=1TfYuyDhYkPuzgRRpKsBDnAPsIxn_1tpA" TargetMode="External"/><Relationship Id="rId54" Type="http://schemas.openxmlformats.org/officeDocument/2006/relationships/hyperlink" Target="https://drive.google.com/open?id=1gLy97_2WmW-9Z2rNRDh4YftXg027_-bm" TargetMode="External"/><Relationship Id="rId57" Type="http://schemas.openxmlformats.org/officeDocument/2006/relationships/hyperlink" Target="https://drive.google.com/open?id=1G-5Qk032EwBdh8KVKE3QH05wlt12jc9j" TargetMode="External"/><Relationship Id="rId56" Type="http://schemas.openxmlformats.org/officeDocument/2006/relationships/hyperlink" Target="https://drive.google.com/open?id=1Gs6b6iWQNAmAfmNxwdDRB8TDztkymOn-" TargetMode="External"/><Relationship Id="rId59" Type="http://schemas.openxmlformats.org/officeDocument/2006/relationships/hyperlink" Target="https://drive.google.com/open?id=1pMs8Eb7-UOJK6HbbgOb7q8mNCJT90cCH" TargetMode="External"/><Relationship Id="rId58" Type="http://schemas.openxmlformats.org/officeDocument/2006/relationships/hyperlink" Target="https://drive.google.com/open?id=1LJkH_SAGmIPJnCv7PvaHjChB_bsbFR4K"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open?id=1RPOiglXRF9nOX67xkPl_BN9A0e-pESNx" TargetMode="External"/><Relationship Id="rId42" Type="http://schemas.openxmlformats.org/officeDocument/2006/relationships/hyperlink" Target="https://drive.google.com/open?id=1oPIhUNtp5NNf3SJTTDqloiFBuIucmj9l" TargetMode="External"/><Relationship Id="rId41" Type="http://schemas.openxmlformats.org/officeDocument/2006/relationships/hyperlink" Target="https://drive.google.com/open?id=137VzuvWICJFsHeCihIuriJ6uF_xnXU-5" TargetMode="External"/><Relationship Id="rId44" Type="http://schemas.openxmlformats.org/officeDocument/2006/relationships/hyperlink" Target="https://drive.google.com/open?id=1efbx5JURSgj8AZLyNBedIGzkdrv1Icwm" TargetMode="External"/><Relationship Id="rId43" Type="http://schemas.openxmlformats.org/officeDocument/2006/relationships/hyperlink" Target="https://drive.google.com/open?id=1v0mCFfd2F9-obL3DkqOkL23Cib_XwcLg" TargetMode="External"/><Relationship Id="rId46" Type="http://schemas.openxmlformats.org/officeDocument/2006/relationships/hyperlink" Target="https://drive.google.com/open?id=1DUlpsG5i8pfS1-i-bAHyMLa3NmgggVmF" TargetMode="External"/><Relationship Id="rId45" Type="http://schemas.openxmlformats.org/officeDocument/2006/relationships/hyperlink" Target="https://drive.google.com/open?id=1vKpBDDB5ku3yFlq98yNy6rM21dGJ3zNx" TargetMode="External"/><Relationship Id="rId107" Type="http://schemas.openxmlformats.org/officeDocument/2006/relationships/hyperlink" Target="https://drive.google.com/open?id=1AC8V2ul4-aFxKv16hNlI40xbNtYMQByv" TargetMode="External"/><Relationship Id="rId106" Type="http://schemas.openxmlformats.org/officeDocument/2006/relationships/hyperlink" Target="https://drive.google.com/open?id=1pwo4mRtAGwPW25gw5sWiV5ovclL26oX9" TargetMode="External"/><Relationship Id="rId105" Type="http://schemas.openxmlformats.org/officeDocument/2006/relationships/hyperlink" Target="https://drive.google.com/open?id=15O2JJIeMBJ0y0YSUEJryJ63jSgieTY_N" TargetMode="External"/><Relationship Id="rId104" Type="http://schemas.openxmlformats.org/officeDocument/2006/relationships/hyperlink" Target="https://drive.google.com/open?id=1yZEIChZS40XfdfqtZPLmWZtH7Y2DnPKR" TargetMode="External"/><Relationship Id="rId109" Type="http://schemas.openxmlformats.org/officeDocument/2006/relationships/hyperlink" Target="https://drive.google.com/open?id=19MkzBWttdwTGyz9FlwdxcA2gXSSRoZ7Q" TargetMode="External"/><Relationship Id="rId108" Type="http://schemas.openxmlformats.org/officeDocument/2006/relationships/hyperlink" Target="https://drive.google.com/open?id=1jtrI2Ir8dZ8Hu-BDshAHdh6QzCDt3otF" TargetMode="External"/><Relationship Id="rId48" Type="http://schemas.openxmlformats.org/officeDocument/2006/relationships/hyperlink" Target="https://drive.google.com/open?id=1kqyL-YrX1JCZBhQM7qnS1TKiBvbWUfti" TargetMode="External"/><Relationship Id="rId47" Type="http://schemas.openxmlformats.org/officeDocument/2006/relationships/hyperlink" Target="https://drive.google.com/open?id=1OxE5Q53AA5VO-afxBR9eJWs9mQ76waUt" TargetMode="External"/><Relationship Id="rId49" Type="http://schemas.openxmlformats.org/officeDocument/2006/relationships/hyperlink" Target="https://drive.google.com/open?id=1p03ekJDXB7yx6I1EroJ40nzPRAN0UdrW" TargetMode="External"/><Relationship Id="rId103" Type="http://schemas.openxmlformats.org/officeDocument/2006/relationships/hyperlink" Target="https://drive.google.com/open?id=1j_A4aQ03xOagyaa2JKMknmjouOJ12_98" TargetMode="External"/><Relationship Id="rId102" Type="http://schemas.openxmlformats.org/officeDocument/2006/relationships/hyperlink" Target="https://drive.google.com/open?id=1XngcYq2q7rtOH4ojdDN_Whzrvn1nJdWn" TargetMode="External"/><Relationship Id="rId101" Type="http://schemas.openxmlformats.org/officeDocument/2006/relationships/hyperlink" Target="https://drive.google.com/open?id=1mNJlG4TptVGNT884iB0oCLnj-l0RovMz" TargetMode="External"/><Relationship Id="rId100" Type="http://schemas.openxmlformats.org/officeDocument/2006/relationships/hyperlink" Target="https://drive.google.com/open?id=1oI4HPKdVUr1y8tCwxD2SunXvWyAHQb_G" TargetMode="External"/><Relationship Id="rId31" Type="http://schemas.openxmlformats.org/officeDocument/2006/relationships/hyperlink" Target="https://drive.google.com/open?id=1gTxf0_AG7We8NqnowSMQfgJWqPj463mC" TargetMode="External"/><Relationship Id="rId30" Type="http://schemas.openxmlformats.org/officeDocument/2006/relationships/hyperlink" Target="https://drive.google.com/open?id=1io7YW3VmtKx-O9FHM0iHRv5p5WQss1jW" TargetMode="External"/><Relationship Id="rId33" Type="http://schemas.openxmlformats.org/officeDocument/2006/relationships/hyperlink" Target="https://drive.google.com/open?id=1QQVxDI9gmo5bZZsTirH1XOoTXSK0VJW-" TargetMode="External"/><Relationship Id="rId32" Type="http://schemas.openxmlformats.org/officeDocument/2006/relationships/hyperlink" Target="https://drive.google.com/open?id=1CsqnV5RJWUiu5fHR9kLqj-AMsrCU6Zc8" TargetMode="External"/><Relationship Id="rId35" Type="http://schemas.openxmlformats.org/officeDocument/2006/relationships/hyperlink" Target="https://drive.google.com/open?id=1TloDtstgs3Pbw4Y22f1Cr9vI-8XnjGkp" TargetMode="External"/><Relationship Id="rId34" Type="http://schemas.openxmlformats.org/officeDocument/2006/relationships/hyperlink" Target="https://drive.google.com/open?id=15ctjp-0pHNwOaEvA1dRUnKBOSVwc-GzN" TargetMode="External"/><Relationship Id="rId37" Type="http://schemas.openxmlformats.org/officeDocument/2006/relationships/hyperlink" Target="https://drive.google.com/open?id=1I7EHUmYgM9z0hebHrC3qoyxrdBBAPc1D" TargetMode="External"/><Relationship Id="rId36" Type="http://schemas.openxmlformats.org/officeDocument/2006/relationships/hyperlink" Target="https://drive.google.com/open?id=1Wr_gSp8p9BXMFeqBMazUXaWob-C7FIzo" TargetMode="External"/><Relationship Id="rId39" Type="http://schemas.openxmlformats.org/officeDocument/2006/relationships/hyperlink" Target="https://drive.google.com/open?id=1g03muwf7tvCSfDrU-FiXo77qN4XOuIze" TargetMode="External"/><Relationship Id="rId38" Type="http://schemas.openxmlformats.org/officeDocument/2006/relationships/hyperlink" Target="https://drive.google.com/open?id=1aow6HJaZwn-FFGNKOiQQfGaLZZG8H2LY" TargetMode="External"/><Relationship Id="rId20" Type="http://schemas.openxmlformats.org/officeDocument/2006/relationships/hyperlink" Target="https://drive.google.com/open?id=19Vs9zFOojnst94aevuCCxuVFoRxL4Xsq" TargetMode="External"/><Relationship Id="rId22" Type="http://schemas.openxmlformats.org/officeDocument/2006/relationships/hyperlink" Target="https://drive.google.com/open?id=1LF-22OAM16SAbn53cZTq8ty1KFykWix1" TargetMode="External"/><Relationship Id="rId21" Type="http://schemas.openxmlformats.org/officeDocument/2006/relationships/hyperlink" Target="https://drive.google.com/open?id=1x9IdwgS056cywYtgJV-boMpTkzX4MW-K" TargetMode="External"/><Relationship Id="rId24" Type="http://schemas.openxmlformats.org/officeDocument/2006/relationships/hyperlink" Target="https://drive.google.com/open?id=1UJ16UtS9gsvaoiboLwmCMbYua7SKurKX" TargetMode="External"/><Relationship Id="rId23" Type="http://schemas.openxmlformats.org/officeDocument/2006/relationships/hyperlink" Target="https://drive.google.com/open?id=1gOmtzXPuA6vgtb4vxmAUpwKA7lTE1SQM" TargetMode="External"/><Relationship Id="rId26" Type="http://schemas.openxmlformats.org/officeDocument/2006/relationships/hyperlink" Target="https://drive.google.com/open?id=1z5ckK6LF9Kow6XXFk230hOAVCSbJM_U5" TargetMode="External"/><Relationship Id="rId25" Type="http://schemas.openxmlformats.org/officeDocument/2006/relationships/hyperlink" Target="https://drive.google.com/open?id=1Oc0S_hQZ4PkDBgkqijMqxXQVgh3p4sHB" TargetMode="External"/><Relationship Id="rId28" Type="http://schemas.openxmlformats.org/officeDocument/2006/relationships/hyperlink" Target="https://drive.google.com/open?id=1SzsowdlcSYDdS97xqLgbiMEkVf49jHLS" TargetMode="External"/><Relationship Id="rId27" Type="http://schemas.openxmlformats.org/officeDocument/2006/relationships/hyperlink" Target="https://drive.google.com/open?id=1JOdk3urUcM8_fQRDmWtx4vPDs_rNeWty" TargetMode="External"/><Relationship Id="rId29" Type="http://schemas.openxmlformats.org/officeDocument/2006/relationships/hyperlink" Target="https://drive.google.com/open?id=1GPg7LxJXe9UieccnBBfldvNNPpI0MjYq" TargetMode="External"/><Relationship Id="rId95" Type="http://schemas.openxmlformats.org/officeDocument/2006/relationships/hyperlink" Target="https://drive.google.com/open?id=1blRsNuHBQbbnrrGMRhWCREswmveQcpE7" TargetMode="External"/><Relationship Id="rId94" Type="http://schemas.openxmlformats.org/officeDocument/2006/relationships/hyperlink" Target="https://drive.google.com/open?id=128OlETBSihAIgnRqlUnbTuwE5fzUabDI" TargetMode="External"/><Relationship Id="rId97" Type="http://schemas.openxmlformats.org/officeDocument/2006/relationships/hyperlink" Target="https://drive.google.com/open?id=17RlGU3FHRHVx9RNfbq9asMbUOX0POsKE" TargetMode="External"/><Relationship Id="rId96" Type="http://schemas.openxmlformats.org/officeDocument/2006/relationships/hyperlink" Target="https://drive.google.com/open?id=1HO9DwDhyCVPAn5wSxBcKM8gSeGajZ-kb" TargetMode="External"/><Relationship Id="rId11" Type="http://schemas.openxmlformats.org/officeDocument/2006/relationships/hyperlink" Target="https://drive.google.com/open?id=1zVBlMHBoQk5BgTELyeckM3zoFVtLucHV" TargetMode="External"/><Relationship Id="rId99" Type="http://schemas.openxmlformats.org/officeDocument/2006/relationships/hyperlink" Target="https://drive.google.com/open?id=11Tw2E-pqLrdvz8tcQ4YE7PRPmXMpg7Ir" TargetMode="External"/><Relationship Id="rId10" Type="http://schemas.openxmlformats.org/officeDocument/2006/relationships/hyperlink" Target="https://drive.google.com/open?id=1gk8d-rGvXEDKtAGEASsUo8DLaFCnSyFv" TargetMode="External"/><Relationship Id="rId98" Type="http://schemas.openxmlformats.org/officeDocument/2006/relationships/hyperlink" Target="https://drive.google.com/open?id=1Ba25zejEM2lhdPJLhPL-vomVutPfRaph" TargetMode="External"/><Relationship Id="rId13" Type="http://schemas.openxmlformats.org/officeDocument/2006/relationships/hyperlink" Target="https://drive.google.com/open?id=1kttDkGQEGoa1DKy-J1iY1yCh74DJrp60" TargetMode="External"/><Relationship Id="rId12" Type="http://schemas.openxmlformats.org/officeDocument/2006/relationships/hyperlink" Target="https://drive.google.com/open?id=1bWJrET0dz9pfY-kxAXnnbLVBR4i0IMwf" TargetMode="External"/><Relationship Id="rId91" Type="http://schemas.openxmlformats.org/officeDocument/2006/relationships/hyperlink" Target="https://drive.google.com/open?id=16FxXfnKEsQJfbHxBOKx6tmxYF66DtVdX" TargetMode="External"/><Relationship Id="rId90" Type="http://schemas.openxmlformats.org/officeDocument/2006/relationships/hyperlink" Target="https://drive.google.com/open?id=1Pro2SAi3kcJEEh2maUKKEtEbWnd7Tall" TargetMode="External"/><Relationship Id="rId93" Type="http://schemas.openxmlformats.org/officeDocument/2006/relationships/hyperlink" Target="https://drive.google.com/open?id=1GoKvQ11wVdZTpKeHLgAgBwXzChgbSYbv" TargetMode="External"/><Relationship Id="rId92" Type="http://schemas.openxmlformats.org/officeDocument/2006/relationships/hyperlink" Target="https://drive.google.com/open?id=11n-lk128PnMGeTIs9FEk0dBLB3ad7jdr" TargetMode="External"/><Relationship Id="rId115" Type="http://schemas.openxmlformats.org/officeDocument/2006/relationships/drawing" Target="../drawings/drawing7.xml"/><Relationship Id="rId15" Type="http://schemas.openxmlformats.org/officeDocument/2006/relationships/hyperlink" Target="https://drive.google.com/open?id=1LguZ2E0qbiKCZ90Kyen--SmM9SJk0Uap" TargetMode="External"/><Relationship Id="rId110" Type="http://schemas.openxmlformats.org/officeDocument/2006/relationships/hyperlink" Target="https://drive.google.com/open?id=1_wH4cwDIUC4f-Yh-zlnYDyQIEskbq3xe" TargetMode="External"/><Relationship Id="rId14" Type="http://schemas.openxmlformats.org/officeDocument/2006/relationships/hyperlink" Target="https://drive.google.com/open?id=1kpQLUuc2Fwd5-jb_X2_xkK8r-wYcSpzO" TargetMode="External"/><Relationship Id="rId17" Type="http://schemas.openxmlformats.org/officeDocument/2006/relationships/hyperlink" Target="https://drive.google.com/open?id=1RMi4bZedwPfR85kZJ4uUOlszyETUlMYD" TargetMode="External"/><Relationship Id="rId16" Type="http://schemas.openxmlformats.org/officeDocument/2006/relationships/hyperlink" Target="https://drive.google.com/open?id=1FBNZXsVG7ei4c9Y2R7p3gwil7cuxnsN2" TargetMode="External"/><Relationship Id="rId19" Type="http://schemas.openxmlformats.org/officeDocument/2006/relationships/hyperlink" Target="https://drive.google.com/open?id=15wguvWWRh-fWG6REQhXtxjO1boYXw8lV" TargetMode="External"/><Relationship Id="rId114" Type="http://schemas.openxmlformats.org/officeDocument/2006/relationships/hyperlink" Target="https://drive.google.com/open?id=1gcD_KXFIaQYTHPsg-_JY25A503alOZ5G" TargetMode="External"/><Relationship Id="rId18" Type="http://schemas.openxmlformats.org/officeDocument/2006/relationships/hyperlink" Target="https://drive.google.com/open?id=1tqgVeEAzcM77J3hvDAysKiDoFUBrpOVt" TargetMode="External"/><Relationship Id="rId113" Type="http://schemas.openxmlformats.org/officeDocument/2006/relationships/hyperlink" Target="https://drive.google.com/open?id=1lAYDXosoGI-F6L-lmmSqYpaHzIIVAUex" TargetMode="External"/><Relationship Id="rId112" Type="http://schemas.openxmlformats.org/officeDocument/2006/relationships/hyperlink" Target="https://drive.google.com/open?id=1H5LlDt4jJdrqZYshAzF0aO-lKtd23GnM" TargetMode="External"/><Relationship Id="rId111" Type="http://schemas.openxmlformats.org/officeDocument/2006/relationships/hyperlink" Target="https://drive.google.com/open?id=1JyBKNpTpv6kTYLp-HlcboAeQzciHe1CD" TargetMode="External"/><Relationship Id="rId84" Type="http://schemas.openxmlformats.org/officeDocument/2006/relationships/hyperlink" Target="https://drive.google.com/open?id=1lXDfOVpz2OfWbmcObxlGIhYzP70FAQHk" TargetMode="External"/><Relationship Id="rId83" Type="http://schemas.openxmlformats.org/officeDocument/2006/relationships/hyperlink" Target="https://drive.google.com/open?id=1-b8yZ7o-DYoLSTNMGEIRwYEzVX_IclzH" TargetMode="External"/><Relationship Id="rId86" Type="http://schemas.openxmlformats.org/officeDocument/2006/relationships/hyperlink" Target="https://drive.google.com/open?id=1imJ2j-v9lTQ7EvAFnfttew1lIpgmBsLw" TargetMode="External"/><Relationship Id="rId85" Type="http://schemas.openxmlformats.org/officeDocument/2006/relationships/hyperlink" Target="https://drive.google.com/open?id=1RzWqNWm8be062wCRdCfFErsqi2AbtMCs" TargetMode="External"/><Relationship Id="rId88" Type="http://schemas.openxmlformats.org/officeDocument/2006/relationships/hyperlink" Target="https://drive.google.com/open?id=1vp_MEGEWULSVmjYfrr2j_4YIUKsL-4Ce" TargetMode="External"/><Relationship Id="rId87" Type="http://schemas.openxmlformats.org/officeDocument/2006/relationships/hyperlink" Target="https://drive.google.com/open?id=1295Rqf5M5yOkE-Yrz1LjXnGOzi_TEj9D" TargetMode="External"/><Relationship Id="rId89" Type="http://schemas.openxmlformats.org/officeDocument/2006/relationships/hyperlink" Target="https://drive.google.com/open?id=1vQaPxrWQEIewvGNO1O9hofuP47FB5hmC" TargetMode="External"/><Relationship Id="rId80" Type="http://schemas.openxmlformats.org/officeDocument/2006/relationships/hyperlink" Target="https://drive.google.com/open?id=1i-n5RLfZpnRwFc11PpCYrIOFO4HswlU1" TargetMode="External"/><Relationship Id="rId82" Type="http://schemas.openxmlformats.org/officeDocument/2006/relationships/hyperlink" Target="https://drive.google.com/open?id=1_O7VnLPVR13aBYq5viIKFMWAGdimfz_p" TargetMode="External"/><Relationship Id="rId81" Type="http://schemas.openxmlformats.org/officeDocument/2006/relationships/hyperlink" Target="https://drive.google.com/open?id=1HgkD3CF8bN06ScmKGP5EBZ_yzdg0guGj" TargetMode="External"/><Relationship Id="rId1" Type="http://schemas.openxmlformats.org/officeDocument/2006/relationships/hyperlink" Target="https://drive.google.com/open?id=13Pb_0MJrfHQC73gBTBAR3YjI0u9Kjp5a" TargetMode="External"/><Relationship Id="rId2" Type="http://schemas.openxmlformats.org/officeDocument/2006/relationships/hyperlink" Target="https://drive.google.com/open?id=1jjBY0SQ4NLle2jiLSbm6Ty6vV2-A2gGY" TargetMode="External"/><Relationship Id="rId3" Type="http://schemas.openxmlformats.org/officeDocument/2006/relationships/hyperlink" Target="https://drive.google.com/open?id=1_is7ULanv8sq_oMoDvdCToaBQSArfwxA" TargetMode="External"/><Relationship Id="rId4" Type="http://schemas.openxmlformats.org/officeDocument/2006/relationships/hyperlink" Target="https://drive.google.com/open?id=1FZpkLJNhyFyhabNdjc1HAZMGmSiyJPPo" TargetMode="External"/><Relationship Id="rId9" Type="http://schemas.openxmlformats.org/officeDocument/2006/relationships/hyperlink" Target="https://drive.google.com/open?id=1A2TvyTBiBQtf4BbwoKoVG0jnb75EyU4Y" TargetMode="External"/><Relationship Id="rId5" Type="http://schemas.openxmlformats.org/officeDocument/2006/relationships/hyperlink" Target="https://drive.google.com/open?id=1qDn9IUbLaij7_RyxctQ-Bc1OQyXmRuPU" TargetMode="External"/><Relationship Id="rId6" Type="http://schemas.openxmlformats.org/officeDocument/2006/relationships/hyperlink" Target="https://drive.google.com/open?id=1zUcHLjxbQHXtJlCZzXkdl8mi-Wn4OCW1" TargetMode="External"/><Relationship Id="rId7" Type="http://schemas.openxmlformats.org/officeDocument/2006/relationships/hyperlink" Target="https://drive.google.com/open?id=1MTfYF0Llz5HNRJU8zXqW00qFGN-5Y7dE" TargetMode="External"/><Relationship Id="rId8" Type="http://schemas.openxmlformats.org/officeDocument/2006/relationships/hyperlink" Target="https://drive.google.com/open?id=17zzSj1ypq0Jr1-sTV5qgICI-8WZYp6IH" TargetMode="External"/><Relationship Id="rId73" Type="http://schemas.openxmlformats.org/officeDocument/2006/relationships/hyperlink" Target="https://drive.google.com/open?id=1YIfCC7CZlp7D7SaA7FNbBnsftbsd5fTE" TargetMode="External"/><Relationship Id="rId72" Type="http://schemas.openxmlformats.org/officeDocument/2006/relationships/hyperlink" Target="https://drive.google.com/open?id=1gGCtMhOdcl4Mnwyz-DzBZT-0TnPoMFxP" TargetMode="External"/><Relationship Id="rId75" Type="http://schemas.openxmlformats.org/officeDocument/2006/relationships/hyperlink" Target="https://drive.google.com/open?id=1J9lAnfmPjwinYCUBviSt38f_DLpg7EX8" TargetMode="External"/><Relationship Id="rId74" Type="http://schemas.openxmlformats.org/officeDocument/2006/relationships/hyperlink" Target="https://drive.google.com/open?id=1C5oZC5_b40HjYcsAxHourZ_l2dUrfYWF" TargetMode="External"/><Relationship Id="rId77" Type="http://schemas.openxmlformats.org/officeDocument/2006/relationships/hyperlink" Target="https://drive.google.com/open?id=10zcTrVDpP2NhppEYxXoW39AfaIWc1RtK" TargetMode="External"/><Relationship Id="rId76" Type="http://schemas.openxmlformats.org/officeDocument/2006/relationships/hyperlink" Target="https://drive.google.com/open?id=1RV6oeGWn0CgeHFj0IKlD0esi9ROyEBLD" TargetMode="External"/><Relationship Id="rId79" Type="http://schemas.openxmlformats.org/officeDocument/2006/relationships/hyperlink" Target="https://drive.google.com/open?id=1j-FU82p-MS5W-K9p7T_eDA8TATXeHb-l" TargetMode="External"/><Relationship Id="rId78" Type="http://schemas.openxmlformats.org/officeDocument/2006/relationships/hyperlink" Target="https://drive.google.com/open?id=10Icpw9eu-inj8sZvf3aiin0OwqDe-74n" TargetMode="External"/><Relationship Id="rId71" Type="http://schemas.openxmlformats.org/officeDocument/2006/relationships/hyperlink" Target="https://drive.google.com/open?id=1I2UcTxYtUfV3s6EgjMdJXEh_3MPjCAPv" TargetMode="External"/><Relationship Id="rId70" Type="http://schemas.openxmlformats.org/officeDocument/2006/relationships/hyperlink" Target="https://drive.google.com/open?id=143ldczsBOzXVl1-tgzZqOhhzmPFHHPZR" TargetMode="External"/><Relationship Id="rId62" Type="http://schemas.openxmlformats.org/officeDocument/2006/relationships/hyperlink" Target="https://drive.google.com/open?id=19axX42FxTlGVV7zCCg0SKq8ydBpogeHT" TargetMode="External"/><Relationship Id="rId61" Type="http://schemas.openxmlformats.org/officeDocument/2006/relationships/hyperlink" Target="https://drive.google.com/open?id=1UZ-NLpC0MAj9PIqGcccPBhXGvgN9f9UK" TargetMode="External"/><Relationship Id="rId64" Type="http://schemas.openxmlformats.org/officeDocument/2006/relationships/hyperlink" Target="https://drive.google.com/open?id=15YBrmIMLUWZOJMjMxOPyjUgxNZN2ytYx" TargetMode="External"/><Relationship Id="rId63" Type="http://schemas.openxmlformats.org/officeDocument/2006/relationships/hyperlink" Target="https://drive.google.com/open?id=1JFtqXFQPZ5Cq3-gUHgsSznv_JL7udnvQ" TargetMode="External"/><Relationship Id="rId66" Type="http://schemas.openxmlformats.org/officeDocument/2006/relationships/hyperlink" Target="https://drive.google.com/open?id=1siemyIByQxdNzjewjcS68dj16xaUN4le" TargetMode="External"/><Relationship Id="rId65" Type="http://schemas.openxmlformats.org/officeDocument/2006/relationships/hyperlink" Target="https://drive.google.com/open?id=1WAB1ad4EBDnK2_xZ1tj6mOWj178UUi3x" TargetMode="External"/><Relationship Id="rId68" Type="http://schemas.openxmlformats.org/officeDocument/2006/relationships/hyperlink" Target="https://drive.google.com/open?id=1lwbQcfFhXJ6D4jxCwxFj_-Ij28k1OM18" TargetMode="External"/><Relationship Id="rId67" Type="http://schemas.openxmlformats.org/officeDocument/2006/relationships/hyperlink" Target="https://drive.google.com/open?id=1107AuuZglkTEmHownpg1Eg1fnPZziD-e" TargetMode="External"/><Relationship Id="rId60" Type="http://schemas.openxmlformats.org/officeDocument/2006/relationships/hyperlink" Target="https://drive.google.com/open?id=1d_4RNReW5ltIHLnY_pfW7-KWDRotiakM" TargetMode="External"/><Relationship Id="rId69" Type="http://schemas.openxmlformats.org/officeDocument/2006/relationships/hyperlink" Target="https://drive.google.com/open?id=1OqTBxvZCsaXoXEjILOo6ZS2s8RPwnMFM" TargetMode="External"/><Relationship Id="rId51" Type="http://schemas.openxmlformats.org/officeDocument/2006/relationships/hyperlink" Target="https://drive.google.com/open?id=1iP-8I01ptSmA275n0ciItbp2LWO912Lr" TargetMode="External"/><Relationship Id="rId50" Type="http://schemas.openxmlformats.org/officeDocument/2006/relationships/hyperlink" Target="https://drive.google.com/open?id=1wnsToYa_2pQgBHiynQGSpwsPi9vbcdV3" TargetMode="External"/><Relationship Id="rId53" Type="http://schemas.openxmlformats.org/officeDocument/2006/relationships/hyperlink" Target="https://drive.google.com/open?id=1Z8LknACE_wXO-viTCEaXQbMamfW1ELVA" TargetMode="External"/><Relationship Id="rId52" Type="http://schemas.openxmlformats.org/officeDocument/2006/relationships/hyperlink" Target="https://drive.google.com/open?id=1wKx3C-nSRSNBVXh7SO3aUI8zOXSROpv2" TargetMode="External"/><Relationship Id="rId55" Type="http://schemas.openxmlformats.org/officeDocument/2006/relationships/hyperlink" Target="https://drive.google.com/open?id=1znKMhiFMr6zWuZH2rnPWkN7wRQhJ4mdH" TargetMode="External"/><Relationship Id="rId54" Type="http://schemas.openxmlformats.org/officeDocument/2006/relationships/hyperlink" Target="https://drive.google.com/open?id=1hSb8SO2wDres4modWe1GvwXBpARKop1d" TargetMode="External"/><Relationship Id="rId57" Type="http://schemas.openxmlformats.org/officeDocument/2006/relationships/hyperlink" Target="https://drive.google.com/open?id=1b58XjtLaIt5EyDtcYMpPlC5tYmaQglS_" TargetMode="External"/><Relationship Id="rId56" Type="http://schemas.openxmlformats.org/officeDocument/2006/relationships/hyperlink" Target="https://drive.google.com/open?id=1Ph1jCTxhYRjBvCHa0xElT5to4C7c4z7v" TargetMode="External"/><Relationship Id="rId59" Type="http://schemas.openxmlformats.org/officeDocument/2006/relationships/hyperlink" Target="https://drive.google.com/open?id=1TNAo_Ec3TEXHHs8GFk1bWz3i4ccMiWuH" TargetMode="External"/><Relationship Id="rId58" Type="http://schemas.openxmlformats.org/officeDocument/2006/relationships/hyperlink" Target="https://drive.google.com/open?id=1mefnGdaCeZcZ_G33NyhDl9tcjceuLPn-"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open?id=1LEO8I6jAGUbnLpDp3YtRAP7HD2t7Lyjg" TargetMode="External"/><Relationship Id="rId42" Type="http://schemas.openxmlformats.org/officeDocument/2006/relationships/hyperlink" Target="https://drive.google.com/open?id=18Vye9LVytt86VUBM68bz4Kwnv6Ef3mtS" TargetMode="External"/><Relationship Id="rId41" Type="http://schemas.openxmlformats.org/officeDocument/2006/relationships/hyperlink" Target="https://drive.google.com/open?id=12h5BoApktqYhF7F3HYzFC767FWAkW6D_" TargetMode="External"/><Relationship Id="rId44" Type="http://schemas.openxmlformats.org/officeDocument/2006/relationships/hyperlink" Target="https://drive.google.com/open?id=162J-cYDEpToEt3FLnmjeEkLRhttvZD7j" TargetMode="External"/><Relationship Id="rId43" Type="http://schemas.openxmlformats.org/officeDocument/2006/relationships/hyperlink" Target="https://drive.google.com/open?id=1sFK5ZSBc3nUzuHOy5evvgCk1i2a5nTcg" TargetMode="External"/><Relationship Id="rId46" Type="http://schemas.openxmlformats.org/officeDocument/2006/relationships/hyperlink" Target="https://drive.google.com/open?id=1iEsd7HON0Mg5vhEgUihVmDsrxJv-Kn1A" TargetMode="External"/><Relationship Id="rId45" Type="http://schemas.openxmlformats.org/officeDocument/2006/relationships/hyperlink" Target="https://drive.google.com/open?id=1mtOnrvlQX51zqKkOEA3m-y_dUcwrpWGi" TargetMode="External"/><Relationship Id="rId106" Type="http://schemas.openxmlformats.org/officeDocument/2006/relationships/drawing" Target="../drawings/drawing8.xml"/><Relationship Id="rId105" Type="http://schemas.openxmlformats.org/officeDocument/2006/relationships/hyperlink" Target="https://drive.google.com/open?id=1G234UUsUu4kzsoI95lRP2j7OElrkvzd4" TargetMode="External"/><Relationship Id="rId104" Type="http://schemas.openxmlformats.org/officeDocument/2006/relationships/hyperlink" Target="https://drive.google.com/open?id=1-t2-KLAKVP96X_ilE7BTZOCE5bPYQk0Q" TargetMode="External"/><Relationship Id="rId48" Type="http://schemas.openxmlformats.org/officeDocument/2006/relationships/hyperlink" Target="https://drive.google.com/open?id=18_qb0AfB4XrjlgbckMiDLZUopWnJ5Atd" TargetMode="External"/><Relationship Id="rId47" Type="http://schemas.openxmlformats.org/officeDocument/2006/relationships/hyperlink" Target="https://drive.google.com/open?id=1cjz9taVtZIH2z41OIndtCMwn8gETKPu1" TargetMode="External"/><Relationship Id="rId49" Type="http://schemas.openxmlformats.org/officeDocument/2006/relationships/hyperlink" Target="https://drive.google.com/open?id=1mOAZKZuPM7V4mZK9VvCc3yYzp-Q-ec3C" TargetMode="External"/><Relationship Id="rId103" Type="http://schemas.openxmlformats.org/officeDocument/2006/relationships/hyperlink" Target="https://drive.google.com/open?id=1dTd3VtEx2mECh3outQKGN7BCUM8dyVIz" TargetMode="External"/><Relationship Id="rId102" Type="http://schemas.openxmlformats.org/officeDocument/2006/relationships/hyperlink" Target="https://drive.google.com/open?id=1Qiwtl13w0GLl3WGBRtUVLMMtHZtJ393I" TargetMode="External"/><Relationship Id="rId101" Type="http://schemas.openxmlformats.org/officeDocument/2006/relationships/hyperlink" Target="https://drive.google.com/open?id=1kTK7uGz82UN-WMllxq9HWCxnQNf_x-ec" TargetMode="External"/><Relationship Id="rId100" Type="http://schemas.openxmlformats.org/officeDocument/2006/relationships/hyperlink" Target="https://drive.google.com/open?id=1eFNxI2b5Ly1VfsW7h-65c5EP-i_I5Xxc" TargetMode="External"/><Relationship Id="rId31" Type="http://schemas.openxmlformats.org/officeDocument/2006/relationships/hyperlink" Target="https://drive.google.com/open?id=1uMHmh91srLrFYGfT5ROMcXO3aMNNoc6w" TargetMode="External"/><Relationship Id="rId30" Type="http://schemas.openxmlformats.org/officeDocument/2006/relationships/hyperlink" Target="https://drive.google.com/open?id=1RVMU5U8Ngw0oKDyQNXDPN24vKLirhpLP" TargetMode="External"/><Relationship Id="rId33" Type="http://schemas.openxmlformats.org/officeDocument/2006/relationships/hyperlink" Target="https://drive.google.com/open?id=1QcQ8BLSvqwSxbuCan-9tZlImicAqkYFS" TargetMode="External"/><Relationship Id="rId32" Type="http://schemas.openxmlformats.org/officeDocument/2006/relationships/hyperlink" Target="https://drive.google.com/open?id=105_tP4v1x8e8kGZmwVNWut46OX0ERxqt" TargetMode="External"/><Relationship Id="rId35" Type="http://schemas.openxmlformats.org/officeDocument/2006/relationships/hyperlink" Target="https://drive.google.com/open?id=1BOtqGZxyLcjYDymB6du4bf5Ili7UItnP" TargetMode="External"/><Relationship Id="rId34" Type="http://schemas.openxmlformats.org/officeDocument/2006/relationships/hyperlink" Target="https://drive.google.com/open?id=1oj-bJAkyFwRYn2HwK_0PfIB9p1nKB0iZ" TargetMode="External"/><Relationship Id="rId37" Type="http://schemas.openxmlformats.org/officeDocument/2006/relationships/hyperlink" Target="https://drive.google.com/open?id=1iV4zbk3mZPRM42SoH8PM48AVu2QUEL2i" TargetMode="External"/><Relationship Id="rId36" Type="http://schemas.openxmlformats.org/officeDocument/2006/relationships/hyperlink" Target="https://drive.google.com/open?id=19XOqa5bSyTcxJq5TVSc39j2MUGfySoQx" TargetMode="External"/><Relationship Id="rId39" Type="http://schemas.openxmlformats.org/officeDocument/2006/relationships/hyperlink" Target="https://drive.google.com/open?id=1gKb9V6UpZRKRsYiuLCwwYe3vjh5NJ2Hf" TargetMode="External"/><Relationship Id="rId38" Type="http://schemas.openxmlformats.org/officeDocument/2006/relationships/hyperlink" Target="https://drive.google.com/open?id=1JPy962F0bXPpQpENzcWWarvQCmbilNWk" TargetMode="External"/><Relationship Id="rId20" Type="http://schemas.openxmlformats.org/officeDocument/2006/relationships/hyperlink" Target="https://drive.google.com/open?id=1fpkqUHeuRZoxfu5VC0x7KE6bkBx2E2VK" TargetMode="External"/><Relationship Id="rId22" Type="http://schemas.openxmlformats.org/officeDocument/2006/relationships/hyperlink" Target="https://drive.google.com/open?id=1aju80r58lmVSq28zqCaVCFE9e4-9YDOG" TargetMode="External"/><Relationship Id="rId21" Type="http://schemas.openxmlformats.org/officeDocument/2006/relationships/hyperlink" Target="https://drive.google.com/open?id=1A00G8JPPP7Qw6f8923RUz-6dOMF5VE_Q" TargetMode="External"/><Relationship Id="rId24" Type="http://schemas.openxmlformats.org/officeDocument/2006/relationships/hyperlink" Target="https://drive.google.com/open?id=1VSzp2i9VofNyfypSycu2vTvYVaHRKAp2" TargetMode="External"/><Relationship Id="rId23" Type="http://schemas.openxmlformats.org/officeDocument/2006/relationships/hyperlink" Target="https://drive.google.com/open?id=1DFRz9xdQWtOYov1wVWa54n5D0DmObMSd" TargetMode="External"/><Relationship Id="rId26" Type="http://schemas.openxmlformats.org/officeDocument/2006/relationships/hyperlink" Target="https://drive.google.com/open?id=1uSaQ5NALsNfsF759td85BhZyAFEIEVp3" TargetMode="External"/><Relationship Id="rId25" Type="http://schemas.openxmlformats.org/officeDocument/2006/relationships/hyperlink" Target="https://drive.google.com/open?id=1Uhre5CWpNyILTuOOhgxFnefKYxeDbmHP" TargetMode="External"/><Relationship Id="rId28" Type="http://schemas.openxmlformats.org/officeDocument/2006/relationships/hyperlink" Target="https://drive.google.com/open?id=1CVJ1K8tMfZ2N6p_huOY5eaPRXBQ1GB39" TargetMode="External"/><Relationship Id="rId27" Type="http://schemas.openxmlformats.org/officeDocument/2006/relationships/hyperlink" Target="https://drive.google.com/open?id=1yNSxu9z2Q7xVUG76trdMHIIxu23lLZNT" TargetMode="External"/><Relationship Id="rId29" Type="http://schemas.openxmlformats.org/officeDocument/2006/relationships/hyperlink" Target="https://drive.google.com/open?id=1PhUATu2KKHZCMZI33pOiu42x4X97w2Up" TargetMode="External"/><Relationship Id="rId95" Type="http://schemas.openxmlformats.org/officeDocument/2006/relationships/hyperlink" Target="https://drive.google.com/open?id=1kJJvWDeMNs8MA5qY_R4z3WyLliYBKn-Q" TargetMode="External"/><Relationship Id="rId94" Type="http://schemas.openxmlformats.org/officeDocument/2006/relationships/hyperlink" Target="https://drive.google.com/open?id=1lp_l3GrBOG5L9_v0tTPTNWSyylJXTG3B" TargetMode="External"/><Relationship Id="rId97" Type="http://schemas.openxmlformats.org/officeDocument/2006/relationships/hyperlink" Target="https://drive.google.com/open?id=1tX71dZihaCLSvLXG5_aCeCd-4D5DeXeE" TargetMode="External"/><Relationship Id="rId96" Type="http://schemas.openxmlformats.org/officeDocument/2006/relationships/hyperlink" Target="https://drive.google.com/open?id=1Pj38Yvjm5-mPOUE_ftv4JuqCfm6aXbHI" TargetMode="External"/><Relationship Id="rId11" Type="http://schemas.openxmlformats.org/officeDocument/2006/relationships/hyperlink" Target="https://drive.google.com/open?id=1banDhQvgxiXOF9q5fpAjbN9CV5lEZKyG" TargetMode="External"/><Relationship Id="rId99" Type="http://schemas.openxmlformats.org/officeDocument/2006/relationships/hyperlink" Target="https://drive.google.com/open?id=1K5bt30w2EGnTRvMDKg5gCwxz_awnGFic" TargetMode="External"/><Relationship Id="rId10" Type="http://schemas.openxmlformats.org/officeDocument/2006/relationships/hyperlink" Target="https://drive.google.com/open?id=19Imp2qqnDCpMVtq-pI-li9SgT6MKMrkE" TargetMode="External"/><Relationship Id="rId98" Type="http://schemas.openxmlformats.org/officeDocument/2006/relationships/hyperlink" Target="https://drive.google.com/open?id=1Vgcg1NDBDFxD1GA1sv4uPfVkd2RoG9X_" TargetMode="External"/><Relationship Id="rId13" Type="http://schemas.openxmlformats.org/officeDocument/2006/relationships/hyperlink" Target="https://drive.google.com/open?id=1kNpW9ohuBn6mzOYeCQQVrHt9ajNEq1LX" TargetMode="External"/><Relationship Id="rId12" Type="http://schemas.openxmlformats.org/officeDocument/2006/relationships/hyperlink" Target="https://drive.google.com/open?id=1p0p0PTt4Zlke36QA-huVTJQMcg8js4Tk" TargetMode="External"/><Relationship Id="rId91" Type="http://schemas.openxmlformats.org/officeDocument/2006/relationships/hyperlink" Target="https://drive.google.com/open?id=1Adc3fQmBBi2j0v9t7DnFkAAVZTPKCwtS" TargetMode="External"/><Relationship Id="rId90" Type="http://schemas.openxmlformats.org/officeDocument/2006/relationships/hyperlink" Target="https://drive.google.com/open?id=1Vkw1lM2CWcj_BjGGYNZ8OHMwwQ9Ol-82" TargetMode="External"/><Relationship Id="rId93" Type="http://schemas.openxmlformats.org/officeDocument/2006/relationships/hyperlink" Target="https://drive.google.com/open?id=14sFHtCEO0BoPyg3VQTWomTfuaha9Nwj6" TargetMode="External"/><Relationship Id="rId92" Type="http://schemas.openxmlformats.org/officeDocument/2006/relationships/hyperlink" Target="https://drive.google.com/open?id=1MdlfK-i_E1SF1y0oc-FWIwn_6DciJmn8" TargetMode="External"/><Relationship Id="rId15" Type="http://schemas.openxmlformats.org/officeDocument/2006/relationships/hyperlink" Target="https://drive.google.com/open?id=1EoxvqjErTx5CuRh-T3LwsBRSmQMfV6Wu" TargetMode="External"/><Relationship Id="rId14" Type="http://schemas.openxmlformats.org/officeDocument/2006/relationships/hyperlink" Target="https://drive.google.com/open?id=1hadK7XIynhY8Z3HmLvLd2NkzMWMaIaFX" TargetMode="External"/><Relationship Id="rId17" Type="http://schemas.openxmlformats.org/officeDocument/2006/relationships/hyperlink" Target="https://drive.google.com/open?id=1QP-9v3Pz-XkLbLiVxVlWv_LC00cJaiWk" TargetMode="External"/><Relationship Id="rId16" Type="http://schemas.openxmlformats.org/officeDocument/2006/relationships/hyperlink" Target="https://drive.google.com/open?id=1yV19H72Sa1wKNxwv28uz_rUpvDi8tZtC" TargetMode="External"/><Relationship Id="rId19" Type="http://schemas.openxmlformats.org/officeDocument/2006/relationships/hyperlink" Target="https://drive.google.com/open?id=16aC7-FbZkZeqO6DBaSgQYLdyts7mzo2I" TargetMode="External"/><Relationship Id="rId18" Type="http://schemas.openxmlformats.org/officeDocument/2006/relationships/hyperlink" Target="https://drive.google.com/open?id=1bvbKtn4WQNqFVjPaXSGJXTRM26OKLbVI" TargetMode="External"/><Relationship Id="rId84" Type="http://schemas.openxmlformats.org/officeDocument/2006/relationships/hyperlink" Target="https://drive.google.com/open?id=1tPllTc_mUIiITtHvhay2b6nHW5tTZD_o" TargetMode="External"/><Relationship Id="rId83" Type="http://schemas.openxmlformats.org/officeDocument/2006/relationships/hyperlink" Target="https://drive.google.com/open?id=12q--ZmPXcdcbyN1l8awR6y29qHG-4R74" TargetMode="External"/><Relationship Id="rId86" Type="http://schemas.openxmlformats.org/officeDocument/2006/relationships/hyperlink" Target="https://drive.google.com/open?id=1z-VoKyCfMXA9lO1veYnNhTW2QFQM9YlZ" TargetMode="External"/><Relationship Id="rId85" Type="http://schemas.openxmlformats.org/officeDocument/2006/relationships/hyperlink" Target="https://drive.google.com/open?id=1pStXo8s1qrPs6e13BWqvYBM6Uhz2HDgD" TargetMode="External"/><Relationship Id="rId88" Type="http://schemas.openxmlformats.org/officeDocument/2006/relationships/hyperlink" Target="https://drive.google.com/open?id=1FMKLeJwAvrJv_ZgfNBPOalHET7QmJax1" TargetMode="External"/><Relationship Id="rId87" Type="http://schemas.openxmlformats.org/officeDocument/2006/relationships/hyperlink" Target="https://drive.google.com/open?id=1kOzIQqROME2P_fCk3G0IBac0p_HXQ0n5" TargetMode="External"/><Relationship Id="rId89" Type="http://schemas.openxmlformats.org/officeDocument/2006/relationships/hyperlink" Target="https://drive.google.com/open?id=1zyJq_opr-szDaktj-lnYTd7XjTubLGCB" TargetMode="External"/><Relationship Id="rId80" Type="http://schemas.openxmlformats.org/officeDocument/2006/relationships/hyperlink" Target="https://drive.google.com/open?id=1ecmQyRexHFacw2LZwELvfOp-QiDlhkLs" TargetMode="External"/><Relationship Id="rId82" Type="http://schemas.openxmlformats.org/officeDocument/2006/relationships/hyperlink" Target="https://drive.google.com/open?id=19_ezwK6XHb48uE5ZKK0xJE1Kam-e639o" TargetMode="External"/><Relationship Id="rId81" Type="http://schemas.openxmlformats.org/officeDocument/2006/relationships/hyperlink" Target="https://drive.google.com/open?id=1LvnwqNtgrqETR77Gbnv5V8jQTxXVGANV" TargetMode="External"/><Relationship Id="rId1" Type="http://schemas.openxmlformats.org/officeDocument/2006/relationships/hyperlink" Target="https://drive.google.com/open?id=1c6su5dsbBSXoqEujsTbXfOCwMq706D6D" TargetMode="External"/><Relationship Id="rId2" Type="http://schemas.openxmlformats.org/officeDocument/2006/relationships/hyperlink" Target="https://drive.google.com/open?id=1F7_ZTBXEnoXCQXG6fQh3uXctVVAUY430" TargetMode="External"/><Relationship Id="rId3" Type="http://schemas.openxmlformats.org/officeDocument/2006/relationships/hyperlink" Target="https://drive.google.com/open?id=12G8wyqyrynmrB5AC8152Dt2AwGKK49jU" TargetMode="External"/><Relationship Id="rId4" Type="http://schemas.openxmlformats.org/officeDocument/2006/relationships/hyperlink" Target="https://drive.google.com/open?id=17_Py-GF923PxFluEeD27TRXXps5xkOTD" TargetMode="External"/><Relationship Id="rId9" Type="http://schemas.openxmlformats.org/officeDocument/2006/relationships/hyperlink" Target="https://drive.google.com/open?id=14hqtgjCruorDrV9ufsoOeFrR8ifnKADx" TargetMode="External"/><Relationship Id="rId5" Type="http://schemas.openxmlformats.org/officeDocument/2006/relationships/hyperlink" Target="https://drive.google.com/open?id=1_R4srK2hHZF0wyWjXMDypeACFi0pG-cK" TargetMode="External"/><Relationship Id="rId6" Type="http://schemas.openxmlformats.org/officeDocument/2006/relationships/hyperlink" Target="https://drive.google.com/open?id=1Z3s2nhmVpjz6_MWGwfuVNWqlhv2AFx89" TargetMode="External"/><Relationship Id="rId7" Type="http://schemas.openxmlformats.org/officeDocument/2006/relationships/hyperlink" Target="https://drive.google.com/open?id=1a-_z3IwDgnPiBq6dq7jDu_SC0qT7r9DX" TargetMode="External"/><Relationship Id="rId8" Type="http://schemas.openxmlformats.org/officeDocument/2006/relationships/hyperlink" Target="https://drive.google.com/open?id=1sxOn2zPZrs8hy3OVoFa8-Z-GVIUihmbq" TargetMode="External"/><Relationship Id="rId73" Type="http://schemas.openxmlformats.org/officeDocument/2006/relationships/hyperlink" Target="https://drive.google.com/open?id=1TabgeG45ZMU8Fwxr_hu4o_jqNyeHhrGe" TargetMode="External"/><Relationship Id="rId72" Type="http://schemas.openxmlformats.org/officeDocument/2006/relationships/hyperlink" Target="https://drive.google.com/open?id=1qLe65AkKzOgj8JPaVU6hLaPS4hM_Umep" TargetMode="External"/><Relationship Id="rId75" Type="http://schemas.openxmlformats.org/officeDocument/2006/relationships/hyperlink" Target="https://drive.google.com/open?id=1kwYVuf8ToD9I-KpwMDsB5lDuZpse-sgf" TargetMode="External"/><Relationship Id="rId74" Type="http://schemas.openxmlformats.org/officeDocument/2006/relationships/hyperlink" Target="https://drive.google.com/open?id=1YiZOnz5pk0OHS0tVatOknFkWADRVvQt9" TargetMode="External"/><Relationship Id="rId77" Type="http://schemas.openxmlformats.org/officeDocument/2006/relationships/hyperlink" Target="https://drive.google.com/open?id=1oZJEA7iaF2BTGHM4JTrBsfEO2xhU6OHt" TargetMode="External"/><Relationship Id="rId76" Type="http://schemas.openxmlformats.org/officeDocument/2006/relationships/hyperlink" Target="https://drive.google.com/open?id=13iUkpQ8FArm6g2PwztcJDNpF9xWCgDfM" TargetMode="External"/><Relationship Id="rId79" Type="http://schemas.openxmlformats.org/officeDocument/2006/relationships/hyperlink" Target="https://drive.google.com/open?id=1vUIArkcjVHpvPEytLr4oLiTaLxTdatiy" TargetMode="External"/><Relationship Id="rId78" Type="http://schemas.openxmlformats.org/officeDocument/2006/relationships/hyperlink" Target="https://drive.google.com/open?id=1KTQD4H2y24Ql5GE-vMqpK-o7AGFikFes" TargetMode="External"/><Relationship Id="rId71" Type="http://schemas.openxmlformats.org/officeDocument/2006/relationships/hyperlink" Target="https://drive.google.com/open?id=1ggRPALnu9QlDiGSJAkAdaqRRq4FoPUDF" TargetMode="External"/><Relationship Id="rId70" Type="http://schemas.openxmlformats.org/officeDocument/2006/relationships/hyperlink" Target="https://drive.google.com/open?id=1QqH0qrRFpszdh4ARhAqilhW2qynBRWTc" TargetMode="External"/><Relationship Id="rId62" Type="http://schemas.openxmlformats.org/officeDocument/2006/relationships/hyperlink" Target="https://drive.google.com/open?id=1YPogNTuolp4Sf-xU9YpZsnxf2AXDPTZ8" TargetMode="External"/><Relationship Id="rId61" Type="http://schemas.openxmlformats.org/officeDocument/2006/relationships/hyperlink" Target="https://drive.google.com/open?id=1GoVzBiUkLZPmQdPAZgRxjVGMp8g3ITWa" TargetMode="External"/><Relationship Id="rId64" Type="http://schemas.openxmlformats.org/officeDocument/2006/relationships/hyperlink" Target="https://drive.google.com/open?id=17rVyw5i7-OXTtoOKfyBX4Jfcic4KxT31" TargetMode="External"/><Relationship Id="rId63" Type="http://schemas.openxmlformats.org/officeDocument/2006/relationships/hyperlink" Target="https://drive.google.com/open?id=1AZRldnUIzMIjXRqKU9zoZTu1J_OPu1Sr" TargetMode="External"/><Relationship Id="rId66" Type="http://schemas.openxmlformats.org/officeDocument/2006/relationships/hyperlink" Target="https://drive.google.com/open?id=1LAwFhtvekJK4Ec5zFIVCxidO9M3aCIoB" TargetMode="External"/><Relationship Id="rId65" Type="http://schemas.openxmlformats.org/officeDocument/2006/relationships/hyperlink" Target="https://drive.google.com/open?id=1t7-DlASdxyUDgB77g-JGLfd23zr4bHF3" TargetMode="External"/><Relationship Id="rId68" Type="http://schemas.openxmlformats.org/officeDocument/2006/relationships/hyperlink" Target="https://drive.google.com/open?id=1yz0HKBc3XJ3f7_oETUOpcuONc4PZR9S1" TargetMode="External"/><Relationship Id="rId67" Type="http://schemas.openxmlformats.org/officeDocument/2006/relationships/hyperlink" Target="https://drive.google.com/open?id=1jod_uvCczzTpalhonpCxOyWMPyki14-N" TargetMode="External"/><Relationship Id="rId60" Type="http://schemas.openxmlformats.org/officeDocument/2006/relationships/hyperlink" Target="https://drive.google.com/open?id=1b_orNv6uVcj3mwzr_mYIPFJ3lyM3J56-" TargetMode="External"/><Relationship Id="rId69" Type="http://schemas.openxmlformats.org/officeDocument/2006/relationships/hyperlink" Target="https://drive.google.com/open?id=1HEbnS9rrGAngLK0nxIf6vXGYi2pMpsDi" TargetMode="External"/><Relationship Id="rId51" Type="http://schemas.openxmlformats.org/officeDocument/2006/relationships/hyperlink" Target="https://drive.google.com/open?id=1PIsVrTv5wKdClclAnzNc-1HPB9sRXbbY" TargetMode="External"/><Relationship Id="rId50" Type="http://schemas.openxmlformats.org/officeDocument/2006/relationships/hyperlink" Target="https://drive.google.com/open?id=1e5wRpeYhLdf7a-UkTaSufhPwQViAbMtY" TargetMode="External"/><Relationship Id="rId53" Type="http://schemas.openxmlformats.org/officeDocument/2006/relationships/hyperlink" Target="https://drive.google.com/open?id=1JpvSmIlM5RtLMTtduVOLVUXWMvLLhFSr" TargetMode="External"/><Relationship Id="rId52" Type="http://schemas.openxmlformats.org/officeDocument/2006/relationships/hyperlink" Target="https://drive.google.com/open?id=1DEdm2ysCVIA19F0x1bJ9n9l7uyKmllzu" TargetMode="External"/><Relationship Id="rId55" Type="http://schemas.openxmlformats.org/officeDocument/2006/relationships/hyperlink" Target="https://drive.google.com/open?id=10G1LRC7HW4EnNf8QAVpDQWuQdlwlUI9J" TargetMode="External"/><Relationship Id="rId54" Type="http://schemas.openxmlformats.org/officeDocument/2006/relationships/hyperlink" Target="https://drive.google.com/open?id=1rKNc95Y52Do4CJiNmI3Q5wxoM-pI-SWR" TargetMode="External"/><Relationship Id="rId57" Type="http://schemas.openxmlformats.org/officeDocument/2006/relationships/hyperlink" Target="https://drive.google.com/open?id=1exdxLM-6-tH99tjokjm-9PZ40o3TTPui" TargetMode="External"/><Relationship Id="rId56" Type="http://schemas.openxmlformats.org/officeDocument/2006/relationships/hyperlink" Target="https://drive.google.com/open?id=1CIx9Ey2OxYpOClkt8Ne406f3NC4qqyfd" TargetMode="External"/><Relationship Id="rId59" Type="http://schemas.openxmlformats.org/officeDocument/2006/relationships/hyperlink" Target="https://drive.google.com/open?id=1I6GRml-TepsLLIjDFcE2h_KcNs9VmF0H" TargetMode="External"/><Relationship Id="rId58" Type="http://schemas.openxmlformats.org/officeDocument/2006/relationships/hyperlink" Target="https://drive.google.com/open?id=1pDuEGCiDE8TKdoQ2SrGNOt8v9KLX3Tnp"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open?id=1dbcCi7VF9Pruyd7GFQo6b-ufoHWjHL9t" TargetMode="External"/><Relationship Id="rId42" Type="http://schemas.openxmlformats.org/officeDocument/2006/relationships/hyperlink" Target="https://drive.google.com/open?id=1hJgWVcniTf-qUlXGW6XjYfDjtmS_R0As" TargetMode="External"/><Relationship Id="rId41" Type="http://schemas.openxmlformats.org/officeDocument/2006/relationships/hyperlink" Target="https://drive.google.com/open?id=13XS43z_81kkAThk_7SyQwMJC0DFMzkqq" TargetMode="External"/><Relationship Id="rId44" Type="http://schemas.openxmlformats.org/officeDocument/2006/relationships/hyperlink" Target="https://drive.google.com/open?id=1158O3DdUackB-bzlR8zHYUjuSDwaMnnB" TargetMode="External"/><Relationship Id="rId43" Type="http://schemas.openxmlformats.org/officeDocument/2006/relationships/hyperlink" Target="https://drive.google.com/open?id=1_bnRbx02rZ6ELOvJLkL_LbiyWQBzoJXG" TargetMode="External"/><Relationship Id="rId46" Type="http://schemas.openxmlformats.org/officeDocument/2006/relationships/hyperlink" Target="https://drive.google.com/open?id=1nfRXOxGIkT8wsXbyKHLv4du8WVTPK99S" TargetMode="External"/><Relationship Id="rId45" Type="http://schemas.openxmlformats.org/officeDocument/2006/relationships/hyperlink" Target="https://drive.google.com/open?id=1d0cdyCljpEwG8sS3ZPvZ2RO0jz-9KGlB" TargetMode="External"/><Relationship Id="rId48" Type="http://schemas.openxmlformats.org/officeDocument/2006/relationships/hyperlink" Target="https://drive.google.com/open?id=1fDxLev1Pm4664YMkuFN0XHW7TmWGagzA" TargetMode="External"/><Relationship Id="rId47" Type="http://schemas.openxmlformats.org/officeDocument/2006/relationships/hyperlink" Target="https://drive.google.com/open?id=18yFWeJr6c8DFSf9c9rSBXqNYgQoAO9j2" TargetMode="External"/><Relationship Id="rId49" Type="http://schemas.openxmlformats.org/officeDocument/2006/relationships/hyperlink" Target="https://drive.google.com/open?id=1yACfpxHYn7H8XtERrhScYcBhXlzzh4pa" TargetMode="External"/><Relationship Id="rId31" Type="http://schemas.openxmlformats.org/officeDocument/2006/relationships/hyperlink" Target="https://drive.google.com/open?id=1CfkZSN58wI_fmWCe5T2w-h8qhsrEUkEs" TargetMode="External"/><Relationship Id="rId30" Type="http://schemas.openxmlformats.org/officeDocument/2006/relationships/hyperlink" Target="https://drive.google.com/open?id=1l1-uK9UahsO3mcQqj8RE8qceapZ8sdY6" TargetMode="External"/><Relationship Id="rId33" Type="http://schemas.openxmlformats.org/officeDocument/2006/relationships/hyperlink" Target="https://drive.google.com/open?id=1FmU3QaA3SB9XtJawd5OLPahZ0czL77Jh" TargetMode="External"/><Relationship Id="rId32" Type="http://schemas.openxmlformats.org/officeDocument/2006/relationships/hyperlink" Target="https://drive.google.com/open?id=168oFvFKxfGQqkaZKF6MTq83fsuX6nBhj" TargetMode="External"/><Relationship Id="rId35" Type="http://schemas.openxmlformats.org/officeDocument/2006/relationships/hyperlink" Target="https://drive.google.com/open?id=13LbsO_PRZGoQWJyqvWmPU8MeW7DjY9FQ" TargetMode="External"/><Relationship Id="rId34" Type="http://schemas.openxmlformats.org/officeDocument/2006/relationships/hyperlink" Target="https://drive.google.com/open?id=10TOROG660TA9h6xpDlE1aB4VtAEoJC85" TargetMode="External"/><Relationship Id="rId37" Type="http://schemas.openxmlformats.org/officeDocument/2006/relationships/hyperlink" Target="https://drive.google.com/open?id=1wHsUnzZrI2PVxeHSx89-yoW-jJ9lJc6O" TargetMode="External"/><Relationship Id="rId36" Type="http://schemas.openxmlformats.org/officeDocument/2006/relationships/hyperlink" Target="https://drive.google.com/open?id=1mV7pdfjFcFk1SEDRLRjPtoWEa6sl_AQY" TargetMode="External"/><Relationship Id="rId39" Type="http://schemas.openxmlformats.org/officeDocument/2006/relationships/hyperlink" Target="https://drive.google.com/open?id=1v8_1LMlvfJ4eQkHYzCsioESIUliH3ueS" TargetMode="External"/><Relationship Id="rId38" Type="http://schemas.openxmlformats.org/officeDocument/2006/relationships/hyperlink" Target="https://drive.google.com/open?id=1ERTNiE4tYmCzW1bsw1GFg9gSVBowNK-g" TargetMode="External"/><Relationship Id="rId20" Type="http://schemas.openxmlformats.org/officeDocument/2006/relationships/hyperlink" Target="https://drive.google.com/open?id=1wKecE_ujfR3OJZV2a7WxWtO06IvPhq8s" TargetMode="External"/><Relationship Id="rId22" Type="http://schemas.openxmlformats.org/officeDocument/2006/relationships/hyperlink" Target="https://drive.google.com/open?id=1-nrApZVpwmaM85Cwe3lngnPoictzBO5O" TargetMode="External"/><Relationship Id="rId21" Type="http://schemas.openxmlformats.org/officeDocument/2006/relationships/hyperlink" Target="https://drive.google.com/open?id=1ZgfS8a96YsxBpltj3m9b611B8qaSVt80" TargetMode="External"/><Relationship Id="rId24" Type="http://schemas.openxmlformats.org/officeDocument/2006/relationships/hyperlink" Target="https://drive.google.com/open?id=1hi4PZzOXBhcZPsbnESRCC06LDr4on-Lr" TargetMode="External"/><Relationship Id="rId23" Type="http://schemas.openxmlformats.org/officeDocument/2006/relationships/hyperlink" Target="https://drive.google.com/open?id=1hWpRxFE0Qcj3ux-Lqt2v7PgTcfjlS_17" TargetMode="External"/><Relationship Id="rId26" Type="http://schemas.openxmlformats.org/officeDocument/2006/relationships/hyperlink" Target="https://drive.google.com/open?id=1g89K-o0TPsejAeRmzOOy0DuFs6a3l-av" TargetMode="External"/><Relationship Id="rId25" Type="http://schemas.openxmlformats.org/officeDocument/2006/relationships/hyperlink" Target="https://drive.google.com/open?id=1FbNQBYfOFZtueJefL7FkhNEQSrWfRkIx" TargetMode="External"/><Relationship Id="rId28" Type="http://schemas.openxmlformats.org/officeDocument/2006/relationships/hyperlink" Target="https://drive.google.com/open?id=1yWVqoHQXVOLRj88jQwkqIxOMJHjDYEr0" TargetMode="External"/><Relationship Id="rId27" Type="http://schemas.openxmlformats.org/officeDocument/2006/relationships/hyperlink" Target="https://drive.google.com/open?id=1zlWzN4KG2KiHWAwYg_kFBHDjiEJjP4sE" TargetMode="External"/><Relationship Id="rId29" Type="http://schemas.openxmlformats.org/officeDocument/2006/relationships/hyperlink" Target="https://drive.google.com/open?id=1S6g0cs9lO6aHoQ0kBx5Cd-WTMdY4sBwY" TargetMode="External"/><Relationship Id="rId95" Type="http://schemas.openxmlformats.org/officeDocument/2006/relationships/hyperlink" Target="https://drive.google.com/open?id=1x1Y0KNoi0qIakTPQE7OXV4hzS1Jx3JR6" TargetMode="External"/><Relationship Id="rId94" Type="http://schemas.openxmlformats.org/officeDocument/2006/relationships/hyperlink" Target="https://drive.google.com/open?id=1zwBbvoxDWFDn31eZLCVy8WzZihb9kkl_" TargetMode="External"/><Relationship Id="rId97" Type="http://schemas.openxmlformats.org/officeDocument/2006/relationships/drawing" Target="../drawings/drawing9.xml"/><Relationship Id="rId96" Type="http://schemas.openxmlformats.org/officeDocument/2006/relationships/hyperlink" Target="https://drive.google.com/open?id=1AgvzdZs-MicsrkZmeYrjWdY0YLfDnys-" TargetMode="External"/><Relationship Id="rId11" Type="http://schemas.openxmlformats.org/officeDocument/2006/relationships/hyperlink" Target="https://drive.google.com/open?id=1p_r9SsL1sFkmHJJzxq9kiC8Yup9OGE2A" TargetMode="External"/><Relationship Id="rId10" Type="http://schemas.openxmlformats.org/officeDocument/2006/relationships/hyperlink" Target="https://drive.google.com/open?id=10I2xqCANfYxM02z5f1aPFiag6gtbpDG2" TargetMode="External"/><Relationship Id="rId13" Type="http://schemas.openxmlformats.org/officeDocument/2006/relationships/hyperlink" Target="https://drive.google.com/open?id=1BupsuyNOq9kifLLI5_jOrT8Gy0PADgj4" TargetMode="External"/><Relationship Id="rId12" Type="http://schemas.openxmlformats.org/officeDocument/2006/relationships/hyperlink" Target="https://drive.google.com/open?id=1a3MyIuESYkcFpRnZsiok7DPEGXGQtd_Y" TargetMode="External"/><Relationship Id="rId91" Type="http://schemas.openxmlformats.org/officeDocument/2006/relationships/hyperlink" Target="https://drive.google.com/open?id=1NHBht10edTwE7XrNyk_YZC-2umGXymk0" TargetMode="External"/><Relationship Id="rId90" Type="http://schemas.openxmlformats.org/officeDocument/2006/relationships/hyperlink" Target="https://drive.google.com/open?id=11H353ASQB9HVHTENvKlmibjLt3t6j-c1" TargetMode="External"/><Relationship Id="rId93" Type="http://schemas.openxmlformats.org/officeDocument/2006/relationships/hyperlink" Target="https://drive.google.com/open?id=1qz-QPOW1gGbOn8P-cQ1bt_MWv6wWZ0zv" TargetMode="External"/><Relationship Id="rId92" Type="http://schemas.openxmlformats.org/officeDocument/2006/relationships/hyperlink" Target="https://drive.google.com/open?id=1i0lFzer-I8duLMA1Pnlo9Z5i3wYqduf1" TargetMode="External"/><Relationship Id="rId15" Type="http://schemas.openxmlformats.org/officeDocument/2006/relationships/hyperlink" Target="https://drive.google.com/open?id=1FmQIoEFl6miZFEgmzDnajpcFxKUKqc7A" TargetMode="External"/><Relationship Id="rId14" Type="http://schemas.openxmlformats.org/officeDocument/2006/relationships/hyperlink" Target="https://drive.google.com/open?id=1JVBsxIJxZKUaBY20YWxAkkRNyzFSu8yq" TargetMode="External"/><Relationship Id="rId17" Type="http://schemas.openxmlformats.org/officeDocument/2006/relationships/hyperlink" Target="https://drive.google.com/open?id=1EbqjCWpM7BDnSC1bUKWB4X0VeqeKIhLq" TargetMode="External"/><Relationship Id="rId16" Type="http://schemas.openxmlformats.org/officeDocument/2006/relationships/hyperlink" Target="https://drive.google.com/open?id=1h-ZIRwP5XB0PjfVGJFEC1KoZOzxeIYeO" TargetMode="External"/><Relationship Id="rId19" Type="http://schemas.openxmlformats.org/officeDocument/2006/relationships/hyperlink" Target="https://drive.google.com/open?id=1IjmqUUZFFgC3Jfg-OgxuoEo9L6zauq6h" TargetMode="External"/><Relationship Id="rId18" Type="http://schemas.openxmlformats.org/officeDocument/2006/relationships/hyperlink" Target="https://drive.google.com/open?id=1vFiwI6fG6Cny8hoSWEeKJo6HpajfztOA" TargetMode="External"/><Relationship Id="rId84" Type="http://schemas.openxmlformats.org/officeDocument/2006/relationships/hyperlink" Target="https://drive.google.com/open?id=1THvuolHP5RAPMR6YkI4avNvApwjXZYyD" TargetMode="External"/><Relationship Id="rId83" Type="http://schemas.openxmlformats.org/officeDocument/2006/relationships/hyperlink" Target="https://drive.google.com/open?id=1cB7p5_7rw06mOQ9oBBttcZNbMi2Ve-5-" TargetMode="External"/><Relationship Id="rId86" Type="http://schemas.openxmlformats.org/officeDocument/2006/relationships/hyperlink" Target="https://drive.google.com/open?id=1H72WYkFjruQp7n10zy01oXdiKSpgz5LT" TargetMode="External"/><Relationship Id="rId85" Type="http://schemas.openxmlformats.org/officeDocument/2006/relationships/hyperlink" Target="https://drive.google.com/open?id=11AS6kOex3aesluW-uQKw2K_TfbkvUjk2" TargetMode="External"/><Relationship Id="rId88" Type="http://schemas.openxmlformats.org/officeDocument/2006/relationships/hyperlink" Target="https://drive.google.com/open?id=15f3HDofnmX8Hfuu1mdgC13GAeONDoI74" TargetMode="External"/><Relationship Id="rId87" Type="http://schemas.openxmlformats.org/officeDocument/2006/relationships/hyperlink" Target="https://drive.google.com/open?id=1ZQqXNvj-N9gVvCG0rJXobUqyMr-bR2Yp" TargetMode="External"/><Relationship Id="rId89" Type="http://schemas.openxmlformats.org/officeDocument/2006/relationships/hyperlink" Target="https://drive.google.com/open?id=1gbmXLvnBAQajwibFH8jTftgM9Q7VDBr4" TargetMode="External"/><Relationship Id="rId80" Type="http://schemas.openxmlformats.org/officeDocument/2006/relationships/hyperlink" Target="https://drive.google.com/open?id=1Gvr4nvieMe2-8XBJM6MHK85cIpr-DkbH" TargetMode="External"/><Relationship Id="rId82" Type="http://schemas.openxmlformats.org/officeDocument/2006/relationships/hyperlink" Target="https://drive.google.com/open?id=1MGQzQTZehSierbQo7MBiPHEYCOz-bLAW" TargetMode="External"/><Relationship Id="rId81" Type="http://schemas.openxmlformats.org/officeDocument/2006/relationships/hyperlink" Target="https://drive.google.com/open?id=1uhp7YvoLj_MmpWs77ds1oLC8jmmnVIBk" TargetMode="External"/><Relationship Id="rId1" Type="http://schemas.openxmlformats.org/officeDocument/2006/relationships/hyperlink" Target="https://drive.google.com/open?id=1eA5ZuRnBdlHxsClqLUNPdbWpurooqUeK" TargetMode="External"/><Relationship Id="rId2" Type="http://schemas.openxmlformats.org/officeDocument/2006/relationships/hyperlink" Target="https://drive.google.com/open?id=1CfQRklphYG-fgpJhKRF_celKHY7-LAOs" TargetMode="External"/><Relationship Id="rId3" Type="http://schemas.openxmlformats.org/officeDocument/2006/relationships/hyperlink" Target="https://drive.google.com/open?id=1ejEHB2EEf1wE94sAsZ5DzF4j0tZUPayw" TargetMode="External"/><Relationship Id="rId4" Type="http://schemas.openxmlformats.org/officeDocument/2006/relationships/hyperlink" Target="https://drive.google.com/open?id=1Ji_tV3NkVXubUkqasrBzsBSOFSbcJ8p_" TargetMode="External"/><Relationship Id="rId9" Type="http://schemas.openxmlformats.org/officeDocument/2006/relationships/hyperlink" Target="https://drive.google.com/open?id=12-G8Zmj6bo28f_8BtAa8Z34ch0Kd4J5B" TargetMode="External"/><Relationship Id="rId5" Type="http://schemas.openxmlformats.org/officeDocument/2006/relationships/hyperlink" Target="https://drive.google.com/open?id=1OBahePxre0A-i-8XNu-3yxVX8e81SVnS" TargetMode="External"/><Relationship Id="rId6" Type="http://schemas.openxmlformats.org/officeDocument/2006/relationships/hyperlink" Target="https://drive.google.com/open?id=15vpBg9GrwrZv7vHbKLhWiC6s832qV3wA" TargetMode="External"/><Relationship Id="rId7" Type="http://schemas.openxmlformats.org/officeDocument/2006/relationships/hyperlink" Target="https://drive.google.com/open?id=1YJf4-iLu8XDd3eE-thiiuhh0XZJiULBQ" TargetMode="External"/><Relationship Id="rId8" Type="http://schemas.openxmlformats.org/officeDocument/2006/relationships/hyperlink" Target="https://drive.google.com/open?id=1YfQ_n4yRzS0BKo-HewkEGR-hc6ql5LnU" TargetMode="External"/><Relationship Id="rId73" Type="http://schemas.openxmlformats.org/officeDocument/2006/relationships/hyperlink" Target="https://drive.google.com/open?id=1bKj3kegyx5xgZBV-7iYc2Rnd9L2oQ78J" TargetMode="External"/><Relationship Id="rId72" Type="http://schemas.openxmlformats.org/officeDocument/2006/relationships/hyperlink" Target="https://drive.google.com/open?id=1Mq37M-CVMtlVagIDtUQ8yp8FkOC5Cgqo" TargetMode="External"/><Relationship Id="rId75" Type="http://schemas.openxmlformats.org/officeDocument/2006/relationships/hyperlink" Target="https://drive.google.com/open?id=1uShOD8yc_LOFT7GQG8lw5XFsl1dATZHc" TargetMode="External"/><Relationship Id="rId74" Type="http://schemas.openxmlformats.org/officeDocument/2006/relationships/hyperlink" Target="https://drive.google.com/open?id=16sLE-ZoI7_0eyMizg_7CvvMkyVi_H3nV" TargetMode="External"/><Relationship Id="rId77" Type="http://schemas.openxmlformats.org/officeDocument/2006/relationships/hyperlink" Target="https://drive.google.com/open?id=1Tq9vXEiFQZ1Ec6I18vntJ2ZnqLmiT452" TargetMode="External"/><Relationship Id="rId76" Type="http://schemas.openxmlformats.org/officeDocument/2006/relationships/hyperlink" Target="https://drive.google.com/open?id=18tp2abEk-eWFD5U2DyG32u7rWS4v8uv5" TargetMode="External"/><Relationship Id="rId79" Type="http://schemas.openxmlformats.org/officeDocument/2006/relationships/hyperlink" Target="https://drive.google.com/open?id=10pBdYHadnT2Z5DSvhqSn4ZP-T2NmiHD5" TargetMode="External"/><Relationship Id="rId78" Type="http://schemas.openxmlformats.org/officeDocument/2006/relationships/hyperlink" Target="https://drive.google.com/open?id=1S0QXfvIYXknn9JezYskk53c2TCYj0QKT" TargetMode="External"/><Relationship Id="rId71" Type="http://schemas.openxmlformats.org/officeDocument/2006/relationships/hyperlink" Target="https://drive.google.com/open?id=1iV_M9hKUrl57yTMWMW0JUZW0fyy3gBXF" TargetMode="External"/><Relationship Id="rId70" Type="http://schemas.openxmlformats.org/officeDocument/2006/relationships/hyperlink" Target="https://drive.google.com/open?id=1zMB6N4rP7T_oYWsEyKYgsvHj3JnZA8iV" TargetMode="External"/><Relationship Id="rId62" Type="http://schemas.openxmlformats.org/officeDocument/2006/relationships/hyperlink" Target="https://drive.google.com/open?id=1mtW8zZ-nWZvex-1yxEPN-3BERgv2pmPD" TargetMode="External"/><Relationship Id="rId61" Type="http://schemas.openxmlformats.org/officeDocument/2006/relationships/hyperlink" Target="https://drive.google.com/open?id=1KkEI9qLTCGn0xQe5BdPqF38tA0WaTQGR" TargetMode="External"/><Relationship Id="rId64" Type="http://schemas.openxmlformats.org/officeDocument/2006/relationships/hyperlink" Target="https://drive.google.com/open?id=131XqnABfjUdQxwsFx5SY6aPWQxYsN999" TargetMode="External"/><Relationship Id="rId63" Type="http://schemas.openxmlformats.org/officeDocument/2006/relationships/hyperlink" Target="https://drive.google.com/open?id=1pNjy3m8BznoQJoZY-strkG2OohehVG0N" TargetMode="External"/><Relationship Id="rId66" Type="http://schemas.openxmlformats.org/officeDocument/2006/relationships/hyperlink" Target="https://drive.google.com/open?id=1mu8GIrpQIuELnXHXB6q1pFhdBMXFIXil" TargetMode="External"/><Relationship Id="rId65" Type="http://schemas.openxmlformats.org/officeDocument/2006/relationships/hyperlink" Target="https://drive.google.com/open?id=1_BV0OBmqGPZwQWhCGQUyAGuj7XTvHuaI" TargetMode="External"/><Relationship Id="rId68" Type="http://schemas.openxmlformats.org/officeDocument/2006/relationships/hyperlink" Target="https://drive.google.com/open?id=1Qh9bSc3Igs-_f9kBtj8dbIwv_kom9rOL" TargetMode="External"/><Relationship Id="rId67" Type="http://schemas.openxmlformats.org/officeDocument/2006/relationships/hyperlink" Target="https://drive.google.com/open?id=1AmSoqlew814OJiCEYbIdboQkxjqgfB8d" TargetMode="External"/><Relationship Id="rId60" Type="http://schemas.openxmlformats.org/officeDocument/2006/relationships/hyperlink" Target="https://drive.google.com/open?id=1K1HQJsn7bo5PawkqaG_VDkQCqvRAW2St" TargetMode="External"/><Relationship Id="rId69" Type="http://schemas.openxmlformats.org/officeDocument/2006/relationships/hyperlink" Target="https://drive.google.com/open?id=18_WNxPHRhgjxbR60CLK-EsEJUIlAl0E2" TargetMode="External"/><Relationship Id="rId51" Type="http://schemas.openxmlformats.org/officeDocument/2006/relationships/hyperlink" Target="https://drive.google.com/open?id=1j-9Rp-1F2U2Au0b6MW49QKGuP8LF_H8S" TargetMode="External"/><Relationship Id="rId50" Type="http://schemas.openxmlformats.org/officeDocument/2006/relationships/hyperlink" Target="https://drive.google.com/open?id=1S38H2Q54TAsqATOthUBSUniWjMQTjqQ3" TargetMode="External"/><Relationship Id="rId53" Type="http://schemas.openxmlformats.org/officeDocument/2006/relationships/hyperlink" Target="https://drive.google.com/open?id=12apy2Nvqg9_7nSOHnZnx_lUMKYc98yW_" TargetMode="External"/><Relationship Id="rId52" Type="http://schemas.openxmlformats.org/officeDocument/2006/relationships/hyperlink" Target="https://drive.google.com/open?id=1w43OrDDUDDyAifbOBu3pJV1sJoHJzu8v" TargetMode="External"/><Relationship Id="rId55" Type="http://schemas.openxmlformats.org/officeDocument/2006/relationships/hyperlink" Target="https://drive.google.com/open?id=1YibOgVDONUtke6WlvGzz4TCKfLJd6f__" TargetMode="External"/><Relationship Id="rId54" Type="http://schemas.openxmlformats.org/officeDocument/2006/relationships/hyperlink" Target="https://drive.google.com/open?id=1GJtzIIjWRvzh0nVoRUwcIo-YNsDLSogp" TargetMode="External"/><Relationship Id="rId57" Type="http://schemas.openxmlformats.org/officeDocument/2006/relationships/hyperlink" Target="https://drive.google.com/open?id=1kveAM6VjnfWic-jsNM7CXB9j3QAJYeQf" TargetMode="External"/><Relationship Id="rId56" Type="http://schemas.openxmlformats.org/officeDocument/2006/relationships/hyperlink" Target="https://drive.google.com/open?id=1Y6D5Eu82xQn1MpvEA-kwSq9_fjgWmxec" TargetMode="External"/><Relationship Id="rId59" Type="http://schemas.openxmlformats.org/officeDocument/2006/relationships/hyperlink" Target="https://drive.google.com/open?id=1IKTjIwQAV1jlMOgS5paUxR3EsmERr6Uf" TargetMode="External"/><Relationship Id="rId58" Type="http://schemas.openxmlformats.org/officeDocument/2006/relationships/hyperlink" Target="https://drive.google.com/open?id=1YlrsMVGWJZI268P8yfldJ9RZtR3MSYj8"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open?id=1zxw6Daos2lxpHd13s4hJ-vKoyBbl1WXT" TargetMode="External"/><Relationship Id="rId42" Type="http://schemas.openxmlformats.org/officeDocument/2006/relationships/hyperlink" Target="https://drive.google.com/open?id=16dX5Xjpi4CTR-TmySKRVHDp-XLrXLdyL" TargetMode="External"/><Relationship Id="rId41" Type="http://schemas.openxmlformats.org/officeDocument/2006/relationships/hyperlink" Target="https://drive.google.com/open?id=1fiHCPj3VYgE_nOIeeylzPZKTy_1x9mlU" TargetMode="External"/><Relationship Id="rId44" Type="http://schemas.openxmlformats.org/officeDocument/2006/relationships/hyperlink" Target="https://drive.google.com/open?id=17bGfkTUugx4fm6Nslpl60cWqZXBHGkiL" TargetMode="External"/><Relationship Id="rId43" Type="http://schemas.openxmlformats.org/officeDocument/2006/relationships/hyperlink" Target="https://drive.google.com/open?id=1Jc4YbN_WMHvGWAl0s7_LplGx_19OZLfR" TargetMode="External"/><Relationship Id="rId46" Type="http://schemas.openxmlformats.org/officeDocument/2006/relationships/hyperlink" Target="https://drive.google.com/open?id=1M4Vu5ktut24_jMoF2i8RJXHDC0qU1TQ8" TargetMode="External"/><Relationship Id="rId45" Type="http://schemas.openxmlformats.org/officeDocument/2006/relationships/hyperlink" Target="https://drive.google.com/open?id=1-V8V5iTlc3mYNFo8IJzODgtdd8uAeI7I" TargetMode="External"/><Relationship Id="rId104" Type="http://schemas.openxmlformats.org/officeDocument/2006/relationships/drawing" Target="../drawings/drawing10.xml"/><Relationship Id="rId48" Type="http://schemas.openxmlformats.org/officeDocument/2006/relationships/hyperlink" Target="https://drive.google.com/open?id=19sAETLdi6kTVuQEiRaRElJ9vv_LYEEVn" TargetMode="External"/><Relationship Id="rId47" Type="http://schemas.openxmlformats.org/officeDocument/2006/relationships/hyperlink" Target="https://drive.google.com/open?id=1ZAK62t_hPAMwxhXyXe66cGFqTRp-F-ni" TargetMode="External"/><Relationship Id="rId49" Type="http://schemas.openxmlformats.org/officeDocument/2006/relationships/hyperlink" Target="https://drive.google.com/open?id=1p1YT74gznYb0K_ow71ooTetwq-4i7r8-" TargetMode="External"/><Relationship Id="rId103" Type="http://schemas.openxmlformats.org/officeDocument/2006/relationships/hyperlink" Target="https://drive.google.com/open?id=1un8qpa_odX2oePVTbpL4jyP8uawVaV0Q" TargetMode="External"/><Relationship Id="rId102" Type="http://schemas.openxmlformats.org/officeDocument/2006/relationships/hyperlink" Target="https://drive.google.com/open?id=1SGU8n0xHPaxhtlUgVTFbDI8PzztTX2e5" TargetMode="External"/><Relationship Id="rId101" Type="http://schemas.openxmlformats.org/officeDocument/2006/relationships/hyperlink" Target="https://drive.google.com/open?id=1RjI9wV_kLQ5R_IzEHg9hefbHsphr3RAS" TargetMode="External"/><Relationship Id="rId100" Type="http://schemas.openxmlformats.org/officeDocument/2006/relationships/hyperlink" Target="https://drive.google.com/open?id=1iQyeM1_2sFXU4h4klYEZ4DkOac1s7Lxn" TargetMode="External"/><Relationship Id="rId31" Type="http://schemas.openxmlformats.org/officeDocument/2006/relationships/hyperlink" Target="https://drive.google.com/open?id=15tRh8xlzcHRllCB4TPBI9YtfWPCHUQ0X" TargetMode="External"/><Relationship Id="rId30" Type="http://schemas.openxmlformats.org/officeDocument/2006/relationships/hyperlink" Target="https://drive.google.com/open?id=1aQd_JzvB9D0y4x7gKLCZkp1xJrfbS-wS" TargetMode="External"/><Relationship Id="rId33" Type="http://schemas.openxmlformats.org/officeDocument/2006/relationships/hyperlink" Target="https://drive.google.com/open?id=1fLvwheNYHUP9TJAk_vpWiD-Lz_IllzaG" TargetMode="External"/><Relationship Id="rId32" Type="http://schemas.openxmlformats.org/officeDocument/2006/relationships/hyperlink" Target="https://drive.google.com/open?id=1PZrGd-3j5dwMWtYvjUBeRH-1Lcr9SNdz" TargetMode="External"/><Relationship Id="rId35" Type="http://schemas.openxmlformats.org/officeDocument/2006/relationships/hyperlink" Target="https://drive.google.com/open?id=1uPgT2MCVfjJnhkMRCWhzeGcnlvZzkHpQ" TargetMode="External"/><Relationship Id="rId34" Type="http://schemas.openxmlformats.org/officeDocument/2006/relationships/hyperlink" Target="https://drive.google.com/open?id=1zDhvojqwdPjrAwhdMFzYm4nIztd3Ty2C" TargetMode="External"/><Relationship Id="rId37" Type="http://schemas.openxmlformats.org/officeDocument/2006/relationships/hyperlink" Target="https://drive.google.com/open?id=1-pxexxe8LCxlqwGmdNTy0MPu86pqX9aU" TargetMode="External"/><Relationship Id="rId36" Type="http://schemas.openxmlformats.org/officeDocument/2006/relationships/hyperlink" Target="https://drive.google.com/open?id=1KWX6XzAwVkHxfbYG_b_h6zi_-VTAUpGa" TargetMode="External"/><Relationship Id="rId39" Type="http://schemas.openxmlformats.org/officeDocument/2006/relationships/hyperlink" Target="https://drive.google.com/open?id=1jMTG_LKZVkZpTnA70-iIdyo7RofY_6dU" TargetMode="External"/><Relationship Id="rId38" Type="http://schemas.openxmlformats.org/officeDocument/2006/relationships/hyperlink" Target="https://drive.google.com/open?id=1AjI7p_xhxO-ZaiIs4cu8-GATRLr4itb6" TargetMode="External"/><Relationship Id="rId20" Type="http://schemas.openxmlformats.org/officeDocument/2006/relationships/hyperlink" Target="https://drive.google.com/open?id=1HuV2MnJWU98ZzhfrVrzAqHE7-X8XOyvK" TargetMode="External"/><Relationship Id="rId22" Type="http://schemas.openxmlformats.org/officeDocument/2006/relationships/hyperlink" Target="https://drive.google.com/open?id=13_s6C5CwQYwIlJt27JsaCf9jZFJtmhr5" TargetMode="External"/><Relationship Id="rId21" Type="http://schemas.openxmlformats.org/officeDocument/2006/relationships/hyperlink" Target="https://drive.google.com/open?id=1-4fUWMDgAtyEdmtmWYIjgBMm5M9EQ939" TargetMode="External"/><Relationship Id="rId24" Type="http://schemas.openxmlformats.org/officeDocument/2006/relationships/hyperlink" Target="https://drive.google.com/open?id=1hQQcMak8wAkeIQJmGtvUuvGALOpiQZHu" TargetMode="External"/><Relationship Id="rId23" Type="http://schemas.openxmlformats.org/officeDocument/2006/relationships/hyperlink" Target="https://drive.google.com/open?id=1n-smqvheZxIuyW5_RQIaifK1FBjcK9uw" TargetMode="External"/><Relationship Id="rId26" Type="http://schemas.openxmlformats.org/officeDocument/2006/relationships/hyperlink" Target="https://drive.google.com/open?id=1DgsJWpMmMzcKWIYPVvlN4TCUK2Yk372T" TargetMode="External"/><Relationship Id="rId25" Type="http://schemas.openxmlformats.org/officeDocument/2006/relationships/hyperlink" Target="https://drive.google.com/open?id=1ZPL75pgeg4J2gv9SzZRTxzw9tG42RW7Z" TargetMode="External"/><Relationship Id="rId28" Type="http://schemas.openxmlformats.org/officeDocument/2006/relationships/hyperlink" Target="https://drive.google.com/open?id=1MaqmOyjnauKZku57AnHV3Mo3GJJj5eML" TargetMode="External"/><Relationship Id="rId27" Type="http://schemas.openxmlformats.org/officeDocument/2006/relationships/hyperlink" Target="https://drive.google.com/open?id=1OyqvfekJwA6bF6rjV7Bwz3G_bqFfgnA3" TargetMode="External"/><Relationship Id="rId29" Type="http://schemas.openxmlformats.org/officeDocument/2006/relationships/hyperlink" Target="https://drive.google.com/open?id=1kxCRfE1KxzQ2E-pNVfn2sXeQUlFixKP3" TargetMode="External"/><Relationship Id="rId95" Type="http://schemas.openxmlformats.org/officeDocument/2006/relationships/hyperlink" Target="https://drive.google.com/open?id=1LqZ2s3lnbdAD4Xb9NAJSrQP6XWRNap5K" TargetMode="External"/><Relationship Id="rId94" Type="http://schemas.openxmlformats.org/officeDocument/2006/relationships/hyperlink" Target="https://drive.google.com/open?id=1xe4VgAz6GWdqX-yAAm98o8JBwTOXZHKz" TargetMode="External"/><Relationship Id="rId97" Type="http://schemas.openxmlformats.org/officeDocument/2006/relationships/hyperlink" Target="https://drive.google.com/open?id=16PnMLb_qWZNXHKqK9Wzu4oLxIokD0ypS" TargetMode="External"/><Relationship Id="rId96" Type="http://schemas.openxmlformats.org/officeDocument/2006/relationships/hyperlink" Target="https://drive.google.com/open?id=1YEtMtsKgEhK-ISVsQ0NKSuMK9iauPXkS" TargetMode="External"/><Relationship Id="rId11" Type="http://schemas.openxmlformats.org/officeDocument/2006/relationships/hyperlink" Target="https://drive.google.com/open?id=16hxILN1QlA4VGM3-nQjIQYR33JkUzC0i" TargetMode="External"/><Relationship Id="rId99" Type="http://schemas.openxmlformats.org/officeDocument/2006/relationships/hyperlink" Target="https://drive.google.com/open?id=1zpZzaXrNEIRArK-lwut9TdLB_8JeH090" TargetMode="External"/><Relationship Id="rId10" Type="http://schemas.openxmlformats.org/officeDocument/2006/relationships/hyperlink" Target="https://drive.google.com/open?id=1Z-M5YXQ2CaRHGRUU2tRaaTIOeeVAkrLq" TargetMode="External"/><Relationship Id="rId98" Type="http://schemas.openxmlformats.org/officeDocument/2006/relationships/hyperlink" Target="https://drive.google.com/open?id=19QorYuu7YZTjks4ATtYZa-79UzV0aWO1" TargetMode="External"/><Relationship Id="rId13" Type="http://schemas.openxmlformats.org/officeDocument/2006/relationships/hyperlink" Target="https://drive.google.com/open?id=1ADyNmTo7le8Bn_gSKi0K3k-fx8_KkXaR" TargetMode="External"/><Relationship Id="rId12" Type="http://schemas.openxmlformats.org/officeDocument/2006/relationships/hyperlink" Target="https://drive.google.com/open?id=1ExDFmHWIH5pEEKOc49XJrSr4jdH5bbGD" TargetMode="External"/><Relationship Id="rId91" Type="http://schemas.openxmlformats.org/officeDocument/2006/relationships/hyperlink" Target="https://drive.google.com/open?id=1uKTKbZefKTIk8i6nC00nWz-AcX4hJEyG" TargetMode="External"/><Relationship Id="rId90" Type="http://schemas.openxmlformats.org/officeDocument/2006/relationships/hyperlink" Target="https://drive.google.com/open?id=1jSdeILKEwCraE5aw7HVJmwHaF1knu7YE" TargetMode="External"/><Relationship Id="rId93" Type="http://schemas.openxmlformats.org/officeDocument/2006/relationships/hyperlink" Target="https://drive.google.com/open?id=1aKfZv7ahDjDpo2psb4JBvnrQL_nIKmUN" TargetMode="External"/><Relationship Id="rId92" Type="http://schemas.openxmlformats.org/officeDocument/2006/relationships/hyperlink" Target="https://drive.google.com/open?id=1al8y2BHyyi9m4B-aysHaVIG-I-1_qSfB" TargetMode="External"/><Relationship Id="rId15" Type="http://schemas.openxmlformats.org/officeDocument/2006/relationships/hyperlink" Target="https://drive.google.com/open?id=1i-t3pUlV_TzmrkVpOkASGh9vsdUe7f_n" TargetMode="External"/><Relationship Id="rId14" Type="http://schemas.openxmlformats.org/officeDocument/2006/relationships/hyperlink" Target="https://drive.google.com/open?id=1DOHSQ2EPS3cuL1ujTbKnvSuxlkD6R5DD" TargetMode="External"/><Relationship Id="rId17" Type="http://schemas.openxmlformats.org/officeDocument/2006/relationships/hyperlink" Target="https://drive.google.com/open?id=1xp-OfrR1nikInp9lWxJ5GVU8lpdd_e-W" TargetMode="External"/><Relationship Id="rId16" Type="http://schemas.openxmlformats.org/officeDocument/2006/relationships/hyperlink" Target="https://drive.google.com/open?id=1N7NW-cFtw_h9192BGG15Az4ZNJ8d-G6G" TargetMode="External"/><Relationship Id="rId19" Type="http://schemas.openxmlformats.org/officeDocument/2006/relationships/hyperlink" Target="https://drive.google.com/open?id=1a9RyYYCzQqow4KlUmLek0hH8vAzNjZkx" TargetMode="External"/><Relationship Id="rId18" Type="http://schemas.openxmlformats.org/officeDocument/2006/relationships/hyperlink" Target="https://drive.google.com/open?id=1YJd_jcjubFC2XBvrl7dHcq-o28tGFRhj" TargetMode="External"/><Relationship Id="rId84" Type="http://schemas.openxmlformats.org/officeDocument/2006/relationships/hyperlink" Target="https://drive.google.com/open?id=1x9JN8lp5N5edqI0fw5tf0-kAl6Yg4XDo" TargetMode="External"/><Relationship Id="rId83" Type="http://schemas.openxmlformats.org/officeDocument/2006/relationships/hyperlink" Target="https://drive.google.com/open?id=1ouLYpoA0U344CGyUFMJamRR8eoX6GK__" TargetMode="External"/><Relationship Id="rId86" Type="http://schemas.openxmlformats.org/officeDocument/2006/relationships/hyperlink" Target="https://drive.google.com/open?id=1WhYd8Y7TKomWeTbFs1YucYbHgcIL_3bi" TargetMode="External"/><Relationship Id="rId85" Type="http://schemas.openxmlformats.org/officeDocument/2006/relationships/hyperlink" Target="https://drive.google.com/open?id=1Ilt1RwYcpz63Arlj7g7ie9-NpsU3yVPE" TargetMode="External"/><Relationship Id="rId88" Type="http://schemas.openxmlformats.org/officeDocument/2006/relationships/hyperlink" Target="https://drive.google.com/open?id=1I-9ZrP1Ys3S3EVXJnByKOhcveqOtUf8c" TargetMode="External"/><Relationship Id="rId87" Type="http://schemas.openxmlformats.org/officeDocument/2006/relationships/hyperlink" Target="https://drive.google.com/open?id=1OR6D0PMoKArGqGKxvAnOHfBYTWe_aiP2" TargetMode="External"/><Relationship Id="rId89" Type="http://schemas.openxmlformats.org/officeDocument/2006/relationships/hyperlink" Target="https://drive.google.com/open?id=1RrnjSXGqP74UotrzoAWCGW3OVzVn3tZq" TargetMode="External"/><Relationship Id="rId80" Type="http://schemas.openxmlformats.org/officeDocument/2006/relationships/hyperlink" Target="https://drive.google.com/open?id=1bKDoXzVeQHyVSO6WRY2z-ZU8_TtCevIx" TargetMode="External"/><Relationship Id="rId82" Type="http://schemas.openxmlformats.org/officeDocument/2006/relationships/hyperlink" Target="https://drive.google.com/open?id=1PchFGp2rIwq9ieg47nYvQLF4_yHc8CWl" TargetMode="External"/><Relationship Id="rId81" Type="http://schemas.openxmlformats.org/officeDocument/2006/relationships/hyperlink" Target="https://drive.google.com/open?id=1kH8xljz0c-y6BX2axwprutZl0UlOcxiF" TargetMode="External"/><Relationship Id="rId1" Type="http://schemas.openxmlformats.org/officeDocument/2006/relationships/hyperlink" Target="https://drive.google.com/open?id=1PVH5jsQX3Qlv0s7fpi7ppIjKxPCuAaBn" TargetMode="External"/><Relationship Id="rId2" Type="http://schemas.openxmlformats.org/officeDocument/2006/relationships/hyperlink" Target="https://drive.google.com/open?id=1Hp03mziP87UvV5RN2UnhQZjrQI3gIOsF" TargetMode="External"/><Relationship Id="rId3" Type="http://schemas.openxmlformats.org/officeDocument/2006/relationships/hyperlink" Target="https://drive.google.com/open?id=1nsRDbzsKCkf_YJ2xGziQZvI3rjUBoWCY" TargetMode="External"/><Relationship Id="rId4" Type="http://schemas.openxmlformats.org/officeDocument/2006/relationships/hyperlink" Target="https://drive.google.com/open?id=17metTmYVUr3JLmYebPq7q7hTWJdgp7eB" TargetMode="External"/><Relationship Id="rId9" Type="http://schemas.openxmlformats.org/officeDocument/2006/relationships/hyperlink" Target="https://drive.google.com/open?id=1cwTfTXiNZLJwnFobD1TRXo_D8qQ0uRI8" TargetMode="External"/><Relationship Id="rId5" Type="http://schemas.openxmlformats.org/officeDocument/2006/relationships/hyperlink" Target="https://drive.google.com/open?id=1hV1Hond9kbDxA0iUVax_2S5fTgEZsYaC" TargetMode="External"/><Relationship Id="rId6" Type="http://schemas.openxmlformats.org/officeDocument/2006/relationships/hyperlink" Target="https://drive.google.com/open?id=1qyiZtfn9-VZKipXx_VMfy4pW1op3GUvE" TargetMode="External"/><Relationship Id="rId7" Type="http://schemas.openxmlformats.org/officeDocument/2006/relationships/hyperlink" Target="https://drive.google.com/open?id=1dxi91hx31_w3n1LaPYoNf3-nz2fbYMdy" TargetMode="External"/><Relationship Id="rId8" Type="http://schemas.openxmlformats.org/officeDocument/2006/relationships/hyperlink" Target="https://drive.google.com/open?id=1PQJf1uFzqc_eUTljQZFX5r2noGRFf1TK" TargetMode="External"/><Relationship Id="rId73" Type="http://schemas.openxmlformats.org/officeDocument/2006/relationships/hyperlink" Target="https://drive.google.com/open?id=1_4Nq0dFoFJL4PWlU_tTr9-TIVFIWM05R" TargetMode="External"/><Relationship Id="rId72" Type="http://schemas.openxmlformats.org/officeDocument/2006/relationships/hyperlink" Target="https://drive.google.com/open?id=1IvoEobmZYZ5azTRdmC3EiGaxJYfZR73P" TargetMode="External"/><Relationship Id="rId75" Type="http://schemas.openxmlformats.org/officeDocument/2006/relationships/hyperlink" Target="https://drive.google.com/open?id=1xEyDPaAkwTS2VWtJo7xpno6juZBl_Rpy" TargetMode="External"/><Relationship Id="rId74" Type="http://schemas.openxmlformats.org/officeDocument/2006/relationships/hyperlink" Target="https://drive.google.com/open?id=1beMnRNeRCboHU7DZeni-WUjR1otB-lHF" TargetMode="External"/><Relationship Id="rId77" Type="http://schemas.openxmlformats.org/officeDocument/2006/relationships/hyperlink" Target="https://drive.google.com/open?id=1__tduvt7O_gux6okjHWcZipBTRIDe_VQ" TargetMode="External"/><Relationship Id="rId76" Type="http://schemas.openxmlformats.org/officeDocument/2006/relationships/hyperlink" Target="https://drive.google.com/open?id=17RJwwTbNJx77pAQsCgEBetKaUd2u-IPA" TargetMode="External"/><Relationship Id="rId79" Type="http://schemas.openxmlformats.org/officeDocument/2006/relationships/hyperlink" Target="https://drive.google.com/open?id=1CYzixbXw1q3J6g_ojRy2GccLPfmctxUi" TargetMode="External"/><Relationship Id="rId78" Type="http://schemas.openxmlformats.org/officeDocument/2006/relationships/hyperlink" Target="https://drive.google.com/open?id=1cYcuvU2Y8aj8_nuQF7HSXaxqWUiXNEX1" TargetMode="External"/><Relationship Id="rId71" Type="http://schemas.openxmlformats.org/officeDocument/2006/relationships/hyperlink" Target="https://drive.google.com/open?id=1TOTrXxorHGAlHGDUAntcr_eSMrNNQ7hM" TargetMode="External"/><Relationship Id="rId70" Type="http://schemas.openxmlformats.org/officeDocument/2006/relationships/hyperlink" Target="https://drive.google.com/open?id=1YEkiNVj5RkFgTKImeOQRhvOb3WbbiSUl" TargetMode="External"/><Relationship Id="rId62" Type="http://schemas.openxmlformats.org/officeDocument/2006/relationships/hyperlink" Target="https://drive.google.com/open?id=1RUATIbmTKNQdvD0n7XOOvKMzRcctobxn" TargetMode="External"/><Relationship Id="rId61" Type="http://schemas.openxmlformats.org/officeDocument/2006/relationships/hyperlink" Target="https://drive.google.com/open?id=1UihWszquklQmA3aP7wNXclCWVDzUTxG5" TargetMode="External"/><Relationship Id="rId64" Type="http://schemas.openxmlformats.org/officeDocument/2006/relationships/hyperlink" Target="https://drive.google.com/open?id=1e60CjBCw9E82-7S7h1A_HBQJz3NUzJ5q" TargetMode="External"/><Relationship Id="rId63" Type="http://schemas.openxmlformats.org/officeDocument/2006/relationships/hyperlink" Target="https://drive.google.com/open?id=1bEJS1_r2O61Rpiw-HqgJNeokYUke__c4" TargetMode="External"/><Relationship Id="rId66" Type="http://schemas.openxmlformats.org/officeDocument/2006/relationships/hyperlink" Target="https://drive.google.com/open?id=1PHAYyaINbIF86gMCfGbpu7P3v19O0hRs" TargetMode="External"/><Relationship Id="rId65" Type="http://schemas.openxmlformats.org/officeDocument/2006/relationships/hyperlink" Target="https://drive.google.com/open?id=1dxrVcdqANmqwtZNVUO8ncDXLEWzcqAjn" TargetMode="External"/><Relationship Id="rId68" Type="http://schemas.openxmlformats.org/officeDocument/2006/relationships/hyperlink" Target="https://drive.google.com/open?id=1hztqSSHifIC4m60BPcjC7Z4JCgSn6A-0" TargetMode="External"/><Relationship Id="rId67" Type="http://schemas.openxmlformats.org/officeDocument/2006/relationships/hyperlink" Target="https://drive.google.com/open?id=1u6LMYmU4sBE1cTiVNMNFp6rz5TTGwuPE" TargetMode="External"/><Relationship Id="rId60" Type="http://schemas.openxmlformats.org/officeDocument/2006/relationships/hyperlink" Target="https://drive.google.com/open?id=1qJSL_axlQLCo-o2WFS_rBX3jYPVHyvxH" TargetMode="External"/><Relationship Id="rId69" Type="http://schemas.openxmlformats.org/officeDocument/2006/relationships/hyperlink" Target="https://drive.google.com/open?id=1TNZKL3xqVEA0sCwpZeyC0a1uwh_mXLGR" TargetMode="External"/><Relationship Id="rId51" Type="http://schemas.openxmlformats.org/officeDocument/2006/relationships/hyperlink" Target="https://drive.google.com/open?id=1VmLlXV8dkjERZUeqFDQE6wj7tTZyXNq5" TargetMode="External"/><Relationship Id="rId50" Type="http://schemas.openxmlformats.org/officeDocument/2006/relationships/hyperlink" Target="https://drive.google.com/open?id=1Zv6rvevXvOr9PSgtxgESVqmWxan7weBl" TargetMode="External"/><Relationship Id="rId53" Type="http://schemas.openxmlformats.org/officeDocument/2006/relationships/hyperlink" Target="https://drive.google.com/open?id=1VtjRDxhpABIOnRcLtW6S11vbx2WhKaVj" TargetMode="External"/><Relationship Id="rId52" Type="http://schemas.openxmlformats.org/officeDocument/2006/relationships/hyperlink" Target="https://drive.google.com/open?id=1TgfZlSx5Pn0rE2iAvck_uWbsg0NkKe5y" TargetMode="External"/><Relationship Id="rId55" Type="http://schemas.openxmlformats.org/officeDocument/2006/relationships/hyperlink" Target="https://drive.google.com/open?id=1ME7nwFw28NQNUnScj6v_oPSX4aoO7WtT" TargetMode="External"/><Relationship Id="rId54" Type="http://schemas.openxmlformats.org/officeDocument/2006/relationships/hyperlink" Target="https://drive.google.com/open?id=1kO3C1tKwKDIZZYsOPfuA6kOdflPHWO12" TargetMode="External"/><Relationship Id="rId57" Type="http://schemas.openxmlformats.org/officeDocument/2006/relationships/hyperlink" Target="https://drive.google.com/open?id=1v78ZRTYvzxEqv0lN8CvjqL0hjsxUcJYO" TargetMode="External"/><Relationship Id="rId56" Type="http://schemas.openxmlformats.org/officeDocument/2006/relationships/hyperlink" Target="https://drive.google.com/open?id=1ILWuq4WndQNPSWPyD-jZ9qDoJlpsYddW" TargetMode="External"/><Relationship Id="rId59" Type="http://schemas.openxmlformats.org/officeDocument/2006/relationships/hyperlink" Target="https://drive.google.com/open?id=1RiDLXZnQ_MG7os-pG91E_xsTbEs2r0a9" TargetMode="External"/><Relationship Id="rId58" Type="http://schemas.openxmlformats.org/officeDocument/2006/relationships/hyperlink" Target="https://drive.google.com/open?id=1bMb2ZAz4ySQn5R9n6MQFh3Q8eA_BlLw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21.13"/>
    <col customWidth="1" min="3" max="3" width="6.25"/>
    <col customWidth="1" min="4" max="4" width="6.63"/>
    <col customWidth="1" min="5" max="5" width="8.38"/>
    <col customWidth="1" min="6" max="6" width="6.75"/>
    <col customWidth="1" min="7" max="7" width="6.25"/>
    <col customWidth="1" min="8" max="8" width="5.88"/>
    <col customWidth="1" min="9" max="9" width="6.5"/>
    <col customWidth="1" min="10" max="10" width="7.13"/>
    <col customWidth="1" min="11" max="11" width="9.5"/>
    <col customWidth="1" min="12" max="12" width="12.5"/>
    <col customWidth="1" min="13" max="13" width="6.38"/>
    <col customWidth="1" min="14" max="14" width="12.63"/>
    <col customWidth="1" min="15" max="15" width="16.5"/>
    <col customWidth="1" min="16" max="16" width="5.5"/>
    <col customWidth="1" min="17" max="17" width="19.13"/>
    <col customWidth="1" min="18" max="18" width="5.38"/>
    <col customWidth="1" min="19" max="19" width="6.5"/>
    <col customWidth="1" min="20" max="20" width="5.63"/>
    <col customWidth="1" min="21" max="22" width="5.5"/>
    <col customWidth="1" min="23" max="23" width="11.5"/>
    <col customWidth="1" min="24" max="24" width="6.63"/>
    <col customWidth="1" min="25" max="25" width="2.75"/>
    <col customWidth="1" min="27" max="27" width="13.88"/>
    <col customWidth="1" min="28" max="28" width="6.63"/>
    <col customWidth="1" min="29" max="29" width="8.0"/>
  </cols>
  <sheetData>
    <row r="1">
      <c r="A1" s="200" t="s">
        <v>1</v>
      </c>
      <c r="B1" s="202" t="s">
        <v>13</v>
      </c>
      <c r="C1" s="204">
        <v>45170.0</v>
      </c>
      <c r="D1" s="204">
        <v>45184.0</v>
      </c>
      <c r="E1" s="204">
        <v>45198.0</v>
      </c>
      <c r="F1" s="204">
        <v>45212.0</v>
      </c>
      <c r="G1" s="204">
        <v>45226.0</v>
      </c>
      <c r="H1" s="206">
        <v>45240.0</v>
      </c>
      <c r="I1" s="206">
        <v>45261.0</v>
      </c>
      <c r="J1" s="9"/>
      <c r="K1" s="14"/>
      <c r="L1" s="14"/>
      <c r="M1" s="14"/>
      <c r="N1" s="14"/>
      <c r="O1" s="14"/>
      <c r="P1" s="14"/>
      <c r="Q1" s="14"/>
      <c r="R1" s="14"/>
      <c r="S1" s="14"/>
      <c r="T1" s="14"/>
      <c r="U1" s="14"/>
      <c r="V1" s="14"/>
      <c r="W1" s="14"/>
      <c r="X1" s="14"/>
      <c r="Y1" s="14"/>
      <c r="Z1" s="14"/>
      <c r="AA1" s="208"/>
      <c r="AB1" s="208"/>
      <c r="AC1" s="14"/>
      <c r="AD1" s="14"/>
      <c r="AE1" s="14"/>
      <c r="AF1" s="14"/>
      <c r="AG1" s="14"/>
    </row>
    <row r="2">
      <c r="A2" s="15">
        <v>1564.0</v>
      </c>
      <c r="B2" s="209" t="s">
        <v>109</v>
      </c>
      <c r="C2" s="210">
        <f t="array" ref="C2">IFERROR(INDEX('Sep 1'!$C$2:$C$321, MATCH($A2,'Sep 1'!$B$2:$B$320,0)),"")</f>
        <v>4</v>
      </c>
      <c r="D2" s="210">
        <f t="array" ref="D2">IFERROR(INDEX('Sep 15'!$C$2:$C$370, MATCH($A2, 'Sep 15'!$B$2:$B$370,0)),"")</f>
        <v>3.85</v>
      </c>
      <c r="E2" s="210">
        <f t="array" ref="E2">IFERROR(INDEX('Sep 29'!$C$2:$C$435, MATCH($A2, 'Sep 29'!$B$2:$B$435,0)),"")</f>
        <v>3.845</v>
      </c>
      <c r="F2" s="210">
        <f t="array" ref="F2">IFERROR(INDEX('Oct 13'!$C$2:$C$389, MATCH($A2, 'Oct 13'!$B$2:$B$389,0)),"")</f>
        <v>3.462</v>
      </c>
      <c r="G2" s="210">
        <f t="array" ref="G2">IFERROR(INDEX('Oct 27'!$C$2:$C$434, MATCH($A2, 'Oct 27'!$B$2:$B$434,0)),"")</f>
        <v>3.538</v>
      </c>
      <c r="H2" s="210">
        <f t="array" ref="H2">IFERROR(INDEX('Nov 10'!$C$2:$C$485, MATCH($A2, 'Nov 10'!$B$2:$B$485,0)),"")</f>
        <v>3.538</v>
      </c>
      <c r="I2" s="210">
        <f t="array" ref="I2">IFERROR(INDEX('Dec 1'!$C$2:$C$542, MATCH($A2, 'Dec 1'!$B$2:$B$542,0)),"")</f>
        <v>3.744</v>
      </c>
      <c r="J2" s="210"/>
      <c r="K2" s="14"/>
      <c r="L2" s="14"/>
      <c r="M2" s="14"/>
      <c r="N2" s="14"/>
      <c r="O2" s="14"/>
      <c r="P2" s="14"/>
      <c r="Q2" s="14"/>
      <c r="R2" s="14"/>
      <c r="S2" s="14"/>
      <c r="T2" s="14"/>
      <c r="U2" s="14"/>
      <c r="V2" s="14"/>
      <c r="W2" s="14"/>
      <c r="X2" s="14"/>
      <c r="Y2" s="14"/>
      <c r="Z2" s="14"/>
      <c r="AA2" s="214"/>
      <c r="AB2" s="208"/>
      <c r="AC2" s="14"/>
      <c r="AD2" s="14"/>
      <c r="AE2" s="14"/>
      <c r="AF2" s="14"/>
      <c r="AG2" s="14"/>
    </row>
    <row r="3">
      <c r="A3" s="15">
        <v>1577.0</v>
      </c>
      <c r="B3" s="16" t="s">
        <v>23</v>
      </c>
      <c r="C3" s="210">
        <f t="array" ref="C3">IFERROR(INDEX('Sep 1'!$C$2:$C$321, MATCH($A3,'Sep 1'!$B$2:$B$320,0)),"")</f>
        <v>3.84</v>
      </c>
      <c r="D3" s="210">
        <f t="array" ref="D3">IFERROR(INDEX('Sep 15'!$C$2:$C$370, MATCH($A3, 'Sep 15'!$B$2:$B$370,0)),"")</f>
        <v>4</v>
      </c>
      <c r="E3" s="210">
        <f t="array" ref="E3">IFERROR(INDEX('Sep 29'!$C$2:$C$435, MATCH($A3, 'Sep 29'!$B$2:$B$435,0)),"")</f>
        <v>4</v>
      </c>
      <c r="F3" s="210">
        <f t="array" ref="F3">IFERROR(INDEX('Oct 13'!$C$2:$C$389, MATCH($A3, 'Oct 13'!$B$2:$B$389,0)),"")</f>
        <v>2</v>
      </c>
      <c r="G3" s="210">
        <f t="array" ref="G3">IFERROR(INDEX('Oct 27'!$C$2:$C$434, MATCH($A3, 'Oct 27'!$B$2:$B$434,0)),"")</f>
        <v>2</v>
      </c>
      <c r="H3" s="210">
        <f t="array" ref="H3">IFERROR(INDEX('Nov 10'!$C$2:$C$485, MATCH($A3, 'Nov 10'!$B$2:$B$485,0)),"")</f>
        <v>3.47</v>
      </c>
      <c r="I3" s="210">
        <f t="array" ref="I3">IFERROR(INDEX('Dec 1'!$C$2:$C$542, MATCH($A3, 'Dec 1'!$B$2:$B$542,0)),"")</f>
        <v>2</v>
      </c>
      <c r="J3" s="210"/>
      <c r="K3" s="14"/>
      <c r="L3" s="14"/>
      <c r="M3" s="14"/>
      <c r="N3" s="14"/>
      <c r="O3" s="14"/>
      <c r="P3" s="14"/>
      <c r="Q3" s="14"/>
      <c r="R3" s="14"/>
      <c r="S3" s="14"/>
      <c r="T3" s="14"/>
      <c r="U3" s="14"/>
      <c r="V3" s="14"/>
      <c r="W3" s="14"/>
      <c r="X3" s="14"/>
      <c r="Y3" s="14"/>
      <c r="Z3" s="14"/>
      <c r="AA3" s="214"/>
      <c r="AB3" s="208"/>
      <c r="AC3" s="220"/>
      <c r="AD3" s="14"/>
      <c r="AE3" s="14"/>
      <c r="AF3" s="14"/>
      <c r="AG3" s="14"/>
    </row>
    <row r="4">
      <c r="A4" s="15">
        <v>1582.0</v>
      </c>
      <c r="B4" s="222" t="s">
        <v>29</v>
      </c>
      <c r="C4" s="8" t="s">
        <v>239</v>
      </c>
      <c r="D4" s="210" t="str">
        <f t="array" ref="D4">IFERROR(INDEX('Sep 15'!$C$2:$C$370, MATCH($A4, 'Sep 15'!$B$2:$B$370,0)),"")</f>
        <v/>
      </c>
      <c r="E4" s="210" t="str">
        <f t="array" ref="E4">IFERROR(INDEX('Sep 29'!$C$2:$C$435, MATCH($A4, 'Sep 29'!$B$2:$B$435,0)),"")</f>
        <v/>
      </c>
      <c r="F4" s="210" t="str">
        <f t="array" ref="F4">IFERROR(INDEX('Oct 13'!$C$2:$C$389, MATCH($A4, 'Oct 13'!$B$2:$B$389,0)),"")</f>
        <v/>
      </c>
      <c r="G4" s="210" t="str">
        <f t="array" ref="G4">IFERROR(INDEX('Oct 27'!$C$2:$C$434, MATCH($A4, 'Oct 27'!$B$2:$B$434,0)),"")</f>
        <v/>
      </c>
      <c r="H4" s="210" t="str">
        <f t="array" ref="H4">IFERROR(INDEX('Nov 10'!$C$2:$C$485, MATCH($A4, 'Nov 10'!$B$2:$B$485,0)),"")</f>
        <v/>
      </c>
      <c r="I4" s="210" t="str">
        <f t="array" ref="I4">IFERROR(INDEX('Dec 1'!$C$2:$C$542, MATCH($A4, 'Dec 1'!$B$2:$B$542,0)),"")</f>
        <v/>
      </c>
      <c r="J4" s="9"/>
      <c r="K4" s="14"/>
      <c r="L4" s="14"/>
      <c r="M4" s="14"/>
      <c r="N4" s="14"/>
      <c r="O4" s="14"/>
      <c r="P4" s="14"/>
      <c r="Q4" s="14"/>
      <c r="R4" s="14"/>
      <c r="S4" s="14"/>
      <c r="T4" s="14"/>
      <c r="U4" s="14"/>
      <c r="V4" s="14"/>
      <c r="W4" s="14"/>
      <c r="X4" s="14"/>
      <c r="Y4" s="14"/>
      <c r="Z4" s="14"/>
      <c r="AA4" s="214"/>
      <c r="AB4" s="208"/>
      <c r="AC4" s="14"/>
      <c r="AD4" s="14"/>
      <c r="AE4" s="14"/>
      <c r="AF4" s="14"/>
      <c r="AG4" s="14"/>
    </row>
    <row r="5">
      <c r="A5" s="15">
        <v>1591.0</v>
      </c>
      <c r="B5" s="43" t="s">
        <v>60</v>
      </c>
      <c r="C5" s="210">
        <f t="array" ref="C5">IFERROR(INDEX('Sep 1'!$C$2:$C$321, MATCH($A5,'Sep 1'!$B$2:$B$320,0)),"")</f>
        <v>4</v>
      </c>
      <c r="D5" s="210">
        <f t="array" ref="D5">IFERROR(INDEX('Sep 15'!$C$2:$C$370, MATCH($A5, 'Sep 15'!$B$2:$B$370,0)),"")</f>
        <v>4</v>
      </c>
      <c r="E5" s="210">
        <f t="array" ref="E5">IFERROR(INDEX('Sep 29'!$C$2:$C$435, MATCH($A5, 'Sep 29'!$B$2:$B$435,0)),"")</f>
        <v>4</v>
      </c>
      <c r="F5" s="210">
        <f t="array" ref="F5">IFERROR(INDEX('Oct 13'!$C$2:$C$389, MATCH($A5, 'Oct 13'!$B$2:$B$389,0)),"")</f>
        <v>4</v>
      </c>
      <c r="G5" s="210">
        <f t="array" ref="G5">IFERROR(INDEX('Oct 27'!$C$2:$C$434, MATCH($A5, 'Oct 27'!$B$2:$B$434,0)),"")</f>
        <v>4</v>
      </c>
      <c r="H5" s="210">
        <f t="array" ref="H5">IFERROR(INDEX('Nov 10'!$C$2:$C$485, MATCH($A5, 'Nov 10'!$B$2:$B$485,0)),"")</f>
        <v>4</v>
      </c>
      <c r="I5" s="210">
        <f t="array" ref="I5">IFERROR(INDEX('Dec 1'!$C$2:$C$542, MATCH($A5, 'Dec 1'!$B$2:$B$542,0)),"")</f>
        <v>4</v>
      </c>
      <c r="J5" s="210"/>
      <c r="K5" s="14"/>
      <c r="L5" s="14"/>
      <c r="M5" s="14"/>
      <c r="N5" s="14"/>
      <c r="O5" s="14"/>
      <c r="P5" s="14"/>
      <c r="Q5" s="14"/>
      <c r="R5" s="14"/>
      <c r="S5" s="14"/>
      <c r="T5" s="14"/>
      <c r="U5" s="14"/>
      <c r="V5" s="14"/>
      <c r="W5" s="14"/>
      <c r="X5" s="14"/>
      <c r="Y5" s="14"/>
      <c r="Z5" s="14"/>
      <c r="AA5" s="214"/>
      <c r="AB5" s="208"/>
      <c r="AC5" s="14"/>
      <c r="AD5" s="14"/>
      <c r="AE5" s="14"/>
      <c r="AF5" s="14"/>
      <c r="AG5" s="14"/>
    </row>
    <row r="6">
      <c r="A6" s="15">
        <v>1592.0</v>
      </c>
      <c r="B6" s="43" t="s">
        <v>83</v>
      </c>
      <c r="C6" s="210">
        <f t="array" ref="C6">IFERROR(INDEX('Sep 1'!$C$2:$C$321, MATCH($A6,'Sep 1'!$B$2:$B$320,0)),"")</f>
        <v>4</v>
      </c>
      <c r="D6" s="210">
        <f t="array" ref="D6">IFERROR(INDEX('Sep 15'!$C$2:$C$370, MATCH($A6, 'Sep 15'!$B$2:$B$370,0)),"")</f>
        <v>3.6</v>
      </c>
      <c r="E6" s="210">
        <f t="array" ref="E6">IFERROR(INDEX('Sep 29'!$C$2:$C$435, MATCH($A6, 'Sep 29'!$B$2:$B$435,0)),"")</f>
        <v>3.6</v>
      </c>
      <c r="F6" s="210">
        <f t="array" ref="F6">IFERROR(INDEX('Oct 13'!$C$2:$C$389, MATCH($A6, 'Oct 13'!$B$2:$B$389,0)),"")</f>
        <v>4</v>
      </c>
      <c r="G6" s="210">
        <f t="array" ref="G6">IFERROR(INDEX('Oct 27'!$C$2:$C$434, MATCH($A6, 'Oct 27'!$B$2:$B$434,0)),"")</f>
        <v>3.695</v>
      </c>
      <c r="H6" s="210">
        <f t="array" ref="H6">IFERROR(INDEX('Nov 10'!$C$2:$C$485, MATCH($A6, 'Nov 10'!$B$2:$B$485,0)),"")</f>
        <v>3.69</v>
      </c>
      <c r="I6" s="210">
        <f t="array" ref="I6">IFERROR(INDEX('Dec 1'!$C$2:$C$542, MATCH($A6, 'Dec 1'!$B$2:$B$542,0)),"")</f>
        <v>3.69</v>
      </c>
      <c r="J6" s="210"/>
      <c r="K6" s="14"/>
      <c r="L6" s="14"/>
      <c r="M6" s="14"/>
      <c r="N6" s="14"/>
      <c r="O6" s="14"/>
      <c r="P6" s="14"/>
      <c r="Q6" s="14"/>
      <c r="R6" s="14"/>
      <c r="S6" s="14"/>
      <c r="T6" s="14"/>
      <c r="U6" s="14"/>
      <c r="V6" s="14"/>
      <c r="W6" s="14"/>
      <c r="X6" s="14"/>
      <c r="Y6" s="14"/>
      <c r="Z6" s="242"/>
      <c r="AA6" s="214"/>
      <c r="AB6" s="208"/>
      <c r="AC6" s="220"/>
      <c r="AD6" s="14"/>
      <c r="AE6" s="14"/>
      <c r="AF6" s="14"/>
      <c r="AG6" s="14"/>
    </row>
    <row r="7">
      <c r="A7" s="32">
        <v>1594.0</v>
      </c>
      <c r="B7" s="16" t="s">
        <v>38</v>
      </c>
      <c r="C7" s="210">
        <f t="array" ref="C7">IFERROR(INDEX('Sep 1'!$C$2:$C$321, MATCH($A7,'Sep 1'!$B$2:$B$320,0)),"")</f>
        <v>4</v>
      </c>
      <c r="D7" s="210">
        <f t="array" ref="D7">IFERROR(INDEX('Sep 15'!$C$2:$C$370, MATCH($A7, 'Sep 15'!$B$2:$B$370,0)),"")</f>
        <v>4</v>
      </c>
      <c r="E7" s="210">
        <f t="array" ref="E7">IFERROR(INDEX('Sep 29'!$C$2:$C$435, MATCH($A7, 'Sep 29'!$B$2:$B$435,0)),"")</f>
        <v>3.5</v>
      </c>
      <c r="F7" s="210">
        <f t="array" ref="F7">IFERROR(INDEX('Oct 13'!$C$2:$C$389, MATCH($A7, 'Oct 13'!$B$2:$B$389,0)),"")</f>
        <v>3.5</v>
      </c>
      <c r="G7" s="210">
        <f t="array" ref="G7">IFERROR(INDEX('Oct 27'!$C$2:$C$434, MATCH($A7, 'Oct 27'!$B$2:$B$434,0)),"")</f>
        <v>3.5</v>
      </c>
      <c r="H7" s="210">
        <f t="array" ref="H7">IFERROR(INDEX('Nov 10'!$C$2:$C$485, MATCH($A7, 'Nov 10'!$B$2:$B$485,0)),"")</f>
        <v>3.6</v>
      </c>
      <c r="I7" s="210">
        <f t="array" ref="I7">IFERROR(INDEX('Dec 1'!$C$2:$C$542, MATCH($A7, 'Dec 1'!$B$2:$B$542,0)),"")</f>
        <v>3.5</v>
      </c>
      <c r="J7" s="210"/>
      <c r="K7" s="14"/>
      <c r="L7" s="14"/>
      <c r="M7" s="14"/>
      <c r="N7" s="14"/>
      <c r="O7" s="14"/>
      <c r="P7" s="14"/>
      <c r="Q7" s="14"/>
      <c r="R7" s="14"/>
      <c r="S7" s="14"/>
      <c r="T7" s="14"/>
      <c r="U7" s="14"/>
      <c r="V7" s="14"/>
      <c r="W7" s="14"/>
      <c r="X7" s="14"/>
      <c r="Y7" s="14"/>
      <c r="Z7" s="242"/>
      <c r="AA7" s="214"/>
      <c r="AB7" s="208"/>
      <c r="AC7" s="14"/>
      <c r="AD7" s="14"/>
      <c r="AE7" s="14"/>
      <c r="AF7" s="14"/>
      <c r="AG7" s="14"/>
    </row>
    <row r="8">
      <c r="A8" s="49">
        <v>1596.0</v>
      </c>
      <c r="B8" s="53" t="s">
        <v>61</v>
      </c>
      <c r="C8" s="210">
        <f t="array" ref="C8">IFERROR(INDEX('Sep 1'!$C$2:$C$321, MATCH($A8,'Sep 1'!$B$2:$B$320,0)),"")</f>
        <v>4</v>
      </c>
      <c r="D8" s="210">
        <f t="array" ref="D8">IFERROR(INDEX('Sep 15'!$C$2:$C$370, MATCH($A8, 'Sep 15'!$B$2:$B$370,0)),"")</f>
        <v>4</v>
      </c>
      <c r="E8" s="210">
        <f t="array" ref="E8">IFERROR(INDEX('Sep 29'!$C$2:$C$435, MATCH($A8, 'Sep 29'!$B$2:$B$435,0)),"")</f>
        <v>3.786</v>
      </c>
      <c r="F8" s="210">
        <f t="array" ref="F8">IFERROR(INDEX('Oct 13'!$C$2:$C$389, MATCH($A8, 'Oct 13'!$B$2:$B$389,0)),"")</f>
        <v>3.86</v>
      </c>
      <c r="G8" s="210">
        <f t="array" ref="G8">IFERROR(INDEX('Oct 27'!$C$2:$C$434, MATCH($A8, 'Oct 27'!$B$2:$B$434,0)),"")</f>
        <v>3.88</v>
      </c>
      <c r="H8" s="210">
        <f t="array" ref="H8">IFERROR(INDEX('Nov 10'!$C$2:$C$485, MATCH($A8, 'Nov 10'!$B$2:$B$485,0)),"")</f>
        <v>3.929</v>
      </c>
      <c r="I8" s="210">
        <f t="array" ref="I8">IFERROR(INDEX('Dec 1'!$C$2:$C$542, MATCH($A8, 'Dec 1'!$B$2:$B$542,0)),"")</f>
        <v>3.856</v>
      </c>
      <c r="J8" s="210"/>
      <c r="K8" s="14"/>
      <c r="L8" s="14"/>
      <c r="M8" s="14"/>
      <c r="N8" s="14"/>
      <c r="O8" s="14"/>
      <c r="P8" s="14"/>
      <c r="Q8" s="14"/>
      <c r="R8" s="14"/>
      <c r="S8" s="14"/>
      <c r="T8" s="14"/>
      <c r="U8" s="14"/>
      <c r="V8" s="14"/>
      <c r="W8" s="14"/>
      <c r="X8" s="14"/>
      <c r="Y8" s="14"/>
      <c r="Z8" s="14"/>
      <c r="AA8" s="214"/>
      <c r="AB8" s="208"/>
      <c r="AC8" s="14"/>
      <c r="AD8" s="14"/>
      <c r="AE8" s="14"/>
      <c r="AF8" s="14"/>
      <c r="AG8" s="14"/>
    </row>
    <row r="9">
      <c r="A9" s="58">
        <v>1597.0</v>
      </c>
      <c r="B9" s="59" t="s">
        <v>63</v>
      </c>
      <c r="C9" s="210">
        <f t="array" ref="C9">IFERROR(INDEX('Sep 1'!$C$2:$C$321, MATCH($A9,'Sep 1'!$B$2:$B$320,0)),"")</f>
        <v>4</v>
      </c>
      <c r="D9" s="210">
        <f t="array" ref="D9">IFERROR(INDEX('Sep 15'!$C$2:$C$370, MATCH($A9, 'Sep 15'!$B$2:$B$370,0)),"")</f>
        <v>2.23</v>
      </c>
      <c r="E9" s="210">
        <f t="array" ref="E9">IFERROR(INDEX('Sep 29'!$C$2:$C$435, MATCH($A9, 'Sep 29'!$B$2:$B$435,0)),"")</f>
        <v>2.6</v>
      </c>
      <c r="F9" s="210">
        <f t="array" ref="F9">IFERROR(INDEX('Oct 13'!$C$2:$C$389, MATCH($A9, 'Oct 13'!$B$2:$B$389,0)),"")</f>
        <v>2.5</v>
      </c>
      <c r="G9" s="210">
        <f t="array" ref="G9">IFERROR(INDEX('Oct 27'!$C$2:$C$434, MATCH($A9, 'Oct 27'!$B$2:$B$434,0)),"")</f>
        <v>2.35</v>
      </c>
      <c r="H9" s="210">
        <f t="array" ref="H9">IFERROR(INDEX('Nov 10'!$C$2:$C$485, MATCH($A9, 'Nov 10'!$B$2:$B$485,0)),"")</f>
        <v>2.23</v>
      </c>
      <c r="I9" s="210">
        <f t="array" ref="I9">IFERROR(INDEX('Dec 1'!$C$2:$C$542, MATCH($A9, 'Dec 1'!$B$2:$B$542,0)),"")</f>
        <v>2.58</v>
      </c>
      <c r="J9" s="210"/>
      <c r="K9" s="14"/>
      <c r="L9" s="14"/>
      <c r="M9" s="14"/>
      <c r="N9" s="14"/>
      <c r="O9" s="14"/>
      <c r="P9" s="14"/>
      <c r="Q9" s="14"/>
      <c r="R9" s="14"/>
      <c r="S9" s="14"/>
      <c r="T9" s="14"/>
      <c r="U9" s="14"/>
      <c r="V9" s="14"/>
      <c r="W9" s="14"/>
      <c r="X9" s="14"/>
      <c r="Y9" s="14"/>
      <c r="Z9" s="14"/>
      <c r="AA9" s="214"/>
      <c r="AB9" s="208"/>
      <c r="AC9" s="265"/>
      <c r="AD9" s="14"/>
      <c r="AE9" s="14"/>
      <c r="AF9" s="14"/>
      <c r="AG9" s="14"/>
    </row>
    <row r="10">
      <c r="A10" s="49">
        <v>1598.0</v>
      </c>
      <c r="B10" s="50" t="s">
        <v>55</v>
      </c>
      <c r="C10" s="210">
        <f t="array" ref="C10">IFERROR(INDEX('Sep 1'!$C$2:$C$321, MATCH($A10,'Sep 1'!$B$2:$B$320,0)),"")</f>
        <v>4</v>
      </c>
      <c r="D10" s="210">
        <f t="array" ref="D10">IFERROR(INDEX('Sep 15'!$C$2:$C$370, MATCH($A10, 'Sep 15'!$B$2:$B$370,0)),"")</f>
        <v>3.334</v>
      </c>
      <c r="E10" s="210">
        <f t="array" ref="E10">IFERROR(INDEX('Sep 29'!$C$2:$C$435, MATCH($A10, 'Sep 29'!$B$2:$B$435,0)),"")</f>
        <v>3.072</v>
      </c>
      <c r="F10" s="210">
        <f t="array" ref="F10">IFERROR(INDEX('Oct 13'!$C$2:$C$389, MATCH($A10, 'Oct 13'!$B$2:$B$389,0)),"")</f>
        <v>3.5</v>
      </c>
      <c r="G10" s="210">
        <f t="array" ref="G10">IFERROR(INDEX('Oct 27'!$C$2:$C$434, MATCH($A10, 'Oct 27'!$B$2:$B$434,0)),"")</f>
        <v>3.5</v>
      </c>
      <c r="H10" s="210">
        <f t="array" ref="H10">IFERROR(INDEX('Nov 10'!$C$2:$C$485, MATCH($A10, 'Nov 10'!$B$2:$B$485,0)),"")</f>
        <v>3.856</v>
      </c>
      <c r="I10" s="210">
        <f t="array" ref="I10">IFERROR(INDEX('Dec 1'!$C$2:$C$542, MATCH($A10, 'Dec 1'!$B$2:$B$542,0)),"")</f>
        <v>3.786</v>
      </c>
      <c r="J10" s="210"/>
      <c r="K10" s="14"/>
      <c r="L10" s="14"/>
      <c r="M10" s="14"/>
      <c r="N10" s="14"/>
      <c r="O10" s="14"/>
      <c r="P10" s="14"/>
      <c r="Q10" s="14"/>
      <c r="R10" s="14"/>
      <c r="S10" s="14"/>
      <c r="T10" s="14"/>
      <c r="U10" s="14"/>
      <c r="V10" s="14"/>
      <c r="W10" s="14"/>
      <c r="X10" s="14"/>
      <c r="Y10" s="14"/>
      <c r="Z10" s="14"/>
      <c r="AA10" s="214"/>
      <c r="AB10" s="208"/>
      <c r="AC10" s="14"/>
      <c r="AD10" s="14"/>
      <c r="AE10" s="14"/>
      <c r="AF10" s="14"/>
      <c r="AG10" s="14"/>
    </row>
    <row r="11">
      <c r="A11" s="58">
        <v>1599.0</v>
      </c>
      <c r="B11" s="73" t="s">
        <v>72</v>
      </c>
      <c r="C11" s="210">
        <f t="array" ref="C11">IFERROR(INDEX('Sep 1'!$C$2:$C$321, MATCH($A11,'Sep 1'!$B$2:$B$320,0)),"")</f>
        <v>3.4</v>
      </c>
      <c r="D11" s="210">
        <f t="array" ref="D11">IFERROR(INDEX('Sep 15'!$C$2:$C$370, MATCH($A11, 'Sep 15'!$B$2:$B$370,0)),"")</f>
        <v>3.8</v>
      </c>
      <c r="E11" s="210">
        <f t="array" ref="E11">IFERROR(INDEX('Sep 29'!$C$2:$C$435, MATCH($A11, 'Sep 29'!$B$2:$B$435,0)),"")</f>
        <v>3.2</v>
      </c>
      <c r="F11" s="210">
        <f t="array" ref="F11">IFERROR(INDEX('Oct 13'!$C$2:$C$389, MATCH($A11, 'Oct 13'!$B$2:$B$389,0)),"")</f>
        <v>3</v>
      </c>
      <c r="G11" s="210">
        <f t="array" ref="G11">IFERROR(INDEX('Oct 27'!$C$2:$C$434, MATCH($A11, 'Oct 27'!$B$2:$B$434,0)),"")</f>
        <v>3</v>
      </c>
      <c r="H11" s="210">
        <f t="array" ref="H11">IFERROR(INDEX('Nov 10'!$C$2:$C$485, MATCH($A11, 'Nov 10'!$B$2:$B$485,0)),"")</f>
        <v>2.86</v>
      </c>
      <c r="I11" s="210">
        <f t="array" ref="I11">IFERROR(INDEX('Dec 1'!$C$2:$C$542, MATCH($A11, 'Dec 1'!$B$2:$B$542,0)),"")</f>
        <v>2.626</v>
      </c>
      <c r="J11" s="210"/>
      <c r="K11" s="14"/>
      <c r="L11" s="14"/>
      <c r="M11" s="14"/>
      <c r="N11" s="14"/>
      <c r="O11" s="14"/>
      <c r="P11" s="14"/>
      <c r="Q11" s="14"/>
      <c r="R11" s="14"/>
      <c r="S11" s="14"/>
      <c r="T11" s="14"/>
      <c r="U11" s="14"/>
      <c r="V11" s="14"/>
      <c r="W11" s="14"/>
      <c r="X11" s="14"/>
      <c r="Y11" s="14"/>
      <c r="Z11" s="14"/>
      <c r="AA11" s="14"/>
      <c r="AB11" s="14"/>
      <c r="AC11" s="14"/>
      <c r="AD11" s="14"/>
      <c r="AE11" s="14"/>
      <c r="AF11" s="14"/>
      <c r="AG11" s="14"/>
    </row>
    <row r="12">
      <c r="A12" s="49">
        <v>1602.0</v>
      </c>
      <c r="B12" s="53" t="s">
        <v>92</v>
      </c>
      <c r="C12" s="210">
        <f t="array" ref="C12">IFERROR(INDEX('Sep 1'!$C$2:$C$321, MATCH($A12,'Sep 1'!$B$2:$B$320,0)),"")</f>
        <v>4</v>
      </c>
      <c r="D12" s="210">
        <f t="array" ref="D12">IFERROR(INDEX('Sep 15'!$C$2:$C$370, MATCH($A12, 'Sep 15'!$B$2:$B$370,0)),"")</f>
        <v>4</v>
      </c>
      <c r="E12" s="210">
        <f t="array" ref="E12">IFERROR(INDEX('Sep 29'!$C$2:$C$435, MATCH($A12, 'Sep 29'!$B$2:$B$435,0)),"")</f>
        <v>3.835</v>
      </c>
      <c r="F12" s="210">
        <f t="array" ref="F12">IFERROR(INDEX('Oct 13'!$C$2:$C$389, MATCH($A12, 'Oct 13'!$B$2:$B$389,0)),"")</f>
        <v>3.918</v>
      </c>
      <c r="G12" s="210">
        <f t="array" ref="G12">IFERROR(INDEX('Oct 27'!$C$2:$C$434, MATCH($A12, 'Oct 27'!$B$2:$B$434,0)),"")</f>
        <v>3.918</v>
      </c>
      <c r="H12" s="210">
        <f t="array" ref="H12">IFERROR(INDEX('Nov 10'!$C$2:$C$485, MATCH($A12, 'Nov 10'!$B$2:$B$485,0)),"")</f>
        <v>3.83</v>
      </c>
      <c r="I12" s="210">
        <f t="array" ref="I12">IFERROR(INDEX('Dec 1'!$C$2:$C$542, MATCH($A12, 'Dec 1'!$B$2:$B$542,0)),"")</f>
        <v>3.75</v>
      </c>
      <c r="J12" s="210"/>
      <c r="K12" s="14"/>
      <c r="L12" s="14"/>
      <c r="M12" s="14"/>
      <c r="N12" s="14"/>
      <c r="O12" s="14"/>
      <c r="P12" s="14"/>
      <c r="Q12" s="14"/>
      <c r="R12" s="14"/>
      <c r="S12" s="14"/>
      <c r="T12" s="14"/>
      <c r="U12" s="14"/>
      <c r="V12" s="14"/>
      <c r="W12" s="14"/>
      <c r="X12" s="14"/>
      <c r="Y12" s="14"/>
      <c r="Z12" s="14"/>
      <c r="AA12" s="14"/>
      <c r="AB12" s="14"/>
      <c r="AC12" s="14"/>
      <c r="AD12" s="14"/>
      <c r="AE12" s="14"/>
      <c r="AF12" s="14"/>
      <c r="AG12" s="14"/>
    </row>
    <row r="13">
      <c r="A13" s="58">
        <v>1605.0</v>
      </c>
      <c r="B13" s="59" t="s">
        <v>141</v>
      </c>
      <c r="C13" s="210">
        <f t="array" ref="C13">IFERROR(INDEX('Sep 1'!$C$2:$C$321, MATCH($A13,'Sep 1'!$B$2:$B$320,0)),"")</f>
        <v>4</v>
      </c>
      <c r="D13" s="210">
        <f t="array" ref="D13">IFERROR(INDEX('Sep 15'!$C$2:$C$370, MATCH($A13, 'Sep 15'!$B$2:$B$370,0)),"")</f>
        <v>3.8</v>
      </c>
      <c r="E13" s="210">
        <f t="array" ref="E13">IFERROR(INDEX('Sep 29'!$C$2:$C$435, MATCH($A13, 'Sep 29'!$B$2:$B$435,0)),"")</f>
        <v>3.4</v>
      </c>
      <c r="F13" s="210">
        <f t="array" ref="F13">IFERROR(INDEX('Oct 13'!$C$2:$C$389, MATCH($A13, 'Oct 13'!$B$2:$B$389,0)),"")</f>
        <v>3.4</v>
      </c>
      <c r="G13" s="210">
        <f t="array" ref="G13">IFERROR(INDEX('Oct 27'!$C$2:$C$434, MATCH($A13, 'Oct 27'!$B$2:$B$434,0)),"")</f>
        <v>3.2</v>
      </c>
      <c r="H13" s="210">
        <f t="array" ref="H13">IFERROR(INDEX('Nov 10'!$C$2:$C$485, MATCH($A13, 'Nov 10'!$B$2:$B$485,0)),"")</f>
        <v>3.2</v>
      </c>
      <c r="I13" s="210">
        <f t="array" ref="I13">IFERROR(INDEX('Dec 1'!$C$2:$C$542, MATCH($A13, 'Dec 1'!$B$2:$B$542,0)),"")</f>
        <v>3.066</v>
      </c>
      <c r="J13" s="210"/>
      <c r="K13" s="14"/>
      <c r="L13" s="14"/>
      <c r="M13" s="14"/>
      <c r="N13" s="14"/>
      <c r="O13" s="14"/>
      <c r="P13" s="14"/>
      <c r="Q13" s="14"/>
      <c r="R13" s="14"/>
      <c r="S13" s="14"/>
      <c r="T13" s="14"/>
      <c r="U13" s="14"/>
      <c r="V13" s="14"/>
      <c r="W13" s="14"/>
      <c r="X13" s="14"/>
      <c r="Y13" s="14"/>
      <c r="Z13" s="14"/>
      <c r="AA13" s="14"/>
      <c r="AB13" s="14"/>
      <c r="AC13" s="14"/>
      <c r="AD13" s="14"/>
      <c r="AE13" s="14"/>
      <c r="AF13" s="14"/>
      <c r="AG13" s="14"/>
    </row>
    <row r="14">
      <c r="A14" s="49">
        <v>1608.0</v>
      </c>
      <c r="B14" s="50" t="s">
        <v>51</v>
      </c>
      <c r="C14" s="210">
        <f t="array" ref="C14">IFERROR(INDEX('Sep 1'!$C$2:$C$321, MATCH($A14,'Sep 1'!$B$2:$B$320,0)),"")</f>
        <v>3.08</v>
      </c>
      <c r="D14" s="210">
        <f t="array" ref="D14">IFERROR(INDEX('Sep 15'!$C$2:$C$370, MATCH($A14, 'Sep 15'!$B$2:$B$370,0)),"")</f>
        <v>3.58</v>
      </c>
      <c r="E14" s="210">
        <f t="array" ref="E14">IFERROR(INDEX('Sep 29'!$C$2:$C$435, MATCH($A14, 'Sep 29'!$B$2:$B$435,0)),"")</f>
        <v>3.415</v>
      </c>
      <c r="F14" s="210">
        <f t="array" ref="F14">IFERROR(INDEX('Oct 13'!$C$2:$C$389, MATCH($A14, 'Oct 13'!$B$2:$B$389,0)),"")</f>
        <v>3.165</v>
      </c>
      <c r="G14" s="210">
        <f t="array" ref="G14">IFERROR(INDEX('Oct 27'!$C$2:$C$434, MATCH($A14, 'Oct 27'!$B$2:$B$434,0)),"")</f>
        <v>3.498</v>
      </c>
      <c r="H14" s="210">
        <f t="array" ref="H14">IFERROR(INDEX('Nov 10'!$C$2:$C$485, MATCH($A14, 'Nov 10'!$B$2:$B$485,0)),"")</f>
        <v>3.583</v>
      </c>
      <c r="I14" s="210">
        <f t="array" ref="I14">IFERROR(INDEX('Dec 1'!$C$2:$C$542, MATCH($A14, 'Dec 1'!$B$2:$B$542,0)),"")</f>
        <v>3.58</v>
      </c>
      <c r="J14" s="210"/>
      <c r="K14" s="14"/>
      <c r="L14" s="14"/>
      <c r="M14" s="14"/>
      <c r="N14" s="14"/>
      <c r="O14" s="14"/>
      <c r="P14" s="14"/>
      <c r="Q14" s="14"/>
      <c r="R14" s="14"/>
      <c r="S14" s="14"/>
      <c r="T14" s="14"/>
      <c r="U14" s="14"/>
      <c r="V14" s="14"/>
      <c r="W14" s="14"/>
      <c r="X14" s="14"/>
      <c r="Y14" s="14"/>
      <c r="Z14" s="14"/>
      <c r="AA14" s="14"/>
      <c r="AB14" s="14"/>
      <c r="AC14" s="14"/>
      <c r="AD14" s="14"/>
      <c r="AE14" s="14"/>
      <c r="AF14" s="14"/>
      <c r="AG14" s="14"/>
    </row>
    <row r="15">
      <c r="A15" s="58">
        <v>1613.0</v>
      </c>
      <c r="B15" s="63" t="s">
        <v>48</v>
      </c>
      <c r="C15" s="210">
        <f t="array" ref="C15">IFERROR(INDEX('Sep 1'!$C$2:$C$321, MATCH($A15,'Sep 1'!$B$2:$B$320,0)),"")</f>
        <v>4</v>
      </c>
      <c r="D15" s="210">
        <f t="array" ref="D15">IFERROR(INDEX('Sep 15'!$C$2:$C$370, MATCH($A15, 'Sep 15'!$B$2:$B$370,0)),"")</f>
        <v>4</v>
      </c>
      <c r="E15" s="210">
        <f t="array" ref="E15">IFERROR(INDEX('Sep 29'!$C$2:$C$435, MATCH($A15, 'Sep 29'!$B$2:$B$435,0)),"")</f>
        <v>3.31</v>
      </c>
      <c r="F15" s="210">
        <f t="array" ref="F15">IFERROR(INDEX('Oct 13'!$C$2:$C$389, MATCH($A15, 'Oct 13'!$B$2:$B$389,0)),"")</f>
        <v>3.534</v>
      </c>
      <c r="G15" s="210">
        <f t="array" ref="G15">IFERROR(INDEX('Oct 27'!$C$2:$C$434, MATCH($A15, 'Oct 27'!$B$2:$B$434,0)),"")</f>
        <v>3.5</v>
      </c>
      <c r="H15" s="210">
        <f t="array" ref="H15">IFERROR(INDEX('Nov 10'!$C$2:$C$485, MATCH($A15, 'Nov 10'!$B$2:$B$485,0)),"")</f>
        <v>3.534</v>
      </c>
      <c r="I15" s="210">
        <f t="array" ref="I15">IFERROR(INDEX('Dec 1'!$C$2:$C$542, MATCH($A15, 'Dec 1'!$B$2:$B$542,0)),"")</f>
        <v>3.53</v>
      </c>
      <c r="J15" s="210"/>
      <c r="K15" s="14"/>
      <c r="L15" s="14"/>
      <c r="M15" s="14"/>
      <c r="N15" s="14"/>
      <c r="O15" s="14"/>
      <c r="P15" s="14"/>
      <c r="Q15" s="14"/>
      <c r="R15" s="14"/>
      <c r="S15" s="14"/>
      <c r="T15" s="14"/>
      <c r="U15" s="14"/>
      <c r="V15" s="14"/>
      <c r="W15" s="14"/>
      <c r="X15" s="14"/>
      <c r="Y15" s="14"/>
      <c r="Z15" s="14"/>
      <c r="AA15" s="14"/>
      <c r="AB15" s="14"/>
      <c r="AC15" s="14"/>
      <c r="AD15" s="14"/>
      <c r="AE15" s="14"/>
      <c r="AF15" s="14"/>
      <c r="AG15" s="14"/>
    </row>
    <row r="16">
      <c r="A16" s="49">
        <v>1615.0</v>
      </c>
      <c r="B16" s="50" t="s">
        <v>40</v>
      </c>
      <c r="C16" s="210">
        <f t="array" ref="C16">IFERROR(INDEX('Sep 1'!$C$2:$C$321, MATCH($A16,'Sep 1'!$B$2:$B$320,0)),"")</f>
        <v>4</v>
      </c>
      <c r="D16" s="210">
        <f t="array" ref="D16">IFERROR(INDEX('Sep 15'!$C$2:$C$370, MATCH($A16, 'Sep 15'!$B$2:$B$370,0)),"")</f>
        <v>4</v>
      </c>
      <c r="E16" s="210">
        <f t="array" ref="E16">IFERROR(INDEX('Sep 29'!$C$2:$C$435, MATCH($A16, 'Sep 29'!$B$2:$B$435,0)),"")</f>
        <v>3.95</v>
      </c>
      <c r="F16" s="210">
        <f t="array" ref="F16">IFERROR(INDEX('Oct 13'!$C$2:$C$389, MATCH($A16, 'Oct 13'!$B$2:$B$389,0)),"")</f>
        <v>4</v>
      </c>
      <c r="G16" s="210">
        <f t="array" ref="G16">IFERROR(INDEX('Oct 27'!$C$2:$C$434, MATCH($A16, 'Oct 27'!$B$2:$B$434,0)),"")</f>
        <v>4</v>
      </c>
      <c r="H16" s="210">
        <f t="array" ref="H16">IFERROR(INDEX('Nov 10'!$C$2:$C$485, MATCH($A16, 'Nov 10'!$B$2:$B$485,0)),"")</f>
        <v>4</v>
      </c>
      <c r="I16" s="210">
        <f t="array" ref="I16">IFERROR(INDEX('Dec 1'!$C$2:$C$542, MATCH($A16, 'Dec 1'!$B$2:$B$542,0)),"")</f>
        <v>4</v>
      </c>
      <c r="J16" s="210"/>
      <c r="K16" s="14"/>
      <c r="L16" s="14"/>
      <c r="M16" s="14"/>
      <c r="N16" s="14"/>
      <c r="O16" s="14"/>
      <c r="P16" s="14"/>
      <c r="Q16" s="14"/>
      <c r="R16" s="14"/>
      <c r="S16" s="14"/>
      <c r="T16" s="14"/>
      <c r="U16" s="14"/>
      <c r="V16" s="14"/>
      <c r="W16" s="14"/>
      <c r="X16" s="14"/>
      <c r="Y16" s="14"/>
      <c r="Z16" s="14"/>
      <c r="AA16" s="14"/>
      <c r="AB16" s="14"/>
      <c r="AC16" s="14"/>
      <c r="AD16" s="14"/>
      <c r="AE16" s="14"/>
      <c r="AF16" s="14"/>
      <c r="AG16" s="14"/>
    </row>
    <row r="17">
      <c r="A17" s="58">
        <v>1616.0</v>
      </c>
      <c r="B17" s="59" t="s">
        <v>116</v>
      </c>
      <c r="C17" s="210">
        <f t="array" ref="C17">IFERROR(INDEX('Sep 1'!$C$2:$C$321, MATCH($A17,'Sep 1'!$B$2:$B$320,0)),"")</f>
        <v>4</v>
      </c>
      <c r="D17" s="210">
        <f t="array" ref="D17">IFERROR(INDEX('Sep 15'!$C$2:$C$370, MATCH($A17, 'Sep 15'!$B$2:$B$370,0)),"")</f>
        <v>4</v>
      </c>
      <c r="E17" s="210">
        <f t="array" ref="E17">IFERROR(INDEX('Sep 29'!$C$2:$C$435, MATCH($A17, 'Sep 29'!$B$2:$B$435,0)),"")</f>
        <v>3.934</v>
      </c>
      <c r="F17" s="210">
        <f t="array" ref="F17">IFERROR(INDEX('Oct 13'!$C$2:$C$389, MATCH($A17, 'Oct 13'!$B$2:$B$389,0)),"")</f>
        <v>3.734</v>
      </c>
      <c r="G17" s="210">
        <f t="array" ref="G17">IFERROR(INDEX('Oct 27'!$C$2:$C$434, MATCH($A17, 'Oct 27'!$B$2:$B$434,0)),"")</f>
        <v>3.534</v>
      </c>
      <c r="H17" s="210">
        <f t="array" ref="H17">IFERROR(INDEX('Nov 10'!$C$2:$C$485, MATCH($A17, 'Nov 10'!$B$2:$B$485,0)),"")</f>
        <v>2</v>
      </c>
      <c r="I17" s="210">
        <f t="array" ref="I17">IFERROR(INDEX('Dec 1'!$C$2:$C$542, MATCH($A17, 'Dec 1'!$B$2:$B$542,0)),"")</f>
        <v>3.335</v>
      </c>
      <c r="J17" s="210"/>
      <c r="K17" s="14"/>
      <c r="L17" s="14"/>
      <c r="M17" s="14"/>
      <c r="N17" s="14"/>
      <c r="O17" s="14"/>
      <c r="P17" s="14"/>
      <c r="Q17" s="14"/>
      <c r="R17" s="14"/>
      <c r="S17" s="14"/>
      <c r="T17" s="14"/>
      <c r="U17" s="14"/>
      <c r="V17" s="14"/>
      <c r="W17" s="14"/>
      <c r="X17" s="14"/>
      <c r="Y17" s="14"/>
      <c r="Z17" s="14"/>
      <c r="AA17" s="14"/>
      <c r="AB17" s="14"/>
      <c r="AC17" s="220"/>
      <c r="AD17" s="14"/>
      <c r="AE17" s="14"/>
      <c r="AF17" s="14"/>
      <c r="AG17" s="14"/>
    </row>
    <row r="18">
      <c r="A18" s="86">
        <v>1617.0</v>
      </c>
      <c r="B18" s="53" t="s">
        <v>158</v>
      </c>
      <c r="C18" s="210">
        <f t="array" ref="C18">IFERROR(INDEX('Sep 1'!$C$2:$C$321, MATCH($A18,'Sep 1'!$B$2:$B$320,0)),"")</f>
        <v>3.67</v>
      </c>
      <c r="D18" s="210">
        <f t="array" ref="D18">IFERROR(INDEX('Sep 15'!$C$2:$C$370, MATCH($A18, 'Sep 15'!$B$2:$B$370,0)),"")</f>
        <v>2</v>
      </c>
      <c r="E18" s="210">
        <f t="array" ref="E18">IFERROR(INDEX('Sep 29'!$C$2:$C$435, MATCH($A18, 'Sep 29'!$B$2:$B$435,0)),"")</f>
        <v>3.6</v>
      </c>
      <c r="F18" s="210">
        <f t="array" ref="F18">IFERROR(INDEX('Oct 13'!$C$2:$C$389, MATCH($A18, 'Oct 13'!$B$2:$B$389,0)),"")</f>
        <v>2</v>
      </c>
      <c r="G18" s="210">
        <f t="array" ref="G18">IFERROR(INDEX('Oct 27'!$C$2:$C$434, MATCH($A18, 'Oct 27'!$B$2:$B$434,0)),"")</f>
        <v>2</v>
      </c>
      <c r="H18" s="210">
        <f t="array" ref="H18">IFERROR(INDEX('Nov 10'!$C$2:$C$485, MATCH($A18, 'Nov 10'!$B$2:$B$485,0)),"")</f>
        <v>2</v>
      </c>
      <c r="I18" s="210">
        <f t="array" ref="I18">IFERROR(INDEX('Dec 1'!$C$2:$C$542, MATCH($A18, 'Dec 1'!$B$2:$B$542,0)),"")</f>
        <v>2</v>
      </c>
      <c r="J18" s="210"/>
      <c r="K18" s="14"/>
      <c r="L18" s="14"/>
      <c r="M18" s="14"/>
      <c r="N18" s="14"/>
      <c r="O18" s="14"/>
      <c r="P18" s="14"/>
      <c r="Q18" s="14"/>
      <c r="R18" s="14"/>
      <c r="S18" s="14"/>
      <c r="T18" s="14"/>
      <c r="U18" s="14"/>
      <c r="V18" s="14"/>
      <c r="W18" s="14"/>
      <c r="X18" s="14"/>
      <c r="Y18" s="14"/>
      <c r="Z18" s="14"/>
      <c r="AA18" s="14"/>
      <c r="AB18" s="14"/>
      <c r="AC18" s="14"/>
      <c r="AD18" s="14"/>
      <c r="AE18" s="14"/>
      <c r="AF18" s="14"/>
      <c r="AG18" s="14"/>
    </row>
    <row r="19">
      <c r="A19" s="58">
        <v>1618.0</v>
      </c>
      <c r="B19" s="73" t="s">
        <v>47</v>
      </c>
      <c r="C19" s="210">
        <f t="array" ref="C19">IFERROR(INDEX('Sep 1'!$C$2:$C$321, MATCH($A19,'Sep 1'!$B$2:$B$320,0)),"")</f>
        <v>4</v>
      </c>
      <c r="D19" s="210">
        <f t="array" ref="D19">IFERROR(INDEX('Sep 15'!$C$2:$C$370, MATCH($A19, 'Sep 15'!$B$2:$B$370,0)),"")</f>
        <v>3.751</v>
      </c>
      <c r="E19" s="210">
        <f t="array" ref="E19">IFERROR(INDEX('Sep 29'!$C$2:$C$435, MATCH($A19, 'Sep 29'!$B$2:$B$435,0)),"")</f>
        <v>3.563</v>
      </c>
      <c r="F19" s="210">
        <f t="array" ref="F19">IFERROR(INDEX('Oct 13'!$C$2:$C$389, MATCH($A19, 'Oct 13'!$B$2:$B$389,0)),"")</f>
        <v>3.687</v>
      </c>
      <c r="G19" s="210">
        <f t="array" ref="G19">IFERROR(INDEX('Oct 27'!$C$2:$C$434, MATCH($A19, 'Oct 27'!$B$2:$B$434,0)),"")</f>
        <v>3.312</v>
      </c>
      <c r="H19" s="210">
        <f t="array" ref="H19">IFERROR(INDEX('Nov 10'!$C$2:$C$485, MATCH($A19, 'Nov 10'!$B$2:$B$485,0)),"")</f>
        <v>3.374</v>
      </c>
      <c r="I19" s="210">
        <f t="array" ref="I19">IFERROR(INDEX('Dec 1'!$C$2:$C$542, MATCH($A19, 'Dec 1'!$B$2:$B$542,0)),"")</f>
        <v>3.534</v>
      </c>
      <c r="J19" s="210"/>
      <c r="K19" s="14"/>
      <c r="L19" s="14"/>
      <c r="M19" s="14"/>
      <c r="N19" s="14"/>
      <c r="O19" s="14"/>
      <c r="P19" s="14"/>
      <c r="Q19" s="14"/>
      <c r="R19" s="14"/>
      <c r="S19" s="14"/>
      <c r="T19" s="14"/>
      <c r="U19" s="14"/>
      <c r="V19" s="14"/>
      <c r="W19" s="14"/>
      <c r="X19" s="14"/>
      <c r="Y19" s="14"/>
      <c r="Z19" s="14"/>
      <c r="AA19" s="14"/>
      <c r="AB19" s="14"/>
      <c r="AC19" s="14"/>
      <c r="AD19" s="14"/>
      <c r="AE19" s="14"/>
      <c r="AF19" s="14"/>
      <c r="AG19" s="14"/>
    </row>
    <row r="20">
      <c r="A20" s="49">
        <v>1620.0</v>
      </c>
      <c r="B20" s="50" t="s">
        <v>46</v>
      </c>
      <c r="C20" s="210">
        <f t="array" ref="C20">IFERROR(INDEX('Sep 1'!$C$2:$C$321, MATCH($A20,'Sep 1'!$B$2:$B$320,0)),"")</f>
        <v>4</v>
      </c>
      <c r="D20" s="210">
        <f t="array" ref="D20">IFERROR(INDEX('Sep 15'!$C$2:$C$370, MATCH($A20, 'Sep 15'!$B$2:$B$370,0)),"")</f>
        <v>4</v>
      </c>
      <c r="E20" s="210">
        <f t="array" ref="E20">IFERROR(INDEX('Sep 29'!$C$2:$C$435, MATCH($A20, 'Sep 29'!$B$2:$B$435,0)),"")</f>
        <v>4</v>
      </c>
      <c r="F20" s="210">
        <f t="array" ref="F20">IFERROR(INDEX('Oct 13'!$C$2:$C$389, MATCH($A20, 'Oct 13'!$B$2:$B$389,0)),"")</f>
        <v>3.5</v>
      </c>
      <c r="G20" s="210">
        <f t="array" ref="G20">IFERROR(INDEX('Oct 27'!$C$2:$C$434, MATCH($A20, 'Oct 27'!$B$2:$B$434,0)),"")</f>
        <v>3.5</v>
      </c>
      <c r="H20" s="210">
        <f t="array" ref="H20">IFERROR(INDEX('Nov 10'!$C$2:$C$485, MATCH($A20, 'Nov 10'!$B$2:$B$485,0)),"")</f>
        <v>3.75</v>
      </c>
      <c r="I20" s="210">
        <f t="array" ref="I20">IFERROR(INDEX('Dec 1'!$C$2:$C$542, MATCH($A20, 'Dec 1'!$B$2:$B$542,0)),"")</f>
        <v>3.668</v>
      </c>
      <c r="J20" s="210"/>
      <c r="K20" s="14"/>
      <c r="L20" s="14"/>
      <c r="M20" s="14"/>
      <c r="N20" s="14"/>
      <c r="O20" s="14"/>
      <c r="P20" s="14"/>
      <c r="Q20" s="14"/>
      <c r="R20" s="14"/>
      <c r="S20" s="14"/>
      <c r="T20" s="14"/>
      <c r="U20" s="14"/>
      <c r="V20" s="14"/>
      <c r="W20" s="14"/>
      <c r="X20" s="14"/>
      <c r="Y20" s="14"/>
      <c r="Z20" s="14"/>
      <c r="AA20" s="14"/>
      <c r="AB20" s="14"/>
      <c r="AC20" s="14"/>
      <c r="AD20" s="14"/>
      <c r="AE20" s="14"/>
      <c r="AF20" s="14"/>
      <c r="AG20" s="14"/>
    </row>
    <row r="21">
      <c r="A21" s="58">
        <v>1621.0</v>
      </c>
      <c r="B21" s="59" t="s">
        <v>45</v>
      </c>
      <c r="C21" s="210">
        <f t="array" ref="C21">IFERROR(INDEX('Sep 1'!$C$2:$C$321, MATCH($A21,'Sep 1'!$B$2:$B$320,0)),"")</f>
        <v>4</v>
      </c>
      <c r="D21" s="210">
        <f t="array" ref="D21">IFERROR(INDEX('Sep 15'!$C$2:$C$370, MATCH($A21, 'Sep 15'!$B$2:$B$370,0)),"")</f>
        <v>4</v>
      </c>
      <c r="E21" s="210">
        <f t="array" ref="E21">IFERROR(INDEX('Sep 29'!$C$2:$C$435, MATCH($A21, 'Sep 29'!$B$2:$B$435,0)),"")</f>
        <v>4</v>
      </c>
      <c r="F21" s="210">
        <f t="array" ref="F21">IFERROR(INDEX('Oct 13'!$C$2:$C$389, MATCH($A21, 'Oct 13'!$B$2:$B$389,0)),"")</f>
        <v>4</v>
      </c>
      <c r="G21" s="210">
        <f t="array" ref="G21">IFERROR(INDEX('Oct 27'!$C$2:$C$434, MATCH($A21, 'Oct 27'!$B$2:$B$434,0)),"")</f>
        <v>4</v>
      </c>
      <c r="H21" s="210">
        <f t="array" ref="H21">IFERROR(INDEX('Nov 10'!$C$2:$C$485, MATCH($A21, 'Nov 10'!$B$2:$B$485,0)),"")</f>
        <v>4</v>
      </c>
      <c r="I21" s="210">
        <f t="array" ref="I21">IFERROR(INDEX('Dec 1'!$C$2:$C$542, MATCH($A21, 'Dec 1'!$B$2:$B$542,0)),"")</f>
        <v>4</v>
      </c>
      <c r="J21" s="210"/>
      <c r="K21" s="14"/>
      <c r="L21" s="14"/>
      <c r="M21" s="14"/>
      <c r="N21" s="14"/>
      <c r="O21" s="14"/>
      <c r="P21" s="14"/>
      <c r="Q21" s="14"/>
      <c r="R21" s="14"/>
      <c r="S21" s="14"/>
      <c r="T21" s="14"/>
      <c r="U21" s="14"/>
      <c r="V21" s="14"/>
      <c r="W21" s="14"/>
      <c r="X21" s="14"/>
      <c r="Y21" s="14"/>
      <c r="Z21" s="14"/>
      <c r="AA21" s="14"/>
      <c r="AB21" s="14"/>
      <c r="AC21" s="14"/>
      <c r="AD21" s="14"/>
      <c r="AE21" s="14"/>
      <c r="AF21" s="14"/>
      <c r="AG21" s="14"/>
    </row>
    <row r="22">
      <c r="A22" s="49">
        <v>1622.0</v>
      </c>
      <c r="B22" s="53" t="s">
        <v>94</v>
      </c>
      <c r="C22" s="210">
        <f t="array" ref="C22">IFERROR(INDEX('Sep 1'!$C$2:$C$321, MATCH($A22,'Sep 1'!$B$2:$B$320,0)),"")</f>
        <v>4</v>
      </c>
      <c r="D22" s="210">
        <f t="array" ref="D22">IFERROR(INDEX('Sep 15'!$C$2:$C$370, MATCH($A22, 'Sep 15'!$B$2:$B$370,0)),"")</f>
        <v>4</v>
      </c>
      <c r="E22" s="210">
        <f t="array" ref="E22">IFERROR(INDEX('Sep 29'!$C$2:$C$435, MATCH($A22, 'Sep 29'!$B$2:$B$435,0)),"")</f>
        <v>2.33</v>
      </c>
      <c r="F22" s="210">
        <f t="array" ref="F22">IFERROR(INDEX('Oct 13'!$C$2:$C$389, MATCH($A22, 'Oct 13'!$B$2:$B$389,0)),"")</f>
        <v>2.75</v>
      </c>
      <c r="G22" s="210">
        <f t="array" ref="G22">IFERROR(INDEX('Oct 27'!$C$2:$C$434, MATCH($A22, 'Oct 27'!$B$2:$B$434,0)),"")</f>
        <v>2.83</v>
      </c>
      <c r="H22" s="210">
        <f t="array" ref="H22">IFERROR(INDEX('Nov 10'!$C$2:$C$485, MATCH($A22, 'Nov 10'!$B$2:$B$485,0)),"")</f>
        <v>2.918</v>
      </c>
      <c r="I22" s="210">
        <f t="array" ref="I22">IFERROR(INDEX('Dec 1'!$C$2:$C$542, MATCH($A22, 'Dec 1'!$B$2:$B$542,0)),"")</f>
        <v>2.88</v>
      </c>
      <c r="J22" s="210"/>
      <c r="K22" s="14"/>
      <c r="L22" s="14"/>
      <c r="M22" s="14"/>
      <c r="N22" s="14"/>
      <c r="O22" s="14"/>
      <c r="P22" s="14"/>
      <c r="Q22" s="14"/>
      <c r="R22" s="14"/>
      <c r="S22" s="14"/>
      <c r="T22" s="14"/>
      <c r="U22" s="14"/>
      <c r="V22" s="14"/>
      <c r="W22" s="14"/>
      <c r="X22" s="14"/>
      <c r="Y22" s="14"/>
      <c r="Z22" s="14"/>
      <c r="AA22" s="14"/>
      <c r="AB22" s="14"/>
      <c r="AC22" s="14"/>
      <c r="AD22" s="14"/>
      <c r="AE22" s="14"/>
      <c r="AF22" s="14"/>
      <c r="AG22" s="14"/>
    </row>
    <row r="23">
      <c r="A23" s="58">
        <v>1623.0</v>
      </c>
      <c r="B23" s="73" t="s">
        <v>73</v>
      </c>
      <c r="C23" s="210">
        <f t="array" ref="C23">IFERROR(INDEX('Sep 1'!$C$2:$C$321, MATCH($A23,'Sep 1'!$B$2:$B$320,0)),"")</f>
        <v>4</v>
      </c>
      <c r="D23" s="210">
        <f t="array" ref="D23">IFERROR(INDEX('Sep 15'!$C$2:$C$370, MATCH($A23, 'Sep 15'!$B$2:$B$370,0)),"")</f>
        <v>4</v>
      </c>
      <c r="E23" s="210">
        <f t="array" ref="E23">IFERROR(INDEX('Sep 29'!$C$2:$C$435, MATCH($A23, 'Sep 29'!$B$2:$B$435,0)),"")</f>
        <v>4</v>
      </c>
      <c r="F23" s="210">
        <f t="array" ref="F23">IFERROR(INDEX('Oct 13'!$C$2:$C$389, MATCH($A23, 'Oct 13'!$B$2:$B$389,0)),"")</f>
        <v>3.687</v>
      </c>
      <c r="G23" s="210">
        <f t="array" ref="G23">IFERROR(INDEX('Oct 27'!$C$2:$C$434, MATCH($A23, 'Oct 27'!$B$2:$B$434,0)),"")</f>
        <v>3.625</v>
      </c>
      <c r="H23" s="210">
        <f t="array" ref="H23">IFERROR(INDEX('Nov 10'!$C$2:$C$485, MATCH($A23, 'Nov 10'!$B$2:$B$485,0)),"")</f>
        <v>3.625</v>
      </c>
      <c r="I23" s="210">
        <f t="array" ref="I23">IFERROR(INDEX('Dec 1'!$C$2:$C$542, MATCH($A23, 'Dec 1'!$B$2:$B$542,0)),"")</f>
        <v>3.687</v>
      </c>
      <c r="J23" s="210"/>
      <c r="K23" s="14"/>
      <c r="L23" s="14"/>
      <c r="M23" s="14"/>
      <c r="N23" s="14"/>
      <c r="O23" s="14"/>
      <c r="P23" s="14"/>
      <c r="Q23" s="14"/>
      <c r="R23" s="14"/>
      <c r="S23" s="14"/>
      <c r="T23" s="14"/>
      <c r="U23" s="14"/>
      <c r="V23" s="14"/>
      <c r="W23" s="14"/>
      <c r="X23" s="14"/>
      <c r="Y23" s="14"/>
      <c r="Z23" s="14"/>
      <c r="AA23" s="14"/>
      <c r="AB23" s="14"/>
      <c r="AC23" s="14"/>
      <c r="AD23" s="14"/>
      <c r="AE23" s="14"/>
      <c r="AF23" s="14"/>
      <c r="AG23" s="14"/>
    </row>
    <row r="24">
      <c r="A24" s="49">
        <v>1624.0</v>
      </c>
      <c r="B24" s="53" t="s">
        <v>110</v>
      </c>
      <c r="C24" s="210">
        <f t="array" ref="C24">IFERROR(INDEX('Sep 1'!$C$2:$C$321, MATCH($A24,'Sep 1'!$B$2:$B$320,0)),"")</f>
        <v>3.168</v>
      </c>
      <c r="D24" s="210">
        <f t="array" ref="D24">IFERROR(INDEX('Sep 15'!$C$2:$C$370, MATCH($A24, 'Sep 15'!$B$2:$B$370,0)),"")</f>
        <v>3.25</v>
      </c>
      <c r="E24" s="210">
        <f t="array" ref="E24">IFERROR(INDEX('Sep 29'!$C$2:$C$435, MATCH($A24, 'Sep 29'!$B$2:$B$435,0)),"")</f>
        <v>3.168</v>
      </c>
      <c r="F24" s="210">
        <f t="array" ref="F24">IFERROR(INDEX('Oct 13'!$C$2:$C$389, MATCH($A24, 'Oct 13'!$B$2:$B$389,0)),"")</f>
        <v>3.335</v>
      </c>
      <c r="G24" s="210">
        <f t="array" ref="G24">IFERROR(INDEX('Oct 27'!$C$2:$C$434, MATCH($A24, 'Oct 27'!$B$2:$B$434,0)),"")</f>
        <v>3.168</v>
      </c>
      <c r="H24" s="210">
        <f t="array" ref="H24">IFERROR(INDEX('Nov 10'!$C$2:$C$485, MATCH($A24, 'Nov 10'!$B$2:$B$485,0)),"")</f>
        <v>2.75</v>
      </c>
      <c r="I24" s="210">
        <f t="array" ref="I24">IFERROR(INDEX('Dec 1'!$C$2:$C$542, MATCH($A24, 'Dec 1'!$B$2:$B$542,0)),"")</f>
        <v>2.665</v>
      </c>
      <c r="J24" s="210"/>
      <c r="K24" s="14"/>
      <c r="L24" s="14"/>
      <c r="M24" s="14"/>
      <c r="N24" s="14"/>
      <c r="O24" s="14"/>
      <c r="P24" s="14"/>
      <c r="Q24" s="14"/>
      <c r="R24" s="14"/>
      <c r="S24" s="14"/>
      <c r="T24" s="14"/>
      <c r="U24" s="14"/>
      <c r="V24" s="14"/>
      <c r="W24" s="14"/>
      <c r="X24" s="14"/>
      <c r="Y24" s="14"/>
      <c r="Z24" s="14"/>
      <c r="AA24" s="14"/>
      <c r="AB24" s="14"/>
      <c r="AC24" s="14"/>
      <c r="AD24" s="14"/>
      <c r="AE24" s="14"/>
      <c r="AF24" s="14"/>
      <c r="AG24" s="14"/>
    </row>
    <row r="25">
      <c r="A25" s="58">
        <v>1625.0</v>
      </c>
      <c r="B25" s="59" t="s">
        <v>114</v>
      </c>
      <c r="C25" s="210">
        <f t="array" ref="C25">IFERROR(INDEX('Sep 1'!$C$2:$C$321, MATCH($A25,'Sep 1'!$B$2:$B$320,0)),"")</f>
        <v>4</v>
      </c>
      <c r="D25" s="210">
        <f t="array" ref="D25">IFERROR(INDEX('Sep 15'!$C$2:$C$370, MATCH($A25, 'Sep 15'!$B$2:$B$370,0)),"")</f>
        <v>3.89</v>
      </c>
      <c r="E25" s="210">
        <f t="array" ref="E25">IFERROR(INDEX('Sep 29'!$C$2:$C$435, MATCH($A25, 'Sep 29'!$B$2:$B$435,0)),"")</f>
        <v>3.668</v>
      </c>
      <c r="F25" s="210">
        <f t="array" ref="F25">IFERROR(INDEX('Oct 13'!$C$2:$C$389, MATCH($A25, 'Oct 13'!$B$2:$B$389,0)),"")</f>
        <v>3.001</v>
      </c>
      <c r="G25" s="210">
        <f t="array" ref="G25">IFERROR(INDEX('Oct 27'!$C$2:$C$434, MATCH($A25, 'Oct 27'!$B$2:$B$434,0)),"")</f>
        <v>3</v>
      </c>
      <c r="H25" s="210">
        <f t="array" ref="H25">IFERROR(INDEX('Nov 10'!$C$2:$C$485, MATCH($A25, 'Nov 10'!$B$2:$B$485,0)),"")</f>
        <v>3.083</v>
      </c>
      <c r="I25" s="210">
        <f t="array" ref="I25">IFERROR(INDEX('Dec 1'!$C$2:$C$542, MATCH($A25, 'Dec 1'!$B$2:$B$542,0)),"")</f>
        <v>3.083</v>
      </c>
      <c r="J25" s="210"/>
      <c r="K25" s="14"/>
      <c r="L25" s="14"/>
      <c r="M25" s="14"/>
      <c r="N25" s="14"/>
      <c r="O25" s="14"/>
      <c r="P25" s="14"/>
      <c r="Q25" s="14"/>
      <c r="R25" s="14"/>
      <c r="S25" s="14"/>
      <c r="T25" s="14"/>
      <c r="U25" s="14"/>
      <c r="V25" s="14"/>
      <c r="W25" s="14"/>
      <c r="X25" s="14"/>
      <c r="Y25" s="14"/>
      <c r="Z25" s="14"/>
      <c r="AA25" s="14"/>
      <c r="AB25" s="14"/>
      <c r="AC25" s="14"/>
      <c r="AD25" s="14"/>
      <c r="AE25" s="14"/>
      <c r="AF25" s="14"/>
      <c r="AG25" s="14"/>
    </row>
    <row r="26">
      <c r="A26" s="49">
        <v>1626.0</v>
      </c>
      <c r="B26" s="53" t="s">
        <v>71</v>
      </c>
      <c r="C26" s="210">
        <f t="array" ref="C26">IFERROR(INDEX('Sep 1'!$C$2:$C$321, MATCH($A26,'Sep 1'!$B$2:$B$320,0)),"")</f>
        <v>2</v>
      </c>
      <c r="D26" s="210">
        <f t="array" ref="D26">IFERROR(INDEX('Sep 15'!$C$2:$C$370, MATCH($A26, 'Sep 15'!$B$2:$B$370,0)),"")</f>
        <v>3.667</v>
      </c>
      <c r="E26" s="210">
        <f t="array" ref="E26">IFERROR(INDEX('Sep 29'!$C$2:$C$435, MATCH($A26, 'Sep 29'!$B$2:$B$435,0)),"")</f>
        <v>2</v>
      </c>
      <c r="F26" s="8" t="s">
        <v>239</v>
      </c>
      <c r="G26" s="8" t="s">
        <v>239</v>
      </c>
      <c r="H26" s="210" t="str">
        <f t="array" ref="H26">IFERROR(INDEX('Nov 10'!$C$2:$C$485, MATCH($A26, 'Nov 10'!$B$2:$B$485,0)),"")</f>
        <v/>
      </c>
      <c r="I26" s="210" t="str">
        <f t="array" ref="I26">IFERROR(INDEX('Dec 1'!$C$2:$C$542, MATCH($A26, 'Dec 1'!$B$2:$B$542,0)),"")</f>
        <v/>
      </c>
      <c r="J26" s="8" t="s">
        <v>239</v>
      </c>
      <c r="K26" s="14"/>
      <c r="L26" s="14"/>
      <c r="M26" s="14"/>
      <c r="N26" s="14"/>
      <c r="O26" s="14"/>
      <c r="P26" s="14"/>
      <c r="Q26" s="14"/>
      <c r="R26" s="14"/>
      <c r="S26" s="14"/>
      <c r="T26" s="14"/>
      <c r="U26" s="14"/>
      <c r="V26" s="14"/>
      <c r="W26" s="14"/>
      <c r="X26" s="14"/>
      <c r="Y26" s="14"/>
      <c r="Z26" s="14"/>
      <c r="AA26" s="14"/>
      <c r="AB26" s="14"/>
      <c r="AC26" s="14"/>
      <c r="AD26" s="14"/>
      <c r="AE26" s="14"/>
      <c r="AF26" s="14"/>
      <c r="AG26" s="14"/>
    </row>
    <row r="27">
      <c r="A27" s="58">
        <v>1627.0</v>
      </c>
      <c r="B27" s="59" t="s">
        <v>90</v>
      </c>
      <c r="C27" s="210">
        <f t="array" ref="C27">IFERROR(INDEX('Sep 1'!$C$2:$C$321, MATCH($A27,'Sep 1'!$B$2:$B$320,0)),"")</f>
        <v>4</v>
      </c>
      <c r="D27" s="210">
        <f t="array" ref="D27">IFERROR(INDEX('Sep 15'!$C$2:$C$370, MATCH($A27, 'Sep 15'!$B$2:$B$370,0)),"")</f>
        <v>3.65</v>
      </c>
      <c r="E27" s="210">
        <f t="array" ref="E27">IFERROR(INDEX('Sep 29'!$C$2:$C$435, MATCH($A27, 'Sep 29'!$B$2:$B$435,0)),"")</f>
        <v>3.33</v>
      </c>
      <c r="F27" s="210">
        <f t="array" ref="F27">IFERROR(INDEX('Oct 13'!$C$2:$C$389, MATCH($A27, 'Oct 13'!$B$2:$B$389,0)),"")</f>
        <v>3.083</v>
      </c>
      <c r="G27" s="210">
        <f t="array" ref="G27">IFERROR(INDEX('Oct 27'!$C$2:$C$434, MATCH($A27, 'Oct 27'!$B$2:$B$434,0)),"")</f>
        <v>3.085</v>
      </c>
      <c r="H27" s="210">
        <f t="array" ref="H27">IFERROR(INDEX('Nov 10'!$C$2:$C$485, MATCH($A27, 'Nov 10'!$B$2:$B$485,0)),"")</f>
        <v>3.083</v>
      </c>
      <c r="I27" s="210">
        <f t="array" ref="I27">IFERROR(INDEX('Dec 1'!$C$2:$C$542, MATCH($A27, 'Dec 1'!$B$2:$B$542,0)),"")</f>
        <v>3</v>
      </c>
      <c r="J27" s="210"/>
      <c r="K27" s="14"/>
      <c r="L27" s="14"/>
      <c r="M27" s="14"/>
      <c r="N27" s="14"/>
      <c r="O27" s="14"/>
      <c r="P27" s="14"/>
      <c r="Q27" s="14"/>
      <c r="R27" s="14"/>
      <c r="S27" s="14"/>
      <c r="T27" s="14"/>
      <c r="U27" s="14"/>
      <c r="V27" s="14"/>
      <c r="W27" s="14"/>
      <c r="X27" s="14"/>
      <c r="Y27" s="14"/>
      <c r="Z27" s="14"/>
      <c r="AA27" s="14"/>
      <c r="AB27" s="14"/>
      <c r="AC27" s="14"/>
      <c r="AD27" s="14"/>
      <c r="AE27" s="14"/>
      <c r="AF27" s="14"/>
      <c r="AG27" s="14"/>
    </row>
    <row r="28">
      <c r="A28" s="49">
        <v>1628.0</v>
      </c>
      <c r="B28" s="53" t="s">
        <v>44</v>
      </c>
      <c r="C28" s="210">
        <f t="array" ref="C28">IFERROR(INDEX('Sep 1'!$C$2:$C$321, MATCH($A28,'Sep 1'!$B$2:$B$320,0)),"")</f>
        <v>4</v>
      </c>
      <c r="D28" s="210">
        <f t="array" ref="D28">IFERROR(INDEX('Sep 15'!$C$2:$C$370, MATCH($A28, 'Sep 15'!$B$2:$B$370,0)),"")</f>
        <v>3.769</v>
      </c>
      <c r="E28" s="210">
        <f t="array" ref="E28">IFERROR(INDEX('Sep 29'!$C$2:$C$435, MATCH($A28, 'Sep 29'!$B$2:$B$435,0)),"")</f>
        <v>3.924</v>
      </c>
      <c r="F28" s="210">
        <f t="array" ref="F28">IFERROR(INDEX('Oct 13'!$C$2:$C$389, MATCH($A28, 'Oct 13'!$B$2:$B$389,0)),"")</f>
        <v>3.924</v>
      </c>
      <c r="G28" s="210">
        <f t="array" ref="G28">IFERROR(INDEX('Oct 27'!$C$2:$C$434, MATCH($A28, 'Oct 27'!$B$2:$B$434,0)),"")</f>
        <v>4</v>
      </c>
      <c r="H28" s="210">
        <f t="array" ref="H28">IFERROR(INDEX('Nov 10'!$C$2:$C$485, MATCH($A28, 'Nov 10'!$B$2:$B$485,0)),"")</f>
        <v>3.845</v>
      </c>
      <c r="I28" s="210">
        <f t="array" ref="I28">IFERROR(INDEX('Dec 1'!$C$2:$C$542, MATCH($A28, 'Dec 1'!$B$2:$B$542,0)),"")</f>
        <v>3.845</v>
      </c>
      <c r="J28" s="210"/>
      <c r="K28" s="14"/>
      <c r="L28" s="14"/>
      <c r="M28" s="14"/>
      <c r="N28" s="14"/>
      <c r="O28" s="14"/>
      <c r="P28" s="14"/>
      <c r="Q28" s="14"/>
      <c r="R28" s="14"/>
      <c r="S28" s="14"/>
      <c r="T28" s="14"/>
      <c r="U28" s="14"/>
      <c r="V28" s="14"/>
      <c r="W28" s="14"/>
      <c r="X28" s="14"/>
      <c r="Y28" s="14"/>
      <c r="Z28" s="14"/>
      <c r="AA28" s="14"/>
      <c r="AB28" s="14"/>
      <c r="AC28" s="14"/>
      <c r="AD28" s="14"/>
      <c r="AE28" s="14"/>
      <c r="AF28" s="14"/>
      <c r="AG28" s="14"/>
    </row>
    <row r="29">
      <c r="A29" s="58">
        <v>1630.0</v>
      </c>
      <c r="B29" s="59" t="s">
        <v>79</v>
      </c>
      <c r="C29" s="210">
        <f t="array" ref="C29">IFERROR(INDEX('Sep 1'!$C$2:$C$321, MATCH($A29,'Sep 1'!$B$2:$B$320,0)),"")</f>
        <v>3.833</v>
      </c>
      <c r="D29" s="210">
        <f t="array" ref="D29">IFERROR(INDEX('Sep 15'!$C$2:$C$370, MATCH($A29, 'Sep 15'!$B$2:$B$370,0)),"")</f>
        <v>3.866</v>
      </c>
      <c r="E29" s="210">
        <f t="array" ref="E29">IFERROR(INDEX('Sep 29'!$C$2:$C$435, MATCH($A29, 'Sep 29'!$B$2:$B$435,0)),"")</f>
        <v>3.86</v>
      </c>
      <c r="F29" s="210">
        <f t="array" ref="F29">IFERROR(INDEX('Oct 13'!$C$2:$C$389, MATCH($A29, 'Oct 13'!$B$2:$B$389,0)),"")</f>
        <v>3.2</v>
      </c>
      <c r="G29" s="210">
        <f t="array" ref="G29">IFERROR(INDEX('Oct 27'!$C$2:$C$434, MATCH($A29, 'Oct 27'!$B$2:$B$434,0)),"")</f>
        <v>3.068</v>
      </c>
      <c r="H29" s="210">
        <f t="array" ref="H29">IFERROR(INDEX('Nov 10'!$C$2:$C$485, MATCH($A29, 'Nov 10'!$B$2:$B$485,0)),"")</f>
        <v>3.334</v>
      </c>
      <c r="I29" s="210">
        <f t="array" ref="I29">IFERROR(INDEX('Dec 1'!$C$2:$C$542, MATCH($A29, 'Dec 1'!$B$2:$B$542,0)),"")</f>
        <v>3.134</v>
      </c>
      <c r="J29" s="210"/>
      <c r="K29" s="14"/>
      <c r="L29" s="14"/>
      <c r="M29" s="14"/>
      <c r="N29" s="14"/>
      <c r="O29" s="14"/>
      <c r="P29" s="14"/>
      <c r="Q29" s="14"/>
      <c r="R29" s="14"/>
      <c r="S29" s="14"/>
      <c r="T29" s="14"/>
      <c r="U29" s="14"/>
      <c r="V29" s="14"/>
      <c r="W29" s="14"/>
      <c r="X29" s="14"/>
      <c r="Y29" s="14"/>
      <c r="Z29" s="14"/>
      <c r="AA29" s="14"/>
      <c r="AB29" s="14"/>
      <c r="AC29" s="220"/>
      <c r="AD29" s="14"/>
      <c r="AE29" s="14"/>
      <c r="AF29" s="14"/>
      <c r="AG29" s="14"/>
    </row>
    <row r="30">
      <c r="A30" s="49">
        <v>1631.0</v>
      </c>
      <c r="B30" s="53" t="s">
        <v>102</v>
      </c>
      <c r="C30" s="210">
        <f t="array" ref="C30">IFERROR(INDEX('Sep 1'!$C$2:$C$321, MATCH($A30,'Sep 1'!$B$2:$B$320,0)),"")</f>
        <v>4</v>
      </c>
      <c r="D30" s="210">
        <f t="array" ref="D30">IFERROR(INDEX('Sep 15'!$C$2:$C$370, MATCH($A30, 'Sep 15'!$B$2:$B$370,0)),"")</f>
        <v>4</v>
      </c>
      <c r="E30" s="210">
        <f t="array" ref="E30">IFERROR(INDEX('Sep 29'!$C$2:$C$435, MATCH($A30, 'Sep 29'!$B$2:$B$435,0)),"")</f>
        <v>3.2</v>
      </c>
      <c r="F30" s="210">
        <f t="array" ref="F30">IFERROR(INDEX('Oct 13'!$C$2:$C$389, MATCH($A30, 'Oct 13'!$B$2:$B$389,0)),"")</f>
        <v>3</v>
      </c>
      <c r="G30" s="210">
        <f t="array" ref="G30">IFERROR(INDEX('Oct 27'!$C$2:$C$434, MATCH($A30, 'Oct 27'!$B$2:$B$434,0)),"")</f>
        <v>3.4</v>
      </c>
      <c r="H30" s="210">
        <f t="array" ref="H30">IFERROR(INDEX('Nov 10'!$C$2:$C$485, MATCH($A30, 'Nov 10'!$B$2:$B$485,0)),"")</f>
        <v>2</v>
      </c>
      <c r="I30" s="210">
        <f t="array" ref="I30">IFERROR(INDEX('Dec 1'!$C$2:$C$542, MATCH($A30, 'Dec 1'!$B$2:$B$542,0)),"")</f>
        <v>2.934</v>
      </c>
      <c r="J30" s="210"/>
      <c r="K30" s="14"/>
      <c r="L30" s="14"/>
      <c r="M30" s="14"/>
      <c r="N30" s="14"/>
      <c r="O30" s="14"/>
      <c r="P30" s="14"/>
      <c r="Q30" s="14"/>
      <c r="R30" s="14"/>
      <c r="S30" s="14"/>
      <c r="T30" s="14"/>
      <c r="U30" s="14"/>
      <c r="V30" s="14"/>
      <c r="W30" s="14"/>
      <c r="X30" s="14"/>
      <c r="Y30" s="14"/>
      <c r="Z30" s="14"/>
      <c r="AA30" s="14"/>
      <c r="AB30" s="14"/>
      <c r="AC30" s="14"/>
      <c r="AD30" s="14"/>
      <c r="AE30" s="14"/>
      <c r="AF30" s="14"/>
      <c r="AG30" s="14"/>
    </row>
    <row r="31">
      <c r="A31" s="58">
        <v>1632.0</v>
      </c>
      <c r="B31" s="73" t="s">
        <v>130</v>
      </c>
      <c r="C31" s="210">
        <f t="array" ref="C31">IFERROR(INDEX('Sep 1'!$C$2:$C$321, MATCH($A31,'Sep 1'!$B$2:$B$320,0)),"")</f>
        <v>3.3</v>
      </c>
      <c r="D31" s="210">
        <f t="array" ref="D31">IFERROR(INDEX('Sep 15'!$C$2:$C$370, MATCH($A31, 'Sep 15'!$B$2:$B$370,0)),"")</f>
        <v>3</v>
      </c>
      <c r="E31" s="210">
        <f t="array" ref="E31">IFERROR(INDEX('Sep 29'!$C$2:$C$435, MATCH($A31, 'Sep 29'!$B$2:$B$435,0)),"")</f>
        <v>2.9</v>
      </c>
      <c r="F31" s="210">
        <f t="array" ref="F31">IFERROR(INDEX('Oct 13'!$C$2:$C$389, MATCH($A31, 'Oct 13'!$B$2:$B$389,0)),"")</f>
        <v>2.9</v>
      </c>
      <c r="G31" s="8" t="s">
        <v>239</v>
      </c>
      <c r="H31" s="210" t="str">
        <f t="array" ref="H31">IFERROR(INDEX('Nov 10'!$C$2:$C$485, MATCH($A31, 'Nov 10'!$B$2:$B$485,0)),"")</f>
        <v/>
      </c>
      <c r="I31" s="210" t="str">
        <f t="array" ref="I31">IFERROR(INDEX('Dec 1'!$C$2:$C$542, MATCH($A31, 'Dec 1'!$B$2:$B$542,0)),"")</f>
        <v/>
      </c>
      <c r="J31" s="8" t="s">
        <v>239</v>
      </c>
      <c r="K31" s="14"/>
      <c r="L31" s="14"/>
      <c r="M31" s="14"/>
      <c r="N31" s="14"/>
      <c r="O31" s="14"/>
      <c r="P31" s="14"/>
      <c r="Q31" s="14"/>
      <c r="R31" s="14"/>
      <c r="S31" s="14"/>
      <c r="T31" s="14"/>
      <c r="U31" s="14"/>
      <c r="V31" s="14"/>
      <c r="W31" s="14"/>
      <c r="X31" s="14"/>
      <c r="Y31" s="14"/>
      <c r="Z31" s="14"/>
      <c r="AA31" s="14"/>
      <c r="AB31" s="14"/>
      <c r="AC31" s="14"/>
      <c r="AD31" s="14"/>
      <c r="AE31" s="14"/>
      <c r="AF31" s="14"/>
      <c r="AG31" s="14"/>
    </row>
    <row r="32">
      <c r="A32" s="49">
        <v>1634.0</v>
      </c>
      <c r="B32" s="50" t="s">
        <v>49</v>
      </c>
      <c r="C32" s="210">
        <f t="array" ref="C32">IFERROR(INDEX('Sep 1'!$C$2:$C$321, MATCH($A32,'Sep 1'!$B$2:$B$320,0)),"")</f>
        <v>4</v>
      </c>
      <c r="D32" s="210">
        <f t="array" ref="D32">IFERROR(INDEX('Sep 15'!$C$2:$C$370, MATCH($A32, 'Sep 15'!$B$2:$B$370,0)),"")</f>
        <v>4</v>
      </c>
      <c r="E32" s="210">
        <f t="array" ref="E32">IFERROR(INDEX('Sep 29'!$C$2:$C$435, MATCH($A32, 'Sep 29'!$B$2:$B$435,0)),"")</f>
        <v>4</v>
      </c>
      <c r="F32" s="210">
        <f t="array" ref="F32">IFERROR(INDEX('Oct 13'!$C$2:$C$389, MATCH($A32, 'Oct 13'!$B$2:$B$389,0)),"")</f>
        <v>4</v>
      </c>
      <c r="G32" s="210">
        <f t="array" ref="G32">IFERROR(INDEX('Oct 27'!$C$2:$C$434, MATCH($A32, 'Oct 27'!$B$2:$B$434,0)),"")</f>
        <v>4</v>
      </c>
      <c r="H32" s="210">
        <f t="array" ref="H32">IFERROR(INDEX('Nov 10'!$C$2:$C$485, MATCH($A32, 'Nov 10'!$B$2:$B$485,0)),"")</f>
        <v>4</v>
      </c>
      <c r="I32" s="210">
        <f t="array" ref="I32">IFERROR(INDEX('Dec 1'!$C$2:$C$542, MATCH($A32, 'Dec 1'!$B$2:$B$542,0)),"")</f>
        <v>4</v>
      </c>
      <c r="J32" s="210"/>
      <c r="K32" s="14"/>
      <c r="L32" s="14"/>
      <c r="M32" s="14"/>
      <c r="N32" s="14"/>
      <c r="O32" s="14"/>
      <c r="P32" s="14"/>
      <c r="Q32" s="14"/>
      <c r="R32" s="14"/>
      <c r="S32" s="14"/>
      <c r="T32" s="14"/>
      <c r="U32" s="14"/>
      <c r="V32" s="14"/>
      <c r="W32" s="14"/>
      <c r="X32" s="14"/>
      <c r="Y32" s="14"/>
      <c r="Z32" s="14"/>
      <c r="AA32" s="14"/>
      <c r="AB32" s="14"/>
      <c r="AC32" s="14"/>
      <c r="AD32" s="14"/>
      <c r="AE32" s="14"/>
      <c r="AF32" s="14"/>
      <c r="AG32" s="14"/>
    </row>
    <row r="33">
      <c r="A33" s="58">
        <v>1635.0</v>
      </c>
      <c r="B33" s="59" t="s">
        <v>113</v>
      </c>
      <c r="C33" s="210">
        <f t="array" ref="C33">IFERROR(INDEX('Sep 1'!$C$2:$C$321, MATCH($A33,'Sep 1'!$B$2:$B$320,0)),"")</f>
        <v>4</v>
      </c>
      <c r="D33" s="210">
        <f t="array" ref="D33">IFERROR(INDEX('Sep 15'!$C$2:$C$370, MATCH($A33, 'Sep 15'!$B$2:$B$370,0)),"")</f>
        <v>4</v>
      </c>
      <c r="E33" s="210">
        <f t="array" ref="E33">IFERROR(INDEX('Sep 29'!$C$2:$C$435, MATCH($A33, 'Sep 29'!$B$2:$B$435,0)),"")</f>
        <v>3.918</v>
      </c>
      <c r="F33" s="210">
        <f t="array" ref="F33">IFERROR(INDEX('Oct 13'!$C$2:$C$389, MATCH($A33, 'Oct 13'!$B$2:$B$389,0)),"")</f>
        <v>2.583</v>
      </c>
      <c r="G33" s="210">
        <f t="array" ref="G33">IFERROR(INDEX('Oct 27'!$C$2:$C$434, MATCH($A33, 'Oct 27'!$B$2:$B$434,0)),"")</f>
        <v>2.5</v>
      </c>
      <c r="H33" s="210">
        <f t="array" ref="H33">IFERROR(INDEX('Nov 10'!$C$2:$C$485, MATCH($A33, 'Nov 10'!$B$2:$B$485,0)),"")</f>
        <v>2.668</v>
      </c>
      <c r="I33" s="210" t="str">
        <f t="array" ref="I33">IFERROR(INDEX('Dec 1'!$C$2:$C$542, MATCH($A33, 'Dec 1'!$B$2:$B$542,0)),"")</f>
        <v/>
      </c>
      <c r="J33" s="210"/>
      <c r="K33" s="14"/>
      <c r="L33" s="14"/>
      <c r="M33" s="14"/>
      <c r="N33" s="14"/>
      <c r="O33" s="14"/>
      <c r="P33" s="14"/>
      <c r="Q33" s="14"/>
      <c r="R33" s="14"/>
      <c r="S33" s="14"/>
      <c r="T33" s="14"/>
      <c r="U33" s="14"/>
      <c r="V33" s="14"/>
      <c r="W33" s="14"/>
      <c r="X33" s="14"/>
      <c r="Y33" s="14"/>
      <c r="Z33" s="14"/>
      <c r="AA33" s="14"/>
      <c r="AB33" s="14"/>
      <c r="AC33" s="220"/>
      <c r="AD33" s="14"/>
      <c r="AE33" s="14"/>
      <c r="AF33" s="14"/>
      <c r="AG33" s="14"/>
    </row>
    <row r="34">
      <c r="A34" s="49">
        <v>1636.0</v>
      </c>
      <c r="B34" s="287" t="s">
        <v>222</v>
      </c>
      <c r="C34" s="210">
        <f t="array" ref="C34">IFERROR(INDEX('Sep 1'!$C$2:$C$321, MATCH($A34,'Sep 1'!$B$2:$B$320,0)),"")</f>
        <v>3.62</v>
      </c>
      <c r="D34" s="210">
        <f t="array" ref="D34">IFERROR(INDEX('Sep 15'!$C$2:$C$370, MATCH($A34, 'Sep 15'!$B$2:$B$370,0)),"")</f>
        <v>3.62</v>
      </c>
      <c r="E34" s="210">
        <f t="array" ref="E34">IFERROR(INDEX('Sep 29'!$C$2:$C$435, MATCH($A34, 'Sep 29'!$B$2:$B$435,0)),"")</f>
        <v>3.46</v>
      </c>
      <c r="F34" s="210">
        <f t="array" ref="F34">IFERROR(INDEX('Oct 13'!$C$2:$C$389, MATCH($A34, 'Oct 13'!$B$2:$B$389,0)),"")</f>
        <v>3.41</v>
      </c>
      <c r="G34" s="210">
        <f t="array" ref="G34">IFERROR(INDEX('Oct 27'!$C$2:$C$434, MATCH($A34, 'Oct 27'!$B$2:$B$434,0)),"")</f>
        <v>3.1</v>
      </c>
      <c r="H34" s="210">
        <f t="array" ref="H34">IFERROR(INDEX('Nov 10'!$C$2:$C$485, MATCH($A34, 'Nov 10'!$B$2:$B$485,0)),"")</f>
        <v>2</v>
      </c>
      <c r="I34" s="210">
        <f t="array" ref="I34">IFERROR(INDEX('Dec 1'!$C$2:$C$542, MATCH($A34, 'Dec 1'!$B$2:$B$542,0)),"")</f>
        <v>2</v>
      </c>
      <c r="J34" s="210"/>
      <c r="K34" s="14"/>
      <c r="L34" s="14"/>
      <c r="M34" s="14"/>
      <c r="N34" s="14"/>
      <c r="O34" s="14"/>
      <c r="P34" s="14"/>
      <c r="Q34" s="14"/>
      <c r="R34" s="14"/>
      <c r="S34" s="14"/>
      <c r="T34" s="14"/>
      <c r="U34" s="14"/>
      <c r="V34" s="14"/>
      <c r="W34" s="14"/>
      <c r="X34" s="14"/>
      <c r="Y34" s="14"/>
      <c r="Z34" s="14"/>
      <c r="AA34" s="14"/>
      <c r="AB34" s="14"/>
      <c r="AC34" s="220"/>
      <c r="AD34" s="14"/>
      <c r="AE34" s="14"/>
      <c r="AF34" s="14"/>
      <c r="AG34" s="14"/>
    </row>
    <row r="35">
      <c r="A35" s="58">
        <v>1637.0</v>
      </c>
      <c r="B35" s="59" t="s">
        <v>64</v>
      </c>
      <c r="C35" s="210">
        <f t="array" ref="C35">IFERROR(INDEX('Sep 1'!$C$2:$C$321, MATCH($A35,'Sep 1'!$B$2:$B$320,0)),"")</f>
        <v>4</v>
      </c>
      <c r="D35" s="210">
        <f t="array" ref="D35">IFERROR(INDEX('Sep 15'!$C$2:$C$370, MATCH($A35, 'Sep 15'!$B$2:$B$370,0)),"")</f>
        <v>4</v>
      </c>
      <c r="E35" s="210">
        <f t="array" ref="E35">IFERROR(INDEX('Sep 29'!$C$2:$C$435, MATCH($A35, 'Sep 29'!$B$2:$B$435,0)),"")</f>
        <v>3.6</v>
      </c>
      <c r="F35" s="210">
        <f t="array" ref="F35">IFERROR(INDEX('Oct 13'!$C$2:$C$389, MATCH($A35, 'Oct 13'!$B$2:$B$389,0)),"")</f>
        <v>3.753</v>
      </c>
      <c r="G35" s="210">
        <f t="array" ref="G35">IFERROR(INDEX('Oct 27'!$C$2:$C$434, MATCH($A35, 'Oct 27'!$B$2:$B$434,0)),"")</f>
        <v>3.734</v>
      </c>
      <c r="H35" s="210">
        <f t="array" ref="H35">IFERROR(INDEX('Nov 10'!$C$2:$C$485, MATCH($A35, 'Nov 10'!$B$2:$B$485,0)),"")</f>
        <v>3.868</v>
      </c>
      <c r="I35" s="210">
        <f t="array" ref="I35">IFERROR(INDEX('Dec 1'!$C$2:$C$542, MATCH($A35, 'Dec 1'!$B$2:$B$542,0)),"")</f>
        <v>4</v>
      </c>
      <c r="J35" s="210"/>
      <c r="K35" s="14"/>
      <c r="L35" s="14"/>
      <c r="M35" s="14"/>
      <c r="N35" s="14"/>
      <c r="O35" s="14"/>
      <c r="P35" s="14"/>
      <c r="Q35" s="14"/>
      <c r="R35" s="14"/>
      <c r="S35" s="14"/>
      <c r="T35" s="14"/>
      <c r="U35" s="14"/>
      <c r="V35" s="14"/>
      <c r="W35" s="14"/>
      <c r="X35" s="14"/>
      <c r="Y35" s="14"/>
      <c r="Z35" s="14"/>
      <c r="AA35" s="14"/>
      <c r="AB35" s="14"/>
      <c r="AC35" s="14"/>
      <c r="AD35" s="14"/>
      <c r="AE35" s="14"/>
      <c r="AF35" s="14"/>
      <c r="AG35" s="14"/>
    </row>
    <row r="36">
      <c r="A36" s="49">
        <v>1639.0</v>
      </c>
      <c r="B36" s="50" t="s">
        <v>53</v>
      </c>
      <c r="C36" s="210">
        <f t="array" ref="C36">IFERROR(INDEX('Sep 1'!$C$2:$C$321, MATCH($A36,'Sep 1'!$B$2:$B$320,0)),"")</f>
        <v>4</v>
      </c>
      <c r="D36" s="210">
        <f t="array" ref="D36">IFERROR(INDEX('Sep 15'!$C$2:$C$370, MATCH($A36, 'Sep 15'!$B$2:$B$370,0)),"")</f>
        <v>3.934</v>
      </c>
      <c r="E36" s="210">
        <f t="array" ref="E36">IFERROR(INDEX('Sep 29'!$C$2:$C$435, MATCH($A36, 'Sep 29'!$B$2:$B$435,0)),"")</f>
        <v>4</v>
      </c>
      <c r="F36" s="210">
        <f t="array" ref="F36">IFERROR(INDEX('Oct 13'!$C$2:$C$389, MATCH($A36, 'Oct 13'!$B$2:$B$389,0)),"")</f>
        <v>3.918</v>
      </c>
      <c r="G36" s="210">
        <f t="array" ref="G36">IFERROR(INDEX('Oct 27'!$C$2:$C$434, MATCH($A36, 'Oct 27'!$B$2:$B$434,0)),"")</f>
        <v>3.918</v>
      </c>
      <c r="H36" s="210">
        <f t="array" ref="H36">IFERROR(INDEX('Nov 10'!$C$2:$C$485, MATCH($A36, 'Nov 10'!$B$2:$B$485,0)),"")</f>
        <v>3.918</v>
      </c>
      <c r="I36" s="210">
        <f t="array" ref="I36">IFERROR(INDEX('Dec 1'!$C$2:$C$542, MATCH($A36, 'Dec 1'!$B$2:$B$542,0)),"")</f>
        <v>3.833</v>
      </c>
      <c r="J36" s="210"/>
      <c r="K36" s="14"/>
      <c r="L36" s="14"/>
      <c r="M36" s="14"/>
      <c r="N36" s="14"/>
      <c r="O36" s="14"/>
      <c r="P36" s="14"/>
      <c r="Q36" s="14"/>
      <c r="R36" s="14"/>
      <c r="S36" s="14"/>
      <c r="T36" s="14"/>
      <c r="U36" s="14"/>
      <c r="V36" s="14"/>
      <c r="W36" s="14"/>
      <c r="X36" s="14"/>
      <c r="Y36" s="14"/>
      <c r="Z36" s="14"/>
      <c r="AA36" s="14"/>
      <c r="AB36" s="14"/>
      <c r="AC36" s="14"/>
      <c r="AD36" s="14"/>
      <c r="AE36" s="14"/>
      <c r="AF36" s="14"/>
      <c r="AG36" s="14"/>
    </row>
    <row r="37">
      <c r="A37" s="58">
        <v>1640.0</v>
      </c>
      <c r="B37" s="59" t="s">
        <v>96</v>
      </c>
      <c r="C37" s="210">
        <f t="array" ref="C37">IFERROR(INDEX('Sep 1'!$C$2:$C$321, MATCH($A37,'Sep 1'!$B$2:$B$320,0)),"")</f>
        <v>4</v>
      </c>
      <c r="D37" s="210">
        <f t="array" ref="D37">IFERROR(INDEX('Sep 15'!$C$2:$C$370, MATCH($A37, 'Sep 15'!$B$2:$B$370,0)),"")</f>
        <v>4</v>
      </c>
      <c r="E37" s="210">
        <f t="array" ref="E37">IFERROR(INDEX('Sep 29'!$C$2:$C$435, MATCH($A37, 'Sep 29'!$B$2:$B$435,0)),"")</f>
        <v>3.693</v>
      </c>
      <c r="F37" s="210">
        <f t="array" ref="F37">IFERROR(INDEX('Oct 13'!$C$2:$C$389, MATCH($A37, 'Oct 13'!$B$2:$B$389,0)),"")</f>
        <v>3.693</v>
      </c>
      <c r="G37" s="210">
        <f t="array" ref="G37">IFERROR(INDEX('Oct 27'!$C$2:$C$434, MATCH($A37, 'Oct 27'!$B$2:$B$434,0)),"")</f>
        <v>3.538</v>
      </c>
      <c r="H37" s="210">
        <f t="array" ref="H37">IFERROR(INDEX('Nov 10'!$C$2:$C$485, MATCH($A37, 'Nov 10'!$B$2:$B$485,0)),"")</f>
        <v>3.538</v>
      </c>
      <c r="I37" s="210">
        <f t="array" ref="I37">IFERROR(INDEX('Dec 1'!$C$2:$C$542, MATCH($A37, 'Dec 1'!$B$2:$B$542,0)),"")</f>
        <v>3.308</v>
      </c>
      <c r="J37" s="210"/>
      <c r="K37" s="14"/>
      <c r="L37" s="14"/>
      <c r="M37" s="14"/>
      <c r="N37" s="14"/>
      <c r="O37" s="14"/>
      <c r="P37" s="14"/>
      <c r="Q37" s="14"/>
      <c r="R37" s="14"/>
      <c r="S37" s="14"/>
      <c r="T37" s="14"/>
      <c r="U37" s="14"/>
      <c r="V37" s="14"/>
      <c r="W37" s="14"/>
      <c r="X37" s="14"/>
      <c r="Y37" s="14"/>
      <c r="Z37" s="14"/>
      <c r="AA37" s="14"/>
      <c r="AB37" s="14"/>
      <c r="AC37" s="14"/>
      <c r="AD37" s="14"/>
      <c r="AE37" s="14"/>
      <c r="AF37" s="14"/>
      <c r="AG37" s="14"/>
    </row>
    <row r="38">
      <c r="A38" s="49">
        <v>1641.0</v>
      </c>
      <c r="B38" s="50" t="s">
        <v>137</v>
      </c>
      <c r="C38" s="210">
        <f t="array" ref="C38">IFERROR(INDEX('Sep 1'!$C$2:$C$321, MATCH($A38,'Sep 1'!$B$2:$B$320,0)),"")</f>
        <v>3.222</v>
      </c>
      <c r="D38" s="210">
        <f t="array" ref="D38">IFERROR(INDEX('Sep 15'!$C$2:$C$370, MATCH($A38, 'Sep 15'!$B$2:$B$370,0)),"")</f>
        <v>1.616</v>
      </c>
      <c r="E38" s="210">
        <f t="array" ref="E38">IFERROR(INDEX('Sep 29'!$C$2:$C$435, MATCH($A38, 'Sep 29'!$B$2:$B$435,0)),"")</f>
        <v>2</v>
      </c>
      <c r="F38" s="210">
        <f t="array" ref="F38">IFERROR(INDEX('Oct 13'!$C$2:$C$389, MATCH($A38, 'Oct 13'!$B$2:$B$389,0)),"")</f>
        <v>2.2</v>
      </c>
      <c r="G38" s="210">
        <f t="array" ref="G38">IFERROR(INDEX('Oct 27'!$C$2:$C$434, MATCH($A38, 'Oct 27'!$B$2:$B$434,0)),"")</f>
        <v>1.868</v>
      </c>
      <c r="H38" s="210">
        <f t="array" ref="H38">IFERROR(INDEX('Nov 10'!$C$2:$C$485, MATCH($A38, 'Nov 10'!$B$2:$B$485,0)),"")</f>
        <v>2.181</v>
      </c>
      <c r="I38" s="210">
        <f t="array" ref="I38">IFERROR(INDEX('Dec 1'!$C$2:$C$542, MATCH($A38, 'Dec 1'!$B$2:$B$542,0)),"")</f>
        <v>2.488</v>
      </c>
      <c r="J38" s="210"/>
      <c r="K38" s="14"/>
      <c r="L38" s="14"/>
      <c r="M38" s="14"/>
      <c r="N38" s="14"/>
      <c r="O38" s="14"/>
      <c r="P38" s="14"/>
      <c r="Q38" s="14"/>
      <c r="R38" s="14"/>
      <c r="S38" s="14"/>
      <c r="T38" s="14"/>
      <c r="U38" s="14"/>
      <c r="V38" s="14"/>
      <c r="W38" s="14"/>
      <c r="X38" s="14"/>
      <c r="Y38" s="14"/>
      <c r="Z38" s="14"/>
      <c r="AA38" s="14"/>
      <c r="AB38" s="14"/>
      <c r="AC38" s="14"/>
      <c r="AD38" s="14"/>
      <c r="AE38" s="14"/>
      <c r="AF38" s="14"/>
      <c r="AG38" s="14"/>
    </row>
    <row r="39">
      <c r="A39" s="58">
        <v>1642.0</v>
      </c>
      <c r="B39" s="73" t="s">
        <v>104</v>
      </c>
      <c r="C39" s="210">
        <f t="array" ref="C39">IFERROR(INDEX('Sep 1'!$C$2:$C$321, MATCH($A39,'Sep 1'!$B$2:$B$320,0)),"")</f>
        <v>4</v>
      </c>
      <c r="D39" s="210">
        <f t="array" ref="D39">IFERROR(INDEX('Sep 15'!$C$2:$C$370, MATCH($A39, 'Sep 15'!$B$2:$B$370,0)),"")</f>
        <v>4</v>
      </c>
      <c r="E39" s="210">
        <f t="array" ref="E39">IFERROR(INDEX('Sep 29'!$C$2:$C$435, MATCH($A39, 'Sep 29'!$B$2:$B$435,0)),"")</f>
        <v>3.4</v>
      </c>
      <c r="F39" s="210">
        <f t="array" ref="F39">IFERROR(INDEX('Oct 13'!$C$2:$C$389, MATCH($A39, 'Oct 13'!$B$2:$B$389,0)),"")</f>
        <v>3.46</v>
      </c>
      <c r="G39" s="210">
        <f t="array" ref="G39">IFERROR(INDEX('Oct 27'!$C$2:$C$434, MATCH($A39, 'Oct 27'!$B$2:$B$434,0)),"")</f>
        <v>3.4</v>
      </c>
      <c r="H39" s="210">
        <f t="array" ref="H39">IFERROR(INDEX('Nov 10'!$C$2:$C$485, MATCH($A39, 'Nov 10'!$B$2:$B$485,0)),"")</f>
        <v>3.4</v>
      </c>
      <c r="I39" s="210">
        <f t="array" ref="I39">IFERROR(INDEX('Dec 1'!$C$2:$C$542, MATCH($A39, 'Dec 1'!$B$2:$B$542,0)),"")</f>
        <v>3.14</v>
      </c>
      <c r="J39" s="210"/>
      <c r="K39" s="14"/>
      <c r="L39" s="14"/>
      <c r="M39" s="14"/>
      <c r="N39" s="14"/>
      <c r="O39" s="14"/>
      <c r="P39" s="14"/>
      <c r="Q39" s="14"/>
      <c r="R39" s="14"/>
      <c r="S39" s="14"/>
      <c r="T39" s="14"/>
      <c r="U39" s="14"/>
      <c r="V39" s="14"/>
      <c r="W39" s="14"/>
      <c r="X39" s="14"/>
      <c r="Y39" s="14"/>
      <c r="Z39" s="14"/>
      <c r="AA39" s="14"/>
      <c r="AB39" s="14"/>
      <c r="AC39" s="220"/>
      <c r="AD39" s="14"/>
      <c r="AE39" s="14"/>
      <c r="AF39" s="14"/>
      <c r="AG39" s="14"/>
    </row>
    <row r="40">
      <c r="A40" s="49">
        <v>1643.0</v>
      </c>
      <c r="B40" s="50" t="s">
        <v>153</v>
      </c>
      <c r="C40" s="210">
        <f t="array" ref="C40">IFERROR(INDEX('Sep 1'!$C$2:$C$321, MATCH($A40,'Sep 1'!$B$2:$B$320,0)),"")</f>
        <v>3.9</v>
      </c>
      <c r="D40" s="210">
        <f t="array" ref="D40">IFERROR(INDEX('Sep 15'!$C$2:$C$370, MATCH($A40, 'Sep 15'!$B$2:$B$370,0)),"")</f>
        <v>3.85</v>
      </c>
      <c r="E40" s="210">
        <f t="array" ref="E40">IFERROR(INDEX('Sep 29'!$C$2:$C$435, MATCH($A40, 'Sep 29'!$B$2:$B$435,0)),"")</f>
        <v>3.85</v>
      </c>
      <c r="F40" s="210">
        <f t="array" ref="F40">IFERROR(INDEX('Oct 13'!$C$2:$C$389, MATCH($A40, 'Oct 13'!$B$2:$B$389,0)),"")</f>
        <v>2</v>
      </c>
      <c r="G40" s="210">
        <f t="array" ref="G40">IFERROR(INDEX('Oct 27'!$C$2:$C$434, MATCH($A40, 'Oct 27'!$B$2:$B$434,0)),"")</f>
        <v>2.714</v>
      </c>
      <c r="H40" s="210">
        <f t="array" ref="H40">IFERROR(INDEX('Nov 10'!$C$2:$C$485, MATCH($A40, 'Nov 10'!$B$2:$B$485,0)),"")</f>
        <v>2.882</v>
      </c>
      <c r="I40" s="210">
        <f t="array" ref="I40">IFERROR(INDEX('Dec 1'!$C$2:$C$542, MATCH($A40, 'Dec 1'!$B$2:$B$542,0)),"")</f>
        <v>2.882</v>
      </c>
      <c r="J40" s="210"/>
      <c r="K40" s="14"/>
      <c r="L40" s="14"/>
      <c r="M40" s="14"/>
      <c r="N40" s="14"/>
      <c r="O40" s="14"/>
      <c r="P40" s="14"/>
      <c r="Q40" s="14"/>
      <c r="R40" s="14"/>
      <c r="S40" s="14"/>
      <c r="T40" s="14"/>
      <c r="U40" s="14"/>
      <c r="V40" s="14"/>
      <c r="W40" s="14"/>
      <c r="X40" s="14"/>
      <c r="Y40" s="14"/>
      <c r="Z40" s="14"/>
      <c r="AA40" s="14"/>
      <c r="AB40" s="14"/>
      <c r="AC40" s="14"/>
      <c r="AD40" s="14"/>
      <c r="AE40" s="14"/>
      <c r="AF40" s="14"/>
      <c r="AG40" s="14"/>
    </row>
    <row r="41">
      <c r="A41" s="58">
        <v>1644.0</v>
      </c>
      <c r="B41" s="73" t="s">
        <v>147</v>
      </c>
      <c r="C41" s="210">
        <f t="array" ref="C41">IFERROR(INDEX('Sep 1'!$C$2:$C$321, MATCH($A41,'Sep 1'!$B$2:$B$320,0)),"")</f>
        <v>4</v>
      </c>
      <c r="D41" s="210">
        <f t="array" ref="D41">IFERROR(INDEX('Sep 15'!$C$2:$C$370, MATCH($A41, 'Sep 15'!$B$2:$B$370,0)),"")</f>
        <v>4</v>
      </c>
      <c r="E41" s="210">
        <f t="array" ref="E41">IFERROR(INDEX('Sep 29'!$C$2:$C$435, MATCH($A41, 'Sep 29'!$B$2:$B$435,0)),"")</f>
        <v>3.6</v>
      </c>
      <c r="F41" s="210">
        <f t="array" ref="F41">IFERROR(INDEX('Oct 13'!$C$2:$C$389, MATCH($A41, 'Oct 13'!$B$2:$B$389,0)),"")</f>
        <v>3</v>
      </c>
      <c r="G41" s="210">
        <f t="array" ref="G41">IFERROR(INDEX('Oct 27'!$C$2:$C$434, MATCH($A41, 'Oct 27'!$B$2:$B$434,0)),"")</f>
        <v>3.09</v>
      </c>
      <c r="H41" s="210">
        <f t="array" ref="H41">IFERROR(INDEX('Nov 10'!$C$2:$C$485, MATCH($A41, 'Nov 10'!$B$2:$B$485,0)),"")</f>
        <v>3.585</v>
      </c>
      <c r="I41" s="210">
        <f t="array" ref="I41">IFERROR(INDEX('Dec 1'!$C$2:$C$542, MATCH($A41, 'Dec 1'!$B$2:$B$542,0)),"")</f>
        <v>3.585</v>
      </c>
      <c r="J41" s="210"/>
      <c r="K41" s="14"/>
      <c r="L41" s="14"/>
      <c r="M41" s="14"/>
      <c r="N41" s="14"/>
      <c r="O41" s="14"/>
      <c r="P41" s="14"/>
      <c r="Q41" s="14"/>
      <c r="R41" s="14"/>
      <c r="S41" s="14"/>
      <c r="T41" s="14"/>
      <c r="U41" s="14"/>
      <c r="V41" s="14"/>
      <c r="W41" s="14"/>
      <c r="X41" s="14"/>
      <c r="Y41" s="14"/>
      <c r="Z41" s="14"/>
      <c r="AA41" s="14"/>
      <c r="AB41" s="14"/>
      <c r="AC41" s="14"/>
      <c r="AD41" s="14"/>
      <c r="AE41" s="14"/>
      <c r="AF41" s="14"/>
      <c r="AG41" s="14"/>
    </row>
    <row r="42">
      <c r="A42" s="49">
        <v>1645.0</v>
      </c>
      <c r="B42" s="50" t="s">
        <v>168</v>
      </c>
      <c r="C42" s="210">
        <f t="array" ref="C42">IFERROR(INDEX('Sep 1'!$C$2:$C$321, MATCH($A42,'Sep 1'!$B$2:$B$320,0)),"")</f>
        <v>4</v>
      </c>
      <c r="D42" s="210">
        <f t="array" ref="D42">IFERROR(INDEX('Sep 15'!$C$2:$C$370, MATCH($A42, 'Sep 15'!$B$2:$B$370,0)),"")</f>
        <v>4</v>
      </c>
      <c r="E42" s="210">
        <f t="array" ref="E42">IFERROR(INDEX('Sep 29'!$C$2:$C$435, MATCH($A42, 'Sep 29'!$B$2:$B$435,0)),"")</f>
        <v>4</v>
      </c>
      <c r="F42" s="210">
        <f t="array" ref="F42">IFERROR(INDEX('Oct 13'!$C$2:$C$389, MATCH($A42, 'Oct 13'!$B$2:$B$389,0)),"")</f>
        <v>3.75</v>
      </c>
      <c r="G42" s="210">
        <f t="array" ref="G42">IFERROR(INDEX('Oct 27'!$C$2:$C$434, MATCH($A42, 'Oct 27'!$B$2:$B$434,0)),"")</f>
        <v>3.6675</v>
      </c>
      <c r="H42" s="210">
        <f t="array" ref="H42">IFERROR(INDEX('Nov 10'!$C$2:$C$485, MATCH($A42, 'Nov 10'!$B$2:$B$485,0)),"")</f>
        <v>3.6675</v>
      </c>
      <c r="I42" s="210">
        <f t="array" ref="I42">IFERROR(INDEX('Dec 1'!$C$2:$C$542, MATCH($A42, 'Dec 1'!$B$2:$B$542,0)),"")</f>
        <v>3.258</v>
      </c>
      <c r="J42" s="210"/>
      <c r="K42" s="14"/>
      <c r="L42" s="14"/>
      <c r="M42" s="14"/>
      <c r="N42" s="14"/>
      <c r="O42" s="14"/>
      <c r="P42" s="14"/>
      <c r="Q42" s="14"/>
      <c r="R42" s="14"/>
      <c r="S42" s="14"/>
      <c r="T42" s="14"/>
      <c r="U42" s="14"/>
      <c r="V42" s="14"/>
      <c r="W42" s="14"/>
      <c r="X42" s="14"/>
      <c r="Y42" s="14"/>
      <c r="Z42" s="14"/>
      <c r="AA42" s="14"/>
      <c r="AB42" s="14"/>
      <c r="AC42" s="14"/>
      <c r="AD42" s="14"/>
      <c r="AE42" s="14"/>
      <c r="AF42" s="14"/>
      <c r="AG42" s="14"/>
    </row>
    <row r="43">
      <c r="A43" s="58">
        <v>1646.0</v>
      </c>
      <c r="B43" s="73" t="s">
        <v>117</v>
      </c>
      <c r="C43" s="210">
        <f t="array" ref="C43">IFERROR(INDEX('Sep 1'!$C$2:$C$321, MATCH($A43,'Sep 1'!$B$2:$B$320,0)),"")</f>
        <v>3.816</v>
      </c>
      <c r="D43" s="210">
        <f t="array" ref="D43">IFERROR(INDEX('Sep 15'!$C$2:$C$370, MATCH($A43, 'Sep 15'!$B$2:$B$370,0)),"")</f>
        <v>3.625</v>
      </c>
      <c r="E43" s="210">
        <f t="array" ref="E43">IFERROR(INDEX('Sep 29'!$C$2:$C$435, MATCH($A43, 'Sep 29'!$B$2:$B$435,0)),"")</f>
        <v>3.126</v>
      </c>
      <c r="F43" s="210">
        <f t="array" ref="F43">IFERROR(INDEX('Oct 13'!$C$2:$C$389, MATCH($A43, 'Oct 13'!$B$2:$B$389,0)),"")</f>
        <v>3.186</v>
      </c>
      <c r="G43" s="210">
        <f t="array" ref="G43">IFERROR(INDEX('Oct 27'!$C$2:$C$434, MATCH($A43, 'Oct 27'!$B$2:$B$434,0)),"")</f>
        <v>2.561</v>
      </c>
      <c r="H43" s="210">
        <f t="array" ref="H43">IFERROR(INDEX('Nov 10'!$C$2:$C$485, MATCH($A43, 'Nov 10'!$B$2:$B$485,0)),"")</f>
        <v>2.499</v>
      </c>
      <c r="I43" s="210">
        <f t="array" ref="I43">IFERROR(INDEX('Dec 1'!$C$2:$C$542, MATCH($A43, 'Dec 1'!$B$2:$B$542,0)),"")</f>
        <v>2.645</v>
      </c>
      <c r="J43" s="210"/>
      <c r="K43" s="14"/>
      <c r="L43" s="14"/>
      <c r="M43" s="14"/>
      <c r="N43" s="14"/>
      <c r="O43" s="14"/>
      <c r="P43" s="14"/>
      <c r="Q43" s="14"/>
      <c r="R43" s="14"/>
      <c r="S43" s="14"/>
      <c r="T43" s="14"/>
      <c r="U43" s="14"/>
      <c r="V43" s="14"/>
      <c r="W43" s="14"/>
      <c r="X43" s="14"/>
      <c r="Y43" s="14"/>
      <c r="Z43" s="14"/>
      <c r="AA43" s="14"/>
      <c r="AB43" s="14"/>
      <c r="AC43" s="14"/>
      <c r="AD43" s="14"/>
      <c r="AE43" s="14"/>
      <c r="AF43" s="14"/>
      <c r="AG43" s="14"/>
    </row>
    <row r="44">
      <c r="A44" s="49">
        <v>1647.0</v>
      </c>
      <c r="B44" s="50" t="s">
        <v>154</v>
      </c>
      <c r="C44" s="210">
        <f t="array" ref="C44">IFERROR(INDEX('Sep 1'!$C$2:$C$321, MATCH($A44,'Sep 1'!$B$2:$B$320,0)),"")</f>
        <v>4</v>
      </c>
      <c r="D44" s="210">
        <f t="array" ref="D44">IFERROR(INDEX('Sep 15'!$C$2:$C$370, MATCH($A44, 'Sep 15'!$B$2:$B$370,0)),"")</f>
        <v>3.884</v>
      </c>
      <c r="E44" s="210">
        <f t="array" ref="E44">IFERROR(INDEX('Sep 29'!$C$2:$C$435, MATCH($A44, 'Sep 29'!$B$2:$B$435,0)),"")</f>
        <v>3.589</v>
      </c>
      <c r="F44" s="210">
        <f t="array" ref="F44">IFERROR(INDEX('Oct 13'!$C$2:$C$389, MATCH($A44, 'Oct 13'!$B$2:$B$389,0)),"")</f>
        <v>3.294</v>
      </c>
      <c r="G44" s="210">
        <f t="array" ref="G44">IFERROR(INDEX('Oct 27'!$C$2:$C$434, MATCH($A44, 'Oct 27'!$B$2:$B$434,0)),"")</f>
        <v>3.294</v>
      </c>
      <c r="H44" s="210">
        <f t="array" ref="H44">IFERROR(INDEX('Nov 10'!$C$2:$C$485, MATCH($A44, 'Nov 10'!$B$2:$B$485,0)),"")</f>
        <v>3.352</v>
      </c>
      <c r="I44" s="210">
        <f t="array" ref="I44">IFERROR(INDEX('Dec 1'!$C$2:$C$542, MATCH($A44, 'Dec 1'!$B$2:$B$542,0)),"")</f>
        <v>3.471</v>
      </c>
      <c r="J44" s="210"/>
      <c r="K44" s="14"/>
      <c r="L44" s="14"/>
      <c r="M44" s="14"/>
      <c r="N44" s="14"/>
      <c r="O44" s="14"/>
      <c r="P44" s="14"/>
      <c r="Q44" s="14"/>
      <c r="R44" s="14"/>
      <c r="S44" s="14"/>
      <c r="T44" s="14"/>
      <c r="U44" s="14"/>
      <c r="V44" s="14"/>
      <c r="W44" s="14"/>
      <c r="X44" s="14"/>
      <c r="Y44" s="14"/>
      <c r="Z44" s="14"/>
      <c r="AA44" s="14"/>
      <c r="AB44" s="14"/>
      <c r="AC44" s="14"/>
      <c r="AD44" s="14"/>
      <c r="AE44" s="14"/>
      <c r="AF44" s="14"/>
      <c r="AG44" s="14"/>
    </row>
    <row r="45">
      <c r="A45" s="58">
        <v>1648.0</v>
      </c>
      <c r="B45" s="73" t="s">
        <v>76</v>
      </c>
      <c r="C45" s="210">
        <f t="array" ref="C45">IFERROR(INDEX('Sep 1'!$C$2:$C$321, MATCH($A45,'Sep 1'!$B$2:$B$320,0)),"")</f>
        <v>4</v>
      </c>
      <c r="D45" s="210">
        <f t="array" ref="D45">IFERROR(INDEX('Sep 15'!$C$2:$C$370, MATCH($A45, 'Sep 15'!$B$2:$B$370,0)),"")</f>
        <v>4</v>
      </c>
      <c r="E45" s="210">
        <f t="array" ref="E45">IFERROR(INDEX('Sep 29'!$C$2:$C$435, MATCH($A45, 'Sep 29'!$B$2:$B$435,0)),"")</f>
        <v>3.8</v>
      </c>
      <c r="F45" s="210">
        <f t="array" ref="F45">IFERROR(INDEX('Oct 13'!$C$2:$C$389, MATCH($A45, 'Oct 13'!$B$2:$B$389,0)),"")</f>
        <v>3.9</v>
      </c>
      <c r="G45" s="210">
        <f t="array" ref="G45">IFERROR(INDEX('Oct 27'!$C$2:$C$434, MATCH($A45, 'Oct 27'!$B$2:$B$434,0)),"")</f>
        <v>3.9</v>
      </c>
      <c r="H45" s="210">
        <f t="array" ref="H45">IFERROR(INDEX('Nov 10'!$C$2:$C$485, MATCH($A45, 'Nov 10'!$B$2:$B$485,0)),"")</f>
        <v>3.8</v>
      </c>
      <c r="I45" s="210">
        <f t="array" ref="I45">IFERROR(INDEX('Dec 1'!$C$2:$C$542, MATCH($A45, 'Dec 1'!$B$2:$B$542,0)),"")</f>
        <v>3.75</v>
      </c>
      <c r="J45" s="210"/>
      <c r="K45" s="14"/>
      <c r="L45" s="14"/>
      <c r="M45" s="14"/>
      <c r="N45" s="14"/>
      <c r="O45" s="14"/>
      <c r="P45" s="14"/>
      <c r="Q45" s="14"/>
      <c r="R45" s="14"/>
      <c r="S45" s="14"/>
      <c r="T45" s="14"/>
      <c r="U45" s="14"/>
      <c r="V45" s="14"/>
      <c r="W45" s="14"/>
      <c r="X45" s="14"/>
      <c r="Y45" s="14"/>
      <c r="Z45" s="14"/>
      <c r="AA45" s="14"/>
      <c r="AB45" s="14"/>
      <c r="AC45" s="14"/>
      <c r="AD45" s="14"/>
      <c r="AE45" s="14"/>
      <c r="AF45" s="14"/>
      <c r="AG45" s="14"/>
    </row>
    <row r="46">
      <c r="A46" s="137">
        <v>1650.0</v>
      </c>
      <c r="B46" s="50" t="s">
        <v>126</v>
      </c>
      <c r="C46" s="210">
        <f t="array" ref="C46">IFERROR(INDEX('Sep 1'!$C$2:$C$321, MATCH($A46,'Sep 1'!$B$2:$B$320,0)),"")</f>
        <v>4</v>
      </c>
      <c r="D46" s="210">
        <f t="array" ref="D46">IFERROR(INDEX('Sep 15'!$C$2:$C$370, MATCH($A46, 'Sep 15'!$B$2:$B$370,0)),"")</f>
        <v>3.58</v>
      </c>
      <c r="E46" s="210">
        <f t="array" ref="E46">IFERROR(INDEX('Sep 29'!$C$2:$C$435, MATCH($A46, 'Sep 29'!$B$2:$B$435,0)),"")</f>
        <v>3.33</v>
      </c>
      <c r="F46" s="210">
        <f t="array" ref="F46">IFERROR(INDEX('Oct 13'!$C$2:$C$389, MATCH($A46, 'Oct 13'!$B$2:$B$389,0)),"")</f>
        <v>3.5</v>
      </c>
      <c r="G46" s="210">
        <f t="array" ref="G46">IFERROR(INDEX('Oct 27'!$C$2:$C$434, MATCH($A46, 'Oct 27'!$B$2:$B$434,0)),"")</f>
        <v>3.165</v>
      </c>
      <c r="H46" s="210">
        <f t="array" ref="H46">IFERROR(INDEX('Nov 10'!$C$2:$C$485, MATCH($A46, 'Nov 10'!$B$2:$B$485,0)),"")</f>
        <v>3.33</v>
      </c>
      <c r="I46" s="210">
        <f t="array" ref="I46">IFERROR(INDEX('Dec 1'!$C$2:$C$542, MATCH($A46, 'Dec 1'!$B$2:$B$542,0)),"")</f>
        <v>3.083</v>
      </c>
      <c r="J46" s="210"/>
      <c r="K46" s="14"/>
      <c r="L46" s="14"/>
      <c r="M46" s="14"/>
      <c r="N46" s="14"/>
      <c r="O46" s="14"/>
      <c r="P46" s="14"/>
      <c r="Q46" s="14"/>
      <c r="R46" s="14"/>
      <c r="S46" s="14"/>
      <c r="T46" s="14"/>
      <c r="U46" s="14"/>
      <c r="V46" s="14"/>
      <c r="W46" s="14"/>
      <c r="X46" s="14"/>
      <c r="Y46" s="14"/>
      <c r="Z46" s="14"/>
      <c r="AA46" s="14"/>
      <c r="AB46" s="14"/>
      <c r="AC46" s="14"/>
      <c r="AD46" s="14"/>
      <c r="AE46" s="14"/>
      <c r="AF46" s="14"/>
      <c r="AG46" s="14"/>
    </row>
    <row r="47">
      <c r="A47" s="143">
        <v>1652.0</v>
      </c>
      <c r="B47" s="59" t="s">
        <v>87</v>
      </c>
      <c r="C47" s="210">
        <f t="array" ref="C47">IFERROR(INDEX('Sep 1'!$C$2:$C$321, MATCH($A47,'Sep 1'!$B$2:$B$320,0)),"")</f>
        <v>3.25</v>
      </c>
      <c r="D47" s="210">
        <f t="array" ref="D47">IFERROR(INDEX('Sep 15'!$C$2:$C$370, MATCH($A47, 'Sep 15'!$B$2:$B$370,0)),"")</f>
        <v>3.375</v>
      </c>
      <c r="E47" s="210">
        <f t="array" ref="E47">IFERROR(INDEX('Sep 29'!$C$2:$C$435, MATCH($A47, 'Sep 29'!$B$2:$B$435,0)),"")</f>
        <v>2.938</v>
      </c>
      <c r="F47" s="210">
        <f t="array" ref="F47">IFERROR(INDEX('Oct 13'!$C$2:$C$389, MATCH($A47, 'Oct 13'!$B$2:$B$389,0)),"")</f>
        <v>3.001</v>
      </c>
      <c r="G47" s="210">
        <f t="array" ref="G47">IFERROR(INDEX('Oct 27'!$C$2:$C$434, MATCH($A47, 'Oct 27'!$B$2:$B$434,0)),"")</f>
        <v>2.98</v>
      </c>
      <c r="H47" s="210">
        <f t="array" ref="H47">IFERROR(INDEX('Nov 10'!$C$2:$C$485, MATCH($A47, 'Nov 10'!$B$2:$B$485,0)),"")</f>
        <v>2.793</v>
      </c>
      <c r="I47" s="210">
        <f t="array" ref="I47">IFERROR(INDEX('Dec 1'!$C$2:$C$542, MATCH($A47, 'Dec 1'!$B$2:$B$542,0)),"")</f>
        <v>2.667</v>
      </c>
      <c r="J47" s="210"/>
      <c r="K47" s="14"/>
      <c r="L47" s="14"/>
      <c r="M47" s="14"/>
      <c r="N47" s="14"/>
      <c r="O47" s="14"/>
      <c r="P47" s="14"/>
      <c r="Q47" s="14"/>
      <c r="R47" s="14"/>
      <c r="S47" s="14"/>
      <c r="T47" s="14"/>
      <c r="U47" s="14"/>
      <c r="V47" s="14"/>
      <c r="W47" s="14"/>
      <c r="X47" s="14"/>
      <c r="Y47" s="14"/>
      <c r="Z47" s="14"/>
      <c r="AA47" s="14"/>
      <c r="AB47" s="14"/>
      <c r="AC47" s="14"/>
      <c r="AD47" s="14"/>
      <c r="AE47" s="14"/>
      <c r="AF47" s="14"/>
      <c r="AG47" s="14"/>
    </row>
    <row r="48">
      <c r="A48" s="288">
        <v>1653.0</v>
      </c>
      <c r="B48" s="50" t="s">
        <v>135</v>
      </c>
      <c r="C48" s="210">
        <f t="array" ref="C48">IFERROR(INDEX('Sep 1'!$C$2:$C$321, MATCH($A48,'Sep 1'!$B$2:$B$320,0)),"")</f>
        <v>2.9</v>
      </c>
      <c r="D48" s="210">
        <f t="array" ref="D48">IFERROR(INDEX('Sep 15'!$C$2:$C$370, MATCH($A48, 'Sep 15'!$B$2:$B$370,0)),"")</f>
        <v>4</v>
      </c>
      <c r="E48" s="210">
        <f t="array" ref="E48">IFERROR(INDEX('Sep 29'!$C$2:$C$435, MATCH($A48, 'Sep 29'!$B$2:$B$435,0)),"")</f>
        <v>3.91</v>
      </c>
      <c r="F48" s="210">
        <f t="array" ref="F48">IFERROR(INDEX('Oct 13'!$C$2:$C$389, MATCH($A48, 'Oct 13'!$B$2:$B$389,0)),"")</f>
        <v>3.637</v>
      </c>
      <c r="G48" s="210">
        <f t="array" ref="G48">IFERROR(INDEX('Oct 27'!$C$2:$C$434, MATCH($A48, 'Oct 27'!$B$2:$B$434,0)),"")</f>
        <v>3.6</v>
      </c>
      <c r="H48" s="210">
        <f t="array" ref="H48">IFERROR(INDEX('Nov 10'!$C$2:$C$485, MATCH($A48, 'Nov 10'!$B$2:$B$485,0)),"")</f>
        <v>3.6</v>
      </c>
      <c r="I48" s="210">
        <f t="array" ref="I48">IFERROR(INDEX('Dec 1'!$C$2:$C$542, MATCH($A48, 'Dec 1'!$B$2:$B$542,0)),"")</f>
        <v>3.365</v>
      </c>
      <c r="J48" s="210"/>
      <c r="K48" s="14"/>
      <c r="L48" s="14"/>
      <c r="M48" s="14"/>
      <c r="N48" s="14"/>
      <c r="O48" s="14"/>
      <c r="P48" s="14"/>
      <c r="Q48" s="14"/>
      <c r="R48" s="14"/>
      <c r="S48" s="14"/>
      <c r="T48" s="14"/>
      <c r="U48" s="14"/>
      <c r="V48" s="14"/>
      <c r="W48" s="14"/>
      <c r="X48" s="14"/>
      <c r="Y48" s="14"/>
      <c r="Z48" s="14"/>
      <c r="AA48" s="14"/>
      <c r="AB48" s="14"/>
      <c r="AC48" s="14"/>
      <c r="AD48" s="14"/>
      <c r="AE48" s="14"/>
      <c r="AF48" s="14"/>
      <c r="AG48" s="14"/>
    </row>
    <row r="49">
      <c r="A49" s="143">
        <v>1654.0</v>
      </c>
      <c r="B49" s="289" t="s">
        <v>155</v>
      </c>
      <c r="C49" s="210">
        <f t="array" ref="C49">IFERROR(INDEX('Sep 1'!$C$2:$C$321, MATCH($A49,'Sep 1'!$B$2:$B$320,0)),"")</f>
        <v>4</v>
      </c>
      <c r="D49" s="210">
        <f t="array" ref="D49">IFERROR(INDEX('Sep 15'!$C$2:$C$370, MATCH($A49, 'Sep 15'!$B$2:$B$370,0)),"")</f>
        <v>4</v>
      </c>
      <c r="E49" s="210">
        <f t="array" ref="E49">IFERROR(INDEX('Sep 29'!$C$2:$C$435, MATCH($A49, 'Sep 29'!$B$2:$B$435,0)),"")</f>
        <v>3.583</v>
      </c>
      <c r="F49" s="210">
        <f t="array" ref="F49">IFERROR(INDEX('Oct 13'!$C$2:$C$389, MATCH($A49, 'Oct 13'!$B$2:$B$389,0)),"")</f>
        <v>3.5</v>
      </c>
      <c r="G49" s="210">
        <f t="array" ref="G49">IFERROR(INDEX('Oct 27'!$C$2:$C$434, MATCH($A49, 'Oct 27'!$B$2:$B$434,0)),"")</f>
        <v>3.25</v>
      </c>
      <c r="H49" s="210">
        <f t="array" ref="H49">IFERROR(INDEX('Nov 10'!$C$2:$C$485, MATCH($A49, 'Nov 10'!$B$2:$B$485,0)),"")</f>
        <v>3.168</v>
      </c>
      <c r="I49" s="210">
        <f t="array" ref="I49">IFERROR(INDEX('Dec 1'!$C$2:$C$542, MATCH($A49, 'Dec 1'!$B$2:$B$542,0)),"")</f>
        <v>3.085</v>
      </c>
      <c r="J49" s="210"/>
      <c r="K49" s="14"/>
      <c r="L49" s="14"/>
      <c r="M49" s="14"/>
      <c r="N49" s="14"/>
      <c r="O49" s="14"/>
      <c r="P49" s="14"/>
      <c r="Q49" s="14"/>
      <c r="R49" s="14"/>
      <c r="S49" s="14"/>
      <c r="T49" s="14"/>
      <c r="U49" s="14"/>
      <c r="V49" s="14"/>
      <c r="W49" s="14"/>
      <c r="X49" s="14"/>
      <c r="Y49" s="14"/>
      <c r="Z49" s="14"/>
      <c r="AA49" s="14"/>
      <c r="AB49" s="14"/>
      <c r="AC49" s="14"/>
      <c r="AD49" s="14"/>
      <c r="AE49" s="14"/>
      <c r="AF49" s="14"/>
      <c r="AG49" s="14"/>
    </row>
    <row r="50">
      <c r="A50" s="288">
        <v>1655.0</v>
      </c>
      <c r="B50" s="91" t="s">
        <v>133</v>
      </c>
      <c r="C50" s="210">
        <f t="array" ref="C50">IFERROR(INDEX('Sep 1'!$C$2:$C$321, MATCH($A50,'Sep 1'!$B$2:$B$320,0)),"")</f>
        <v>4</v>
      </c>
      <c r="D50" s="210">
        <f t="array" ref="D50">IFERROR(INDEX('Sep 15'!$C$2:$C$370, MATCH($A50, 'Sep 15'!$B$2:$B$370,0)),"")</f>
        <v>3.083</v>
      </c>
      <c r="E50" s="210">
        <f t="array" ref="E50">IFERROR(INDEX('Sep 29'!$C$2:$C$435, MATCH($A50, 'Sep 29'!$B$2:$B$435,0)),"")</f>
        <v>2.418</v>
      </c>
      <c r="F50" s="210">
        <f t="array" ref="F50">IFERROR(INDEX('Oct 13'!$C$2:$C$389, MATCH($A50, 'Oct 13'!$B$2:$B$389,0)),"")</f>
        <v>2.58</v>
      </c>
      <c r="G50" s="210">
        <f t="array" ref="G50">IFERROR(INDEX('Oct 27'!$C$2:$C$434, MATCH($A50, 'Oct 27'!$B$2:$B$434,0)),"")</f>
        <v>2.89</v>
      </c>
      <c r="H50" s="210">
        <f t="array" ref="H50">IFERROR(INDEX('Nov 10'!$C$2:$C$485, MATCH($A50, 'Nov 10'!$B$2:$B$485,0)),"")</f>
        <v>2.89</v>
      </c>
      <c r="I50" s="210">
        <f t="array" ref="I50">IFERROR(INDEX('Dec 1'!$C$2:$C$542, MATCH($A50, 'Dec 1'!$B$2:$B$542,0)),"")</f>
        <v>2.89</v>
      </c>
      <c r="J50" s="210"/>
      <c r="K50" s="14"/>
      <c r="L50" s="14"/>
      <c r="M50" s="14"/>
      <c r="N50" s="14"/>
      <c r="O50" s="14"/>
      <c r="P50" s="14"/>
      <c r="Q50" s="14"/>
      <c r="R50" s="14"/>
      <c r="S50" s="14"/>
      <c r="T50" s="14"/>
      <c r="U50" s="14"/>
      <c r="V50" s="14"/>
      <c r="W50" s="14"/>
      <c r="X50" s="14"/>
      <c r="Y50" s="14"/>
      <c r="Z50" s="14"/>
      <c r="AA50" s="14"/>
      <c r="AB50" s="14"/>
      <c r="AC50" s="14"/>
      <c r="AD50" s="14"/>
      <c r="AE50" s="14"/>
      <c r="AF50" s="14"/>
      <c r="AG50" s="14"/>
    </row>
    <row r="51">
      <c r="A51" s="143">
        <v>1656.0</v>
      </c>
      <c r="B51" s="290" t="s">
        <v>143</v>
      </c>
      <c r="C51" s="210">
        <f t="array" ref="C51">IFERROR(INDEX('Sep 1'!$C$2:$C$321, MATCH($A51,'Sep 1'!$B$2:$B$320,0)),"")</f>
        <v>3.42</v>
      </c>
      <c r="D51" s="291">
        <f t="array" ref="D51">IFERROR(INDEX('Sep 15'!$C$2:$C$370, MATCH($A51, 'Sep 15'!$B$2:$B$370,0)),"")</f>
        <v>3.3</v>
      </c>
      <c r="E51" s="291">
        <f t="array" ref="E51">IFERROR(INDEX('Sep 29'!$C$2:$C$435, MATCH($A51, 'Sep 29'!$B$2:$B$435,0)),"")</f>
        <v>3.28</v>
      </c>
      <c r="F51" s="291">
        <f t="array" ref="F51">IFERROR(INDEX('Oct 13'!$C$2:$C$389, MATCH($A51, 'Oct 13'!$B$2:$B$389,0)),"")</f>
        <v>2</v>
      </c>
      <c r="G51" s="291">
        <f t="array" ref="G51">IFERROR(INDEX('Oct 27'!$C$2:$C$434, MATCH($A51, 'Oct 27'!$B$2:$B$434,0)),"")</f>
        <v>3.29</v>
      </c>
      <c r="H51" s="210">
        <f t="array" ref="H51">IFERROR(INDEX('Nov 10'!$C$2:$C$485, MATCH($A51, 'Nov 10'!$B$2:$B$485,0)),"")</f>
        <v>2</v>
      </c>
      <c r="I51" s="210">
        <f t="array" ref="I51">IFERROR(INDEX('Dec 1'!$C$2:$C$542, MATCH($A51, 'Dec 1'!$B$2:$B$542,0)),"")</f>
        <v>2.95</v>
      </c>
      <c r="J51" s="210"/>
      <c r="K51" s="14"/>
      <c r="L51" s="14"/>
      <c r="M51" s="14"/>
      <c r="N51" s="14"/>
      <c r="O51" s="14"/>
      <c r="P51" s="14"/>
      <c r="Q51" s="14"/>
      <c r="R51" s="14"/>
      <c r="S51" s="14"/>
      <c r="T51" s="14"/>
      <c r="U51" s="14"/>
      <c r="V51" s="14"/>
      <c r="W51" s="14"/>
      <c r="X51" s="14"/>
      <c r="Y51" s="14"/>
      <c r="Z51" s="14"/>
      <c r="AA51" s="14"/>
      <c r="AB51" s="14"/>
      <c r="AC51" s="14"/>
      <c r="AD51" s="14"/>
      <c r="AE51" s="14"/>
      <c r="AF51" s="14"/>
      <c r="AG51" s="14"/>
    </row>
    <row r="52">
      <c r="A52" s="292">
        <v>1657.0</v>
      </c>
      <c r="B52" s="293" t="s">
        <v>262</v>
      </c>
      <c r="C52" s="14">
        <v>4.0</v>
      </c>
      <c r="D52" s="14">
        <v>4.0</v>
      </c>
      <c r="E52" s="14">
        <v>4.0</v>
      </c>
      <c r="F52" s="14">
        <v>4.0</v>
      </c>
      <c r="G52" s="14">
        <v>4.0</v>
      </c>
      <c r="H52" s="294">
        <v>4.0</v>
      </c>
      <c r="I52" s="210">
        <f t="array" ref="I52">IFERROR(INDEX('Dec 1'!$C$2:$C$542, MATCH($A52, 'Dec 1'!$B$2:$B$542,0)),"")</f>
        <v>4</v>
      </c>
      <c r="J52" s="210"/>
      <c r="K52" s="14"/>
      <c r="L52" s="14"/>
      <c r="M52" s="14"/>
      <c r="N52" s="14"/>
      <c r="O52" s="14"/>
      <c r="P52" s="14"/>
      <c r="Q52" s="14"/>
      <c r="R52" s="14"/>
      <c r="S52" s="14"/>
      <c r="T52" s="14"/>
      <c r="U52" s="14"/>
      <c r="V52" s="14"/>
      <c r="W52" s="14"/>
      <c r="X52" s="14"/>
      <c r="Y52" s="14"/>
      <c r="Z52" s="14"/>
      <c r="AA52" s="14"/>
      <c r="AB52" s="14"/>
      <c r="AC52" s="14"/>
      <c r="AD52" s="14"/>
      <c r="AE52" s="14"/>
      <c r="AF52" s="14"/>
      <c r="AG52" s="14"/>
    </row>
    <row r="53">
      <c r="A53" s="295">
        <v>1658.0</v>
      </c>
      <c r="B53" s="296" t="s">
        <v>255</v>
      </c>
      <c r="C53" s="14">
        <v>4.0</v>
      </c>
      <c r="D53" s="14">
        <v>4.0</v>
      </c>
      <c r="E53" s="14">
        <v>3.79</v>
      </c>
      <c r="F53" s="14">
        <v>3.71</v>
      </c>
      <c r="G53" s="14">
        <v>3.69</v>
      </c>
      <c r="H53" s="14">
        <v>3.642</v>
      </c>
      <c r="I53" s="210">
        <f t="array" ref="I53">IFERROR(INDEX('Dec 1'!$C$2:$C$542, MATCH($A53, 'Dec 1'!$B$2:$B$542,0)),"")</f>
        <v>3.64</v>
      </c>
      <c r="J53" s="210"/>
      <c r="K53" s="14"/>
      <c r="L53" s="14"/>
      <c r="M53" s="14"/>
      <c r="N53" s="14"/>
      <c r="O53" s="14"/>
      <c r="P53" s="14"/>
      <c r="Q53" s="14"/>
      <c r="R53" s="14"/>
      <c r="S53" s="14"/>
      <c r="T53" s="14"/>
      <c r="U53" s="14"/>
      <c r="V53" s="14"/>
      <c r="AB53" s="14"/>
      <c r="AC53" s="14"/>
      <c r="AD53" s="14"/>
      <c r="AE53" s="14"/>
      <c r="AF53" s="14"/>
      <c r="AG53" s="14"/>
    </row>
    <row r="54">
      <c r="A54" s="297">
        <v>1659.0</v>
      </c>
      <c r="B54" s="298" t="s">
        <v>271</v>
      </c>
      <c r="C54" s="14">
        <v>2.26</v>
      </c>
      <c r="D54" s="14">
        <v>3.668</v>
      </c>
      <c r="E54" s="14">
        <v>3.33</v>
      </c>
      <c r="F54" s="14">
        <v>3.491</v>
      </c>
      <c r="G54" s="14">
        <v>3.556</v>
      </c>
      <c r="H54" s="14">
        <v>3.623</v>
      </c>
      <c r="I54" s="210">
        <f t="array" ref="I54">IFERROR(INDEX('Dec 1'!$C$2:$C$542, MATCH($A54, 'Dec 1'!$B$2:$B$542,0)),"")</f>
        <v>3.667</v>
      </c>
      <c r="J54" s="8"/>
      <c r="K54" s="14"/>
      <c r="L54" s="14"/>
      <c r="M54" s="14"/>
      <c r="N54" s="14"/>
      <c r="O54" s="14"/>
      <c r="P54" s="14"/>
      <c r="Q54" s="14"/>
      <c r="R54" s="14"/>
      <c r="S54" s="14"/>
      <c r="T54" s="14"/>
      <c r="U54" s="14"/>
      <c r="V54" s="14"/>
      <c r="AB54" s="14"/>
      <c r="AC54" s="220"/>
      <c r="AD54" s="14"/>
      <c r="AE54" s="14"/>
      <c r="AF54" s="14"/>
      <c r="AG54" s="14"/>
    </row>
    <row r="55">
      <c r="A55" s="295">
        <v>1660.0</v>
      </c>
      <c r="B55" s="21" t="s">
        <v>273</v>
      </c>
      <c r="C55" s="14">
        <v>3.0</v>
      </c>
      <c r="D55" s="14">
        <v>3.3</v>
      </c>
      <c r="E55" s="14">
        <v>3.6</v>
      </c>
      <c r="F55" s="14">
        <v>3.5</v>
      </c>
      <c r="G55" s="14">
        <v>3.44</v>
      </c>
      <c r="H55" s="294">
        <v>3.5</v>
      </c>
      <c r="I55" s="210">
        <f t="array" ref="I55">IFERROR(INDEX('Dec 1'!$C$2:$C$542, MATCH($A55, 'Dec 1'!$B$2:$B$542,0)),"")</f>
        <v>3.4</v>
      </c>
      <c r="J55" s="210"/>
      <c r="K55" s="14"/>
      <c r="L55" s="14"/>
      <c r="M55" s="14"/>
      <c r="N55" s="14"/>
      <c r="O55" s="14"/>
      <c r="P55" s="14"/>
      <c r="Q55" s="14"/>
      <c r="R55" s="14"/>
      <c r="S55" s="14"/>
      <c r="T55" s="14"/>
      <c r="U55" s="14"/>
      <c r="V55" s="14"/>
      <c r="AB55" s="14"/>
      <c r="AC55" s="14"/>
      <c r="AD55" s="14"/>
      <c r="AE55" s="14"/>
      <c r="AF55" s="14"/>
      <c r="AG55" s="14"/>
    </row>
    <row r="56">
      <c r="A56" s="295">
        <v>1661.0</v>
      </c>
      <c r="B56" s="21" t="s">
        <v>259</v>
      </c>
      <c r="C56" s="14">
        <v>3.8</v>
      </c>
      <c r="D56" s="14">
        <v>3.9</v>
      </c>
      <c r="E56" s="14">
        <v>3.856</v>
      </c>
      <c r="F56" s="14">
        <v>3.843</v>
      </c>
      <c r="G56" s="14">
        <v>3.884</v>
      </c>
      <c r="H56" s="14">
        <v>3.785</v>
      </c>
      <c r="I56" s="210">
        <f t="array" ref="I56">IFERROR(INDEX('Dec 1'!$C$2:$C$542, MATCH($A56, 'Dec 1'!$B$2:$B$542,0)),"")</f>
        <v>3.765</v>
      </c>
      <c r="J56" s="8"/>
      <c r="K56" s="14"/>
      <c r="L56" s="14"/>
      <c r="M56" s="14"/>
      <c r="N56" s="14"/>
      <c r="O56" s="14"/>
      <c r="P56" s="14"/>
      <c r="Q56" s="14"/>
      <c r="R56" s="14"/>
      <c r="S56" s="14"/>
      <c r="T56" s="14"/>
      <c r="U56" s="14"/>
      <c r="V56" s="14"/>
      <c r="AB56" s="14"/>
      <c r="AC56" s="14"/>
      <c r="AD56" s="14"/>
      <c r="AE56" s="14"/>
      <c r="AF56" s="14"/>
      <c r="AG56" s="14"/>
    </row>
    <row r="57">
      <c r="A57" s="297">
        <v>1662.0</v>
      </c>
      <c r="B57" s="298" t="s">
        <v>256</v>
      </c>
      <c r="C57" s="14">
        <v>4.0</v>
      </c>
      <c r="D57" s="14">
        <v>4.0</v>
      </c>
      <c r="E57" s="14">
        <v>4.0</v>
      </c>
      <c r="F57" s="14">
        <v>3.65</v>
      </c>
      <c r="G57" s="14">
        <v>3.2</v>
      </c>
      <c r="H57" s="14">
        <v>3.25</v>
      </c>
      <c r="I57" s="210">
        <f t="array" ref="I57">IFERROR(INDEX('Dec 1'!$C$2:$C$542, MATCH($A57, 'Dec 1'!$B$2:$B$542,0)),"")</f>
        <v>3.333</v>
      </c>
      <c r="J57" s="8"/>
      <c r="K57" s="14"/>
      <c r="L57" s="14"/>
      <c r="M57" s="14"/>
      <c r="N57" s="14"/>
      <c r="O57" s="14"/>
      <c r="P57" s="14"/>
      <c r="Q57" s="14"/>
      <c r="R57" s="14"/>
      <c r="S57" s="14"/>
      <c r="T57" s="14"/>
      <c r="U57" s="14"/>
      <c r="V57" s="14"/>
      <c r="W57" s="14"/>
      <c r="X57" s="14"/>
      <c r="Y57" s="14"/>
      <c r="Z57" s="14"/>
      <c r="AA57" s="14"/>
      <c r="AB57" s="14"/>
      <c r="AC57" s="14"/>
      <c r="AD57" s="14"/>
      <c r="AE57" s="14"/>
      <c r="AF57" s="14"/>
      <c r="AG57" s="14"/>
    </row>
    <row r="58">
      <c r="A58" s="297">
        <v>1663.0</v>
      </c>
      <c r="B58" s="299" t="s">
        <v>252</v>
      </c>
      <c r="C58" s="14">
        <v>4.0</v>
      </c>
      <c r="D58" s="14">
        <v>3.666</v>
      </c>
      <c r="E58" s="14">
        <v>3.8</v>
      </c>
      <c r="F58" s="14">
        <v>3.732</v>
      </c>
      <c r="G58" s="14">
        <v>3.2</v>
      </c>
      <c r="H58" s="14">
        <v>3.266</v>
      </c>
      <c r="I58" s="210">
        <f t="array" ref="I58">IFERROR(INDEX('Dec 1'!$C$2:$C$542, MATCH($A58, 'Dec 1'!$B$2:$B$542,0)),"")</f>
        <v>3.132</v>
      </c>
      <c r="J58" s="210"/>
      <c r="K58" s="14"/>
      <c r="L58" s="14"/>
      <c r="M58" s="14"/>
      <c r="N58" s="14"/>
      <c r="O58" s="14"/>
      <c r="P58" s="14"/>
      <c r="Q58" s="14"/>
      <c r="R58" s="14"/>
      <c r="S58" s="14"/>
      <c r="T58" s="14"/>
      <c r="U58" s="14"/>
      <c r="V58" s="14"/>
      <c r="W58" s="14"/>
      <c r="X58" s="14"/>
      <c r="Y58" s="14"/>
      <c r="Z58" s="14"/>
      <c r="AA58" s="14" t="s">
        <v>505</v>
      </c>
      <c r="AB58" s="14"/>
      <c r="AC58" s="14"/>
      <c r="AD58" s="14"/>
      <c r="AE58" s="14"/>
      <c r="AF58" s="14"/>
      <c r="AG58" s="14"/>
    </row>
    <row r="59">
      <c r="A59" s="297">
        <v>1664.0</v>
      </c>
      <c r="B59" s="298" t="s">
        <v>274</v>
      </c>
      <c r="C59" s="14">
        <v>3.4</v>
      </c>
      <c r="D59" s="14">
        <v>3.377</v>
      </c>
      <c r="E59" s="14">
        <v>2.692</v>
      </c>
      <c r="F59" s="14">
        <v>2.35</v>
      </c>
      <c r="G59" s="14">
        <v>2.292</v>
      </c>
      <c r="H59" s="14">
        <v>2.854</v>
      </c>
      <c r="I59" s="210">
        <f t="array" ref="I59">IFERROR(INDEX('Dec 1'!$C$2:$C$542, MATCH($A59, 'Dec 1'!$B$2:$B$542,0)),"")</f>
        <v>2.715</v>
      </c>
      <c r="J59" s="210"/>
      <c r="K59" s="14"/>
      <c r="L59" s="14"/>
      <c r="M59" s="14"/>
      <c r="N59" s="14"/>
      <c r="O59" s="14"/>
      <c r="P59" s="14"/>
      <c r="Q59" s="14"/>
      <c r="R59" s="14"/>
      <c r="S59" s="14"/>
      <c r="T59" s="14"/>
      <c r="U59" s="14"/>
      <c r="V59" s="14"/>
      <c r="W59" s="14"/>
      <c r="X59" s="14"/>
      <c r="Y59" s="14"/>
      <c r="Z59" s="14"/>
      <c r="AA59" s="14" t="s">
        <v>505</v>
      </c>
      <c r="AB59" s="14"/>
      <c r="AC59" s="220"/>
      <c r="AD59" s="14"/>
      <c r="AE59" s="14"/>
      <c r="AF59" s="14"/>
      <c r="AG59" s="14"/>
    </row>
    <row r="60">
      <c r="A60" s="295">
        <v>1666.0</v>
      </c>
      <c r="B60" s="21" t="s">
        <v>245</v>
      </c>
      <c r="C60" s="14">
        <v>4.0</v>
      </c>
      <c r="D60" s="14">
        <v>2.63</v>
      </c>
      <c r="E60" s="14">
        <v>3.2</v>
      </c>
      <c r="F60" s="14">
        <v>3.251</v>
      </c>
      <c r="G60" s="14">
        <v>3.25</v>
      </c>
      <c r="H60" s="14">
        <v>3.2</v>
      </c>
      <c r="I60" s="210">
        <f t="array" ref="I60">IFERROR(INDEX('Dec 1'!$C$2:$C$542, MATCH($A60, 'Dec 1'!$B$2:$B$542,0)),"")</f>
        <v>3.138</v>
      </c>
      <c r="J60" s="8"/>
      <c r="K60" s="17"/>
      <c r="L60" s="17"/>
      <c r="M60" s="14"/>
      <c r="N60" s="14"/>
      <c r="O60" s="14"/>
      <c r="P60" s="14"/>
      <c r="Q60" s="14"/>
      <c r="R60" s="14"/>
      <c r="S60" s="14"/>
      <c r="T60" s="14"/>
      <c r="U60" s="14"/>
      <c r="V60" s="14"/>
      <c r="AB60" s="14"/>
      <c r="AC60" s="14"/>
      <c r="AD60" s="14"/>
      <c r="AE60" s="14"/>
      <c r="AF60" s="14"/>
      <c r="AG60" s="14"/>
    </row>
    <row r="61">
      <c r="A61" s="295">
        <v>1668.0</v>
      </c>
      <c r="B61" s="21" t="s">
        <v>261</v>
      </c>
      <c r="C61" s="14">
        <v>3.87</v>
      </c>
      <c r="D61" s="14">
        <v>3.467</v>
      </c>
      <c r="E61" s="14">
        <v>3.645</v>
      </c>
      <c r="F61" s="14">
        <v>3.8</v>
      </c>
      <c r="G61" s="14">
        <v>3.821</v>
      </c>
      <c r="H61" s="14">
        <v>3.8</v>
      </c>
      <c r="I61" s="210">
        <f t="array" ref="I61">IFERROR(INDEX('Dec 1'!$C$2:$C$542, MATCH($A61, 'Dec 1'!$B$2:$B$542,0)),"")</f>
        <v>3.65</v>
      </c>
      <c r="J61" s="210"/>
      <c r="K61" s="14"/>
      <c r="L61" s="17"/>
      <c r="M61" s="14"/>
      <c r="N61" s="14"/>
      <c r="O61" s="14"/>
      <c r="P61" s="14"/>
      <c r="Q61" s="14"/>
      <c r="R61" s="14"/>
      <c r="S61" s="14"/>
      <c r="T61" s="14"/>
      <c r="U61" s="14"/>
      <c r="V61" s="14"/>
      <c r="AB61" s="14"/>
      <c r="AC61" s="14"/>
      <c r="AD61" s="14"/>
      <c r="AE61" s="14"/>
      <c r="AF61" s="14"/>
      <c r="AG61" s="14"/>
    </row>
    <row r="62">
      <c r="A62" s="295">
        <v>1669.0</v>
      </c>
      <c r="B62" s="21" t="s">
        <v>284</v>
      </c>
      <c r="C62" s="14">
        <v>2.8</v>
      </c>
      <c r="D62" s="14">
        <v>2.93</v>
      </c>
      <c r="E62" s="14">
        <v>2.33</v>
      </c>
      <c r="F62" s="14">
        <v>2.67</v>
      </c>
      <c r="G62" s="14">
        <v>2.66</v>
      </c>
      <c r="H62" s="294">
        <v>2.4</v>
      </c>
      <c r="I62" s="210">
        <f t="array" ref="I62">IFERROR(INDEX('Dec 1'!$C$2:$C$542, MATCH($A62, 'Dec 1'!$B$2:$B$542,0)),"")</f>
        <v>2</v>
      </c>
      <c r="J62" s="8"/>
      <c r="K62" s="14"/>
      <c r="L62" s="14"/>
      <c r="M62" s="14"/>
      <c r="N62" s="14"/>
      <c r="O62" s="14"/>
      <c r="P62" s="14"/>
      <c r="Q62" s="14"/>
      <c r="R62" s="14"/>
      <c r="S62" s="14"/>
      <c r="T62" s="14"/>
      <c r="U62" s="14"/>
      <c r="V62" s="14"/>
      <c r="AB62" s="14"/>
      <c r="AC62" s="14"/>
      <c r="AD62" s="14"/>
      <c r="AE62" s="14"/>
      <c r="AF62" s="14"/>
      <c r="AG62" s="14"/>
    </row>
    <row r="63">
      <c r="A63" s="288">
        <v>14.0</v>
      </c>
      <c r="B63" s="300" t="s">
        <v>511</v>
      </c>
      <c r="C63" s="210" t="str">
        <f t="array" ref="C63">IFERROR(INDEX('Sep 1'!$C$2:$C$321, MATCH($A63,'Sep 1'!$B$2:$B$320,0)),"")</f>
        <v/>
      </c>
      <c r="D63" s="210">
        <f t="array" ref="D63">IFERROR(INDEX('Sep 15'!$C$2:$C$370, MATCH($A63, 'Sep 15'!$B$2:$B$370,0)),"")</f>
        <v>3.89</v>
      </c>
      <c r="E63" s="210">
        <f t="array" ref="E63">IFERROR(INDEX('Sep 29'!$C$2:$C$435, MATCH($A63, 'Sep 29'!$B$2:$B$435,0)),"")</f>
        <v>3.85</v>
      </c>
      <c r="F63" s="210">
        <f t="array" ref="F63">IFERROR(INDEX('Oct 13'!$C$2:$C$389, MATCH($A63, 'Oct 13'!$B$2:$B$389,0)),"")</f>
        <v>3.85</v>
      </c>
      <c r="G63" s="210">
        <f t="array" ref="G63">IFERROR(INDEX('Oct 27'!$C$2:$C$434, MATCH($A63, 'Oct 27'!$B$2:$B$434,0)),"")</f>
        <v>3.85</v>
      </c>
      <c r="H63" s="8" t="s">
        <v>239</v>
      </c>
      <c r="I63" s="210" t="str">
        <f t="array" ref="I63">IFERROR(INDEX('Dec 1'!$C$2:$C$542, MATCH($A63, 'Dec 1'!$B$2:$B$542,0)),"")</f>
        <v/>
      </c>
      <c r="J63" s="210"/>
      <c r="K63" s="301" t="s">
        <v>516</v>
      </c>
      <c r="L63" s="302" t="s">
        <v>517</v>
      </c>
      <c r="M63" s="302" t="s">
        <v>518</v>
      </c>
      <c r="N63" s="302" t="s">
        <v>520</v>
      </c>
      <c r="O63" s="303" t="s">
        <v>521</v>
      </c>
      <c r="Q63" s="301" t="s">
        <v>522</v>
      </c>
      <c r="R63" s="302" t="s">
        <v>2</v>
      </c>
      <c r="S63" s="303" t="s">
        <v>309</v>
      </c>
      <c r="T63" s="14"/>
      <c r="U63" s="14"/>
      <c r="V63" s="14"/>
      <c r="W63" s="14"/>
      <c r="AB63" s="14"/>
      <c r="AC63" s="14"/>
      <c r="AD63" s="14"/>
      <c r="AE63" s="14"/>
      <c r="AF63" s="14"/>
      <c r="AG63" s="14"/>
    </row>
    <row r="64">
      <c r="A64" s="304">
        <v>15.0</v>
      </c>
      <c r="B64" s="305" t="s">
        <v>523</v>
      </c>
      <c r="C64" s="210" t="str">
        <f t="array" ref="C64">IFERROR(INDEX('Sep 1'!$C$2:$C$321, MATCH($A64,'Sep 1'!$B$2:$B$320,0)),"")</f>
        <v/>
      </c>
      <c r="D64" s="210" t="str">
        <f t="array" ref="D64">IFERROR(INDEX('Sep 15'!$C$2:$C$370, MATCH($A64, 'Sep 15'!$B$2:$B$370,0)),"")</f>
        <v/>
      </c>
      <c r="E64" s="210">
        <f t="array" ref="E64">IFERROR(INDEX('Sep 29'!$C$2:$C$435, MATCH($A64, 'Sep 29'!$B$2:$B$435,0)),"")</f>
        <v>3.929</v>
      </c>
      <c r="F64" s="210">
        <f t="array" ref="F64">IFERROR(INDEX('Oct 13'!$C$2:$C$389, MATCH($A64, 'Oct 13'!$B$2:$B$389,0)),"")</f>
        <v>3.538</v>
      </c>
      <c r="G64" s="8" t="s">
        <v>239</v>
      </c>
      <c r="H64" s="8" t="s">
        <v>239</v>
      </c>
      <c r="I64" s="210" t="str">
        <f t="array" ref="I64">IFERROR(INDEX('Dec 1'!$C$2:$C$542, MATCH($A64, 'Dec 1'!$B$2:$B$542,0)),"")</f>
        <v/>
      </c>
      <c r="J64" s="210"/>
      <c r="K64" s="306">
        <v>45170.0</v>
      </c>
      <c r="L64" s="307" t="str">
        <f>C$70</f>
        <v/>
      </c>
      <c r="M64" s="307">
        <f>C71</f>
        <v>3.755067797</v>
      </c>
      <c r="N64" s="307">
        <f>C72</f>
        <v>3.800395833</v>
      </c>
      <c r="O64" s="308" t="str">
        <f>AVERAGE(C$15:C$62,C$13,C$7:C$10,C$3:C$5,#REF!)</f>
        <v>#REF!</v>
      </c>
      <c r="Q64" s="309" t="s">
        <v>535</v>
      </c>
      <c r="R64" s="307">
        <f>FGL!C13</f>
        <v>3.105142857</v>
      </c>
      <c r="S64" s="310">
        <f t="shared" ref="S64:S70" si="1">RANK(R64,$R$64:$R$70)</f>
        <v>6</v>
      </c>
      <c r="T64" s="14"/>
      <c r="U64" s="14"/>
      <c r="V64" s="14"/>
      <c r="AB64" s="14"/>
      <c r="AC64" s="14"/>
      <c r="AD64" s="14"/>
      <c r="AE64" s="14"/>
      <c r="AF64" s="14"/>
      <c r="AG64" s="14"/>
    </row>
    <row r="65">
      <c r="A65" s="311">
        <v>16.0</v>
      </c>
      <c r="B65" s="312" t="s">
        <v>538</v>
      </c>
      <c r="C65" s="210" t="str">
        <f t="array" ref="C65">IFERROR(INDEX('Sep 1'!$C$2:$C$321, MATCH($A65,'Sep 1'!$B$2:$B$320,0)),"")</f>
        <v/>
      </c>
      <c r="D65" s="210">
        <f t="array" ref="D65">IFERROR(INDEX('Sep 15'!$C$2:$C$370, MATCH($A65, 'Sep 15'!$B$2:$B$370,0)),"")</f>
        <v>3.97</v>
      </c>
      <c r="E65" s="210">
        <f t="array" ref="E65">IFERROR(INDEX('Sep 29'!$C$2:$C$435, MATCH($A65, 'Sep 29'!$B$2:$B$435,0)),"")</f>
        <v>3.333</v>
      </c>
      <c r="F65" s="210">
        <f t="array" ref="F65">IFERROR(INDEX('Oct 13'!$C$2:$C$389, MATCH($A65, 'Oct 13'!$B$2:$B$389,0)),"")</f>
        <v>3.67</v>
      </c>
      <c r="G65" s="210">
        <f t="array" ref="G65">IFERROR(INDEX('Oct 27'!$C$2:$C$434, MATCH($A65, 'Oct 27'!$B$2:$B$434,0)),"")</f>
        <v>3.61</v>
      </c>
      <c r="H65" s="8" t="s">
        <v>239</v>
      </c>
      <c r="I65" s="210" t="str">
        <f t="array" ref="I65">IFERROR(INDEX('Dec 1'!$C$2:$C$542, MATCH($A65, 'Dec 1'!$B$2:$B$542,0)),"")</f>
        <v/>
      </c>
      <c r="J65" s="210"/>
      <c r="K65" s="306">
        <v>45184.0</v>
      </c>
      <c r="L65" s="307" t="str">
        <f>D$70</f>
        <v/>
      </c>
      <c r="M65" s="307">
        <f>D71</f>
        <v>3.669704918</v>
      </c>
      <c r="N65" s="307">
        <f>D72</f>
        <v>3.688625</v>
      </c>
      <c r="O65" s="308" t="str">
        <f>AVERAGE(D$15:D$62,D$13,D$7:D$10,D$3:D$5,#REF!)</f>
        <v>#REF!</v>
      </c>
      <c r="Q65" s="309" t="s">
        <v>548</v>
      </c>
      <c r="R65" s="307">
        <f>FGL!E13</f>
        <v>3.523444444</v>
      </c>
      <c r="S65" s="310">
        <f t="shared" si="1"/>
        <v>1</v>
      </c>
      <c r="T65" s="14"/>
      <c r="U65" s="14"/>
      <c r="V65" s="14"/>
      <c r="X65" s="14"/>
      <c r="Y65" s="220"/>
      <c r="Z65" s="14"/>
      <c r="AA65" s="14" t="s">
        <v>505</v>
      </c>
      <c r="AB65" s="14"/>
      <c r="AC65" s="14"/>
      <c r="AD65" s="14"/>
      <c r="AE65" s="14"/>
      <c r="AF65" s="14"/>
      <c r="AG65" s="14"/>
    </row>
    <row r="66">
      <c r="A66" s="311">
        <v>1670.0</v>
      </c>
      <c r="B66" s="313" t="s">
        <v>278</v>
      </c>
      <c r="C66" s="210" t="str">
        <f t="array" ref="C66">IFERROR(INDEX('Sep 1'!$C$2:$C$321, MATCH($A66,'Sep 1'!$B$2:$B$320,0)),"")</f>
        <v/>
      </c>
      <c r="D66" s="210" t="str">
        <f t="array" ref="D66">IFERROR(INDEX('Sep 15'!$C$2:$C$370, MATCH($A66, 'Sep 15'!$B$2:$B$370,0)),"")</f>
        <v/>
      </c>
      <c r="E66" s="210" t="str">
        <f t="array" ref="E66">IFERROR(INDEX('Sep 29'!$C$2:$C$435, MATCH($A66, 'Sep 29'!$B$2:$B$435,0)),"")</f>
        <v/>
      </c>
      <c r="F66" s="210" t="str">
        <f t="array" ref="F66">IFERROR(INDEX('Oct 13'!$C$2:$C$389, MATCH($A66, 'Oct 13'!$B$2:$B$389,0)),"")</f>
        <v/>
      </c>
      <c r="G66" s="210" t="str">
        <f t="array" ref="G66">IFERROR(INDEX('Oct 27'!$C$2:$C$434, MATCH($A66, 'Oct 27'!$B$2:$B$434,0)),"")</f>
        <v/>
      </c>
      <c r="H66" s="8" t="s">
        <v>239</v>
      </c>
      <c r="I66" s="210">
        <f t="array" ref="I66">IFERROR(INDEX('Dec 1'!$C$2:$C$542, MATCH($A66, 'Dec 1'!$B$2:$B$542,0)),"")</f>
        <v>3.195</v>
      </c>
      <c r="J66" s="14"/>
      <c r="K66" s="306">
        <v>45198.0</v>
      </c>
      <c r="L66" s="210" t="str">
        <f>E$70</f>
        <v/>
      </c>
      <c r="M66" s="307">
        <f>E71</f>
        <v>3.461</v>
      </c>
      <c r="N66" s="307">
        <f>E72</f>
        <v>3.471666667</v>
      </c>
      <c r="O66" s="308" t="str">
        <f>AVERAGE(E$15:E$62,E$13,E$7:E$10,E$3:E$5,#REF!)</f>
        <v>#REF!</v>
      </c>
      <c r="Q66" s="309" t="s">
        <v>564</v>
      </c>
      <c r="R66" s="307">
        <f>FGL!G13</f>
        <v>2.963555556</v>
      </c>
      <c r="S66" s="310">
        <f t="shared" si="1"/>
        <v>7</v>
      </c>
      <c r="T66" s="14"/>
      <c r="U66" s="14"/>
      <c r="V66" s="14"/>
      <c r="AB66" s="14"/>
      <c r="AC66" s="14"/>
      <c r="AD66" s="14"/>
      <c r="AE66" s="14"/>
      <c r="AF66" s="14"/>
      <c r="AG66" s="14"/>
    </row>
    <row r="67">
      <c r="A67" s="314">
        <v>18.0</v>
      </c>
      <c r="B67" s="315" t="s">
        <v>568</v>
      </c>
      <c r="C67" s="316"/>
      <c r="D67" s="316"/>
      <c r="E67" s="210">
        <f t="array" ref="E67">IFERROR(INDEX('Sep 29'!$C$2:$C$435, MATCH($A67, 'Sep 29'!$B$2:$B$435,0)),"")</f>
        <v>2.048</v>
      </c>
      <c r="F67" s="210">
        <f t="array" ref="F67">IFERROR(INDEX('Oct 13'!$C$2:$C$389, MATCH($A67, 'Oct 13'!$B$2:$B$389,0)),"")</f>
        <v>2.548</v>
      </c>
      <c r="G67" s="210">
        <f t="array" ref="G67">IFERROR(INDEX('Oct 27'!$C$2:$C$434, MATCH($A67, 'Oct 27'!$B$2:$B$434,0)),"")</f>
        <v>3</v>
      </c>
      <c r="H67" s="8" t="s">
        <v>239</v>
      </c>
      <c r="I67" s="210" t="str">
        <f t="array" ref="I67">IFERROR(INDEX('Dec 1'!$C$2:$C$542, MATCH($A67, 'Dec 1'!$B$2:$B$542,0)),"")</f>
        <v/>
      </c>
      <c r="J67" s="17"/>
      <c r="K67" s="306">
        <v>45212.0</v>
      </c>
      <c r="L67" s="210" t="str">
        <f>F$70</f>
        <v/>
      </c>
      <c r="M67" s="307">
        <f>F71</f>
        <v>3.324935484</v>
      </c>
      <c r="N67" s="307">
        <f>F72</f>
        <v>3.288148936</v>
      </c>
      <c r="O67" s="308" t="str">
        <f>AVERAGE(F$15:F$62,F$13,F$7:F$10,F$3:F$5,#REF!)</f>
        <v>#REF!</v>
      </c>
      <c r="Q67" s="309" t="s">
        <v>579</v>
      </c>
      <c r="R67" s="307">
        <f>FGL!I13</f>
        <v>3.125625</v>
      </c>
      <c r="S67" s="310">
        <f t="shared" si="1"/>
        <v>4</v>
      </c>
      <c r="T67" s="14"/>
      <c r="U67" s="210" t="str">
        <f>FGL!P13</f>
        <v/>
      </c>
      <c r="V67" s="14"/>
      <c r="W67" s="14"/>
      <c r="X67" s="14"/>
      <c r="Y67" s="14"/>
      <c r="Z67" s="14"/>
      <c r="AA67" s="14"/>
      <c r="AB67" s="14"/>
      <c r="AC67" s="14"/>
      <c r="AD67" s="14"/>
      <c r="AE67" s="14"/>
      <c r="AF67" s="14"/>
      <c r="AG67" s="14"/>
    </row>
    <row r="68">
      <c r="A68" s="314" t="s">
        <v>193</v>
      </c>
      <c r="B68" s="317" t="s">
        <v>583</v>
      </c>
      <c r="C68" s="316" t="s">
        <v>505</v>
      </c>
      <c r="D68" s="316" t="s">
        <v>505</v>
      </c>
      <c r="E68" s="210" t="s">
        <v>505</v>
      </c>
      <c r="F68" s="210" t="s">
        <v>505</v>
      </c>
      <c r="G68" s="210" t="s">
        <v>505</v>
      </c>
      <c r="H68" s="8" t="s">
        <v>239</v>
      </c>
      <c r="I68" s="210" t="s">
        <v>505</v>
      </c>
      <c r="J68" s="17"/>
      <c r="K68" s="306">
        <v>45226.0</v>
      </c>
      <c r="L68" s="210" t="str">
        <f>G70</f>
        <v>-</v>
      </c>
      <c r="M68" s="307">
        <f>G71</f>
        <v>3.307925</v>
      </c>
      <c r="N68" s="307">
        <f>G72</f>
        <v>3.283097826</v>
      </c>
      <c r="O68" s="308" t="str">
        <f>AVERAGE(G$15:G$62,G$13,G$7:G$10,G$3:G$5,#REF!)</f>
        <v>#REF!</v>
      </c>
      <c r="Q68" s="309" t="s">
        <v>588</v>
      </c>
      <c r="R68" s="307">
        <f>FGL!K13</f>
        <v>3.447857143</v>
      </c>
      <c r="S68" s="310">
        <f t="shared" si="1"/>
        <v>3</v>
      </c>
      <c r="T68" s="14"/>
      <c r="U68" s="210"/>
      <c r="V68" s="14"/>
      <c r="W68" s="14"/>
      <c r="X68" s="14"/>
      <c r="Y68" s="14"/>
      <c r="Z68" s="14"/>
      <c r="AA68" s="14"/>
      <c r="AB68" s="14"/>
      <c r="AC68" s="14"/>
      <c r="AD68" s="14"/>
      <c r="AE68" s="14"/>
      <c r="AF68" s="14"/>
      <c r="AG68" s="14"/>
    </row>
    <row r="69">
      <c r="A69" s="318">
        <v>12.0</v>
      </c>
      <c r="B69" s="315" t="s">
        <v>590</v>
      </c>
      <c r="C69" s="316">
        <v>3.0</v>
      </c>
      <c r="D69" s="316" t="s">
        <v>505</v>
      </c>
      <c r="E69" s="210">
        <v>3.0</v>
      </c>
      <c r="F69" s="210">
        <v>2.75</v>
      </c>
      <c r="G69" s="8" t="s">
        <v>239</v>
      </c>
      <c r="H69" s="8" t="s">
        <v>239</v>
      </c>
      <c r="I69" s="210" t="s">
        <v>505</v>
      </c>
      <c r="J69" s="14"/>
      <c r="K69" s="306">
        <v>45240.0</v>
      </c>
      <c r="L69" s="210" t="str">
        <f>H70</f>
        <v>-</v>
      </c>
      <c r="M69" s="307">
        <f>H71</f>
        <v>3.263219298</v>
      </c>
      <c r="N69" s="307">
        <f>H72</f>
        <v>3.23225</v>
      </c>
      <c r="O69" s="308" t="str">
        <f>AVERAGE(H$15:H$62,H$13,H$7:H$10,H$3:H$5,#REF!)</f>
        <v>#REF!</v>
      </c>
      <c r="Q69" s="309" t="s">
        <v>595</v>
      </c>
      <c r="R69" s="307">
        <f>FGL!M13</f>
        <v>3.10825</v>
      </c>
      <c r="S69" s="310">
        <f t="shared" si="1"/>
        <v>5</v>
      </c>
      <c r="T69" s="14"/>
      <c r="U69" s="210"/>
      <c r="V69" s="14"/>
      <c r="W69" s="14"/>
      <c r="X69" s="14"/>
      <c r="Y69" s="14"/>
      <c r="Z69" s="14"/>
      <c r="AA69" s="14"/>
      <c r="AB69" s="14"/>
      <c r="AC69" s="14"/>
      <c r="AD69" s="14"/>
      <c r="AE69" s="14"/>
      <c r="AF69" s="14"/>
      <c r="AG69" s="14"/>
    </row>
    <row r="70">
      <c r="A70" s="319"/>
      <c r="B70" s="320" t="s">
        <v>598</v>
      </c>
      <c r="C70" s="321"/>
      <c r="D70" s="321"/>
      <c r="E70" s="210" t="str">
        <f t="array" ref="E70">IFERROR(INDEX('Sep 29'!$C$2:$C$435, MATCH($A70, 'Sep 29'!$B$2:$B$435,0)),"")</f>
        <v/>
      </c>
      <c r="F70" s="210" t="str">
        <f t="array" ref="F70">IFERROR(INDEX('Oct 13'!$C$2:$C$389, MATCH($A70, 'Oct 13'!$B$2:$B$389,0)),"")</f>
        <v/>
      </c>
      <c r="G70" s="8" t="s">
        <v>239</v>
      </c>
      <c r="H70" s="8" t="s">
        <v>239</v>
      </c>
      <c r="I70" s="210" t="str">
        <f t="array" ref="I70">IFERROR(INDEX('Dec 1'!$C$2:$C$542, MATCH($A70, 'Dec 1'!$B$2:$B$542,0)),"")</f>
        <v/>
      </c>
      <c r="J70" s="14"/>
      <c r="K70" s="322">
        <v>45261.0</v>
      </c>
      <c r="L70" s="323" t="str">
        <f>I70</f>
        <v/>
      </c>
      <c r="M70" s="291" t="str">
        <f>I71</f>
        <v/>
      </c>
      <c r="N70" s="291" t="str">
        <f>I72</f>
        <v/>
      </c>
      <c r="O70" s="324" t="str">
        <f>AVERAGE(I$15:I$62,I$13,I$7:I$10,I$3:I$5,#REF!)</f>
        <v>#REF!</v>
      </c>
      <c r="Q70" s="325" t="s">
        <v>608</v>
      </c>
      <c r="R70" s="326">
        <f>FGL!O13</f>
        <v>3.466555556</v>
      </c>
      <c r="S70" s="327">
        <f t="shared" si="1"/>
        <v>2</v>
      </c>
      <c r="T70" s="14"/>
      <c r="U70" s="14"/>
      <c r="V70" s="14"/>
      <c r="W70" s="14"/>
      <c r="X70" s="14"/>
      <c r="Y70" s="14"/>
      <c r="Z70" s="14"/>
      <c r="AA70" s="14"/>
      <c r="AB70" s="14"/>
      <c r="AC70" s="14"/>
      <c r="AD70" s="14"/>
      <c r="AE70" s="14"/>
      <c r="AF70" s="14"/>
      <c r="AG70" s="14"/>
    </row>
    <row r="71">
      <c r="A71" s="14"/>
      <c r="B71" s="328" t="s">
        <v>611</v>
      </c>
      <c r="C71" s="329">
        <f t="shared" ref="C71:G71" si="2">AVERAGE(C3:C67)</f>
        <v>3.755067797</v>
      </c>
      <c r="D71" s="329">
        <f t="shared" si="2"/>
        <v>3.669704918</v>
      </c>
      <c r="E71" s="329">
        <f t="shared" si="2"/>
        <v>3.461</v>
      </c>
      <c r="F71" s="330">
        <f t="shared" si="2"/>
        <v>3.324935484</v>
      </c>
      <c r="G71" s="330">
        <f t="shared" si="2"/>
        <v>3.307925</v>
      </c>
      <c r="H71" s="331">
        <f>AVERAGE(H3:H70)</f>
        <v>3.263219298</v>
      </c>
      <c r="I71" s="14"/>
      <c r="J71" s="14"/>
      <c r="T71" s="14"/>
      <c r="X71" s="14"/>
      <c r="Y71" s="14"/>
      <c r="Z71" s="14"/>
      <c r="AA71" s="14"/>
      <c r="AB71" s="14"/>
      <c r="AC71" s="14"/>
      <c r="AD71" s="14"/>
      <c r="AE71" s="14"/>
      <c r="AF71" s="14"/>
      <c r="AG71" s="14"/>
    </row>
    <row r="72">
      <c r="A72" s="14"/>
      <c r="B72" s="328" t="s">
        <v>617</v>
      </c>
      <c r="C72" s="329">
        <f t="shared" ref="C72:H72" si="3">AVERAGE(C3:C51)</f>
        <v>3.800395833</v>
      </c>
      <c r="D72" s="329">
        <f t="shared" si="3"/>
        <v>3.688625</v>
      </c>
      <c r="E72" s="329">
        <f t="shared" si="3"/>
        <v>3.471666667</v>
      </c>
      <c r="F72" s="329">
        <f t="shared" si="3"/>
        <v>3.288148936</v>
      </c>
      <c r="G72" s="329">
        <f t="shared" si="3"/>
        <v>3.283097826</v>
      </c>
      <c r="H72" s="329">
        <f t="shared" si="3"/>
        <v>3.23225</v>
      </c>
      <c r="I72" s="14"/>
      <c r="J72" s="14"/>
      <c r="T72" s="14"/>
      <c r="X72" s="14"/>
      <c r="Y72" s="14"/>
      <c r="Z72" s="14"/>
      <c r="AA72" s="14"/>
      <c r="AB72" s="14"/>
      <c r="AC72" s="14"/>
      <c r="AD72" s="14"/>
      <c r="AE72" s="14"/>
      <c r="AF72" s="14"/>
      <c r="AG72" s="14"/>
    </row>
    <row r="73">
      <c r="A73" s="14"/>
      <c r="B73" s="332" t="s">
        <v>620</v>
      </c>
      <c r="C73" s="329">
        <f t="shared" ref="C73:H73" si="4">AVERAGE(C53:C69)</f>
        <v>3.466363636</v>
      </c>
      <c r="D73" s="329">
        <f t="shared" si="4"/>
        <v>3.5665</v>
      </c>
      <c r="E73" s="329">
        <f t="shared" si="4"/>
        <v>3.3602</v>
      </c>
      <c r="F73" s="329">
        <f t="shared" si="4"/>
        <v>3.356866667</v>
      </c>
      <c r="G73" s="329">
        <f t="shared" si="4"/>
        <v>3.342538462</v>
      </c>
      <c r="H73" s="329">
        <f t="shared" si="4"/>
        <v>3.332</v>
      </c>
      <c r="I73" s="14"/>
      <c r="J73" s="14"/>
      <c r="T73" s="14"/>
      <c r="U73" s="14"/>
      <c r="V73" s="14"/>
      <c r="W73" s="14"/>
      <c r="X73" s="14"/>
      <c r="Y73" s="14"/>
      <c r="Z73" s="14"/>
      <c r="AA73" s="14"/>
      <c r="AB73" s="14"/>
      <c r="AC73" s="14"/>
      <c r="AD73" s="14"/>
      <c r="AE73" s="14"/>
      <c r="AF73" s="14"/>
      <c r="AG73" s="14"/>
    </row>
    <row r="74">
      <c r="A74" s="14"/>
      <c r="B74" s="17"/>
      <c r="C74" s="14"/>
      <c r="D74" s="14"/>
      <c r="E74" s="14"/>
      <c r="F74" s="14"/>
      <c r="G74" s="14"/>
      <c r="H74" s="14"/>
      <c r="I74" s="14"/>
      <c r="J74" s="14"/>
      <c r="K74" s="301" t="s">
        <v>516</v>
      </c>
      <c r="L74" s="302" t="s">
        <v>627</v>
      </c>
      <c r="M74" s="302" t="s">
        <v>628</v>
      </c>
      <c r="N74" s="302" t="s">
        <v>629</v>
      </c>
      <c r="O74" s="302" t="s">
        <v>630</v>
      </c>
      <c r="P74" s="302" t="s">
        <v>631</v>
      </c>
      <c r="Q74" s="302" t="s">
        <v>632</v>
      </c>
      <c r="R74" s="302" t="s">
        <v>633</v>
      </c>
      <c r="S74" s="303" t="s">
        <v>634</v>
      </c>
      <c r="T74" s="14"/>
      <c r="X74" s="14"/>
      <c r="Y74" s="14"/>
      <c r="Z74" s="14"/>
      <c r="AA74" s="14"/>
      <c r="AB74" s="14"/>
      <c r="AC74" s="14"/>
      <c r="AD74" s="14"/>
      <c r="AE74" s="14"/>
      <c r="AF74" s="14"/>
      <c r="AG74" s="14"/>
    </row>
    <row r="75">
      <c r="A75" s="14"/>
      <c r="B75" s="17" t="s">
        <v>635</v>
      </c>
      <c r="C75" s="321">
        <f t="shared" ref="C75:H75" si="5">C72</f>
        <v>3.800395833</v>
      </c>
      <c r="D75" s="321">
        <f t="shared" si="5"/>
        <v>3.688625</v>
      </c>
      <c r="E75" s="321">
        <f t="shared" si="5"/>
        <v>3.471666667</v>
      </c>
      <c r="F75" s="321">
        <f t="shared" si="5"/>
        <v>3.288148936</v>
      </c>
      <c r="G75" s="321">
        <f t="shared" si="5"/>
        <v>3.283097826</v>
      </c>
      <c r="H75" s="321">
        <f t="shared" si="5"/>
        <v>3.23225</v>
      </c>
      <c r="I75" s="14"/>
      <c r="J75" s="14"/>
      <c r="K75" s="306">
        <v>44820.0</v>
      </c>
      <c r="L75" s="307">
        <f>C72</f>
        <v>3.800395833</v>
      </c>
      <c r="M75" s="307">
        <f>AVERAGE($C$48:$C$51)</f>
        <v>3.58</v>
      </c>
      <c r="N75" s="307">
        <f>AVERAGE($C$30:$C$46)</f>
        <v>3.874</v>
      </c>
      <c r="O75" s="307">
        <f>AVERAGE($C$29:$C$34)</f>
        <v>3.792166667</v>
      </c>
      <c r="P75" s="307">
        <f>AVERAGE($C$16:$C$27)</f>
        <v>3.7365</v>
      </c>
      <c r="Q75" s="210">
        <f>AVERAGE($C$15)</f>
        <v>4</v>
      </c>
      <c r="R75" s="307">
        <f>AVERAGE($C$3:$C$14)</f>
        <v>3.847272727</v>
      </c>
      <c r="S75" s="308">
        <f>AVERAGE($C$2)</f>
        <v>4</v>
      </c>
      <c r="Y75" s="14"/>
      <c r="Z75" s="14"/>
      <c r="AA75" s="14"/>
      <c r="AB75" s="14"/>
      <c r="AC75" s="14"/>
      <c r="AD75" s="14"/>
      <c r="AE75" s="14"/>
      <c r="AF75" s="14"/>
      <c r="AG75" s="14"/>
    </row>
    <row r="76">
      <c r="A76" s="14"/>
      <c r="B76" s="17" t="s">
        <v>644</v>
      </c>
      <c r="C76" s="321">
        <f>STDEV(C2:C66)</f>
        <v>0.4483005509</v>
      </c>
      <c r="D76" s="321">
        <f t="shared" ref="D76:H76" si="6">STDEV(D2:D62)</f>
        <v>0.5126658795</v>
      </c>
      <c r="E76" s="321">
        <f t="shared" si="6"/>
        <v>0.5199134478</v>
      </c>
      <c r="F76" s="321">
        <f t="shared" si="6"/>
        <v>0.5764655944</v>
      </c>
      <c r="G76" s="321">
        <f t="shared" si="6"/>
        <v>0.5384622029</v>
      </c>
      <c r="H76" s="321">
        <f t="shared" si="6"/>
        <v>0.60411089</v>
      </c>
      <c r="I76" s="14"/>
      <c r="J76" s="14"/>
      <c r="K76" s="306">
        <v>44834.0</v>
      </c>
      <c r="L76" s="307">
        <f>D72</f>
        <v>3.688625</v>
      </c>
      <c r="M76" s="307">
        <f>AVERAGE($D$48:$D$51)</f>
        <v>3.59575</v>
      </c>
      <c r="N76" s="307">
        <f>AVERAGE($D$30:$D$46)</f>
        <v>3.712294118</v>
      </c>
      <c r="O76" s="307">
        <f>AVERAGE($D$29:$D$34)</f>
        <v>3.747666667</v>
      </c>
      <c r="P76" s="307">
        <f>AVERAGE($D$16:$D$27)</f>
        <v>3.684</v>
      </c>
      <c r="Q76" s="210">
        <f>AVERAGE($D$15)</f>
        <v>4</v>
      </c>
      <c r="R76" s="307">
        <f>AVERAGE($D$3:$D$14)</f>
        <v>3.667636364</v>
      </c>
      <c r="S76" s="308">
        <f>AVERAGE($D$2)</f>
        <v>3.85</v>
      </c>
      <c r="Y76" s="14"/>
      <c r="Z76" s="14"/>
      <c r="AA76" s="14"/>
      <c r="AB76" s="14"/>
      <c r="AC76" s="14"/>
      <c r="AD76" s="14"/>
      <c r="AE76" s="14"/>
      <c r="AF76" s="14"/>
      <c r="AG76" s="14"/>
    </row>
    <row r="77">
      <c r="A77" s="14"/>
      <c r="B77" s="17" t="s">
        <v>651</v>
      </c>
      <c r="C77" s="321">
        <f t="shared" ref="C77:H77" si="7">C76/C75</f>
        <v>0.1179615415</v>
      </c>
      <c r="D77" s="321">
        <f t="shared" si="7"/>
        <v>0.1389856327</v>
      </c>
      <c r="E77" s="321">
        <f t="shared" si="7"/>
        <v>0.1497590344</v>
      </c>
      <c r="F77" s="321">
        <f t="shared" si="7"/>
        <v>0.1753161446</v>
      </c>
      <c r="G77" s="321">
        <f t="shared" si="7"/>
        <v>0.1640104046</v>
      </c>
      <c r="H77" s="321">
        <f t="shared" si="7"/>
        <v>0.1869010411</v>
      </c>
      <c r="I77" s="14"/>
      <c r="J77" s="14"/>
      <c r="K77" s="306">
        <v>44848.0</v>
      </c>
      <c r="L77" s="307">
        <f>E72</f>
        <v>3.471666667</v>
      </c>
      <c r="M77" s="307">
        <f>AVERAGE($E$48:$E$51)</f>
        <v>3.29775</v>
      </c>
      <c r="N77" s="307">
        <f>AVERAGE($E$30:$E$46)</f>
        <v>3.498</v>
      </c>
      <c r="O77" s="307">
        <f>AVERAGE($E$29:$E$34)</f>
        <v>3.556333333</v>
      </c>
      <c r="P77" s="307">
        <f>AVERAGE($E$16:$E$27)</f>
        <v>3.461916667</v>
      </c>
      <c r="Q77" s="210">
        <f>AVERAGE($E$15)</f>
        <v>3.31</v>
      </c>
      <c r="R77" s="307">
        <f>AVERAGE($E$3:$E$14)</f>
        <v>3.491636364</v>
      </c>
      <c r="S77" s="308">
        <f>AVERAGE($E$2)</f>
        <v>3.845</v>
      </c>
      <c r="Y77" s="14"/>
      <c r="Z77" s="14"/>
      <c r="AA77" s="14"/>
      <c r="AB77" s="14"/>
      <c r="AC77" s="14"/>
      <c r="AD77" s="14"/>
      <c r="AE77" s="14"/>
      <c r="AF77" s="14"/>
      <c r="AG77" s="14"/>
    </row>
    <row r="78">
      <c r="A78" s="14"/>
      <c r="B78" s="14"/>
      <c r="C78" s="321"/>
      <c r="D78" s="14"/>
      <c r="E78" s="14"/>
      <c r="F78" s="294"/>
      <c r="G78" s="14"/>
      <c r="H78" s="14"/>
      <c r="I78" s="14"/>
      <c r="J78" s="14"/>
      <c r="K78" s="306">
        <v>44862.0</v>
      </c>
      <c r="L78" s="307">
        <f>F72</f>
        <v>3.288148936</v>
      </c>
      <c r="M78" s="307">
        <f>AVERAGE($F$48:$F$51)</f>
        <v>2.92925</v>
      </c>
      <c r="N78" s="307">
        <f>AVERAGE($F$30:$F$46)</f>
        <v>3.267470588</v>
      </c>
      <c r="O78" s="307">
        <f>AVERAGE($F$29:$F$34)</f>
        <v>3.182166667</v>
      </c>
      <c r="P78" s="307">
        <f>AVERAGE($F$16:$F$27)</f>
        <v>3.343363636</v>
      </c>
      <c r="Q78" s="210">
        <f>AVERAGE($F$15)</f>
        <v>3.534</v>
      </c>
      <c r="R78" s="307">
        <f>AVERAGE($F$3:$F$14)</f>
        <v>3.349363636</v>
      </c>
      <c r="S78" s="308">
        <f>AVERAGE($F$2)</f>
        <v>3.462</v>
      </c>
      <c r="Y78" s="14"/>
      <c r="Z78" s="14"/>
      <c r="AA78" s="14"/>
      <c r="AB78" s="14"/>
      <c r="AC78" s="14"/>
      <c r="AD78" s="14"/>
      <c r="AE78" s="14"/>
      <c r="AF78" s="14"/>
      <c r="AG78" s="14"/>
    </row>
    <row r="79">
      <c r="A79" s="14"/>
      <c r="B79" s="14"/>
      <c r="C79" s="14"/>
      <c r="D79" s="14"/>
      <c r="E79" s="14"/>
      <c r="F79" s="294"/>
      <c r="H79" s="14"/>
      <c r="I79" s="14"/>
      <c r="J79" s="14"/>
      <c r="K79" s="306">
        <v>44876.0</v>
      </c>
      <c r="L79" s="307">
        <f>G72</f>
        <v>3.283097826</v>
      </c>
      <c r="M79" s="307">
        <f>AVERAGE($G$48:$G$51)</f>
        <v>3.2575</v>
      </c>
      <c r="N79" s="307">
        <f>AVERAGE($G$30:$G$46)</f>
        <v>3.24059375</v>
      </c>
      <c r="O79" s="307">
        <f>AVERAGE($G$29:$G$34)</f>
        <v>3.2136</v>
      </c>
      <c r="P79" s="307">
        <f>AVERAGE($G$16:$G$27)</f>
        <v>3.277636364</v>
      </c>
      <c r="Q79" s="210">
        <f>AVERAGE($G$15)</f>
        <v>3.5</v>
      </c>
      <c r="R79" s="307">
        <f>AVERAGE($G$3:$G$14)</f>
        <v>3.321909091</v>
      </c>
      <c r="S79" s="308">
        <f>AVERAGE($G$2)</f>
        <v>3.538</v>
      </c>
      <c r="Y79" s="14"/>
      <c r="Z79" s="14"/>
      <c r="AA79" s="14"/>
      <c r="AB79" s="14"/>
      <c r="AC79" s="14"/>
      <c r="AD79" s="14"/>
      <c r="AE79" s="14"/>
      <c r="AF79" s="14"/>
      <c r="AG79" s="14"/>
    </row>
    <row r="80">
      <c r="A80" s="14"/>
      <c r="B80" s="14"/>
      <c r="C80" s="14"/>
      <c r="D80" s="14"/>
      <c r="E80" s="14"/>
      <c r="F80" s="294"/>
      <c r="H80" s="14"/>
      <c r="I80" s="14"/>
      <c r="J80" s="14"/>
      <c r="K80" s="333">
        <v>44897.0</v>
      </c>
      <c r="L80" s="323"/>
      <c r="M80" s="291"/>
      <c r="N80" s="291"/>
      <c r="O80" s="291"/>
      <c r="P80" s="291"/>
      <c r="Q80" s="291"/>
      <c r="R80" s="291"/>
      <c r="S80" s="334"/>
      <c r="Y80" s="14"/>
      <c r="Z80" s="14"/>
      <c r="AA80" s="14"/>
      <c r="AB80" s="14"/>
      <c r="AC80" s="14"/>
      <c r="AD80" s="14"/>
      <c r="AE80" s="14"/>
      <c r="AF80" s="14"/>
      <c r="AG80" s="14"/>
    </row>
    <row r="81">
      <c r="A81" s="14"/>
      <c r="B81" s="14"/>
      <c r="C81" s="14"/>
      <c r="D81" s="14"/>
      <c r="E81" s="14"/>
      <c r="F81" s="294"/>
      <c r="H81" s="14"/>
      <c r="I81" s="14"/>
      <c r="J81" s="14"/>
      <c r="Y81" s="14"/>
      <c r="Z81" s="14"/>
      <c r="AA81" s="14"/>
      <c r="AB81" s="14"/>
      <c r="AC81" s="14"/>
      <c r="AD81" s="14"/>
      <c r="AE81" s="14"/>
      <c r="AF81" s="14"/>
      <c r="AG81" s="14"/>
    </row>
    <row r="82">
      <c r="A82" s="14"/>
      <c r="B82" s="14"/>
      <c r="C82" s="14"/>
      <c r="D82" s="14"/>
      <c r="E82" s="14"/>
      <c r="F82" s="14"/>
      <c r="H82" s="14"/>
      <c r="I82" s="14"/>
      <c r="J82" s="14"/>
      <c r="K82" s="335" t="s">
        <v>682</v>
      </c>
      <c r="L82" s="336" t="s">
        <v>684</v>
      </c>
      <c r="M82" s="336" t="s">
        <v>686</v>
      </c>
      <c r="N82" s="337"/>
      <c r="O82" s="338" t="s">
        <v>687</v>
      </c>
      <c r="P82" s="339"/>
      <c r="Q82" s="339"/>
      <c r="R82" s="339"/>
      <c r="S82" s="339"/>
      <c r="T82" s="14"/>
      <c r="U82" s="14"/>
      <c r="V82" s="14"/>
      <c r="W82" s="14"/>
      <c r="X82" s="14"/>
      <c r="Y82" s="14"/>
      <c r="Z82" s="14"/>
      <c r="AA82" s="14"/>
      <c r="AB82" s="14"/>
      <c r="AC82" s="14"/>
      <c r="AD82" s="14"/>
      <c r="AE82" s="14"/>
      <c r="AF82" s="14"/>
      <c r="AG82" s="14"/>
    </row>
    <row r="83">
      <c r="A83" s="14"/>
      <c r="B83" s="14"/>
      <c r="C83" s="14"/>
      <c r="D83" s="14"/>
      <c r="E83" s="14"/>
      <c r="F83" s="14"/>
      <c r="H83" s="14"/>
      <c r="I83" s="340" t="s">
        <v>690</v>
      </c>
      <c r="K83" s="341" t="s">
        <v>691</v>
      </c>
      <c r="L83" s="342">
        <v>2.733</v>
      </c>
      <c r="M83" s="343" t="s">
        <v>693</v>
      </c>
      <c r="O83" s="344"/>
      <c r="P83" s="345"/>
      <c r="Q83" s="282"/>
      <c r="R83" s="345"/>
      <c r="S83" s="345"/>
      <c r="T83" s="14"/>
      <c r="U83" s="14"/>
      <c r="V83" s="14"/>
      <c r="W83" s="14"/>
      <c r="X83" s="14"/>
      <c r="Y83" s="14"/>
      <c r="Z83" s="14"/>
      <c r="AA83" s="14"/>
      <c r="AB83" s="14"/>
      <c r="AC83" s="14"/>
      <c r="AD83" s="14"/>
      <c r="AE83" s="14"/>
      <c r="AF83" s="14"/>
      <c r="AG83" s="14"/>
    </row>
    <row r="84">
      <c r="A84" s="14"/>
      <c r="B84" s="14"/>
      <c r="C84" s="14"/>
      <c r="D84" s="14"/>
      <c r="E84" s="14"/>
      <c r="F84" s="14"/>
      <c r="H84" s="14"/>
      <c r="I84" s="340" t="s">
        <v>690</v>
      </c>
      <c r="K84" s="247" t="s">
        <v>696</v>
      </c>
      <c r="L84" s="342">
        <v>2.919</v>
      </c>
      <c r="M84" s="343" t="s">
        <v>697</v>
      </c>
      <c r="O84" s="344"/>
      <c r="P84" s="345"/>
      <c r="Q84" s="282"/>
      <c r="R84" s="345"/>
      <c r="S84" s="345"/>
      <c r="T84" s="14"/>
      <c r="U84" s="14"/>
      <c r="V84" s="14"/>
      <c r="W84" s="14"/>
      <c r="X84" s="14"/>
      <c r="Y84" s="14"/>
      <c r="Z84" s="14"/>
      <c r="AA84" s="14"/>
      <c r="AB84" s="14"/>
      <c r="AC84" s="14"/>
      <c r="AD84" s="14"/>
      <c r="AE84" s="14"/>
      <c r="AF84" s="14"/>
      <c r="AG84" s="14"/>
    </row>
    <row r="85">
      <c r="A85" s="14"/>
      <c r="B85" s="14"/>
      <c r="C85" s="14"/>
      <c r="D85" s="14"/>
      <c r="E85" s="14"/>
      <c r="F85" s="14"/>
      <c r="H85" s="14"/>
      <c r="I85" s="340" t="s">
        <v>699</v>
      </c>
      <c r="K85" s="341" t="s">
        <v>700</v>
      </c>
      <c r="L85" s="342">
        <v>2.819</v>
      </c>
      <c r="M85" s="343">
        <v>3.133</v>
      </c>
      <c r="O85" s="344">
        <v>3.032</v>
      </c>
      <c r="P85" s="345"/>
      <c r="Q85" s="282"/>
      <c r="R85" s="345"/>
      <c r="S85" s="345"/>
      <c r="T85" s="14"/>
      <c r="U85" s="14"/>
      <c r="V85" s="14"/>
      <c r="W85" s="14"/>
      <c r="X85" s="14"/>
      <c r="Y85" s="14"/>
      <c r="Z85" s="14"/>
      <c r="AA85" s="14"/>
      <c r="AB85" s="14"/>
      <c r="AC85" s="14"/>
      <c r="AD85" s="14"/>
      <c r="AE85" s="14"/>
      <c r="AF85" s="14"/>
      <c r="AG85" s="14"/>
    </row>
    <row r="86">
      <c r="A86" s="14"/>
      <c r="B86" s="14"/>
      <c r="C86" s="14"/>
      <c r="D86" s="14"/>
      <c r="E86" s="14"/>
      <c r="F86" s="14"/>
      <c r="H86" s="14"/>
      <c r="I86" s="340" t="s">
        <v>699</v>
      </c>
      <c r="K86" s="341" t="s">
        <v>702</v>
      </c>
      <c r="L86" s="342">
        <v>3.006</v>
      </c>
      <c r="M86" s="343">
        <v>3.213</v>
      </c>
      <c r="O86" s="344">
        <v>3.032</v>
      </c>
      <c r="P86" s="345"/>
      <c r="Q86" s="282"/>
      <c r="R86" s="345"/>
      <c r="S86" s="345"/>
      <c r="T86" s="14"/>
      <c r="U86" s="14"/>
      <c r="V86" s="14"/>
      <c r="W86" s="14"/>
      <c r="X86" s="14"/>
      <c r="Y86" s="14"/>
      <c r="Z86" s="14"/>
      <c r="AA86" s="14"/>
      <c r="AB86" s="14"/>
      <c r="AC86" s="14"/>
      <c r="AD86" s="14"/>
      <c r="AE86" s="14"/>
      <c r="AF86" s="14"/>
      <c r="AG86" s="14"/>
    </row>
    <row r="87">
      <c r="A87" s="14"/>
      <c r="B87" s="14"/>
      <c r="C87" s="14"/>
      <c r="D87" s="14"/>
      <c r="E87" s="14"/>
      <c r="F87" s="14"/>
      <c r="H87" s="14"/>
      <c r="I87" s="340" t="s">
        <v>706</v>
      </c>
      <c r="K87" s="247" t="s">
        <v>707</v>
      </c>
      <c r="L87" s="346">
        <v>3.267</v>
      </c>
      <c r="M87" s="343">
        <v>3.307</v>
      </c>
      <c r="O87" s="344">
        <v>3.187</v>
      </c>
      <c r="P87" s="345"/>
      <c r="Q87" s="282"/>
      <c r="R87" s="345"/>
      <c r="S87" s="345"/>
      <c r="T87" s="14"/>
      <c r="U87" s="14"/>
      <c r="V87" s="14"/>
      <c r="W87" s="14"/>
      <c r="X87" s="14"/>
      <c r="Y87" s="14"/>
      <c r="Z87" s="14"/>
      <c r="AA87" s="14"/>
      <c r="AB87" s="14"/>
      <c r="AC87" s="14"/>
      <c r="AD87" s="14"/>
      <c r="AE87" s="14"/>
      <c r="AF87" s="14"/>
      <c r="AG87" s="14"/>
    </row>
    <row r="88">
      <c r="A88" s="14"/>
      <c r="B88" s="14"/>
      <c r="C88" s="14"/>
      <c r="D88" s="14"/>
      <c r="E88" s="14"/>
      <c r="F88" s="14"/>
      <c r="H88" s="14"/>
      <c r="I88" s="340" t="s">
        <v>706</v>
      </c>
      <c r="K88" s="341" t="s">
        <v>710</v>
      </c>
      <c r="L88" s="346">
        <v>3.167</v>
      </c>
      <c r="M88" s="343">
        <v>3.221</v>
      </c>
      <c r="O88" s="344">
        <v>3.084</v>
      </c>
      <c r="P88" s="345"/>
      <c r="Q88" s="282"/>
      <c r="R88" s="345"/>
      <c r="S88" s="345"/>
      <c r="T88" s="14"/>
      <c r="U88" s="14"/>
      <c r="V88" s="14"/>
      <c r="W88" s="14"/>
      <c r="X88" s="14"/>
      <c r="Y88" s="14"/>
      <c r="Z88" s="14"/>
      <c r="AA88" s="14"/>
      <c r="AB88" s="14"/>
      <c r="AC88" s="14"/>
      <c r="AD88" s="14"/>
      <c r="AE88" s="14"/>
      <c r="AF88" s="14"/>
      <c r="AG88" s="14"/>
    </row>
    <row r="89">
      <c r="A89" s="14"/>
      <c r="B89" s="14"/>
      <c r="C89" s="14"/>
      <c r="D89" s="14"/>
      <c r="E89" s="14"/>
      <c r="F89" s="17"/>
      <c r="H89" s="14"/>
      <c r="I89" s="340" t="s">
        <v>711</v>
      </c>
      <c r="K89" s="247" t="s">
        <v>713</v>
      </c>
      <c r="L89" s="347">
        <v>3.331</v>
      </c>
      <c r="M89" s="343">
        <v>3.29</v>
      </c>
      <c r="O89" s="344">
        <v>3.161</v>
      </c>
      <c r="P89" s="345"/>
      <c r="Q89" s="282"/>
      <c r="R89" s="345"/>
      <c r="S89" s="345"/>
      <c r="T89" s="14"/>
      <c r="U89" s="14"/>
      <c r="V89" s="14"/>
      <c r="W89" s="14"/>
      <c r="X89" s="14"/>
      <c r="Y89" s="14"/>
      <c r="Z89" s="14"/>
      <c r="AA89" s="14"/>
      <c r="AB89" s="14"/>
      <c r="AC89" s="14"/>
      <c r="AD89" s="14"/>
      <c r="AE89" s="14"/>
      <c r="AF89" s="14"/>
      <c r="AG89" s="14"/>
    </row>
    <row r="90">
      <c r="A90" s="14"/>
      <c r="B90" s="14"/>
      <c r="C90" s="14"/>
      <c r="D90" s="14"/>
      <c r="E90" s="17"/>
      <c r="F90" s="17"/>
      <c r="H90" s="14"/>
      <c r="I90" s="340" t="s">
        <v>711</v>
      </c>
      <c r="K90" s="341" t="s">
        <v>714</v>
      </c>
      <c r="L90" s="348">
        <v>3.091</v>
      </c>
      <c r="M90" s="343">
        <v>3.265</v>
      </c>
      <c r="O90" s="344">
        <v>3.131</v>
      </c>
      <c r="P90" s="345"/>
      <c r="Q90" s="282"/>
      <c r="R90" s="345"/>
      <c r="S90" s="345"/>
      <c r="U90" s="14"/>
      <c r="V90" s="14"/>
      <c r="W90" s="14"/>
      <c r="X90" s="14"/>
      <c r="Y90" s="14"/>
      <c r="Z90" s="14"/>
      <c r="AA90" s="14"/>
      <c r="AB90" s="14"/>
      <c r="AC90" s="14"/>
      <c r="AD90" s="14"/>
      <c r="AE90" s="14"/>
      <c r="AF90" s="14"/>
      <c r="AG90" s="14"/>
    </row>
    <row r="91">
      <c r="A91" s="14"/>
      <c r="B91" s="14"/>
      <c r="C91" s="14"/>
      <c r="D91" s="14"/>
      <c r="E91" s="14"/>
      <c r="F91" s="14"/>
      <c r="H91" s="14"/>
      <c r="I91" s="340" t="s">
        <v>716</v>
      </c>
      <c r="K91" s="247" t="s">
        <v>717</v>
      </c>
      <c r="L91" s="348">
        <v>3.121</v>
      </c>
      <c r="M91" s="238">
        <v>3.337</v>
      </c>
      <c r="O91" s="254">
        <v>3.198</v>
      </c>
      <c r="P91" s="282"/>
      <c r="Q91" s="282"/>
      <c r="R91" s="282"/>
      <c r="S91" s="282"/>
      <c r="U91" s="14"/>
      <c r="V91" s="14"/>
      <c r="W91" s="14"/>
      <c r="X91" s="14"/>
      <c r="Y91" s="14"/>
      <c r="Z91" s="14"/>
      <c r="AA91" s="14"/>
      <c r="AB91" s="14"/>
      <c r="AC91" s="14"/>
      <c r="AD91" s="14"/>
      <c r="AE91" s="14"/>
      <c r="AF91" s="14"/>
      <c r="AG91" s="14"/>
    </row>
    <row r="92">
      <c r="A92" s="14"/>
      <c r="B92" s="14"/>
      <c r="C92" s="14"/>
      <c r="D92" s="14"/>
      <c r="E92" s="14"/>
      <c r="F92" s="17"/>
      <c r="H92" s="14"/>
      <c r="I92" s="340" t="s">
        <v>716</v>
      </c>
      <c r="K92" s="341" t="s">
        <v>719</v>
      </c>
      <c r="L92" s="267"/>
      <c r="M92" s="268"/>
      <c r="N92" s="268"/>
      <c r="O92" s="254"/>
      <c r="P92" s="282"/>
      <c r="Q92" s="282"/>
      <c r="R92" s="282"/>
      <c r="S92" s="282"/>
      <c r="T92" s="349"/>
      <c r="U92" s="14"/>
      <c r="V92" s="14"/>
      <c r="W92" s="14"/>
      <c r="X92" s="14"/>
      <c r="Y92" s="14"/>
      <c r="Z92" s="14"/>
      <c r="AA92" s="14"/>
      <c r="AB92" s="14"/>
      <c r="AC92" s="14"/>
      <c r="AD92" s="14"/>
      <c r="AE92" s="14"/>
      <c r="AF92" s="14"/>
      <c r="AG92" s="14"/>
    </row>
    <row r="93">
      <c r="A93" s="14"/>
      <c r="B93" s="14"/>
      <c r="C93" s="14"/>
      <c r="D93" s="14"/>
      <c r="E93" s="17"/>
      <c r="F93" s="17"/>
      <c r="H93" s="14"/>
      <c r="I93" s="340" t="s">
        <v>721</v>
      </c>
      <c r="K93" s="350" t="s">
        <v>722</v>
      </c>
      <c r="L93" s="351"/>
      <c r="M93" s="250"/>
      <c r="N93" s="250"/>
      <c r="O93" s="352"/>
      <c r="P93" s="282"/>
      <c r="Q93" s="282"/>
      <c r="R93" s="282"/>
      <c r="S93" s="282"/>
      <c r="T93" s="349"/>
      <c r="U93" s="14"/>
      <c r="V93" s="14"/>
      <c r="W93" s="14"/>
      <c r="X93" s="14"/>
      <c r="Y93" s="14"/>
      <c r="Z93" s="14"/>
      <c r="AA93" s="14"/>
      <c r="AB93" s="14"/>
      <c r="AC93" s="14"/>
      <c r="AD93" s="14"/>
      <c r="AE93" s="14"/>
      <c r="AF93" s="14"/>
      <c r="AG93" s="14"/>
    </row>
    <row r="94">
      <c r="A94" s="14"/>
      <c r="B94" s="14"/>
      <c r="C94" s="14"/>
      <c r="D94" s="14"/>
      <c r="E94" s="14"/>
      <c r="F94" s="17"/>
      <c r="H94" s="14"/>
      <c r="I94" s="14"/>
      <c r="J94" s="14"/>
      <c r="K94" s="14"/>
      <c r="L94" s="14"/>
      <c r="M94" s="14"/>
      <c r="N94" s="14"/>
      <c r="O94" s="14"/>
      <c r="P94" s="282"/>
      <c r="Q94" s="282"/>
      <c r="R94" s="282"/>
      <c r="S94" s="349"/>
      <c r="T94" s="349"/>
      <c r="U94" s="14"/>
      <c r="V94" s="14"/>
      <c r="W94" s="14"/>
      <c r="X94" s="14"/>
      <c r="Y94" s="14"/>
      <c r="Z94" s="14"/>
      <c r="AA94" s="14"/>
      <c r="AB94" s="14"/>
      <c r="AC94" s="14"/>
      <c r="AD94" s="14"/>
      <c r="AE94" s="14"/>
      <c r="AF94" s="14"/>
      <c r="AG94" s="14"/>
    </row>
    <row r="95">
      <c r="A95" s="14"/>
      <c r="B95" s="14"/>
      <c r="C95" s="14"/>
      <c r="D95" s="14"/>
      <c r="E95" s="14"/>
      <c r="F95" s="17"/>
      <c r="H95" s="14"/>
      <c r="I95" s="14"/>
      <c r="J95" s="14"/>
      <c r="K95" s="14"/>
      <c r="L95" s="14"/>
      <c r="M95" s="14"/>
      <c r="N95" s="14"/>
      <c r="O95" s="14"/>
      <c r="P95" s="14"/>
      <c r="Q95" s="14"/>
      <c r="R95" s="14"/>
      <c r="U95" s="14"/>
      <c r="V95" s="14"/>
      <c r="W95" s="14"/>
      <c r="X95" s="14"/>
      <c r="Y95" s="14"/>
      <c r="Z95" s="14"/>
      <c r="AA95" s="14"/>
      <c r="AB95" s="14"/>
      <c r="AC95" s="14"/>
      <c r="AD95" s="14"/>
      <c r="AE95" s="14"/>
      <c r="AF95" s="14"/>
      <c r="AG95" s="14"/>
    </row>
    <row r="96">
      <c r="A96" s="14"/>
      <c r="B96" s="14"/>
      <c r="C96" s="14"/>
      <c r="D96" s="14"/>
      <c r="E96" s="14"/>
      <c r="F96" s="17"/>
      <c r="H96" s="14"/>
      <c r="I96" s="14"/>
      <c r="J96" s="14"/>
      <c r="K96" s="14"/>
      <c r="L96" s="14"/>
      <c r="M96" s="14"/>
      <c r="N96" s="14"/>
      <c r="O96" s="14"/>
      <c r="P96" s="14"/>
      <c r="Q96" s="14"/>
      <c r="R96" s="14"/>
      <c r="U96" s="14"/>
      <c r="V96" s="14"/>
      <c r="W96" s="14"/>
      <c r="X96" s="14"/>
      <c r="Y96" s="14"/>
      <c r="Z96" s="14"/>
      <c r="AA96" s="14"/>
      <c r="AB96" s="14"/>
      <c r="AC96" s="14"/>
      <c r="AD96" s="14"/>
      <c r="AE96" s="14"/>
      <c r="AF96" s="14"/>
      <c r="AG96" s="14"/>
    </row>
    <row r="97">
      <c r="A97" s="321"/>
      <c r="B97" s="321"/>
      <c r="C97" s="14"/>
      <c r="D97" s="14"/>
      <c r="E97" s="17"/>
      <c r="F97" s="17"/>
      <c r="H97" s="14"/>
      <c r="I97" s="14"/>
      <c r="J97" s="14"/>
      <c r="K97" s="14"/>
      <c r="L97" s="14"/>
      <c r="M97" s="14"/>
      <c r="N97" s="14"/>
      <c r="O97" s="14"/>
      <c r="P97" s="14"/>
      <c r="Q97" s="14"/>
      <c r="R97" s="14"/>
      <c r="U97" s="14"/>
      <c r="V97" s="14"/>
      <c r="W97" s="14"/>
      <c r="X97" s="14"/>
      <c r="Y97" s="14"/>
      <c r="Z97" s="14"/>
      <c r="AA97" s="14"/>
      <c r="AB97" s="14"/>
      <c r="AC97" s="14"/>
      <c r="AD97" s="14"/>
      <c r="AE97" s="14"/>
      <c r="AF97" s="14"/>
      <c r="AG97" s="14"/>
    </row>
    <row r="98">
      <c r="A98" s="14"/>
      <c r="B98" s="14"/>
      <c r="C98" s="321"/>
      <c r="D98" s="321"/>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row>
    <row r="99">
      <c r="A99" s="14"/>
      <c r="B99" s="14"/>
      <c r="C99" s="321"/>
      <c r="D99" s="321"/>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row>
    <row r="100">
      <c r="A100" s="14"/>
      <c r="B100" s="14"/>
      <c r="C100" s="321"/>
      <c r="D100" s="321"/>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row>
    <row r="101">
      <c r="A101" s="14"/>
      <c r="B101" s="14"/>
      <c r="C101" s="321"/>
      <c r="D101" s="321"/>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row>
    <row r="102">
      <c r="A102" s="14"/>
      <c r="B102" s="14"/>
      <c r="C102" s="321"/>
      <c r="D102" s="321"/>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row>
    <row r="103">
      <c r="A103" s="14"/>
      <c r="B103" s="14"/>
      <c r="C103" s="321"/>
      <c r="D103" s="321"/>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row>
    <row r="104">
      <c r="A104" s="14"/>
      <c r="B104" s="14"/>
      <c r="C104" s="321"/>
      <c r="D104" s="321"/>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row>
    <row r="105">
      <c r="A105" s="14"/>
      <c r="B105" s="14"/>
      <c r="C105" s="14"/>
      <c r="D105" s="321"/>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row>
    <row r="106">
      <c r="A106" s="14"/>
      <c r="B106" s="14"/>
      <c r="C106" s="321"/>
      <c r="D106" s="321"/>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row>
    <row r="107">
      <c r="A107" s="14"/>
      <c r="B107" s="14"/>
      <c r="C107" s="321"/>
      <c r="D107" s="321"/>
      <c r="E107" s="14"/>
      <c r="F107" s="14"/>
      <c r="G107" s="14"/>
      <c r="H107" s="14"/>
      <c r="I107" s="14"/>
      <c r="J107" s="14"/>
      <c r="K107" s="14"/>
      <c r="L107" s="220"/>
      <c r="M107" s="14"/>
      <c r="N107" s="17"/>
      <c r="O107" s="14"/>
      <c r="P107" s="14"/>
      <c r="Q107" s="14"/>
      <c r="R107" s="14"/>
      <c r="S107" s="14"/>
      <c r="T107" s="14"/>
      <c r="U107" s="14"/>
      <c r="V107" s="14"/>
      <c r="W107" s="14"/>
      <c r="X107" s="14"/>
      <c r="Y107" s="14"/>
      <c r="Z107" s="14"/>
      <c r="AA107" s="14"/>
      <c r="AB107" s="14"/>
      <c r="AC107" s="14"/>
      <c r="AD107" s="14"/>
      <c r="AE107" s="14"/>
      <c r="AF107" s="14"/>
      <c r="AG107" s="14"/>
    </row>
    <row r="108">
      <c r="A108" s="14"/>
      <c r="B108" s="14"/>
      <c r="C108" s="353"/>
      <c r="D108" s="321"/>
      <c r="E108" s="14"/>
      <c r="F108" s="14"/>
      <c r="G108" s="14"/>
      <c r="H108" s="14"/>
      <c r="I108" s="14"/>
      <c r="J108" s="14"/>
      <c r="K108" s="14"/>
      <c r="L108" s="220"/>
      <c r="M108" s="14"/>
      <c r="N108" s="17"/>
      <c r="O108" s="14"/>
      <c r="P108" s="14"/>
      <c r="Q108" s="14"/>
      <c r="R108" s="14"/>
      <c r="S108" s="14"/>
      <c r="T108" s="14"/>
      <c r="U108" s="14"/>
      <c r="V108" s="14"/>
      <c r="W108" s="14"/>
      <c r="X108" s="14"/>
      <c r="Y108" s="14"/>
      <c r="Z108" s="14"/>
      <c r="AA108" s="14"/>
      <c r="AB108" s="14"/>
      <c r="AC108" s="14"/>
      <c r="AD108" s="14"/>
      <c r="AE108" s="14"/>
      <c r="AF108" s="14"/>
      <c r="AG108" s="14"/>
    </row>
    <row r="109">
      <c r="A109" s="14"/>
      <c r="B109" s="14"/>
      <c r="C109" s="321"/>
      <c r="D109" s="321"/>
      <c r="E109" s="14"/>
      <c r="F109" s="14"/>
      <c r="G109" s="14"/>
      <c r="H109" s="14"/>
      <c r="I109" s="14"/>
      <c r="J109" s="14"/>
      <c r="K109" s="14"/>
      <c r="L109" s="220"/>
      <c r="M109" s="220"/>
      <c r="N109" s="17"/>
      <c r="O109" s="14"/>
      <c r="P109" s="220"/>
      <c r="Q109" s="220"/>
      <c r="R109" s="14"/>
      <c r="S109" s="14"/>
      <c r="T109" s="14"/>
      <c r="U109" s="14"/>
      <c r="V109" s="14"/>
      <c r="W109" s="14"/>
      <c r="X109" s="14"/>
      <c r="Y109" s="14"/>
      <c r="Z109" s="14"/>
      <c r="AA109" s="14"/>
      <c r="AB109" s="14"/>
      <c r="AC109" s="14"/>
      <c r="AD109" s="14"/>
      <c r="AE109" s="14"/>
      <c r="AF109" s="14"/>
      <c r="AG109" s="14"/>
    </row>
    <row r="110">
      <c r="A110" s="14"/>
      <c r="B110" s="14"/>
      <c r="C110" s="321"/>
      <c r="D110" s="321"/>
      <c r="E110" s="14"/>
      <c r="F110" s="14"/>
      <c r="G110" s="14"/>
      <c r="H110" s="14"/>
      <c r="I110" s="14"/>
      <c r="J110" s="14"/>
      <c r="K110" s="14"/>
      <c r="L110" s="220"/>
      <c r="M110" s="14"/>
      <c r="N110" s="17"/>
      <c r="O110" s="14"/>
      <c r="P110" s="14"/>
      <c r="Q110" s="14"/>
      <c r="R110" s="14"/>
      <c r="S110" s="14"/>
      <c r="T110" s="14"/>
      <c r="U110" s="14"/>
      <c r="V110" s="14"/>
      <c r="W110" s="14"/>
      <c r="X110" s="14"/>
      <c r="Y110" s="14"/>
      <c r="Z110" s="14"/>
      <c r="AA110" s="14"/>
      <c r="AB110" s="14"/>
      <c r="AC110" s="14"/>
      <c r="AD110" s="14"/>
      <c r="AE110" s="14"/>
      <c r="AF110" s="14"/>
      <c r="AG110" s="14"/>
    </row>
    <row r="111">
      <c r="A111" s="14"/>
      <c r="B111" s="14"/>
      <c r="C111" s="353"/>
      <c r="D111" s="321"/>
      <c r="E111" s="14"/>
      <c r="F111" s="14"/>
      <c r="G111" s="14"/>
      <c r="H111" s="14"/>
      <c r="I111" s="14"/>
      <c r="J111" s="14"/>
      <c r="K111" s="14"/>
      <c r="L111" s="220"/>
      <c r="M111" s="14"/>
      <c r="N111" s="17"/>
      <c r="O111" s="14"/>
      <c r="P111" s="14"/>
      <c r="Q111" s="14"/>
      <c r="R111" s="14"/>
      <c r="S111" s="14"/>
      <c r="T111" s="14"/>
      <c r="U111" s="14"/>
      <c r="V111" s="14"/>
      <c r="W111" s="14"/>
      <c r="X111" s="14"/>
      <c r="Y111" s="14"/>
      <c r="Z111" s="14"/>
      <c r="AA111" s="14"/>
      <c r="AB111" s="14"/>
      <c r="AC111" s="14"/>
      <c r="AD111" s="14"/>
      <c r="AE111" s="14"/>
      <c r="AF111" s="14"/>
      <c r="AG111" s="14"/>
    </row>
    <row r="112">
      <c r="A112" s="14"/>
      <c r="B112" s="14"/>
      <c r="C112" s="321"/>
      <c r="D112" s="321"/>
      <c r="E112" s="14"/>
      <c r="F112" s="14"/>
      <c r="G112" s="14"/>
      <c r="H112" s="14"/>
      <c r="I112" s="14"/>
      <c r="J112" s="14"/>
      <c r="K112" s="14"/>
      <c r="L112" s="220"/>
      <c r="M112" s="14"/>
      <c r="N112" s="17"/>
      <c r="O112" s="14"/>
      <c r="P112" s="14"/>
      <c r="Q112" s="14"/>
      <c r="R112" s="14"/>
      <c r="S112" s="14"/>
      <c r="T112" s="14"/>
      <c r="U112" s="14"/>
      <c r="V112" s="14"/>
      <c r="W112" s="14"/>
      <c r="X112" s="14"/>
      <c r="Y112" s="14"/>
      <c r="Z112" s="14"/>
      <c r="AA112" s="14"/>
      <c r="AB112" s="14"/>
      <c r="AC112" s="14"/>
      <c r="AD112" s="14"/>
      <c r="AE112" s="14"/>
      <c r="AF112" s="14"/>
      <c r="AG112" s="14"/>
    </row>
    <row r="113">
      <c r="A113" s="14"/>
      <c r="B113" s="14"/>
      <c r="C113" s="321"/>
      <c r="D113" s="321"/>
      <c r="E113" s="14"/>
      <c r="F113" s="14"/>
      <c r="G113" s="14"/>
      <c r="H113" s="14"/>
      <c r="I113" s="14"/>
      <c r="J113" s="14"/>
      <c r="K113" s="14"/>
      <c r="L113" s="220"/>
      <c r="M113" s="14"/>
      <c r="N113" s="17"/>
      <c r="O113" s="14"/>
      <c r="P113" s="14"/>
      <c r="Q113" s="14"/>
      <c r="R113" s="14"/>
      <c r="S113" s="14"/>
      <c r="T113" s="14"/>
      <c r="U113" s="14"/>
      <c r="V113" s="14"/>
      <c r="W113" s="14"/>
      <c r="X113" s="14"/>
      <c r="Y113" s="14"/>
      <c r="Z113" s="14"/>
      <c r="AA113" s="14"/>
      <c r="AB113" s="14"/>
      <c r="AC113" s="14"/>
      <c r="AD113" s="14"/>
      <c r="AE113" s="14"/>
      <c r="AF113" s="14"/>
      <c r="AG113" s="14"/>
    </row>
    <row r="114">
      <c r="A114" s="14"/>
      <c r="B114" s="14"/>
      <c r="C114" s="321"/>
      <c r="D114" s="321"/>
      <c r="E114" s="14"/>
      <c r="F114" s="14"/>
      <c r="G114" s="14"/>
      <c r="H114" s="14"/>
      <c r="I114" s="14"/>
      <c r="J114" s="14"/>
      <c r="K114" s="14"/>
      <c r="L114" s="220"/>
      <c r="M114" s="14"/>
      <c r="N114" s="17"/>
      <c r="O114" s="14"/>
      <c r="P114" s="14"/>
      <c r="Q114" s="14"/>
      <c r="R114" s="14"/>
      <c r="S114" s="14"/>
      <c r="T114" s="14"/>
      <c r="U114" s="14"/>
      <c r="V114" s="14"/>
      <c r="W114" s="14"/>
      <c r="X114" s="14"/>
      <c r="Y114" s="14"/>
      <c r="Z114" s="14"/>
      <c r="AA114" s="14"/>
      <c r="AB114" s="14"/>
      <c r="AC114" s="14"/>
      <c r="AD114" s="14"/>
      <c r="AE114" s="14"/>
      <c r="AF114" s="14"/>
      <c r="AG114" s="14"/>
    </row>
    <row r="115">
      <c r="A115" s="14"/>
      <c r="B115" s="14"/>
      <c r="C115" s="353"/>
      <c r="D115" s="321"/>
      <c r="E115" s="14"/>
      <c r="F115" s="14"/>
      <c r="G115" s="14"/>
      <c r="H115" s="14"/>
      <c r="I115" s="14"/>
      <c r="J115" s="14"/>
      <c r="K115" s="14"/>
      <c r="L115" s="220"/>
      <c r="M115" s="14"/>
      <c r="N115" s="17"/>
      <c r="O115" s="14"/>
      <c r="P115" s="14"/>
      <c r="Q115" s="14"/>
      <c r="R115" s="14"/>
      <c r="S115" s="14"/>
      <c r="T115" s="14"/>
      <c r="U115" s="14"/>
      <c r="V115" s="14"/>
      <c r="W115" s="14"/>
      <c r="X115" s="14"/>
      <c r="Y115" s="14"/>
      <c r="Z115" s="14"/>
      <c r="AA115" s="14"/>
      <c r="AB115" s="14"/>
      <c r="AC115" s="14"/>
      <c r="AD115" s="14"/>
      <c r="AE115" s="14"/>
      <c r="AF115" s="14"/>
      <c r="AG115" s="14"/>
    </row>
    <row r="116">
      <c r="A116" s="14"/>
      <c r="B116" s="14"/>
      <c r="C116" s="321"/>
      <c r="D116" s="321"/>
      <c r="E116" s="14"/>
      <c r="F116" s="14"/>
      <c r="G116" s="14"/>
      <c r="H116" s="14"/>
      <c r="I116" s="14"/>
      <c r="J116" s="14"/>
      <c r="K116" s="14"/>
      <c r="L116" s="220"/>
      <c r="M116" s="14"/>
      <c r="N116" s="17"/>
      <c r="O116" s="14"/>
      <c r="P116" s="14"/>
      <c r="Q116" s="14"/>
      <c r="R116" s="14"/>
      <c r="S116" s="14"/>
      <c r="T116" s="14"/>
      <c r="U116" s="14"/>
      <c r="V116" s="14"/>
      <c r="W116" s="14"/>
      <c r="X116" s="14"/>
      <c r="Y116" s="14"/>
      <c r="Z116" s="14"/>
      <c r="AA116" s="14"/>
      <c r="AB116" s="14"/>
      <c r="AC116" s="14"/>
      <c r="AD116" s="14"/>
      <c r="AE116" s="14"/>
      <c r="AF116" s="14"/>
      <c r="AG116" s="14"/>
    </row>
    <row r="117">
      <c r="A117" s="14"/>
      <c r="B117" s="14"/>
      <c r="C117" s="321"/>
      <c r="D117" s="321"/>
      <c r="E117" s="14"/>
      <c r="F117" s="14"/>
      <c r="G117" s="14"/>
      <c r="H117" s="14"/>
      <c r="I117" s="14"/>
      <c r="J117" s="14"/>
      <c r="K117" s="14"/>
      <c r="L117" s="220"/>
      <c r="M117" s="14"/>
      <c r="N117" s="17"/>
      <c r="O117" s="14"/>
      <c r="P117" s="14"/>
      <c r="Q117" s="14"/>
      <c r="R117" s="14"/>
      <c r="S117" s="14"/>
      <c r="T117" s="14"/>
      <c r="U117" s="14"/>
      <c r="V117" s="14"/>
      <c r="W117" s="14"/>
      <c r="X117" s="14"/>
      <c r="Y117" s="14"/>
      <c r="Z117" s="14"/>
      <c r="AA117" s="14"/>
      <c r="AB117" s="14"/>
      <c r="AC117" s="14"/>
      <c r="AD117" s="14"/>
      <c r="AE117" s="14"/>
      <c r="AF117" s="14"/>
      <c r="AG117" s="14"/>
    </row>
    <row r="118">
      <c r="A118" s="14"/>
      <c r="B118" s="14"/>
      <c r="C118" s="321"/>
      <c r="D118" s="321"/>
      <c r="E118" s="14"/>
      <c r="F118" s="14"/>
      <c r="G118" s="14"/>
      <c r="H118" s="14"/>
      <c r="I118" s="14"/>
      <c r="J118" s="14"/>
      <c r="K118" s="14"/>
      <c r="L118" s="17"/>
      <c r="M118" s="17"/>
      <c r="N118" s="17"/>
      <c r="O118" s="14"/>
      <c r="P118" s="14"/>
      <c r="Q118" s="14"/>
      <c r="R118" s="14"/>
      <c r="S118" s="14"/>
      <c r="T118" s="14"/>
      <c r="U118" s="14"/>
      <c r="V118" s="14"/>
      <c r="W118" s="14"/>
      <c r="X118" s="14"/>
      <c r="Y118" s="14"/>
      <c r="Z118" s="14"/>
      <c r="AA118" s="14"/>
      <c r="AB118" s="14"/>
      <c r="AC118" s="14"/>
      <c r="AD118" s="14"/>
      <c r="AE118" s="14"/>
      <c r="AF118" s="14"/>
      <c r="AG118" s="14"/>
    </row>
    <row r="119">
      <c r="A119" s="14"/>
      <c r="B119" s="14"/>
      <c r="C119" s="353"/>
      <c r="D119" s="321"/>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row>
    <row r="120">
      <c r="A120" s="14"/>
      <c r="B120" s="14"/>
      <c r="C120" s="353"/>
      <c r="D120" s="321"/>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row>
    <row r="121">
      <c r="A121" s="14"/>
      <c r="B121" s="14"/>
      <c r="C121" s="321"/>
      <c r="D121" s="321"/>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row>
    <row r="122">
      <c r="A122" s="14"/>
      <c r="B122" s="14"/>
      <c r="C122" s="321"/>
      <c r="D122" s="321"/>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row>
    <row r="123">
      <c r="A123" s="14"/>
      <c r="B123" s="14"/>
      <c r="C123" s="321"/>
      <c r="D123" s="321"/>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row>
    <row r="124">
      <c r="A124" s="14"/>
      <c r="B124" s="14"/>
      <c r="C124" s="321"/>
      <c r="D124" s="321"/>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row>
    <row r="125">
      <c r="A125" s="14"/>
      <c r="B125" s="14"/>
      <c r="C125" s="353"/>
      <c r="D125" s="321"/>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row>
    <row r="126">
      <c r="A126" s="14"/>
      <c r="B126" s="14"/>
      <c r="C126" s="353"/>
      <c r="D126" s="321"/>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row>
    <row r="127">
      <c r="A127" s="14"/>
      <c r="B127" s="14"/>
      <c r="C127" s="321"/>
      <c r="D127" s="321"/>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row>
    <row r="128">
      <c r="A128" s="14"/>
      <c r="B128" s="14"/>
      <c r="C128" s="321"/>
      <c r="D128" s="321"/>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row>
    <row r="129">
      <c r="A129" s="14"/>
      <c r="B129" s="14"/>
      <c r="C129" s="353"/>
      <c r="D129" s="321"/>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row>
    <row r="130">
      <c r="A130" s="14"/>
      <c r="B130" s="14"/>
      <c r="C130" s="321"/>
      <c r="D130" s="321"/>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row>
    <row r="131">
      <c r="A131" s="14"/>
      <c r="B131" s="14"/>
      <c r="C131" s="321"/>
      <c r="D131" s="321"/>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row>
    <row r="132">
      <c r="A132" s="14"/>
      <c r="B132" s="14"/>
      <c r="C132" s="321"/>
      <c r="D132" s="321"/>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row>
    <row r="133">
      <c r="A133" s="14"/>
      <c r="B133" s="14"/>
      <c r="C133" s="321"/>
      <c r="D133" s="321"/>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row>
    <row r="134">
      <c r="A134" s="14"/>
      <c r="B134" s="14"/>
      <c r="C134" s="321"/>
      <c r="D134" s="321"/>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row>
    <row r="135">
      <c r="A135" s="14"/>
      <c r="B135" s="14"/>
      <c r="C135" s="321"/>
      <c r="D135" s="321"/>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row>
    <row r="136">
      <c r="A136" s="14"/>
      <c r="B136" s="14"/>
      <c r="C136" s="321"/>
      <c r="D136" s="321"/>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row>
    <row r="137">
      <c r="A137" s="14"/>
      <c r="B137" s="14"/>
      <c r="C137" s="321"/>
      <c r="D137" s="321"/>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row>
    <row r="138">
      <c r="A138" s="14"/>
      <c r="B138" s="14"/>
      <c r="C138" s="321"/>
      <c r="D138" s="321"/>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row>
    <row r="139">
      <c r="A139" s="14"/>
      <c r="B139" s="14"/>
      <c r="C139" s="321"/>
      <c r="D139" s="321"/>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row>
    <row r="140">
      <c r="A140" s="14"/>
      <c r="B140" s="14"/>
      <c r="C140" s="321"/>
      <c r="D140" s="321"/>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row>
    <row r="141">
      <c r="A141" s="14"/>
      <c r="B141" s="14"/>
      <c r="C141" s="321"/>
      <c r="D141" s="321"/>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row>
    <row r="142">
      <c r="A142" s="14"/>
      <c r="B142" s="14"/>
      <c r="C142" s="321"/>
      <c r="D142" s="321"/>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row>
    <row r="143">
      <c r="A143" s="14"/>
      <c r="B143" s="14"/>
      <c r="C143" s="321"/>
      <c r="D143" s="321"/>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row>
    <row r="144">
      <c r="A144" s="14"/>
      <c r="B144" s="14"/>
      <c r="C144" s="321"/>
      <c r="D144" s="321"/>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row>
    <row r="145">
      <c r="A145" s="14"/>
      <c r="B145" s="14"/>
      <c r="C145" s="353"/>
      <c r="D145" s="321"/>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row>
    <row r="146">
      <c r="A146" s="14"/>
      <c r="B146" s="14"/>
      <c r="C146" s="353"/>
      <c r="D146" s="321"/>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row>
    <row r="147">
      <c r="A147" s="14"/>
      <c r="B147" s="14"/>
      <c r="C147" s="353"/>
      <c r="D147" s="321"/>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row>
    <row r="148">
      <c r="A148" s="14"/>
      <c r="B148" s="14"/>
      <c r="C148" s="353"/>
      <c r="D148" s="321"/>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row>
    <row r="149">
      <c r="A149" s="14"/>
      <c r="B149" s="14"/>
      <c r="C149" s="353"/>
      <c r="D149" s="321"/>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row>
    <row r="150">
      <c r="A150" s="14"/>
      <c r="B150" s="14"/>
      <c r="C150" s="321"/>
      <c r="D150" s="321"/>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row>
    <row r="151">
      <c r="A151" s="14"/>
      <c r="B151" s="14"/>
      <c r="C151" s="321"/>
      <c r="D151" s="321"/>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row>
    <row r="152">
      <c r="A152" s="14"/>
      <c r="B152" s="14"/>
      <c r="C152" s="321"/>
      <c r="D152" s="321"/>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row>
    <row r="153">
      <c r="A153" s="14"/>
      <c r="B153" s="14"/>
      <c r="C153" s="14"/>
      <c r="D153" s="321"/>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row>
    <row r="154">
      <c r="A154" s="14"/>
      <c r="B154" s="14"/>
      <c r="C154" s="14"/>
      <c r="D154" s="321"/>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row>
    <row r="155">
      <c r="A155" s="14"/>
      <c r="B155" s="14"/>
      <c r="C155" s="14" t="s">
        <v>505</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row>
  </sheetData>
  <customSheetViews>
    <customSheetView guid="{1B06D3D5-418F-4A68-87BA-F5112B51256A}" filter="1" showAutoFilter="1">
      <autoFilter ref="$A$1:$H$70"/>
    </customSheetView>
  </customSheetViews>
  <mergeCells count="21">
    <mergeCell ref="M85:N85"/>
    <mergeCell ref="M86:N86"/>
    <mergeCell ref="M82:N82"/>
    <mergeCell ref="I83:J83"/>
    <mergeCell ref="M83:N83"/>
    <mergeCell ref="I84:J84"/>
    <mergeCell ref="M84:N84"/>
    <mergeCell ref="I85:J85"/>
    <mergeCell ref="I86:J86"/>
    <mergeCell ref="I90:J90"/>
    <mergeCell ref="I91:J91"/>
    <mergeCell ref="I92:J92"/>
    <mergeCell ref="I93:J93"/>
    <mergeCell ref="I87:J87"/>
    <mergeCell ref="M87:N87"/>
    <mergeCell ref="I88:J88"/>
    <mergeCell ref="M88:N88"/>
    <mergeCell ref="I89:J89"/>
    <mergeCell ref="M89:N89"/>
    <mergeCell ref="M90:N90"/>
    <mergeCell ref="M91:N91"/>
  </mergeCells>
  <conditionalFormatting sqref="C2:J70">
    <cfRule type="colorScale" priority="1">
      <colorScale>
        <cfvo type="formula" val="0"/>
        <cfvo type="formula" val="3.3"/>
        <cfvo type="formula" val="4"/>
        <color rgb="FFE67C73"/>
        <color rgb="FFFFD666"/>
        <color rgb="FF57BB8A"/>
      </colorScale>
    </cfRule>
  </conditionalFormatting>
  <conditionalFormatting sqref="C2:H51 I2:I70 C63:D66 E63:H70">
    <cfRule type="cellIs" dxfId="10" priority="2" operator="lessThan">
      <formula>2.75</formula>
    </cfRule>
  </conditionalFormatting>
  <conditionalFormatting sqref="L64:N71 O64:O72">
    <cfRule type="colorScale" priority="3">
      <colorScale>
        <cfvo type="formula" val="0"/>
        <cfvo type="formula" val="3.331"/>
        <cfvo type="formula" val="4"/>
        <color rgb="FFE67C73"/>
        <color rgb="FFFFD666"/>
        <color rgb="FF57BB8A"/>
      </colorScale>
    </cfRule>
  </conditionalFormatting>
  <conditionalFormatting sqref="L75:S79">
    <cfRule type="colorScale" priority="4">
      <colorScale>
        <cfvo type="formula" val="0"/>
        <cfvo type="formula" val="3.331"/>
        <cfvo type="formula" val="4"/>
        <color rgb="FFE67C73"/>
        <color rgb="FFFFD666"/>
        <color rgb="FF57BB8A"/>
      </colorScale>
    </cfRule>
  </conditionalFormatting>
  <conditionalFormatting sqref="F55">
    <cfRule type="notContainsBlanks" dxfId="11" priority="5">
      <formula>LEN(TRIM(F55))&gt;0</formula>
    </cfRule>
  </conditionalFormatting>
  <drawing r:id="rId1"/>
  <tableParts count="5">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18.75"/>
    <col customWidth="1" min="3" max="3" width="14.25"/>
    <col customWidth="1" min="4" max="4" width="14.38"/>
    <col customWidth="1" min="6" max="6" width="13.0"/>
    <col customWidth="1" min="7" max="7" width="10.5"/>
    <col customWidth="1" min="8" max="8" width="7.38"/>
    <col customWidth="1" min="9" max="9" width="13.38"/>
    <col customWidth="1" min="13" max="13" width="18.5"/>
  </cols>
  <sheetData>
    <row r="1">
      <c r="A1" s="6" t="s">
        <v>1</v>
      </c>
      <c r="B1" s="7" t="s">
        <v>13</v>
      </c>
      <c r="C1" s="8" t="s">
        <v>14</v>
      </c>
      <c r="D1" s="8" t="s">
        <v>15</v>
      </c>
      <c r="E1" s="9"/>
      <c r="F1" s="10"/>
      <c r="G1" s="11"/>
      <c r="H1" s="11"/>
      <c r="I1" s="11" t="s">
        <v>13</v>
      </c>
      <c r="J1" s="12" t="s">
        <v>18</v>
      </c>
      <c r="K1" s="13" t="s">
        <v>13</v>
      </c>
      <c r="L1" s="13" t="s">
        <v>19</v>
      </c>
      <c r="M1" s="12" t="s">
        <v>13</v>
      </c>
      <c r="N1" s="12" t="s">
        <v>20</v>
      </c>
      <c r="O1" s="14"/>
      <c r="P1" s="14"/>
      <c r="Q1" s="14"/>
      <c r="R1" s="14"/>
      <c r="S1" s="14"/>
      <c r="T1" s="14"/>
      <c r="U1" s="14"/>
      <c r="V1" s="14"/>
    </row>
    <row r="2">
      <c r="A2" s="15">
        <v>1577.0</v>
      </c>
      <c r="B2" s="16" t="s">
        <v>23</v>
      </c>
      <c r="C2" s="17" t="s">
        <v>24</v>
      </c>
      <c r="D2" s="18" t="s">
        <v>25</v>
      </c>
      <c r="E2" s="19"/>
      <c r="F2" s="20"/>
      <c r="G2" s="21"/>
      <c r="H2" s="22"/>
      <c r="I2" s="23" t="s">
        <v>26</v>
      </c>
      <c r="J2" s="20">
        <v>4.0</v>
      </c>
      <c r="K2" s="24" t="s">
        <v>29</v>
      </c>
      <c r="L2" s="20" t="s">
        <v>31</v>
      </c>
      <c r="M2" s="24" t="s">
        <v>32</v>
      </c>
      <c r="N2" s="20">
        <v>0.0</v>
      </c>
      <c r="O2" s="14"/>
      <c r="P2" s="14"/>
      <c r="Q2" s="14"/>
      <c r="R2" s="14"/>
      <c r="S2" s="14"/>
      <c r="T2" s="14"/>
      <c r="U2" s="14"/>
      <c r="V2" s="14"/>
    </row>
    <row r="3">
      <c r="A3" s="15">
        <v>1582.0</v>
      </c>
      <c r="B3" s="16" t="s">
        <v>29</v>
      </c>
      <c r="C3" s="17" t="s">
        <v>24</v>
      </c>
      <c r="D3" s="18" t="s">
        <v>33</v>
      </c>
      <c r="E3" s="19"/>
      <c r="F3" s="25"/>
      <c r="G3" s="26"/>
      <c r="H3" s="27"/>
      <c r="I3" s="28" t="s">
        <v>34</v>
      </c>
      <c r="J3" s="29">
        <v>4.0</v>
      </c>
      <c r="K3" s="30" t="s">
        <v>35</v>
      </c>
      <c r="L3" s="25" t="s">
        <v>31</v>
      </c>
      <c r="M3" s="31" t="s">
        <v>36</v>
      </c>
      <c r="N3" s="29">
        <v>0.666</v>
      </c>
      <c r="O3" s="14"/>
      <c r="P3" s="14"/>
      <c r="Q3" s="14"/>
      <c r="R3" s="14"/>
      <c r="S3" s="14"/>
      <c r="T3" s="14"/>
      <c r="U3" s="14"/>
      <c r="V3" s="14"/>
    </row>
    <row r="4">
      <c r="A4" s="32">
        <v>1594.0</v>
      </c>
      <c r="B4" s="16" t="s">
        <v>38</v>
      </c>
      <c r="C4" s="17">
        <v>4.0</v>
      </c>
      <c r="D4" s="33">
        <v>3.951</v>
      </c>
      <c r="E4" s="19"/>
      <c r="F4" s="20"/>
      <c r="G4" s="21"/>
      <c r="H4" s="27"/>
      <c r="I4" s="23" t="s">
        <v>38</v>
      </c>
      <c r="J4" s="20">
        <v>4.0</v>
      </c>
      <c r="K4" s="24" t="s">
        <v>36</v>
      </c>
      <c r="L4" s="20" t="s">
        <v>31</v>
      </c>
      <c r="M4" s="24" t="s">
        <v>39</v>
      </c>
      <c r="N4" s="20">
        <v>1.468</v>
      </c>
      <c r="O4" s="14"/>
      <c r="P4" s="14"/>
      <c r="Q4" s="14"/>
      <c r="R4" s="14"/>
      <c r="S4" s="14"/>
      <c r="T4" s="14"/>
      <c r="U4" s="14"/>
      <c r="V4" s="14"/>
    </row>
    <row r="5">
      <c r="A5" s="34">
        <v>1615.0</v>
      </c>
      <c r="B5" s="35" t="s">
        <v>40</v>
      </c>
      <c r="C5" s="17">
        <v>4.0</v>
      </c>
      <c r="D5" s="33">
        <v>3.984</v>
      </c>
      <c r="E5" s="19"/>
      <c r="F5" s="25"/>
      <c r="G5" s="26"/>
      <c r="H5" s="27"/>
      <c r="I5" s="28" t="s">
        <v>40</v>
      </c>
      <c r="J5" s="29">
        <v>4.0</v>
      </c>
      <c r="K5" s="30" t="s">
        <v>41</v>
      </c>
      <c r="L5" s="27">
        <v>4.0</v>
      </c>
      <c r="M5" s="31" t="s">
        <v>42</v>
      </c>
      <c r="N5" s="29">
        <v>1.534</v>
      </c>
      <c r="O5" s="14"/>
      <c r="P5" s="14"/>
      <c r="Q5" s="14"/>
      <c r="R5" s="14"/>
      <c r="S5" s="14"/>
      <c r="T5" s="14"/>
      <c r="U5" s="14"/>
      <c r="V5" s="14"/>
    </row>
    <row r="6">
      <c r="A6" s="34">
        <v>1628.0</v>
      </c>
      <c r="B6" s="35" t="s">
        <v>44</v>
      </c>
      <c r="C6" s="36">
        <v>3.934</v>
      </c>
      <c r="D6" s="36">
        <v>3.334</v>
      </c>
      <c r="E6" s="19"/>
      <c r="F6" s="20"/>
      <c r="G6" s="21"/>
      <c r="H6" s="27"/>
      <c r="I6" s="23" t="s">
        <v>45</v>
      </c>
      <c r="J6" s="20">
        <v>4.0</v>
      </c>
      <c r="K6" s="24" t="s">
        <v>46</v>
      </c>
      <c r="L6" s="27">
        <v>4.0</v>
      </c>
      <c r="M6" s="24" t="s">
        <v>47</v>
      </c>
      <c r="N6" s="20">
        <v>1.75</v>
      </c>
      <c r="O6" s="14"/>
      <c r="P6" s="14"/>
      <c r="Q6" s="14"/>
      <c r="R6" s="14"/>
      <c r="S6" s="14"/>
      <c r="T6" s="14"/>
      <c r="U6" s="14"/>
      <c r="V6" s="14"/>
    </row>
    <row r="7">
      <c r="A7" s="37">
        <v>1613.0</v>
      </c>
      <c r="B7" s="38" t="s">
        <v>48</v>
      </c>
      <c r="C7" s="17">
        <v>3.917</v>
      </c>
      <c r="D7" s="18">
        <v>3.679</v>
      </c>
      <c r="E7" s="19"/>
      <c r="F7" s="25"/>
      <c r="G7" s="26"/>
      <c r="H7" s="27"/>
      <c r="I7" s="28" t="s">
        <v>49</v>
      </c>
      <c r="J7" s="29">
        <v>4.0</v>
      </c>
      <c r="K7" s="30" t="s">
        <v>45</v>
      </c>
      <c r="L7" s="27">
        <v>4.0</v>
      </c>
      <c r="M7" s="31" t="s">
        <v>51</v>
      </c>
      <c r="N7" s="29">
        <v>1.869</v>
      </c>
      <c r="O7" s="14"/>
      <c r="P7" s="14"/>
      <c r="Q7" s="14"/>
      <c r="R7" s="14"/>
      <c r="S7" s="14"/>
      <c r="T7" s="14"/>
      <c r="U7" s="14"/>
      <c r="V7" s="14"/>
    </row>
    <row r="8">
      <c r="A8" s="34">
        <v>1620.0</v>
      </c>
      <c r="B8" s="35" t="s">
        <v>46</v>
      </c>
      <c r="C8" s="17">
        <v>3.917</v>
      </c>
      <c r="D8" s="33">
        <v>3.93</v>
      </c>
      <c r="E8" s="19"/>
      <c r="F8" s="39"/>
      <c r="G8" s="21"/>
      <c r="H8" s="27"/>
      <c r="I8" s="23" t="s">
        <v>53</v>
      </c>
      <c r="J8" s="20">
        <v>4.0</v>
      </c>
      <c r="K8" s="24" t="s">
        <v>49</v>
      </c>
      <c r="L8" s="27">
        <v>4.0</v>
      </c>
      <c r="M8" s="24" t="s">
        <v>54</v>
      </c>
      <c r="N8" s="20">
        <v>1.998</v>
      </c>
      <c r="O8" s="14"/>
      <c r="P8" s="14"/>
      <c r="Q8" s="14"/>
      <c r="R8" s="14"/>
      <c r="S8" s="14"/>
      <c r="T8" s="14"/>
      <c r="U8" s="14"/>
      <c r="V8" s="14"/>
    </row>
    <row r="9">
      <c r="A9" s="15">
        <v>1598.0</v>
      </c>
      <c r="B9" s="16" t="s">
        <v>55</v>
      </c>
      <c r="C9" s="17">
        <v>3.856</v>
      </c>
      <c r="D9" s="33">
        <v>3.388</v>
      </c>
      <c r="E9" s="19"/>
      <c r="F9" s="40"/>
      <c r="G9" s="26"/>
      <c r="H9" s="41"/>
      <c r="I9" s="28" t="s">
        <v>56</v>
      </c>
      <c r="J9" s="29">
        <v>3.917</v>
      </c>
      <c r="K9" s="30" t="s">
        <v>57</v>
      </c>
      <c r="L9" s="42">
        <v>3.93</v>
      </c>
      <c r="M9" s="31" t="s">
        <v>58</v>
      </c>
      <c r="N9" s="29">
        <v>2.334</v>
      </c>
      <c r="O9" s="14"/>
      <c r="P9" s="14"/>
      <c r="Q9" s="14"/>
      <c r="R9" s="14"/>
      <c r="S9" s="14"/>
      <c r="T9" s="14"/>
      <c r="U9" s="14"/>
      <c r="V9" s="14"/>
    </row>
    <row r="10">
      <c r="A10" s="15">
        <v>1591.0</v>
      </c>
      <c r="B10" s="43" t="s">
        <v>60</v>
      </c>
      <c r="C10" s="17">
        <v>3.835</v>
      </c>
      <c r="D10" s="18">
        <v>3.708</v>
      </c>
      <c r="E10" s="19"/>
      <c r="F10" s="20"/>
      <c r="G10" s="21"/>
      <c r="H10" s="44"/>
      <c r="I10" s="23" t="s">
        <v>61</v>
      </c>
      <c r="J10" s="20">
        <v>3.881</v>
      </c>
      <c r="K10" s="24" t="s">
        <v>62</v>
      </c>
      <c r="L10" s="45">
        <v>3.832</v>
      </c>
      <c r="M10" s="24" t="s">
        <v>63</v>
      </c>
      <c r="N10" s="20">
        <v>2.375</v>
      </c>
      <c r="O10" s="14"/>
      <c r="P10" s="14"/>
      <c r="Q10" s="14"/>
      <c r="R10" s="14"/>
      <c r="S10" s="14"/>
      <c r="T10" s="14"/>
      <c r="U10" s="14"/>
      <c r="V10" s="14"/>
    </row>
    <row r="11">
      <c r="A11" s="34">
        <v>1637.0</v>
      </c>
      <c r="B11" s="35" t="s">
        <v>64</v>
      </c>
      <c r="C11" s="17">
        <v>3.8</v>
      </c>
      <c r="D11" s="18">
        <v>3.733</v>
      </c>
      <c r="E11" s="19"/>
      <c r="F11" s="40"/>
      <c r="G11" s="26"/>
      <c r="H11" s="45"/>
      <c r="I11" s="28" t="s">
        <v>46</v>
      </c>
      <c r="J11" s="29">
        <v>3.832</v>
      </c>
      <c r="K11" s="30" t="s">
        <v>56</v>
      </c>
      <c r="L11" s="46">
        <v>3.823</v>
      </c>
      <c r="M11" s="31" t="s">
        <v>67</v>
      </c>
      <c r="N11" s="29">
        <v>2.477</v>
      </c>
      <c r="O11" s="14"/>
      <c r="P11" s="14"/>
      <c r="Q11" s="14"/>
      <c r="R11" s="14"/>
      <c r="S11" s="14"/>
      <c r="T11" s="14"/>
      <c r="U11" s="14"/>
      <c r="V11" s="14"/>
    </row>
    <row r="12">
      <c r="A12" s="34">
        <v>1639.0</v>
      </c>
      <c r="B12" s="35" t="s">
        <v>53</v>
      </c>
      <c r="C12" s="17">
        <v>3.762</v>
      </c>
      <c r="D12" s="18">
        <v>3.889</v>
      </c>
      <c r="E12" s="19"/>
      <c r="F12" s="20"/>
      <c r="G12" s="21"/>
      <c r="H12" s="47"/>
      <c r="I12" s="23" t="s">
        <v>60</v>
      </c>
      <c r="J12" s="20">
        <v>3.769</v>
      </c>
      <c r="K12" s="24" t="s">
        <v>68</v>
      </c>
      <c r="L12" s="48">
        <v>3.814</v>
      </c>
      <c r="M12" s="24" t="s">
        <v>44</v>
      </c>
      <c r="N12" s="20">
        <v>2.536</v>
      </c>
      <c r="O12" s="14"/>
      <c r="P12" s="14"/>
      <c r="Q12" s="14"/>
      <c r="R12" s="14"/>
      <c r="S12" s="14"/>
      <c r="T12" s="14"/>
      <c r="U12" s="14"/>
      <c r="V12" s="14"/>
    </row>
    <row r="13">
      <c r="A13" s="49">
        <v>1634.0</v>
      </c>
      <c r="B13" s="50" t="s">
        <v>49</v>
      </c>
      <c r="C13" s="17">
        <v>3.742</v>
      </c>
      <c r="D13" s="33">
        <v>3.744</v>
      </c>
      <c r="E13" s="19"/>
      <c r="F13" s="25"/>
      <c r="G13" s="26"/>
      <c r="H13" s="51"/>
      <c r="I13" s="28" t="s">
        <v>71</v>
      </c>
      <c r="J13" s="29">
        <v>3.76</v>
      </c>
      <c r="K13" s="30" t="s">
        <v>34</v>
      </c>
      <c r="L13" s="52">
        <v>3.8</v>
      </c>
      <c r="M13" s="31" t="s">
        <v>72</v>
      </c>
      <c r="N13" s="29">
        <v>2.6</v>
      </c>
      <c r="O13" s="14"/>
      <c r="P13" s="14"/>
      <c r="Q13" s="14"/>
      <c r="R13" s="14"/>
      <c r="S13" s="14"/>
      <c r="T13" s="14"/>
      <c r="U13" s="14"/>
      <c r="V13" s="14"/>
    </row>
    <row r="14">
      <c r="A14" s="49">
        <v>1621.0</v>
      </c>
      <c r="B14" s="53" t="s">
        <v>45</v>
      </c>
      <c r="C14" s="17">
        <v>3.707</v>
      </c>
      <c r="D14" s="18">
        <v>3.914</v>
      </c>
      <c r="E14" s="19"/>
      <c r="F14" s="20"/>
      <c r="G14" s="21"/>
      <c r="H14" s="54"/>
      <c r="I14" s="23" t="s">
        <v>73</v>
      </c>
      <c r="J14" s="20">
        <v>3.706</v>
      </c>
      <c r="K14" s="24" t="s">
        <v>74</v>
      </c>
      <c r="L14" s="55">
        <v>3.776</v>
      </c>
      <c r="M14" s="24" t="s">
        <v>75</v>
      </c>
      <c r="N14" s="20">
        <v>2.666</v>
      </c>
      <c r="O14" s="14"/>
      <c r="P14" s="14"/>
      <c r="Q14" s="14"/>
      <c r="R14" s="14"/>
      <c r="S14" s="14"/>
      <c r="T14" s="14"/>
      <c r="U14" s="14"/>
      <c r="V14" s="14"/>
    </row>
    <row r="15">
      <c r="A15" s="49">
        <v>1648.0</v>
      </c>
      <c r="B15" s="50" t="s">
        <v>76</v>
      </c>
      <c r="C15" s="36">
        <v>3.667</v>
      </c>
      <c r="D15" s="8">
        <v>3.617</v>
      </c>
      <c r="E15" s="19"/>
      <c r="F15" s="25"/>
      <c r="G15" s="26"/>
      <c r="H15" s="56"/>
      <c r="I15" s="28" t="s">
        <v>64</v>
      </c>
      <c r="J15" s="29">
        <v>3.686</v>
      </c>
      <c r="K15" s="30" t="s">
        <v>78</v>
      </c>
      <c r="L15" s="57">
        <v>3.75</v>
      </c>
      <c r="M15" s="31" t="s">
        <v>79</v>
      </c>
      <c r="N15" s="29">
        <v>2.734</v>
      </c>
      <c r="O15" s="14"/>
      <c r="P15" s="14"/>
      <c r="Q15" s="14"/>
      <c r="R15" s="14"/>
      <c r="S15" s="14"/>
      <c r="T15" s="14"/>
      <c r="U15" s="14"/>
      <c r="V15" s="14"/>
    </row>
    <row r="16">
      <c r="A16" s="58">
        <v>1626.0</v>
      </c>
      <c r="B16" s="59" t="s">
        <v>71</v>
      </c>
      <c r="C16" s="8">
        <v>3.625</v>
      </c>
      <c r="D16" s="6">
        <v>3.734</v>
      </c>
      <c r="E16" s="19"/>
      <c r="F16" s="20"/>
      <c r="G16" s="21"/>
      <c r="H16" s="60"/>
      <c r="I16" s="23" t="s">
        <v>80</v>
      </c>
      <c r="J16" s="20">
        <v>3.668</v>
      </c>
      <c r="K16" s="24" t="s">
        <v>47</v>
      </c>
      <c r="L16" s="61">
        <v>3.743</v>
      </c>
      <c r="M16" s="24" t="s">
        <v>81</v>
      </c>
      <c r="N16" s="20">
        <v>2.75</v>
      </c>
      <c r="O16" s="14"/>
      <c r="P16" s="14"/>
      <c r="Q16" s="14"/>
      <c r="R16" s="14"/>
      <c r="S16" s="14"/>
      <c r="T16" s="14"/>
      <c r="U16" s="14"/>
      <c r="V16" s="14"/>
    </row>
    <row r="17">
      <c r="A17" s="62">
        <v>1592.0</v>
      </c>
      <c r="B17" s="63" t="s">
        <v>83</v>
      </c>
      <c r="C17" s="17">
        <v>3.6</v>
      </c>
      <c r="D17" s="33">
        <v>3.476</v>
      </c>
      <c r="E17" s="19"/>
      <c r="F17" s="25"/>
      <c r="G17" s="26"/>
      <c r="H17" s="64"/>
      <c r="I17" s="28" t="s">
        <v>84</v>
      </c>
      <c r="J17" s="29">
        <v>3.64</v>
      </c>
      <c r="K17" s="30" t="s">
        <v>85</v>
      </c>
      <c r="L17" s="65">
        <v>3.718</v>
      </c>
      <c r="M17" s="31" t="s">
        <v>86</v>
      </c>
      <c r="N17" s="29">
        <v>2.915</v>
      </c>
      <c r="O17" s="14"/>
      <c r="P17" s="14"/>
      <c r="Q17" s="14"/>
      <c r="R17" s="14"/>
      <c r="S17" s="14"/>
      <c r="T17" s="14"/>
      <c r="U17" s="14"/>
      <c r="V17" s="14"/>
    </row>
    <row r="18">
      <c r="A18" s="66">
        <v>1652.0</v>
      </c>
      <c r="B18" s="59" t="s">
        <v>87</v>
      </c>
      <c r="C18" s="17">
        <v>3.563</v>
      </c>
      <c r="D18" s="18">
        <v>2.936</v>
      </c>
      <c r="E18" s="19"/>
      <c r="F18" s="39"/>
      <c r="G18" s="21"/>
      <c r="H18" s="67"/>
      <c r="I18" s="23" t="s">
        <v>90</v>
      </c>
      <c r="J18" s="20">
        <v>3.639</v>
      </c>
      <c r="K18" s="24" t="s">
        <v>26</v>
      </c>
      <c r="L18" s="68">
        <v>3.668</v>
      </c>
      <c r="M18" s="24" t="s">
        <v>91</v>
      </c>
      <c r="N18" s="20">
        <v>2.915</v>
      </c>
      <c r="O18" s="14"/>
      <c r="P18" s="14"/>
      <c r="Q18" s="14"/>
      <c r="R18" s="14"/>
      <c r="S18" s="14"/>
      <c r="T18" s="14"/>
      <c r="U18" s="14"/>
      <c r="V18" s="14"/>
    </row>
    <row r="19">
      <c r="A19" s="62">
        <v>1596.0</v>
      </c>
      <c r="B19" s="69" t="s">
        <v>61</v>
      </c>
      <c r="C19" s="17">
        <v>3.526</v>
      </c>
      <c r="D19" s="33">
        <v>3.693</v>
      </c>
      <c r="E19" s="19"/>
      <c r="F19" s="25"/>
      <c r="G19" s="30"/>
      <c r="H19" s="70"/>
      <c r="I19" s="30" t="s">
        <v>76</v>
      </c>
      <c r="J19" s="29">
        <v>3.571</v>
      </c>
      <c r="K19" s="30" t="s">
        <v>60</v>
      </c>
      <c r="L19" s="68">
        <v>3.668</v>
      </c>
      <c r="M19" s="31" t="s">
        <v>90</v>
      </c>
      <c r="N19" s="29">
        <v>2.917</v>
      </c>
      <c r="O19" s="14"/>
      <c r="P19" s="14"/>
      <c r="Q19" s="14"/>
      <c r="R19" s="14"/>
      <c r="S19" s="14"/>
      <c r="T19" s="14"/>
      <c r="U19" s="14"/>
      <c r="V19" s="14"/>
    </row>
    <row r="20">
      <c r="A20" s="62">
        <v>1602.0</v>
      </c>
      <c r="B20" s="63" t="s">
        <v>92</v>
      </c>
      <c r="C20" s="17">
        <v>3.512</v>
      </c>
      <c r="D20" s="18">
        <v>3.304</v>
      </c>
      <c r="E20" s="19"/>
      <c r="F20" s="20"/>
      <c r="G20" s="21"/>
      <c r="H20" s="71"/>
      <c r="I20" s="23" t="s">
        <v>86</v>
      </c>
      <c r="J20" s="20">
        <v>3.565</v>
      </c>
      <c r="K20" s="24" t="s">
        <v>94</v>
      </c>
      <c r="L20" s="68">
        <v>3.668</v>
      </c>
      <c r="M20" s="24" t="s">
        <v>95</v>
      </c>
      <c r="N20" s="20">
        <v>2.932</v>
      </c>
      <c r="O20" s="14"/>
      <c r="P20" s="14"/>
      <c r="Q20" s="14"/>
      <c r="R20" s="14"/>
      <c r="S20" s="14"/>
      <c r="T20" s="14"/>
      <c r="U20" s="14"/>
      <c r="V20" s="14"/>
    </row>
    <row r="21">
      <c r="A21" s="49">
        <v>1640.0</v>
      </c>
      <c r="B21" s="50" t="s">
        <v>96</v>
      </c>
      <c r="C21" s="17">
        <v>3.468</v>
      </c>
      <c r="D21" s="33">
        <v>3.434</v>
      </c>
      <c r="E21" s="19"/>
      <c r="F21" s="25"/>
      <c r="G21" s="26"/>
      <c r="H21" s="72"/>
      <c r="I21" s="28" t="s">
        <v>85</v>
      </c>
      <c r="J21" s="29">
        <v>3.556</v>
      </c>
      <c r="K21" s="30" t="s">
        <v>71</v>
      </c>
      <c r="L21" s="68">
        <v>3.667</v>
      </c>
      <c r="M21" s="31" t="s">
        <v>97</v>
      </c>
      <c r="N21" s="29">
        <v>2.949</v>
      </c>
      <c r="O21" s="14"/>
      <c r="P21" s="14"/>
      <c r="Q21" s="14"/>
      <c r="R21" s="14"/>
      <c r="S21" s="14"/>
      <c r="T21" s="14"/>
      <c r="U21" s="14"/>
      <c r="V21" s="14"/>
    </row>
    <row r="22">
      <c r="A22" s="58">
        <v>1622.0</v>
      </c>
      <c r="B22" s="73" t="s">
        <v>94</v>
      </c>
      <c r="C22" s="17">
        <v>3.417</v>
      </c>
      <c r="D22" s="33">
        <v>3.254</v>
      </c>
      <c r="E22" s="19"/>
      <c r="F22" s="39"/>
      <c r="G22" s="21"/>
      <c r="H22" s="74"/>
      <c r="I22" s="23" t="s">
        <v>102</v>
      </c>
      <c r="J22" s="20">
        <v>3.553</v>
      </c>
      <c r="K22" s="24" t="s">
        <v>48</v>
      </c>
      <c r="L22" s="75">
        <v>3.614</v>
      </c>
      <c r="M22" s="24" t="s">
        <v>103</v>
      </c>
      <c r="N22" s="20">
        <v>2.952</v>
      </c>
      <c r="O22" s="14"/>
      <c r="P22" s="14"/>
      <c r="Q22" s="14"/>
      <c r="R22" s="14"/>
      <c r="S22" s="14"/>
      <c r="T22" s="14"/>
      <c r="U22" s="14"/>
      <c r="V22" s="14"/>
    </row>
    <row r="23">
      <c r="A23" s="49">
        <v>1627.0</v>
      </c>
      <c r="B23" s="53" t="s">
        <v>90</v>
      </c>
      <c r="C23" s="8">
        <v>3.417</v>
      </c>
      <c r="D23" s="76">
        <v>3.073</v>
      </c>
      <c r="E23" s="19"/>
      <c r="F23" s="25"/>
      <c r="G23" s="26"/>
      <c r="H23" s="77"/>
      <c r="I23" s="28" t="s">
        <v>104</v>
      </c>
      <c r="J23" s="29">
        <v>3.466</v>
      </c>
      <c r="K23" s="30" t="s">
        <v>105</v>
      </c>
      <c r="L23" s="78">
        <v>3.576</v>
      </c>
      <c r="M23" s="31" t="s">
        <v>106</v>
      </c>
      <c r="N23" s="29">
        <v>3.0</v>
      </c>
      <c r="O23" s="14"/>
      <c r="P23" s="14"/>
      <c r="Q23" s="14"/>
      <c r="R23" s="14"/>
      <c r="S23" s="14"/>
      <c r="T23" s="14"/>
      <c r="U23" s="14"/>
      <c r="V23" s="14"/>
    </row>
    <row r="24">
      <c r="A24" s="49">
        <v>1623.0</v>
      </c>
      <c r="B24" s="53" t="s">
        <v>73</v>
      </c>
      <c r="C24" s="17">
        <v>3.406</v>
      </c>
      <c r="D24" s="33">
        <v>3.613</v>
      </c>
      <c r="E24" s="19"/>
      <c r="F24" s="20"/>
      <c r="G24" s="21"/>
      <c r="H24" s="79"/>
      <c r="I24" s="23" t="s">
        <v>96</v>
      </c>
      <c r="J24" s="20">
        <v>3.402</v>
      </c>
      <c r="K24" s="24" t="s">
        <v>73</v>
      </c>
      <c r="L24" s="74">
        <v>3.554</v>
      </c>
      <c r="M24" s="24" t="s">
        <v>109</v>
      </c>
      <c r="N24" s="20">
        <v>3.001</v>
      </c>
      <c r="O24" s="14"/>
      <c r="P24" s="14"/>
      <c r="Q24" s="14"/>
      <c r="R24" s="14"/>
      <c r="S24" s="14"/>
      <c r="T24" s="14"/>
      <c r="U24" s="14"/>
      <c r="V24" s="14"/>
    </row>
    <row r="25">
      <c r="A25" s="58">
        <v>1624.0</v>
      </c>
      <c r="B25" s="59" t="s">
        <v>110</v>
      </c>
      <c r="C25" s="17">
        <v>3.4</v>
      </c>
      <c r="D25" s="33">
        <v>3.211</v>
      </c>
      <c r="E25" s="19"/>
      <c r="F25" s="40"/>
      <c r="G25" s="26"/>
      <c r="H25" s="20"/>
      <c r="I25" s="28" t="s">
        <v>83</v>
      </c>
      <c r="J25" s="29">
        <v>3.334</v>
      </c>
      <c r="K25" s="30" t="s">
        <v>111</v>
      </c>
      <c r="L25" s="80">
        <v>3.538</v>
      </c>
      <c r="M25" s="31" t="s">
        <v>35</v>
      </c>
      <c r="N25" s="29">
        <v>3.002</v>
      </c>
      <c r="O25" s="14"/>
      <c r="P25" s="14"/>
      <c r="Q25" s="14"/>
      <c r="R25" s="14"/>
      <c r="S25" s="14"/>
      <c r="T25" s="14"/>
      <c r="U25" s="14"/>
      <c r="V25" s="14"/>
    </row>
    <row r="26">
      <c r="A26" s="58">
        <v>1635.0</v>
      </c>
      <c r="B26" s="59" t="s">
        <v>113</v>
      </c>
      <c r="C26" s="17">
        <v>3.4</v>
      </c>
      <c r="D26" s="33">
        <v>2.799</v>
      </c>
      <c r="E26" s="19"/>
      <c r="F26" s="20"/>
      <c r="G26" s="21"/>
      <c r="H26" s="20"/>
      <c r="I26" s="23" t="s">
        <v>114</v>
      </c>
      <c r="J26" s="20">
        <v>3.332</v>
      </c>
      <c r="K26" s="24" t="s">
        <v>115</v>
      </c>
      <c r="L26" s="81">
        <v>3.534</v>
      </c>
      <c r="M26" s="24" t="s">
        <v>116</v>
      </c>
      <c r="N26" s="20">
        <v>3.12</v>
      </c>
      <c r="O26" s="14"/>
      <c r="P26" s="14"/>
      <c r="Q26" s="14"/>
      <c r="R26" s="14"/>
      <c r="S26" s="14"/>
      <c r="T26" s="14"/>
      <c r="U26" s="14"/>
      <c r="V26" s="14"/>
    </row>
    <row r="27">
      <c r="A27" s="62">
        <v>1564.0</v>
      </c>
      <c r="B27" s="69" t="s">
        <v>109</v>
      </c>
      <c r="C27" s="17">
        <v>3.357</v>
      </c>
      <c r="D27" s="18">
        <v>2.98</v>
      </c>
      <c r="E27" s="19"/>
      <c r="F27" s="25"/>
      <c r="G27" s="30"/>
      <c r="H27" s="82"/>
      <c r="I27" s="30" t="s">
        <v>117</v>
      </c>
      <c r="J27" s="29">
        <v>3.268</v>
      </c>
      <c r="K27" s="30" t="s">
        <v>92</v>
      </c>
      <c r="L27" s="83">
        <v>3.513</v>
      </c>
      <c r="M27" s="31" t="s">
        <v>119</v>
      </c>
      <c r="N27" s="29">
        <v>3.165</v>
      </c>
      <c r="O27" s="14"/>
      <c r="P27" s="14"/>
      <c r="Q27" s="14"/>
      <c r="R27" s="14"/>
      <c r="S27" s="14"/>
      <c r="T27" s="14"/>
      <c r="U27" s="14"/>
      <c r="V27" s="14"/>
    </row>
    <row r="28">
      <c r="A28" s="49">
        <v>1646.0</v>
      </c>
      <c r="B28" s="50" t="s">
        <v>117</v>
      </c>
      <c r="C28" s="8">
        <v>3.332</v>
      </c>
      <c r="D28" s="6">
        <v>3.302</v>
      </c>
      <c r="E28" s="19"/>
      <c r="F28" s="20"/>
      <c r="G28" s="21"/>
      <c r="H28" s="84"/>
      <c r="I28" s="23" t="s">
        <v>55</v>
      </c>
      <c r="J28" s="20">
        <v>3.261</v>
      </c>
      <c r="K28" s="24" t="s">
        <v>61</v>
      </c>
      <c r="L28" s="85">
        <v>3.51</v>
      </c>
      <c r="M28" s="24" t="s">
        <v>114</v>
      </c>
      <c r="N28" s="20">
        <v>3.167</v>
      </c>
      <c r="O28" s="14"/>
      <c r="P28" s="14"/>
      <c r="Q28" s="14"/>
      <c r="R28" s="14"/>
      <c r="S28" s="14"/>
      <c r="T28" s="14"/>
      <c r="U28" s="14"/>
      <c r="V28" s="14"/>
    </row>
    <row r="29">
      <c r="A29" s="86">
        <v>1650.0</v>
      </c>
      <c r="B29" s="50" t="s">
        <v>126</v>
      </c>
      <c r="C29" s="8">
        <v>3.252</v>
      </c>
      <c r="D29" s="6">
        <v>2.793</v>
      </c>
      <c r="E29" s="19"/>
      <c r="F29" s="25"/>
      <c r="G29" s="26"/>
      <c r="H29" s="84"/>
      <c r="I29" s="30" t="s">
        <v>127</v>
      </c>
      <c r="J29" s="29">
        <v>3.25</v>
      </c>
      <c r="K29" s="30" t="s">
        <v>102</v>
      </c>
      <c r="L29" s="87">
        <v>3.501</v>
      </c>
      <c r="M29" s="31" t="s">
        <v>128</v>
      </c>
      <c r="N29" s="29">
        <v>3.198</v>
      </c>
      <c r="O29" s="14"/>
      <c r="P29" s="14"/>
      <c r="Q29" s="14"/>
      <c r="R29" s="14"/>
      <c r="S29" s="14"/>
      <c r="T29" s="14"/>
      <c r="U29" s="14"/>
      <c r="V29" s="14"/>
    </row>
    <row r="30">
      <c r="A30" s="49">
        <v>1625.0</v>
      </c>
      <c r="B30" s="53" t="s">
        <v>114</v>
      </c>
      <c r="C30" s="17">
        <v>3.206</v>
      </c>
      <c r="D30" s="33">
        <v>3.166</v>
      </c>
      <c r="E30" s="19"/>
      <c r="F30" s="20"/>
      <c r="G30" s="21"/>
      <c r="H30" s="84"/>
      <c r="I30" s="23" t="s">
        <v>63</v>
      </c>
      <c r="J30" s="20">
        <v>3.25</v>
      </c>
      <c r="K30" s="24" t="s">
        <v>127</v>
      </c>
      <c r="L30" s="88">
        <v>3.468</v>
      </c>
      <c r="M30" s="24" t="s">
        <v>94</v>
      </c>
      <c r="N30" s="20">
        <v>3.198</v>
      </c>
      <c r="O30" s="14"/>
      <c r="P30" s="14"/>
      <c r="Q30" s="14"/>
      <c r="R30" s="14"/>
      <c r="S30" s="14"/>
      <c r="T30" s="14"/>
      <c r="U30" s="14"/>
      <c r="V30" s="14"/>
    </row>
    <row r="31">
      <c r="A31" s="49">
        <v>1618.0</v>
      </c>
      <c r="B31" s="50" t="s">
        <v>47</v>
      </c>
      <c r="C31" s="17">
        <v>3.167</v>
      </c>
      <c r="D31" s="33">
        <v>2.878</v>
      </c>
      <c r="E31" s="19"/>
      <c r="F31" s="25"/>
      <c r="G31" s="26"/>
      <c r="H31" s="84"/>
      <c r="I31" s="28" t="s">
        <v>44</v>
      </c>
      <c r="J31" s="29">
        <v>3.25</v>
      </c>
      <c r="K31" s="30" t="s">
        <v>80</v>
      </c>
      <c r="L31" s="79">
        <v>3.4</v>
      </c>
      <c r="M31" s="31" t="s">
        <v>55</v>
      </c>
      <c r="N31" s="29">
        <v>3.245</v>
      </c>
      <c r="O31" s="14"/>
      <c r="P31" s="14"/>
      <c r="Q31" s="14"/>
      <c r="R31" s="14"/>
      <c r="S31" s="14"/>
      <c r="T31" s="14"/>
      <c r="U31" s="14"/>
      <c r="V31" s="14"/>
    </row>
    <row r="32">
      <c r="A32" s="49">
        <v>1632.0</v>
      </c>
      <c r="B32" s="50" t="s">
        <v>130</v>
      </c>
      <c r="C32" s="17">
        <v>3.154</v>
      </c>
      <c r="D32" s="33">
        <v>2.929</v>
      </c>
      <c r="E32" s="19"/>
      <c r="F32" s="20"/>
      <c r="G32" s="21"/>
      <c r="H32" s="89"/>
      <c r="I32" s="23" t="s">
        <v>72</v>
      </c>
      <c r="J32" s="20">
        <v>3.167</v>
      </c>
      <c r="K32" s="24" t="s">
        <v>55</v>
      </c>
      <c r="L32" s="79">
        <v>3.4</v>
      </c>
      <c r="M32" s="24" t="s">
        <v>132</v>
      </c>
      <c r="N32" s="20">
        <v>3.25</v>
      </c>
      <c r="O32" s="14"/>
      <c r="P32" s="14"/>
      <c r="Q32" s="14"/>
      <c r="R32" s="14"/>
      <c r="S32" s="14"/>
      <c r="T32" s="14"/>
      <c r="U32" s="14"/>
      <c r="V32" s="14"/>
    </row>
    <row r="33">
      <c r="A33" s="86">
        <v>1655.0</v>
      </c>
      <c r="B33" s="91" t="s">
        <v>133</v>
      </c>
      <c r="C33" s="8">
        <v>3.096</v>
      </c>
      <c r="D33" s="76">
        <v>3.444</v>
      </c>
      <c r="E33" s="19"/>
      <c r="F33" s="25"/>
      <c r="G33" s="26"/>
      <c r="H33" s="89"/>
      <c r="I33" s="28" t="s">
        <v>48</v>
      </c>
      <c r="J33" s="29">
        <v>3.167</v>
      </c>
      <c r="K33" s="30" t="s">
        <v>79</v>
      </c>
      <c r="L33" s="20">
        <v>3.332</v>
      </c>
      <c r="M33" s="31" t="s">
        <v>134</v>
      </c>
      <c r="N33" s="29">
        <v>3.332</v>
      </c>
      <c r="O33" s="14"/>
      <c r="P33" s="14"/>
      <c r="Q33" s="14"/>
      <c r="R33" s="14"/>
      <c r="S33" s="14"/>
      <c r="T33" s="14"/>
      <c r="U33" s="14"/>
      <c r="V33" s="14"/>
    </row>
    <row r="34">
      <c r="A34" s="86">
        <v>1653.0</v>
      </c>
      <c r="B34" s="53" t="s">
        <v>135</v>
      </c>
      <c r="C34" s="17">
        <v>3.066</v>
      </c>
      <c r="D34" s="33">
        <v>3.233</v>
      </c>
      <c r="E34" s="19"/>
      <c r="F34" s="20"/>
      <c r="G34" s="21"/>
      <c r="H34" s="93"/>
      <c r="I34" s="23" t="s">
        <v>137</v>
      </c>
      <c r="J34" s="20">
        <v>3.141</v>
      </c>
      <c r="K34" s="24" t="s">
        <v>138</v>
      </c>
      <c r="L34" s="84">
        <v>3.252</v>
      </c>
      <c r="M34" s="24" t="s">
        <v>138</v>
      </c>
      <c r="N34" s="20">
        <v>3.332</v>
      </c>
      <c r="O34" s="14"/>
      <c r="P34" s="14"/>
      <c r="Q34" s="14"/>
      <c r="R34" s="14"/>
      <c r="S34" s="14"/>
      <c r="T34" s="14"/>
      <c r="U34" s="14"/>
      <c r="V34" s="14"/>
    </row>
    <row r="35">
      <c r="A35" s="49">
        <v>1642.0</v>
      </c>
      <c r="B35" s="50" t="s">
        <v>104</v>
      </c>
      <c r="C35" s="17">
        <v>3.002</v>
      </c>
      <c r="D35" s="33">
        <v>3.223</v>
      </c>
      <c r="E35" s="19"/>
      <c r="F35" s="25"/>
      <c r="G35" s="26"/>
      <c r="H35" s="95"/>
      <c r="I35" s="28" t="s">
        <v>51</v>
      </c>
      <c r="J35" s="29">
        <v>3.078</v>
      </c>
      <c r="K35" s="30" t="s">
        <v>140</v>
      </c>
      <c r="L35" s="84">
        <v>3.25</v>
      </c>
      <c r="M35" s="31" t="s">
        <v>83</v>
      </c>
      <c r="N35" s="29">
        <v>3.335</v>
      </c>
      <c r="O35" s="14"/>
      <c r="P35" s="14"/>
      <c r="Q35" s="14"/>
      <c r="R35" s="14"/>
      <c r="S35" s="14"/>
      <c r="T35" s="14"/>
      <c r="U35" s="14"/>
      <c r="V35" s="14"/>
    </row>
    <row r="36">
      <c r="A36" s="58">
        <v>1631.0</v>
      </c>
      <c r="B36" s="73" t="s">
        <v>102</v>
      </c>
      <c r="C36" s="17">
        <v>3.0</v>
      </c>
      <c r="D36" s="33">
        <v>3.507</v>
      </c>
      <c r="E36" s="19"/>
      <c r="F36" s="20"/>
      <c r="G36" s="21"/>
      <c r="H36" s="95"/>
      <c r="I36" s="23" t="s">
        <v>97</v>
      </c>
      <c r="J36" s="20">
        <v>3.068</v>
      </c>
      <c r="K36" s="24" t="s">
        <v>141</v>
      </c>
      <c r="L36" s="98">
        <v>3.192</v>
      </c>
      <c r="M36" s="24" t="s">
        <v>142</v>
      </c>
      <c r="N36" s="20">
        <v>3.354</v>
      </c>
      <c r="O36" s="14"/>
      <c r="P36" s="14"/>
      <c r="Q36" s="14"/>
      <c r="R36" s="14"/>
      <c r="S36" s="14"/>
      <c r="T36" s="14"/>
      <c r="U36" s="14"/>
      <c r="V36" s="14"/>
    </row>
    <row r="37">
      <c r="A37" s="99">
        <v>1656.0</v>
      </c>
      <c r="B37" s="100" t="s">
        <v>143</v>
      </c>
      <c r="C37" s="8">
        <v>2.882</v>
      </c>
      <c r="D37" s="6">
        <v>3.183</v>
      </c>
      <c r="E37" s="19"/>
      <c r="F37" s="25"/>
      <c r="G37" s="26"/>
      <c r="H37" s="101"/>
      <c r="I37" s="28" t="s">
        <v>128</v>
      </c>
      <c r="J37" s="29">
        <v>3.02</v>
      </c>
      <c r="K37" s="30" t="s">
        <v>109</v>
      </c>
      <c r="L37" s="89">
        <v>3.169</v>
      </c>
      <c r="M37" s="31" t="s">
        <v>92</v>
      </c>
      <c r="N37" s="29">
        <v>3.363</v>
      </c>
      <c r="O37" s="14"/>
      <c r="P37" s="14"/>
      <c r="Q37" s="14"/>
      <c r="R37" s="14"/>
      <c r="S37" s="14"/>
      <c r="T37" s="14"/>
      <c r="U37" s="14"/>
      <c r="V37" s="14"/>
    </row>
    <row r="38">
      <c r="A38" s="62">
        <v>1599.0</v>
      </c>
      <c r="B38" s="102" t="s">
        <v>72</v>
      </c>
      <c r="C38" s="17">
        <v>2.832</v>
      </c>
      <c r="D38" s="33">
        <v>3.125</v>
      </c>
      <c r="E38" s="19"/>
      <c r="F38" s="39"/>
      <c r="G38" s="21"/>
      <c r="H38" s="103"/>
      <c r="I38" s="23" t="s">
        <v>23</v>
      </c>
      <c r="J38" s="20">
        <v>3.0</v>
      </c>
      <c r="K38" s="24" t="s">
        <v>110</v>
      </c>
      <c r="L38" s="89">
        <v>3.165</v>
      </c>
      <c r="M38" s="24" t="s">
        <v>130</v>
      </c>
      <c r="N38" s="20">
        <v>3.383</v>
      </c>
      <c r="O38" s="14"/>
      <c r="P38" s="14"/>
      <c r="Q38" s="14"/>
      <c r="R38" s="14"/>
      <c r="S38" s="14"/>
      <c r="T38" s="14"/>
      <c r="U38" s="14"/>
      <c r="V38" s="14"/>
    </row>
    <row r="39">
      <c r="A39" s="49">
        <v>1644.0</v>
      </c>
      <c r="B39" s="50" t="s">
        <v>147</v>
      </c>
      <c r="C39" s="17">
        <v>2.77</v>
      </c>
      <c r="D39" s="33">
        <v>2.68</v>
      </c>
      <c r="E39" s="19"/>
      <c r="F39" s="25"/>
      <c r="G39" s="30"/>
      <c r="H39" s="103"/>
      <c r="I39" s="30" t="s">
        <v>126</v>
      </c>
      <c r="J39" s="29">
        <v>3.0</v>
      </c>
      <c r="K39" s="30" t="s">
        <v>83</v>
      </c>
      <c r="L39" s="93">
        <v>3.14</v>
      </c>
      <c r="M39" s="31" t="s">
        <v>110</v>
      </c>
      <c r="N39" s="29">
        <v>3.398</v>
      </c>
      <c r="O39" s="14"/>
      <c r="P39" s="14"/>
      <c r="Q39" s="14"/>
      <c r="R39" s="14"/>
      <c r="S39" s="14"/>
      <c r="T39" s="14"/>
      <c r="U39" s="14"/>
      <c r="V39" s="14"/>
    </row>
    <row r="40">
      <c r="A40" s="62">
        <v>1597.0</v>
      </c>
      <c r="B40" s="63" t="s">
        <v>63</v>
      </c>
      <c r="C40" s="17">
        <v>2.752</v>
      </c>
      <c r="D40" s="18">
        <v>2.924</v>
      </c>
      <c r="E40" s="19"/>
      <c r="F40" s="20"/>
      <c r="G40" s="21"/>
      <c r="H40" s="103"/>
      <c r="I40" s="23" t="s">
        <v>141</v>
      </c>
      <c r="J40" s="20">
        <v>2.998</v>
      </c>
      <c r="K40" s="24" t="s">
        <v>148</v>
      </c>
      <c r="L40" s="103">
        <v>3.0</v>
      </c>
      <c r="M40" s="24" t="s">
        <v>102</v>
      </c>
      <c r="N40" s="20">
        <v>3.417</v>
      </c>
      <c r="O40" s="14"/>
      <c r="P40" s="14"/>
      <c r="Q40" s="14"/>
      <c r="R40" s="14"/>
      <c r="S40" s="14"/>
      <c r="T40" s="14"/>
      <c r="U40" s="14"/>
      <c r="V40" s="14"/>
    </row>
    <row r="41">
      <c r="A41" s="49">
        <v>1605.0</v>
      </c>
      <c r="B41" s="105" t="s">
        <v>141</v>
      </c>
      <c r="C41" s="17">
        <v>2.666</v>
      </c>
      <c r="D41" s="33">
        <v>2.975</v>
      </c>
      <c r="E41" s="19"/>
      <c r="F41" s="25"/>
      <c r="G41" s="26"/>
      <c r="H41" s="106"/>
      <c r="I41" s="28" t="s">
        <v>116</v>
      </c>
      <c r="J41" s="29">
        <v>2.959</v>
      </c>
      <c r="K41" s="30" t="s">
        <v>51</v>
      </c>
      <c r="L41" s="103">
        <v>3.0</v>
      </c>
      <c r="M41" s="31" t="s">
        <v>74</v>
      </c>
      <c r="N41" s="29">
        <v>3.5</v>
      </c>
      <c r="O41" s="14"/>
      <c r="P41" s="14"/>
      <c r="Q41" s="14"/>
      <c r="R41" s="14"/>
      <c r="S41" s="14"/>
      <c r="T41" s="14"/>
      <c r="U41" s="14"/>
      <c r="V41" s="14"/>
    </row>
    <row r="42">
      <c r="A42" s="58">
        <v>1608.0</v>
      </c>
      <c r="B42" s="107" t="s">
        <v>51</v>
      </c>
      <c r="C42" s="17">
        <v>2.602</v>
      </c>
      <c r="D42" s="33">
        <v>2.606</v>
      </c>
      <c r="E42" s="19"/>
      <c r="F42" s="20"/>
      <c r="G42" s="21"/>
      <c r="H42" s="108"/>
      <c r="I42" s="23" t="s">
        <v>79</v>
      </c>
      <c r="J42" s="20">
        <v>2.934</v>
      </c>
      <c r="K42" s="24" t="s">
        <v>150</v>
      </c>
      <c r="L42" s="103">
        <v>3.0</v>
      </c>
      <c r="M42" s="24" t="s">
        <v>62</v>
      </c>
      <c r="N42" s="20">
        <v>3.501</v>
      </c>
      <c r="O42" s="14"/>
      <c r="P42" s="14"/>
      <c r="Q42" s="14"/>
      <c r="R42" s="14"/>
      <c r="S42" s="14"/>
      <c r="T42" s="14"/>
      <c r="U42" s="14"/>
      <c r="V42" s="14"/>
    </row>
    <row r="43">
      <c r="A43" s="86">
        <v>1616.0</v>
      </c>
      <c r="B43" s="109" t="s">
        <v>116</v>
      </c>
      <c r="C43" s="17">
        <v>2.598</v>
      </c>
      <c r="D43" s="33">
        <v>3.151</v>
      </c>
      <c r="E43" s="19"/>
      <c r="F43" s="25"/>
      <c r="G43" s="26"/>
      <c r="H43" s="110"/>
      <c r="I43" s="28" t="s">
        <v>78</v>
      </c>
      <c r="J43" s="29">
        <v>2.927</v>
      </c>
      <c r="K43" s="30" t="s">
        <v>44</v>
      </c>
      <c r="L43" s="103">
        <v>3.0</v>
      </c>
      <c r="M43" s="31" t="s">
        <v>60</v>
      </c>
      <c r="N43" s="29">
        <v>3.523</v>
      </c>
      <c r="O43" s="14"/>
      <c r="P43" s="14"/>
      <c r="Q43" s="14"/>
      <c r="R43" s="14"/>
      <c r="S43" s="14"/>
      <c r="T43" s="14"/>
      <c r="U43" s="14"/>
      <c r="V43" s="14"/>
    </row>
    <row r="44">
      <c r="A44" s="58">
        <v>1643.0</v>
      </c>
      <c r="B44" s="112" t="s">
        <v>153</v>
      </c>
      <c r="C44" s="17">
        <v>2.578</v>
      </c>
      <c r="D44" s="18">
        <v>2.609</v>
      </c>
      <c r="E44" s="19"/>
      <c r="F44" s="20"/>
      <c r="G44" s="24"/>
      <c r="H44" s="113"/>
      <c r="I44" s="24" t="s">
        <v>154</v>
      </c>
      <c r="J44" s="20">
        <v>2.858</v>
      </c>
      <c r="K44" s="24" t="s">
        <v>119</v>
      </c>
      <c r="L44" s="108">
        <v>2.934</v>
      </c>
      <c r="M44" s="24" t="s">
        <v>78</v>
      </c>
      <c r="N44" s="20">
        <v>3.534</v>
      </c>
      <c r="O44" s="14"/>
      <c r="P44" s="14"/>
      <c r="Q44" s="14"/>
      <c r="R44" s="14"/>
      <c r="S44" s="14"/>
      <c r="T44" s="14"/>
      <c r="U44" s="14"/>
      <c r="V44" s="14"/>
    </row>
    <row r="45">
      <c r="A45" s="66">
        <v>1654.0</v>
      </c>
      <c r="B45" s="114" t="s">
        <v>155</v>
      </c>
      <c r="C45" s="17">
        <v>2.486</v>
      </c>
      <c r="D45" s="33">
        <v>2.987</v>
      </c>
      <c r="E45" s="19"/>
      <c r="F45" s="25"/>
      <c r="G45" s="26"/>
      <c r="H45" s="115"/>
      <c r="I45" s="28" t="s">
        <v>110</v>
      </c>
      <c r="J45" s="29">
        <v>2.82</v>
      </c>
      <c r="K45" s="30" t="s">
        <v>63</v>
      </c>
      <c r="L45" s="110">
        <v>2.917</v>
      </c>
      <c r="M45" s="31" t="s">
        <v>156</v>
      </c>
      <c r="N45" s="29">
        <v>3.536</v>
      </c>
      <c r="O45" s="14"/>
      <c r="P45" s="14"/>
      <c r="Q45" s="14"/>
      <c r="R45" s="14"/>
      <c r="S45" s="14"/>
      <c r="T45" s="14"/>
      <c r="U45" s="14"/>
      <c r="V45" s="14"/>
    </row>
    <row r="46">
      <c r="A46" s="49">
        <v>1630.0</v>
      </c>
      <c r="B46" s="109" t="s">
        <v>79</v>
      </c>
      <c r="C46" s="17">
        <v>2.466</v>
      </c>
      <c r="D46" s="18">
        <v>3.117</v>
      </c>
      <c r="E46" s="19"/>
      <c r="F46" s="39"/>
      <c r="G46" s="21"/>
      <c r="H46" s="116"/>
      <c r="I46" s="24" t="s">
        <v>109</v>
      </c>
      <c r="J46" s="20">
        <v>2.817</v>
      </c>
      <c r="K46" s="24" t="s">
        <v>158</v>
      </c>
      <c r="L46" s="117">
        <v>2.874</v>
      </c>
      <c r="M46" s="24" t="s">
        <v>159</v>
      </c>
      <c r="N46" s="20">
        <v>3.557</v>
      </c>
      <c r="O46" s="14"/>
      <c r="P46" s="14"/>
      <c r="Q46" s="14"/>
      <c r="R46" s="14"/>
      <c r="S46" s="14"/>
      <c r="T46" s="14"/>
      <c r="U46" s="14"/>
      <c r="V46" s="14"/>
    </row>
    <row r="47">
      <c r="A47" s="118">
        <v>1647.0</v>
      </c>
      <c r="B47" s="119" t="s">
        <v>154</v>
      </c>
      <c r="C47" s="17">
        <v>2.38</v>
      </c>
      <c r="D47" s="33">
        <v>2.534</v>
      </c>
      <c r="E47" s="19"/>
      <c r="F47" s="40"/>
      <c r="G47" s="26"/>
      <c r="H47" s="121"/>
      <c r="I47" s="28" t="s">
        <v>158</v>
      </c>
      <c r="J47" s="29">
        <v>2.817</v>
      </c>
      <c r="K47" s="30" t="s">
        <v>160</v>
      </c>
      <c r="L47" s="122">
        <v>2.835</v>
      </c>
      <c r="M47" s="31" t="s">
        <v>141</v>
      </c>
      <c r="N47" s="29">
        <v>3.6</v>
      </c>
      <c r="O47" s="14"/>
      <c r="P47" s="14"/>
      <c r="Q47" s="14"/>
      <c r="R47" s="14"/>
      <c r="S47" s="14"/>
      <c r="T47" s="14"/>
      <c r="U47" s="14"/>
      <c r="V47" s="14"/>
    </row>
    <row r="48">
      <c r="A48" s="118">
        <v>1641.0</v>
      </c>
      <c r="B48" s="119" t="s">
        <v>137</v>
      </c>
      <c r="C48" s="8">
        <v>2.36</v>
      </c>
      <c r="D48" s="6">
        <v>2.781</v>
      </c>
      <c r="E48" s="19"/>
      <c r="F48" s="20"/>
      <c r="G48" s="125"/>
      <c r="H48" s="126"/>
      <c r="I48" s="125" t="s">
        <v>164</v>
      </c>
      <c r="J48" s="20">
        <v>2.749</v>
      </c>
      <c r="K48" s="24" t="s">
        <v>106</v>
      </c>
      <c r="L48" s="126">
        <v>2.75</v>
      </c>
      <c r="M48" s="24" t="s">
        <v>26</v>
      </c>
      <c r="N48" s="20">
        <v>3.6</v>
      </c>
      <c r="O48" s="14"/>
      <c r="P48" s="14"/>
      <c r="Q48" s="14"/>
      <c r="R48" s="14"/>
      <c r="S48" s="14"/>
      <c r="T48" s="14"/>
      <c r="U48" s="14"/>
      <c r="V48" s="14"/>
    </row>
    <row r="49">
      <c r="A49" s="118">
        <v>1617.0</v>
      </c>
      <c r="B49" s="119" t="s">
        <v>158</v>
      </c>
      <c r="C49" s="8">
        <v>2.307</v>
      </c>
      <c r="D49" s="6">
        <v>2.757</v>
      </c>
      <c r="E49" s="19"/>
      <c r="F49" s="25"/>
      <c r="G49" s="128"/>
      <c r="H49" s="130"/>
      <c r="I49" s="132" t="s">
        <v>167</v>
      </c>
      <c r="J49" s="29">
        <v>2.7</v>
      </c>
      <c r="K49" s="30" t="s">
        <v>113</v>
      </c>
      <c r="L49" s="126">
        <v>2.75</v>
      </c>
      <c r="M49" s="31" t="s">
        <v>23</v>
      </c>
      <c r="N49" s="29">
        <v>3.616</v>
      </c>
      <c r="O49" s="14"/>
      <c r="P49" s="14"/>
      <c r="Q49" s="14"/>
      <c r="R49" s="14"/>
      <c r="S49" s="14"/>
      <c r="T49" s="14"/>
      <c r="U49" s="14"/>
      <c r="V49" s="14"/>
    </row>
    <row r="50">
      <c r="A50" s="118">
        <v>1645.0</v>
      </c>
      <c r="B50" s="112" t="s">
        <v>168</v>
      </c>
      <c r="C50" s="17">
        <v>2.214</v>
      </c>
      <c r="D50" s="33">
        <v>2.436</v>
      </c>
      <c r="E50" s="19"/>
      <c r="F50" s="20"/>
      <c r="G50" s="133"/>
      <c r="H50" s="134"/>
      <c r="I50" s="135" t="s">
        <v>94</v>
      </c>
      <c r="J50" s="20">
        <v>2.692</v>
      </c>
      <c r="K50" s="125" t="s">
        <v>86</v>
      </c>
      <c r="L50" s="134">
        <v>2.693</v>
      </c>
      <c r="M50" s="24" t="s">
        <v>80</v>
      </c>
      <c r="N50" s="20">
        <v>3.644</v>
      </c>
      <c r="O50" s="14"/>
      <c r="P50" s="14"/>
      <c r="Q50" s="14"/>
      <c r="R50" s="14"/>
      <c r="S50" s="14"/>
      <c r="T50" s="14"/>
      <c r="U50" s="14"/>
      <c r="V50" s="14"/>
    </row>
    <row r="51">
      <c r="A51" s="137">
        <v>1636.0</v>
      </c>
      <c r="B51" s="139" t="s">
        <v>173</v>
      </c>
      <c r="C51" s="17">
        <v>2.0</v>
      </c>
      <c r="D51" s="33">
        <v>1.4</v>
      </c>
      <c r="E51" s="19"/>
      <c r="F51" s="25"/>
      <c r="G51" s="128"/>
      <c r="H51" s="134"/>
      <c r="I51" s="132" t="s">
        <v>92</v>
      </c>
      <c r="J51" s="29">
        <v>2.691</v>
      </c>
      <c r="K51" s="140" t="s">
        <v>174</v>
      </c>
      <c r="L51" s="141">
        <v>2.668</v>
      </c>
      <c r="M51" s="31" t="s">
        <v>34</v>
      </c>
      <c r="N51" s="29">
        <v>3.666</v>
      </c>
      <c r="O51" s="14"/>
      <c r="P51" s="14"/>
      <c r="Q51" s="14"/>
      <c r="R51" s="14"/>
      <c r="S51" s="14"/>
      <c r="T51" s="14"/>
      <c r="U51" s="14"/>
      <c r="V51" s="14"/>
    </row>
    <row r="52">
      <c r="A52" s="143"/>
      <c r="B52" s="107"/>
      <c r="C52" s="17"/>
      <c r="D52" s="18"/>
      <c r="E52" s="19"/>
      <c r="F52" s="39"/>
      <c r="G52" s="133"/>
      <c r="H52" s="145"/>
      <c r="I52" s="135" t="s">
        <v>153</v>
      </c>
      <c r="J52" s="20">
        <v>2.642</v>
      </c>
      <c r="K52" s="125" t="s">
        <v>130</v>
      </c>
      <c r="L52" s="146">
        <v>2.603</v>
      </c>
      <c r="M52" s="24" t="s">
        <v>127</v>
      </c>
      <c r="N52" s="20">
        <v>3.667</v>
      </c>
      <c r="O52" s="14"/>
      <c r="P52" s="14"/>
      <c r="Q52" s="14"/>
      <c r="R52" s="14"/>
      <c r="S52" s="14"/>
      <c r="T52" s="14"/>
      <c r="U52" s="14"/>
      <c r="V52" s="14"/>
    </row>
    <row r="53">
      <c r="A53" s="147"/>
      <c r="B53" s="148"/>
      <c r="C53" s="8"/>
      <c r="D53" s="6"/>
      <c r="E53" s="19"/>
      <c r="F53" s="25"/>
      <c r="G53" s="140"/>
      <c r="H53" s="149"/>
      <c r="I53" s="140" t="s">
        <v>147</v>
      </c>
      <c r="J53" s="29">
        <v>2.582</v>
      </c>
      <c r="K53" s="140" t="s">
        <v>176</v>
      </c>
      <c r="L53" s="149">
        <v>2.582</v>
      </c>
      <c r="M53" s="31" t="s">
        <v>45</v>
      </c>
      <c r="N53" s="29">
        <v>3.667</v>
      </c>
      <c r="O53" s="14"/>
      <c r="P53" s="14"/>
      <c r="Q53" s="14"/>
      <c r="R53" s="14"/>
      <c r="S53" s="14"/>
      <c r="T53" s="14"/>
      <c r="U53" s="14"/>
      <c r="V53" s="14"/>
    </row>
    <row r="54">
      <c r="A54" s="20"/>
      <c r="B54" s="152"/>
      <c r="C54" s="17"/>
      <c r="D54" s="33"/>
      <c r="E54" s="19"/>
      <c r="F54" s="20"/>
      <c r="G54" s="133"/>
      <c r="H54" s="153"/>
      <c r="I54" s="135" t="s">
        <v>130</v>
      </c>
      <c r="J54" s="20">
        <v>2.547</v>
      </c>
      <c r="K54" s="125" t="s">
        <v>179</v>
      </c>
      <c r="L54" s="154">
        <v>2.4</v>
      </c>
      <c r="M54" s="24" t="s">
        <v>61</v>
      </c>
      <c r="N54" s="20">
        <v>3.71</v>
      </c>
      <c r="O54" s="14"/>
      <c r="P54" s="14"/>
      <c r="Q54" s="14"/>
      <c r="R54" s="14"/>
      <c r="S54" s="14"/>
      <c r="T54" s="14"/>
      <c r="U54" s="14"/>
      <c r="V54" s="14"/>
    </row>
    <row r="55">
      <c r="A55" s="20"/>
      <c r="B55" s="152"/>
      <c r="C55" s="17"/>
      <c r="D55" s="33"/>
      <c r="E55" s="19"/>
      <c r="F55" s="40"/>
      <c r="G55" s="128"/>
      <c r="H55" s="155"/>
      <c r="I55" s="132" t="s">
        <v>47</v>
      </c>
      <c r="J55" s="29">
        <v>2.534</v>
      </c>
      <c r="K55" s="140" t="s">
        <v>173</v>
      </c>
      <c r="L55" s="157">
        <v>2.332</v>
      </c>
      <c r="M55" s="31" t="s">
        <v>73</v>
      </c>
      <c r="N55" s="29">
        <v>3.75</v>
      </c>
      <c r="O55" s="14"/>
      <c r="P55" s="14"/>
      <c r="Q55" s="14"/>
      <c r="R55" s="14"/>
      <c r="S55" s="14"/>
      <c r="T55" s="14"/>
      <c r="U55" s="14"/>
      <c r="V55" s="14"/>
    </row>
    <row r="56">
      <c r="A56" s="25"/>
      <c r="B56" s="158"/>
      <c r="C56" s="17"/>
      <c r="D56" s="159"/>
      <c r="E56" s="19"/>
      <c r="F56" s="20"/>
      <c r="G56" s="133"/>
      <c r="H56" s="160"/>
      <c r="I56" s="135" t="s">
        <v>35</v>
      </c>
      <c r="J56" s="20">
        <v>2.5</v>
      </c>
      <c r="K56" s="125" t="s">
        <v>81</v>
      </c>
      <c r="L56" s="161">
        <v>2.0</v>
      </c>
      <c r="M56" s="24" t="s">
        <v>181</v>
      </c>
      <c r="N56" s="20">
        <v>3.75</v>
      </c>
      <c r="O56" s="14"/>
      <c r="P56" s="14"/>
      <c r="Q56" s="14"/>
      <c r="R56" s="14"/>
      <c r="S56" s="14"/>
      <c r="T56" s="14"/>
      <c r="U56" s="14"/>
      <c r="V56" s="14"/>
    </row>
    <row r="57">
      <c r="A57" s="25"/>
      <c r="B57" s="158"/>
      <c r="C57" s="17"/>
      <c r="D57" s="162"/>
      <c r="E57" s="19"/>
      <c r="F57" s="25"/>
      <c r="G57" s="128"/>
      <c r="H57" s="160"/>
      <c r="I57" s="132" t="s">
        <v>81</v>
      </c>
      <c r="J57" s="29">
        <v>2.5</v>
      </c>
      <c r="K57" s="163"/>
      <c r="L57" s="164"/>
      <c r="M57" s="31" t="s">
        <v>68</v>
      </c>
      <c r="N57" s="29">
        <v>3.778</v>
      </c>
      <c r="O57" s="14"/>
      <c r="P57" s="14"/>
      <c r="Q57" s="14"/>
      <c r="R57" s="14"/>
      <c r="S57" s="14"/>
      <c r="T57" s="14"/>
      <c r="U57" s="14"/>
      <c r="V57" s="14"/>
    </row>
    <row r="58">
      <c r="A58" s="39"/>
      <c r="B58" s="165"/>
      <c r="C58" s="17"/>
      <c r="D58" s="33"/>
      <c r="E58" s="19"/>
      <c r="F58" s="20"/>
      <c r="G58" s="133"/>
      <c r="H58" s="160"/>
      <c r="I58" s="135" t="s">
        <v>160</v>
      </c>
      <c r="J58" s="20">
        <v>2.5</v>
      </c>
      <c r="K58" s="166"/>
      <c r="L58" s="166"/>
      <c r="M58" s="24" t="s">
        <v>56</v>
      </c>
      <c r="N58" s="20">
        <v>3.812</v>
      </c>
      <c r="O58" s="14"/>
      <c r="P58" s="14"/>
      <c r="Q58" s="14"/>
      <c r="R58" s="14"/>
      <c r="S58" s="14"/>
      <c r="T58" s="14"/>
      <c r="U58" s="14"/>
      <c r="V58" s="14"/>
    </row>
    <row r="59">
      <c r="A59" s="25"/>
      <c r="B59" s="158"/>
      <c r="C59" s="17"/>
      <c r="D59" s="162"/>
      <c r="E59" s="19"/>
      <c r="F59" s="40"/>
      <c r="G59" s="128"/>
      <c r="H59" s="157"/>
      <c r="I59" s="132" t="s">
        <v>29</v>
      </c>
      <c r="J59" s="29">
        <v>2.332</v>
      </c>
      <c r="K59" s="163"/>
      <c r="L59" s="163"/>
      <c r="M59" s="31" t="s">
        <v>184</v>
      </c>
      <c r="N59" s="29">
        <v>3.822</v>
      </c>
      <c r="O59" s="14"/>
      <c r="P59" s="14"/>
      <c r="Q59" s="14"/>
      <c r="R59" s="14"/>
      <c r="S59" s="14"/>
      <c r="T59" s="14"/>
      <c r="U59" s="14"/>
      <c r="V59" s="14"/>
    </row>
    <row r="60">
      <c r="A60" s="40"/>
      <c r="B60" s="167"/>
      <c r="C60" s="17"/>
      <c r="D60" s="36"/>
      <c r="E60" s="19"/>
      <c r="F60" s="20"/>
      <c r="G60" s="133"/>
      <c r="H60" s="168"/>
      <c r="I60" s="125" t="s">
        <v>113</v>
      </c>
      <c r="J60" s="20">
        <v>1.667</v>
      </c>
      <c r="K60" s="166"/>
      <c r="L60" s="166"/>
      <c r="M60" s="24" t="s">
        <v>84</v>
      </c>
      <c r="N60" s="20">
        <v>3.855</v>
      </c>
      <c r="O60" s="14"/>
      <c r="P60" s="14"/>
      <c r="Q60" s="14"/>
      <c r="R60" s="14"/>
      <c r="S60" s="14"/>
      <c r="T60" s="14"/>
      <c r="U60" s="14"/>
      <c r="V60" s="14"/>
    </row>
    <row r="61">
      <c r="A61" s="40"/>
      <c r="B61" s="165"/>
      <c r="C61" s="8"/>
      <c r="D61" s="6"/>
      <c r="E61" s="19"/>
      <c r="F61" s="25"/>
      <c r="G61" s="140"/>
      <c r="H61" s="169"/>
      <c r="I61" s="140" t="s">
        <v>168</v>
      </c>
      <c r="J61" s="29">
        <v>1.572</v>
      </c>
      <c r="K61" s="163"/>
      <c r="L61" s="163"/>
      <c r="M61" s="31" t="s">
        <v>41</v>
      </c>
      <c r="N61" s="29">
        <v>3.862</v>
      </c>
      <c r="O61" s="14"/>
      <c r="P61" s="14"/>
      <c r="Q61" s="14"/>
      <c r="R61" s="14"/>
      <c r="S61" s="14"/>
      <c r="T61" s="14"/>
      <c r="U61" s="14"/>
      <c r="V61" s="14"/>
    </row>
    <row r="62">
      <c r="A62" s="40"/>
      <c r="B62" s="158"/>
      <c r="C62" s="36"/>
      <c r="D62" s="36"/>
      <c r="E62" s="19"/>
      <c r="F62" s="39"/>
      <c r="G62" s="133"/>
      <c r="H62" s="170"/>
      <c r="I62" s="125" t="s">
        <v>106</v>
      </c>
      <c r="J62" s="20">
        <v>0.915</v>
      </c>
      <c r="K62" s="166"/>
      <c r="L62" s="166"/>
      <c r="M62" s="24" t="s">
        <v>187</v>
      </c>
      <c r="N62" s="20">
        <v>3.866</v>
      </c>
      <c r="O62" s="14"/>
      <c r="P62" s="14"/>
      <c r="Q62" s="14"/>
      <c r="R62" s="14"/>
      <c r="S62" s="14"/>
      <c r="T62" s="14"/>
      <c r="U62" s="14"/>
      <c r="V62" s="14"/>
    </row>
    <row r="63">
      <c r="A63" s="39"/>
      <c r="B63" s="152"/>
      <c r="C63" s="17"/>
      <c r="D63" s="33"/>
      <c r="E63" s="19"/>
      <c r="F63" s="25"/>
      <c r="G63" s="128"/>
      <c r="H63" s="171"/>
      <c r="I63" s="132" t="s">
        <v>173</v>
      </c>
      <c r="J63" s="29">
        <v>0.417</v>
      </c>
      <c r="K63" s="163"/>
      <c r="L63" s="163"/>
      <c r="M63" s="31" t="s">
        <v>48</v>
      </c>
      <c r="N63" s="29">
        <v>3.866</v>
      </c>
      <c r="O63" s="14"/>
      <c r="P63" s="14"/>
      <c r="Q63" s="14"/>
      <c r="R63" s="14"/>
      <c r="S63" s="14"/>
      <c r="T63" s="14"/>
      <c r="U63" s="14"/>
      <c r="V63" s="14"/>
    </row>
    <row r="64">
      <c r="A64" s="8"/>
      <c r="B64" s="17"/>
      <c r="C64" s="9"/>
      <c r="D64" s="172"/>
      <c r="E64" s="19"/>
      <c r="F64" s="166"/>
      <c r="G64" s="166"/>
      <c r="H64" s="166"/>
      <c r="I64" s="166"/>
      <c r="J64" s="173"/>
      <c r="K64" s="166"/>
      <c r="L64" s="166"/>
      <c r="M64" s="24" t="s">
        <v>71</v>
      </c>
      <c r="N64" s="20">
        <v>3.876</v>
      </c>
      <c r="O64" s="14"/>
      <c r="P64" s="14"/>
      <c r="Q64" s="14"/>
      <c r="R64" s="14"/>
      <c r="S64" s="14"/>
      <c r="T64" s="14"/>
      <c r="U64" s="14"/>
      <c r="V64" s="14"/>
    </row>
    <row r="65">
      <c r="A65" s="14"/>
      <c r="B65" s="14"/>
      <c r="C65" s="14"/>
      <c r="D65" s="14"/>
      <c r="E65" s="19"/>
      <c r="F65" s="174"/>
      <c r="G65" s="174"/>
      <c r="H65" s="174"/>
      <c r="I65" s="174"/>
      <c r="J65" s="175"/>
      <c r="K65" s="163"/>
      <c r="L65" s="163"/>
      <c r="M65" s="31" t="s">
        <v>46</v>
      </c>
      <c r="N65" s="29">
        <v>3.923</v>
      </c>
      <c r="O65" s="14"/>
      <c r="P65" s="14"/>
      <c r="Q65" s="14"/>
      <c r="R65" s="14"/>
      <c r="S65" s="14"/>
      <c r="T65" s="14"/>
      <c r="U65" s="14"/>
      <c r="V65" s="14"/>
    </row>
    <row r="66">
      <c r="A66" s="14"/>
      <c r="B66" s="14"/>
      <c r="C66" s="14"/>
      <c r="D66" s="14"/>
      <c r="E66" s="19"/>
      <c r="F66" s="174"/>
      <c r="G66" s="174"/>
      <c r="H66" s="176"/>
      <c r="I66" s="174"/>
      <c r="J66" s="175"/>
      <c r="K66" s="166"/>
      <c r="L66" s="166"/>
      <c r="M66" s="24" t="s">
        <v>38</v>
      </c>
      <c r="N66" s="20">
        <v>3.955</v>
      </c>
      <c r="O66" s="14"/>
      <c r="P66" s="14"/>
      <c r="Q66" s="14"/>
      <c r="R66" s="14"/>
      <c r="S66" s="14"/>
      <c r="T66" s="14"/>
      <c r="U66" s="14"/>
      <c r="V66" s="14"/>
    </row>
    <row r="67">
      <c r="A67" s="14"/>
      <c r="B67" s="14"/>
      <c r="C67" s="14"/>
      <c r="D67" s="14"/>
      <c r="E67" s="19"/>
      <c r="F67" s="174"/>
      <c r="G67" s="174"/>
      <c r="H67" s="176"/>
      <c r="I67" s="174"/>
      <c r="J67" s="175"/>
      <c r="K67" s="163"/>
      <c r="L67" s="163"/>
      <c r="M67" s="31" t="s">
        <v>191</v>
      </c>
      <c r="N67" s="29">
        <v>4.0</v>
      </c>
      <c r="O67" s="14"/>
      <c r="P67" s="14"/>
      <c r="Q67" s="14"/>
      <c r="R67" s="14"/>
      <c r="S67" s="14"/>
      <c r="T67" s="14"/>
      <c r="U67" s="14"/>
      <c r="V67" s="14"/>
    </row>
    <row r="68">
      <c r="A68" s="14"/>
      <c r="B68" s="14"/>
      <c r="C68" s="14"/>
      <c r="D68" s="14"/>
      <c r="E68" s="19"/>
      <c r="F68" s="174"/>
      <c r="G68" s="174"/>
      <c r="H68" s="174"/>
      <c r="I68" s="174"/>
      <c r="J68" s="175"/>
      <c r="K68" s="166"/>
      <c r="L68" s="166"/>
      <c r="M68" s="24" t="s">
        <v>57</v>
      </c>
      <c r="N68" s="20">
        <v>4.0</v>
      </c>
      <c r="O68" s="14"/>
      <c r="P68" s="14"/>
      <c r="Q68" s="14"/>
      <c r="R68" s="14"/>
      <c r="S68" s="14"/>
      <c r="T68" s="14"/>
      <c r="U68" s="14"/>
      <c r="V68" s="14"/>
    </row>
    <row r="69">
      <c r="A69" s="14"/>
      <c r="B69" s="14"/>
      <c r="C69" s="14"/>
      <c r="D69" s="14"/>
      <c r="E69" s="14"/>
      <c r="F69" s="14"/>
      <c r="G69" s="14"/>
      <c r="H69" s="14"/>
      <c r="I69" s="14"/>
      <c r="J69" s="14"/>
      <c r="K69" s="14"/>
      <c r="L69" s="14"/>
      <c r="M69" s="14"/>
      <c r="N69" s="14"/>
      <c r="O69" s="14"/>
      <c r="P69" s="14"/>
      <c r="Q69" s="14"/>
      <c r="R69" s="14"/>
      <c r="S69" s="14"/>
      <c r="T69" s="14"/>
      <c r="U69" s="14"/>
      <c r="V69" s="14"/>
    </row>
    <row r="70">
      <c r="A70" s="14"/>
      <c r="B70" s="14"/>
      <c r="C70" s="14"/>
      <c r="D70" s="14"/>
      <c r="E70" s="14"/>
      <c r="F70" s="14"/>
      <c r="G70" s="14"/>
      <c r="H70" s="14"/>
      <c r="I70" s="14"/>
      <c r="J70" s="14"/>
      <c r="K70" s="14"/>
      <c r="L70" s="14"/>
      <c r="M70" s="14"/>
      <c r="N70" s="14"/>
      <c r="O70" s="14"/>
      <c r="P70" s="14"/>
      <c r="Q70" s="14"/>
      <c r="R70" s="14"/>
      <c r="S70" s="14"/>
      <c r="T70" s="14"/>
      <c r="U70" s="14"/>
      <c r="V70" s="14"/>
    </row>
    <row r="71">
      <c r="A71" s="14"/>
      <c r="B71" s="14"/>
      <c r="C71" s="14"/>
      <c r="D71" s="14"/>
      <c r="E71" s="14"/>
      <c r="F71" s="14"/>
      <c r="G71" s="14"/>
      <c r="H71" s="14"/>
      <c r="I71" s="14"/>
      <c r="J71" s="14"/>
      <c r="K71" s="14"/>
      <c r="L71" s="14"/>
      <c r="M71" s="14"/>
      <c r="N71" s="14"/>
      <c r="O71" s="14"/>
      <c r="P71" s="14"/>
      <c r="Q71" s="14"/>
      <c r="R71" s="14"/>
      <c r="S71" s="14"/>
      <c r="T71" s="14"/>
      <c r="U71" s="14"/>
      <c r="V71" s="14"/>
    </row>
    <row r="72">
      <c r="A72" s="14"/>
      <c r="B72" s="14"/>
      <c r="C72" s="14"/>
      <c r="D72" s="14"/>
      <c r="E72" s="14"/>
      <c r="F72" s="14"/>
      <c r="G72" s="14"/>
      <c r="H72" s="14"/>
      <c r="I72" s="14"/>
      <c r="J72" s="14"/>
      <c r="K72" s="14"/>
      <c r="L72" s="14"/>
      <c r="M72" s="14"/>
      <c r="N72" s="14"/>
      <c r="O72" s="14"/>
      <c r="P72" s="14"/>
      <c r="Q72" s="14"/>
      <c r="R72" s="14"/>
      <c r="S72" s="14"/>
      <c r="T72" s="14"/>
      <c r="U72" s="14"/>
      <c r="V72" s="14"/>
    </row>
    <row r="73">
      <c r="A73" s="14"/>
      <c r="B73" s="14"/>
      <c r="C73" s="14"/>
      <c r="D73" s="14"/>
      <c r="E73" s="14"/>
      <c r="F73" s="14"/>
      <c r="G73" s="14"/>
      <c r="H73" s="14"/>
      <c r="I73" s="14"/>
      <c r="J73" s="14"/>
      <c r="K73" s="14"/>
      <c r="L73" s="14"/>
      <c r="M73" s="14"/>
      <c r="N73" s="14"/>
      <c r="O73" s="14"/>
      <c r="P73" s="14"/>
      <c r="Q73" s="14"/>
      <c r="R73" s="14"/>
      <c r="S73" s="14"/>
      <c r="T73" s="14"/>
      <c r="U73" s="14"/>
      <c r="V73" s="14"/>
    </row>
    <row r="74">
      <c r="A74" s="14"/>
      <c r="B74" s="14"/>
      <c r="C74" s="14"/>
      <c r="D74" s="14"/>
      <c r="E74" s="14"/>
      <c r="F74" s="14"/>
      <c r="G74" s="14"/>
      <c r="H74" s="14"/>
      <c r="I74" s="14"/>
      <c r="J74" s="14"/>
      <c r="K74" s="14"/>
      <c r="L74" s="14"/>
      <c r="M74" s="14"/>
      <c r="N74" s="14"/>
      <c r="O74" s="14"/>
      <c r="P74" s="14"/>
      <c r="Q74" s="14"/>
      <c r="R74" s="14"/>
      <c r="S74" s="14"/>
      <c r="T74" s="14"/>
      <c r="U74" s="14"/>
      <c r="V74" s="14"/>
    </row>
    <row r="75">
      <c r="A75" s="14"/>
      <c r="B75" s="14"/>
      <c r="C75" s="14"/>
      <c r="D75" s="14"/>
      <c r="E75" s="14"/>
      <c r="F75" s="14"/>
      <c r="G75" s="14"/>
      <c r="H75" s="14"/>
      <c r="I75" s="14"/>
      <c r="J75" s="14"/>
      <c r="K75" s="14"/>
      <c r="L75" s="14"/>
      <c r="M75" s="14"/>
      <c r="N75" s="14"/>
      <c r="O75" s="14"/>
      <c r="P75" s="14"/>
      <c r="Q75" s="14"/>
      <c r="R75" s="14"/>
      <c r="S75" s="14"/>
      <c r="T75" s="14"/>
      <c r="U75" s="14"/>
      <c r="V75" s="14"/>
    </row>
    <row r="76">
      <c r="A76" s="14"/>
      <c r="B76" s="14"/>
      <c r="C76" s="14"/>
      <c r="D76" s="14"/>
      <c r="E76" s="14"/>
      <c r="F76" s="14"/>
      <c r="G76" s="14"/>
      <c r="H76" s="14"/>
      <c r="I76" s="14"/>
      <c r="J76" s="14"/>
      <c r="K76" s="14"/>
      <c r="L76" s="14"/>
      <c r="M76" s="14"/>
      <c r="N76" s="14"/>
      <c r="O76" s="14"/>
      <c r="P76" s="14"/>
      <c r="Q76" s="14"/>
      <c r="R76" s="14"/>
      <c r="S76" s="14"/>
      <c r="T76" s="14"/>
      <c r="U76" s="14"/>
      <c r="V76" s="14"/>
    </row>
    <row r="77">
      <c r="A77" s="14"/>
      <c r="B77" s="14"/>
      <c r="C77" s="14"/>
      <c r="D77" s="14"/>
      <c r="E77" s="14"/>
      <c r="F77" s="14"/>
      <c r="G77" s="14"/>
      <c r="H77" s="14"/>
      <c r="I77" s="14"/>
      <c r="J77" s="14"/>
      <c r="K77" s="14"/>
      <c r="L77" s="14"/>
      <c r="M77" s="14"/>
      <c r="N77" s="14"/>
      <c r="O77" s="14"/>
      <c r="P77" s="14"/>
      <c r="Q77" s="14"/>
      <c r="R77" s="14"/>
      <c r="S77" s="14"/>
      <c r="T77" s="14"/>
      <c r="U77" s="14"/>
      <c r="V77" s="14"/>
    </row>
    <row r="78">
      <c r="A78" s="14"/>
      <c r="B78" s="14"/>
      <c r="C78" s="14"/>
      <c r="D78" s="14"/>
      <c r="E78" s="14"/>
      <c r="F78" s="14"/>
      <c r="G78" s="14"/>
      <c r="H78" s="14"/>
      <c r="I78" s="14"/>
      <c r="J78" s="14"/>
      <c r="K78" s="14"/>
      <c r="L78" s="14"/>
      <c r="M78" s="14"/>
      <c r="N78" s="14"/>
      <c r="O78" s="14"/>
      <c r="P78" s="14"/>
      <c r="Q78" s="14"/>
      <c r="R78" s="14"/>
      <c r="S78" s="14"/>
      <c r="T78" s="14"/>
      <c r="U78" s="14"/>
      <c r="V78" s="14"/>
    </row>
    <row r="79">
      <c r="A79" s="14"/>
      <c r="B79" s="14"/>
      <c r="C79" s="14"/>
      <c r="D79" s="14"/>
      <c r="E79" s="14"/>
      <c r="F79" s="14"/>
      <c r="G79" s="14"/>
      <c r="H79" s="14"/>
      <c r="I79" s="14"/>
      <c r="J79" s="14"/>
      <c r="K79" s="14"/>
      <c r="L79" s="14"/>
      <c r="M79" s="14"/>
      <c r="N79" s="14"/>
      <c r="O79" s="14"/>
      <c r="P79" s="14"/>
      <c r="Q79" s="14"/>
      <c r="R79" s="14"/>
      <c r="S79" s="14"/>
      <c r="T79" s="14"/>
      <c r="U79" s="14"/>
      <c r="V79" s="14"/>
    </row>
    <row r="80">
      <c r="A80" s="14"/>
      <c r="B80" s="14"/>
      <c r="C80" s="14"/>
      <c r="D80" s="14"/>
      <c r="E80" s="14"/>
      <c r="F80" s="14"/>
      <c r="G80" s="14"/>
      <c r="H80" s="14"/>
      <c r="I80" s="14"/>
      <c r="J80" s="14"/>
      <c r="K80" s="14"/>
      <c r="L80" s="14"/>
      <c r="M80" s="14"/>
      <c r="N80" s="14"/>
      <c r="O80" s="14"/>
      <c r="P80" s="14"/>
      <c r="Q80" s="14"/>
      <c r="R80" s="14"/>
      <c r="S80" s="14"/>
      <c r="T80" s="14"/>
      <c r="U80" s="14"/>
      <c r="V80" s="14"/>
    </row>
    <row r="81">
      <c r="A81" s="14"/>
      <c r="B81" s="14"/>
      <c r="C81" s="14"/>
      <c r="D81" s="14"/>
      <c r="E81" s="14"/>
      <c r="F81" s="14"/>
      <c r="G81" s="14"/>
      <c r="H81" s="14"/>
      <c r="I81" s="14"/>
      <c r="J81" s="14"/>
      <c r="K81" s="14"/>
      <c r="L81" s="14"/>
      <c r="M81" s="14"/>
      <c r="N81" s="14"/>
      <c r="O81" s="14"/>
      <c r="P81" s="14"/>
      <c r="Q81" s="14"/>
      <c r="R81" s="14"/>
      <c r="S81" s="14"/>
      <c r="T81" s="14"/>
      <c r="U81" s="14"/>
      <c r="V81" s="14"/>
    </row>
    <row r="82">
      <c r="A82" s="14"/>
      <c r="B82" s="14"/>
      <c r="C82" s="14"/>
      <c r="D82" s="14"/>
      <c r="E82" s="14"/>
      <c r="F82" s="14"/>
      <c r="G82" s="14"/>
      <c r="H82" s="14"/>
      <c r="I82" s="14"/>
      <c r="J82" s="14"/>
      <c r="K82" s="14"/>
      <c r="L82" s="14"/>
      <c r="M82" s="14"/>
      <c r="N82" s="14"/>
      <c r="O82" s="14"/>
      <c r="P82" s="14"/>
      <c r="Q82" s="14"/>
      <c r="R82" s="14"/>
      <c r="S82" s="14"/>
      <c r="T82" s="14"/>
      <c r="U82" s="14"/>
      <c r="V82" s="14"/>
    </row>
    <row r="83">
      <c r="A83" s="14"/>
      <c r="B83" s="14"/>
      <c r="C83" s="14"/>
      <c r="D83" s="14"/>
      <c r="E83" s="14"/>
      <c r="F83" s="14"/>
      <c r="G83" s="14"/>
      <c r="H83" s="14"/>
      <c r="I83" s="14"/>
      <c r="J83" s="14"/>
      <c r="K83" s="14"/>
      <c r="L83" s="14"/>
      <c r="M83" s="14"/>
      <c r="N83" s="14"/>
      <c r="O83" s="14"/>
      <c r="P83" s="14"/>
      <c r="Q83" s="14"/>
      <c r="R83" s="14"/>
      <c r="S83" s="14"/>
      <c r="T83" s="14"/>
      <c r="U83" s="14"/>
      <c r="V83" s="14"/>
    </row>
    <row r="84">
      <c r="A84" s="14"/>
      <c r="B84" s="14"/>
      <c r="C84" s="14"/>
      <c r="D84" s="14"/>
      <c r="E84" s="14"/>
      <c r="F84" s="14"/>
      <c r="G84" s="14"/>
      <c r="H84" s="14"/>
      <c r="I84" s="14"/>
      <c r="J84" s="14"/>
      <c r="K84" s="14"/>
      <c r="L84" s="14"/>
      <c r="M84" s="14"/>
      <c r="N84" s="14"/>
      <c r="O84" s="14"/>
      <c r="P84" s="14"/>
      <c r="Q84" s="14"/>
      <c r="R84" s="14"/>
      <c r="S84" s="14"/>
      <c r="T84" s="14"/>
      <c r="U84" s="14"/>
      <c r="V84" s="14"/>
    </row>
    <row r="85">
      <c r="A85" s="14"/>
      <c r="B85" s="14"/>
      <c r="C85" s="14"/>
      <c r="D85" s="14"/>
      <c r="E85" s="14"/>
      <c r="F85" s="14"/>
      <c r="G85" s="14"/>
      <c r="H85" s="14"/>
      <c r="I85" s="14"/>
      <c r="J85" s="14"/>
      <c r="K85" s="14"/>
      <c r="L85" s="14"/>
      <c r="M85" s="14"/>
      <c r="N85" s="14"/>
      <c r="O85" s="14"/>
      <c r="P85" s="14"/>
      <c r="Q85" s="14"/>
      <c r="R85" s="14"/>
      <c r="S85" s="14"/>
      <c r="T85" s="14"/>
      <c r="U85" s="14"/>
      <c r="V85" s="14"/>
    </row>
    <row r="86">
      <c r="A86" s="14"/>
      <c r="B86" s="14"/>
      <c r="C86" s="14"/>
      <c r="D86" s="14"/>
      <c r="E86" s="14"/>
      <c r="F86" s="14"/>
      <c r="G86" s="14"/>
      <c r="H86" s="14"/>
      <c r="I86" s="14"/>
      <c r="J86" s="14"/>
      <c r="K86" s="14"/>
      <c r="L86" s="14"/>
      <c r="M86" s="14"/>
      <c r="N86" s="14"/>
      <c r="O86" s="14"/>
      <c r="P86" s="14"/>
      <c r="Q86" s="14"/>
      <c r="R86" s="14"/>
      <c r="S86" s="14"/>
      <c r="T86" s="14"/>
      <c r="U86" s="14"/>
      <c r="V86" s="14"/>
    </row>
    <row r="87">
      <c r="A87" s="14"/>
      <c r="B87" s="14"/>
      <c r="C87" s="14"/>
      <c r="D87" s="14"/>
      <c r="E87" s="14"/>
      <c r="F87" s="14"/>
      <c r="G87" s="14"/>
      <c r="H87" s="14"/>
      <c r="I87" s="14"/>
      <c r="J87" s="14"/>
      <c r="K87" s="14"/>
      <c r="L87" s="14"/>
      <c r="M87" s="14"/>
      <c r="N87" s="14"/>
      <c r="O87" s="14"/>
      <c r="P87" s="14"/>
      <c r="Q87" s="14"/>
      <c r="R87" s="14"/>
      <c r="S87" s="14"/>
      <c r="T87" s="14"/>
      <c r="U87" s="14"/>
      <c r="V87" s="14"/>
    </row>
    <row r="88">
      <c r="A88" s="14"/>
      <c r="B88" s="14"/>
      <c r="C88" s="14"/>
      <c r="D88" s="14"/>
      <c r="E88" s="14"/>
      <c r="F88" s="14"/>
      <c r="G88" s="14"/>
      <c r="H88" s="14"/>
      <c r="I88" s="14"/>
      <c r="J88" s="14"/>
      <c r="K88" s="14"/>
      <c r="L88" s="14"/>
      <c r="M88" s="14"/>
      <c r="N88" s="14"/>
      <c r="O88" s="14"/>
      <c r="P88" s="14"/>
      <c r="Q88" s="14"/>
      <c r="R88" s="14"/>
      <c r="S88" s="14"/>
      <c r="T88" s="14"/>
      <c r="U88" s="14"/>
      <c r="V88" s="14"/>
    </row>
    <row r="89">
      <c r="A89" s="14"/>
      <c r="B89" s="14"/>
      <c r="C89" s="14"/>
      <c r="D89" s="14"/>
      <c r="E89" s="14"/>
      <c r="F89" s="14"/>
      <c r="G89" s="14"/>
      <c r="H89" s="14"/>
      <c r="I89" s="14"/>
      <c r="J89" s="14"/>
      <c r="K89" s="14"/>
      <c r="L89" s="14"/>
      <c r="M89" s="14"/>
      <c r="N89" s="14"/>
      <c r="O89" s="14"/>
      <c r="P89" s="14"/>
      <c r="Q89" s="14"/>
      <c r="R89" s="14"/>
      <c r="S89" s="14"/>
      <c r="T89" s="14"/>
      <c r="U89" s="14"/>
      <c r="V89" s="14"/>
    </row>
    <row r="90">
      <c r="A90" s="14"/>
      <c r="B90" s="14"/>
      <c r="C90" s="14"/>
      <c r="D90" s="14"/>
      <c r="E90" s="14"/>
      <c r="F90" s="14"/>
      <c r="G90" s="14"/>
      <c r="H90" s="14"/>
      <c r="I90" s="14"/>
      <c r="J90" s="14"/>
      <c r="K90" s="14"/>
      <c r="L90" s="14"/>
      <c r="M90" s="14"/>
      <c r="N90" s="14"/>
      <c r="O90" s="14"/>
      <c r="P90" s="14"/>
      <c r="Q90" s="14"/>
      <c r="R90" s="14"/>
      <c r="S90" s="14"/>
      <c r="T90" s="14"/>
      <c r="U90" s="14"/>
      <c r="V90" s="14"/>
    </row>
    <row r="91">
      <c r="A91" s="14"/>
      <c r="B91" s="14"/>
      <c r="C91" s="14"/>
      <c r="D91" s="14"/>
      <c r="E91" s="14"/>
      <c r="F91" s="14"/>
      <c r="G91" s="14"/>
      <c r="H91" s="14"/>
      <c r="I91" s="14"/>
      <c r="J91" s="14"/>
      <c r="K91" s="14"/>
      <c r="L91" s="14"/>
      <c r="M91" s="14"/>
      <c r="N91" s="14"/>
      <c r="O91" s="14"/>
      <c r="P91" s="14"/>
      <c r="Q91" s="14"/>
      <c r="R91" s="14"/>
      <c r="S91" s="14"/>
      <c r="T91" s="14"/>
      <c r="U91" s="14"/>
      <c r="V91" s="14"/>
    </row>
    <row r="92">
      <c r="A92" s="14"/>
      <c r="B92" s="14"/>
      <c r="C92" s="14"/>
      <c r="D92" s="14"/>
      <c r="E92" s="14"/>
      <c r="F92" s="14"/>
      <c r="G92" s="14"/>
      <c r="H92" s="14"/>
      <c r="I92" s="14"/>
      <c r="J92" s="14"/>
      <c r="K92" s="14"/>
      <c r="L92" s="14"/>
      <c r="M92" s="14"/>
      <c r="N92" s="14"/>
      <c r="O92" s="14"/>
      <c r="P92" s="14"/>
      <c r="Q92" s="14"/>
      <c r="R92" s="14"/>
      <c r="S92" s="14"/>
      <c r="T92" s="14"/>
      <c r="U92" s="14"/>
      <c r="V92" s="14"/>
    </row>
    <row r="93">
      <c r="A93" s="14"/>
      <c r="B93" s="14"/>
      <c r="C93" s="14"/>
      <c r="D93" s="14"/>
      <c r="E93" s="14"/>
      <c r="F93" s="14"/>
      <c r="G93" s="14"/>
      <c r="H93" s="14"/>
      <c r="I93" s="14"/>
      <c r="J93" s="14"/>
      <c r="K93" s="14"/>
      <c r="L93" s="14"/>
      <c r="M93" s="14"/>
      <c r="N93" s="14"/>
      <c r="O93" s="14"/>
      <c r="P93" s="14"/>
      <c r="Q93" s="14"/>
      <c r="R93" s="14"/>
      <c r="S93" s="14"/>
      <c r="T93" s="14"/>
      <c r="U93" s="14"/>
      <c r="V93" s="14"/>
    </row>
    <row r="94">
      <c r="A94" s="14"/>
      <c r="B94" s="14"/>
      <c r="C94" s="14"/>
      <c r="D94" s="14"/>
      <c r="E94" s="14"/>
      <c r="F94" s="14"/>
      <c r="G94" s="14"/>
      <c r="H94" s="14"/>
      <c r="I94" s="14"/>
      <c r="J94" s="14"/>
      <c r="K94" s="14"/>
      <c r="L94" s="14"/>
      <c r="M94" s="14"/>
      <c r="N94" s="14"/>
      <c r="O94" s="14"/>
      <c r="P94" s="14"/>
      <c r="Q94" s="14"/>
      <c r="R94" s="14"/>
      <c r="S94" s="14"/>
      <c r="T94" s="14"/>
      <c r="U94" s="14"/>
      <c r="V94" s="14"/>
    </row>
    <row r="95">
      <c r="A95" s="14"/>
      <c r="B95" s="14"/>
      <c r="C95" s="14"/>
      <c r="D95" s="14"/>
      <c r="E95" s="14"/>
      <c r="F95" s="14"/>
      <c r="G95" s="14"/>
      <c r="H95" s="14"/>
      <c r="I95" s="14"/>
      <c r="J95" s="14"/>
      <c r="K95" s="14"/>
      <c r="L95" s="14"/>
      <c r="M95" s="14"/>
      <c r="N95" s="14"/>
      <c r="O95" s="14"/>
      <c r="P95" s="14"/>
      <c r="Q95" s="14"/>
      <c r="R95" s="14"/>
      <c r="S95" s="14"/>
      <c r="T95" s="14"/>
      <c r="U95" s="14"/>
      <c r="V95" s="14"/>
    </row>
    <row r="96">
      <c r="A96" s="14"/>
      <c r="B96" s="14"/>
      <c r="C96" s="14"/>
      <c r="D96" s="14"/>
      <c r="E96" s="14"/>
      <c r="F96" s="14"/>
      <c r="G96" s="14"/>
      <c r="H96" s="14"/>
      <c r="I96" s="14"/>
      <c r="J96" s="14"/>
      <c r="K96" s="14"/>
      <c r="L96" s="14"/>
      <c r="M96" s="14"/>
      <c r="N96" s="14"/>
      <c r="O96" s="14"/>
      <c r="P96" s="14"/>
      <c r="Q96" s="14"/>
      <c r="R96" s="14"/>
      <c r="S96" s="14"/>
      <c r="T96" s="14"/>
      <c r="U96" s="14"/>
      <c r="V96" s="14"/>
    </row>
    <row r="97">
      <c r="A97" s="14"/>
      <c r="B97" s="14"/>
      <c r="C97" s="14"/>
      <c r="D97" s="14"/>
      <c r="E97" s="14"/>
      <c r="F97" s="14"/>
      <c r="G97" s="14"/>
      <c r="H97" s="14"/>
      <c r="I97" s="14"/>
      <c r="J97" s="14"/>
      <c r="K97" s="14"/>
      <c r="L97" s="14"/>
      <c r="M97" s="14"/>
      <c r="N97" s="14"/>
      <c r="O97" s="14"/>
      <c r="P97" s="14"/>
      <c r="Q97" s="14"/>
      <c r="R97" s="14"/>
      <c r="S97" s="14"/>
      <c r="T97" s="14"/>
      <c r="U97" s="14"/>
      <c r="V97" s="14"/>
    </row>
    <row r="98">
      <c r="A98" s="14"/>
      <c r="B98" s="14"/>
      <c r="C98" s="14"/>
      <c r="D98" s="14"/>
      <c r="E98" s="14"/>
      <c r="F98" s="14"/>
      <c r="G98" s="14"/>
      <c r="H98" s="14"/>
      <c r="I98" s="14"/>
      <c r="J98" s="14"/>
      <c r="K98" s="14"/>
      <c r="L98" s="14"/>
      <c r="M98" s="14"/>
      <c r="N98" s="14"/>
      <c r="O98" s="14"/>
      <c r="P98" s="14"/>
      <c r="Q98" s="14"/>
      <c r="R98" s="14"/>
      <c r="S98" s="14"/>
      <c r="T98" s="14"/>
      <c r="U98" s="14"/>
      <c r="V98" s="14"/>
    </row>
    <row r="99">
      <c r="A99" s="14"/>
      <c r="B99" s="14"/>
      <c r="C99" s="14"/>
      <c r="D99" s="14"/>
      <c r="E99" s="14"/>
      <c r="F99" s="14"/>
      <c r="G99" s="14"/>
      <c r="H99" s="14"/>
      <c r="I99" s="14"/>
      <c r="J99" s="14"/>
      <c r="K99" s="14"/>
      <c r="L99" s="14"/>
      <c r="M99" s="14"/>
      <c r="N99" s="14"/>
      <c r="O99" s="14"/>
      <c r="P99" s="14"/>
      <c r="Q99" s="14"/>
      <c r="R99" s="14"/>
      <c r="S99" s="14"/>
      <c r="T99" s="14"/>
      <c r="U99" s="14"/>
      <c r="V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row>
  </sheetData>
  <conditionalFormatting sqref="C1:C63 G1:G56 D5 D15:D18">
    <cfRule type="colorScale" priority="1">
      <colorScale>
        <cfvo type="min"/>
        <cfvo type="formula" val="3.331"/>
        <cfvo type="max"/>
        <color rgb="FFE67C73"/>
        <color rgb="FFFFFFFF"/>
        <color rgb="FF57BB8A"/>
      </colorScale>
    </cfRule>
  </conditionalFormatting>
  <conditionalFormatting sqref="D1:D63">
    <cfRule type="colorScale" priority="2">
      <colorScale>
        <cfvo type="min"/>
        <cfvo type="formula" val="3.2"/>
        <cfvo type="max"/>
        <color rgb="FFE67C73"/>
        <color rgb="FFFFFFFF"/>
        <color rgb="FF57BB8A"/>
      </colorScale>
    </cfRule>
  </conditionalFormatting>
  <drawing r:id="rId1"/>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7.88"/>
    <col customWidth="1" min="3" max="3" width="8.0"/>
    <col customWidth="1" min="4" max="4" width="15.75"/>
    <col customWidth="1" min="5" max="5" width="8.0"/>
    <col customWidth="1" min="6" max="6" width="19.13"/>
    <col customWidth="1" min="7" max="7" width="8.0"/>
    <col customWidth="1" min="8" max="8" width="17.25"/>
    <col customWidth="1" min="9" max="9" width="8.0"/>
    <col customWidth="1" min="10" max="10" width="15.88"/>
    <col customWidth="1" min="11" max="11" width="8.0"/>
    <col customWidth="1" min="12" max="12" width="17.63"/>
    <col customWidth="1" min="13" max="13" width="8.0"/>
    <col customWidth="1" min="14" max="14" width="17.38"/>
    <col customWidth="1" min="15" max="15" width="8.0"/>
    <col customWidth="1" min="16" max="16" width="2.75"/>
    <col customWidth="1" min="17" max="17" width="16.5"/>
    <col customWidth="1" min="18" max="18" width="16.63"/>
    <col customWidth="1" min="19" max="19" width="5.25"/>
    <col customWidth="1" min="20" max="21" width="18.75"/>
    <col customWidth="1" min="22" max="22" width="16.25"/>
    <col customWidth="1" min="23" max="23" width="17.38"/>
    <col customWidth="1" min="24" max="24" width="17.0"/>
    <col customWidth="1" min="25" max="25" width="17.38"/>
    <col customWidth="1" min="26" max="26" width="16.75"/>
    <col customWidth="1" min="27" max="34" width="2.13"/>
  </cols>
  <sheetData>
    <row r="1">
      <c r="A1" s="90" t="s">
        <v>131</v>
      </c>
      <c r="B1" s="92"/>
      <c r="C1" s="92"/>
      <c r="D1" s="92"/>
      <c r="E1" s="92"/>
      <c r="F1" s="92"/>
      <c r="G1" s="92"/>
      <c r="H1" s="92"/>
      <c r="I1" s="92"/>
      <c r="J1" s="92"/>
      <c r="K1" s="92"/>
      <c r="L1" s="92"/>
      <c r="M1" s="92"/>
      <c r="N1" s="92"/>
      <c r="O1" s="92"/>
      <c r="P1" s="94"/>
      <c r="V1" s="14"/>
      <c r="W1" s="14"/>
      <c r="X1" s="14"/>
      <c r="Y1" s="14"/>
      <c r="Z1" s="14"/>
      <c r="AA1" s="14"/>
      <c r="AB1" s="14"/>
      <c r="AC1" s="14"/>
      <c r="AD1" s="14"/>
      <c r="AE1" s="14"/>
      <c r="AF1" s="14"/>
      <c r="AG1" s="14"/>
      <c r="AH1" s="14"/>
    </row>
    <row r="2">
      <c r="A2" s="96" t="s">
        <v>139</v>
      </c>
      <c r="B2" s="97" t="s">
        <v>94</v>
      </c>
      <c r="C2" s="104" t="str">
        <f t="array" ref="C2">IFERROR(INDEX(SIN(, MATCH($B2, Chapter,0)),""),"")</f>
        <v/>
      </c>
      <c r="D2" s="97" t="s">
        <v>72</v>
      </c>
      <c r="E2" s="96">
        <f t="array" ref="E2">IFERROR(INDEX(Seven, MATCH($D2, Chapter,0)),"")</f>
        <v>2.626</v>
      </c>
      <c r="F2" s="97" t="s">
        <v>113</v>
      </c>
      <c r="G2" s="96">
        <f t="array" ref="G2">IFERROR(INDEX(Seven, MATCH($D2, Chapter,0)),"")</f>
        <v>2.626</v>
      </c>
      <c r="H2" s="97" t="s">
        <v>110</v>
      </c>
      <c r="I2" s="111">
        <f t="array" ref="I2">IFERROR(INDEX(Seven, MATCH($H2, Chapter,0)),"")</f>
        <v>2.665</v>
      </c>
      <c r="J2" s="97" t="s">
        <v>44</v>
      </c>
      <c r="K2" s="96">
        <f t="array" ref="K2">IFERROR(INDEX(Seven, MATCH($J2, Chapter,0)),"")</f>
        <v>3.845</v>
      </c>
      <c r="L2" s="97" t="s">
        <v>102</v>
      </c>
      <c r="M2" s="96">
        <f t="array" ref="M2">IFERROR(INDEX(Seven, MATCH($L2, Chapter,0)),"")</f>
        <v>2.934</v>
      </c>
      <c r="N2" s="97" t="s">
        <v>40</v>
      </c>
      <c r="O2" s="96">
        <f t="array" ref="O2">IFERROR(INDEX(Seven, MATCH($N2, Chapter,0)),"")</f>
        <v>4</v>
      </c>
      <c r="P2" s="120" t="s">
        <v>139</v>
      </c>
      <c r="Q2" s="14"/>
      <c r="R2" s="17" t="s">
        <v>19</v>
      </c>
      <c r="S2" s="123" t="s">
        <v>161</v>
      </c>
      <c r="T2" s="124"/>
      <c r="U2" s="124"/>
      <c r="V2" s="124"/>
      <c r="W2" s="124"/>
      <c r="X2" s="124"/>
      <c r="Y2" s="124"/>
      <c r="Z2" s="127"/>
      <c r="AA2" s="14"/>
      <c r="AB2" s="14"/>
      <c r="AC2" s="14"/>
      <c r="AD2" s="14"/>
      <c r="AE2" s="14"/>
      <c r="AF2" s="14"/>
      <c r="AG2" s="14"/>
      <c r="AH2" s="14"/>
    </row>
    <row r="3">
      <c r="A3" s="129">
        <v>1.0</v>
      </c>
      <c r="B3" s="131" t="s">
        <v>55</v>
      </c>
      <c r="C3" s="136">
        <f t="array" ref="C3">IFERROR(INDEX(SIx, MATCH($B3, Chapter,0)),"")</f>
        <v>3.856</v>
      </c>
      <c r="D3" s="138" t="s">
        <v>60</v>
      </c>
      <c r="E3" s="142">
        <f t="array" ref="E3">IFERROR(INDEX(Seven, MATCH($D3, Chapter,0)),"")</f>
        <v>4</v>
      </c>
      <c r="F3" s="144" t="s">
        <v>38</v>
      </c>
      <c r="G3" s="142">
        <f t="array" ref="G3">IFERROR(INDEX(Seven, MATCH($F3, Chapter,0)),"")</f>
        <v>3.5</v>
      </c>
      <c r="H3" s="144" t="s">
        <v>48</v>
      </c>
      <c r="I3" s="150">
        <f t="array" ref="I3">IFERROR(INDEX(Seven, MATCH($H3, Chapter,0)),"")</f>
        <v>3.53</v>
      </c>
      <c r="J3" s="151" t="s">
        <v>46</v>
      </c>
      <c r="K3" s="142">
        <f t="array" ref="K3">IFERROR(INDEX(Seven, MATCH($J3, Chapter,0)),"")</f>
        <v>3.668</v>
      </c>
      <c r="L3" s="156" t="s">
        <v>64</v>
      </c>
      <c r="M3" s="142">
        <f t="array" ref="M3">IFERROR(INDEX(Seven, MATCH($L3, Chapter,0)),"")</f>
        <v>4</v>
      </c>
      <c r="N3" s="129" t="s">
        <v>53</v>
      </c>
      <c r="O3" s="142">
        <f t="array" ref="O3">IFERROR(INDEX(Seven, MATCH($N3, Chapter,0)),"")</f>
        <v>3.833</v>
      </c>
      <c r="P3" s="177">
        <v>1.0</v>
      </c>
      <c r="Q3" s="14"/>
      <c r="R3" s="14"/>
      <c r="S3" s="178" t="s">
        <v>193</v>
      </c>
      <c r="T3" s="179" t="s">
        <v>45</v>
      </c>
      <c r="U3" s="179" t="s">
        <v>60</v>
      </c>
      <c r="V3" s="179" t="s">
        <v>195</v>
      </c>
      <c r="W3" s="179" t="s">
        <v>196</v>
      </c>
      <c r="X3" s="179" t="s">
        <v>197</v>
      </c>
      <c r="Y3" s="179" t="s">
        <v>198</v>
      </c>
      <c r="Z3" s="180" t="s">
        <v>199</v>
      </c>
      <c r="AA3" s="14"/>
      <c r="AB3" s="14"/>
      <c r="AC3" s="14"/>
      <c r="AD3" s="14"/>
      <c r="AE3" s="14"/>
      <c r="AF3" s="14"/>
      <c r="AG3" s="14"/>
      <c r="AH3" s="14"/>
    </row>
    <row r="4">
      <c r="A4" s="181">
        <v>2.0</v>
      </c>
      <c r="B4" s="182" t="s">
        <v>83</v>
      </c>
      <c r="C4" s="104">
        <f t="array" ref="C4">IFERROR(INDEX(Seven, MATCH($B4, Chapter,0)),"")</f>
        <v>3.69</v>
      </c>
      <c r="D4" s="182" t="s">
        <v>61</v>
      </c>
      <c r="E4" s="96">
        <f t="array" ref="E4">IFERROR(INDEX(Seven, MATCH($D4, Chapter,0)),"")</f>
        <v>3.856</v>
      </c>
      <c r="F4" s="183" t="s">
        <v>158</v>
      </c>
      <c r="G4" s="96">
        <f t="array" ref="G4">IFERROR(INDEX(Seven, MATCH($F4, Chapter,0)),"")</f>
        <v>2</v>
      </c>
      <c r="H4" s="184" t="s">
        <v>92</v>
      </c>
      <c r="I4" s="111">
        <f t="array" ref="I4">IFERROR(INDEX(Seven, MATCH($H4, Chapter,0)),"")</f>
        <v>3.75</v>
      </c>
      <c r="J4" s="182" t="s">
        <v>76</v>
      </c>
      <c r="K4" s="96">
        <f t="array" ref="K4">IFERROR(INDEX(Seven, MATCH($J4, Chapter,0)),"")</f>
        <v>3.75</v>
      </c>
      <c r="L4" s="181" t="s">
        <v>87</v>
      </c>
      <c r="M4" s="96">
        <f t="array" ref="M4">IFERROR(INDEX(Seven, MATCH($L4, Chapter,0)),"")</f>
        <v>2.667</v>
      </c>
      <c r="N4" s="184" t="s">
        <v>45</v>
      </c>
      <c r="O4" s="96">
        <f t="array" ref="O4">IFERROR(INDEX(Seven, MATCH($N4, Chapter,0)),"")</f>
        <v>4</v>
      </c>
      <c r="P4" s="185">
        <v>2.0</v>
      </c>
      <c r="Q4" s="14"/>
      <c r="R4" s="186" t="s">
        <v>208</v>
      </c>
      <c r="S4" s="187">
        <v>1.0</v>
      </c>
      <c r="T4" s="188" t="s">
        <v>213</v>
      </c>
      <c r="U4" s="179" t="s">
        <v>215</v>
      </c>
      <c r="V4" s="189" t="s">
        <v>34</v>
      </c>
      <c r="W4" s="179" t="s">
        <v>191</v>
      </c>
      <c r="X4" s="189" t="s">
        <v>216</v>
      </c>
      <c r="Y4" s="180" t="s">
        <v>217</v>
      </c>
      <c r="Z4" s="190" t="s">
        <v>127</v>
      </c>
      <c r="AA4" s="14"/>
      <c r="AB4" s="14"/>
      <c r="AC4" s="14"/>
      <c r="AD4" s="14"/>
      <c r="AE4" s="14"/>
      <c r="AF4" s="14"/>
      <c r="AG4" s="14"/>
      <c r="AH4" s="14"/>
    </row>
    <row r="5">
      <c r="A5" s="129">
        <v>3.0</v>
      </c>
      <c r="B5" s="191" t="s">
        <v>114</v>
      </c>
      <c r="C5" s="136">
        <f t="array" ref="C5">IFERROR(INDEX(Seven, MATCH($B5, Chapter,0)),"")</f>
        <v>3.083</v>
      </c>
      <c r="D5" s="192" t="s">
        <v>109</v>
      </c>
      <c r="E5" s="142">
        <f t="array" ref="E5">IFERROR(INDEX(Seven, MATCH($D5, Chapter,0)),"")</f>
        <v>3.744</v>
      </c>
      <c r="F5" s="193" t="s">
        <v>96</v>
      </c>
      <c r="G5" s="142">
        <f t="array" ref="G5">IFERROR(INDEX(Seven, MATCH($F5, Chapter,0)),"")</f>
        <v>3.308</v>
      </c>
      <c r="H5" s="193" t="s">
        <v>90</v>
      </c>
      <c r="I5" s="150">
        <f t="array" ref="I5">IFERROR(INDEX(Seven, MATCH($H5, Chapter,0)),"")</f>
        <v>3</v>
      </c>
      <c r="J5" s="191" t="s">
        <v>73</v>
      </c>
      <c r="K5" s="142">
        <f t="array" ref="K5">IFERROR(INDEX(Seven, MATCH($J5, Chapter,0)),"")</f>
        <v>3.687</v>
      </c>
      <c r="L5" s="194" t="s">
        <v>117</v>
      </c>
      <c r="M5" s="142">
        <f t="array" ref="M5">IFERROR(INDEX(Seven, MATCH($L5, Chapter,0)),"")</f>
        <v>2.645</v>
      </c>
      <c r="N5" s="193" t="s">
        <v>47</v>
      </c>
      <c r="O5" s="142">
        <f t="array" ref="O5">IFERROR(INDEX(Seven, MATCH($N5, Chapter,0)),"")</f>
        <v>3.534</v>
      </c>
      <c r="P5" s="177">
        <v>3.0</v>
      </c>
      <c r="Q5" s="14"/>
      <c r="R5" s="195" t="s">
        <v>220</v>
      </c>
      <c r="S5" s="196">
        <v>2.0</v>
      </c>
      <c r="T5" s="197" t="s">
        <v>187</v>
      </c>
      <c r="U5" s="198" t="s">
        <v>105</v>
      </c>
      <c r="V5" s="199" t="s">
        <v>73</v>
      </c>
      <c r="W5" s="198" t="s">
        <v>41</v>
      </c>
      <c r="X5" s="199" t="s">
        <v>71</v>
      </c>
      <c r="Y5" s="201" t="s">
        <v>221</v>
      </c>
      <c r="Z5" s="203" t="s">
        <v>62</v>
      </c>
      <c r="AA5" s="14"/>
      <c r="AB5" s="14"/>
      <c r="AC5" s="14"/>
      <c r="AD5" s="14"/>
      <c r="AE5" s="14"/>
      <c r="AF5" s="14"/>
      <c r="AG5" s="14"/>
      <c r="AH5" s="14"/>
    </row>
    <row r="6">
      <c r="A6" s="181">
        <v>4.0</v>
      </c>
      <c r="B6" s="205" t="s">
        <v>133</v>
      </c>
      <c r="C6" s="104">
        <f t="array" ref="C6">IFERROR(INDEX(Seven, MATCH($B6, Chapter,0)),"")</f>
        <v>2.89</v>
      </c>
      <c r="D6" s="207" t="s">
        <v>147</v>
      </c>
      <c r="E6" s="96">
        <f t="array" ref="E6">IFERROR(INDEX(Seven, MATCH($D6, Chapter,0)),"")</f>
        <v>3.585</v>
      </c>
      <c r="F6" s="183" t="s">
        <v>104</v>
      </c>
      <c r="G6" s="96">
        <f t="array" ref="G6">IFERROR(INDEX(Seven, MATCH($F6, Chapter,0)),"")</f>
        <v>3.14</v>
      </c>
      <c r="H6" s="104" t="s">
        <v>222</v>
      </c>
      <c r="I6" s="111">
        <f t="array" ref="I6">IFERROR(INDEX(Seven, MATCH($H6, Chapter,0)),"")</f>
        <v>2</v>
      </c>
      <c r="J6" s="211" t="s">
        <v>79</v>
      </c>
      <c r="K6" s="96">
        <f t="array" ref="K6">IFERROR(INDEX(Seven, MATCH($J6, Chapter,0)),"")</f>
        <v>3.134</v>
      </c>
      <c r="L6" s="212" t="s">
        <v>143</v>
      </c>
      <c r="M6" s="96">
        <f t="array" ref="M6">IFERROR(INDEX(Seven, MATCH($L6, Chapter,0)),"")</f>
        <v>2.95</v>
      </c>
      <c r="N6" s="183" t="s">
        <v>126</v>
      </c>
      <c r="O6" s="96">
        <f t="array" ref="O6">IFERROR(INDEX(Seven, MATCH($N6, Chapter,0)),"")</f>
        <v>3.083</v>
      </c>
      <c r="P6" s="185">
        <v>4.0</v>
      </c>
      <c r="Q6" s="14"/>
      <c r="R6" s="213" t="s">
        <v>227</v>
      </c>
      <c r="S6" s="187">
        <v>3.0</v>
      </c>
      <c r="T6" s="215" t="s">
        <v>141</v>
      </c>
      <c r="U6" s="198" t="s">
        <v>228</v>
      </c>
      <c r="V6" s="216" t="s">
        <v>176</v>
      </c>
      <c r="W6" s="198" t="s">
        <v>229</v>
      </c>
      <c r="X6" s="199" t="s">
        <v>61</v>
      </c>
      <c r="Y6" s="198" t="s">
        <v>48</v>
      </c>
      <c r="Z6" s="203" t="s">
        <v>230</v>
      </c>
      <c r="AA6" s="14"/>
      <c r="AB6" s="14"/>
      <c r="AC6" s="14"/>
      <c r="AD6" s="14"/>
      <c r="AE6" s="14"/>
      <c r="AF6" s="14"/>
      <c r="AG6" s="14"/>
      <c r="AH6" s="14"/>
    </row>
    <row r="7">
      <c r="A7" s="129">
        <v>5.0</v>
      </c>
      <c r="B7" s="191" t="s">
        <v>155</v>
      </c>
      <c r="C7" s="136">
        <f t="array" ref="C7">IFERROR(INDEX(Seven, MATCH($B7, Chapter,0)),"")</f>
        <v>3.085</v>
      </c>
      <c r="D7" s="191" t="s">
        <v>116</v>
      </c>
      <c r="E7" s="142">
        <f t="array" ref="E7">IFERROR(INDEX(Seven, MATCH($D7, Chapter,0)),"")</f>
        <v>3.335</v>
      </c>
      <c r="F7" s="193" t="s">
        <v>135</v>
      </c>
      <c r="G7" s="142">
        <f t="array" ref="G7">IFERROR(INDEX(Seven, MATCH($F7, Chapter,0)),"")</f>
        <v>3.365</v>
      </c>
      <c r="H7" s="193" t="s">
        <v>51</v>
      </c>
      <c r="I7" s="150">
        <f t="array" ref="I7">IFERROR(INDEX(Seven, MATCH($H7, Chapter,0)),"")</f>
        <v>3.58</v>
      </c>
      <c r="J7" s="191" t="s">
        <v>63</v>
      </c>
      <c r="K7" s="142">
        <f t="array" ref="K7">IFERROR(INDEX(Seven, MATCH($J7, Chapter,0)),"")</f>
        <v>2.58</v>
      </c>
      <c r="L7" s="217" t="s">
        <v>153</v>
      </c>
      <c r="M7" s="142">
        <f t="array" ref="M7">IFERROR(INDEX(Seven, MATCH($L7, Chapter,0)),"")</f>
        <v>2.882</v>
      </c>
      <c r="N7" s="193" t="s">
        <v>141</v>
      </c>
      <c r="O7" s="142">
        <f t="array" ref="O7">IFERROR(INDEX(Seven, MATCH($N7, Chapter,0)),"")</f>
        <v>3.066</v>
      </c>
      <c r="P7" s="177">
        <v>5.0</v>
      </c>
      <c r="Q7" s="17"/>
      <c r="R7" s="218" t="s">
        <v>24</v>
      </c>
      <c r="S7" s="196">
        <v>4.0</v>
      </c>
      <c r="T7" s="197" t="s">
        <v>80</v>
      </c>
      <c r="U7" s="201" t="s">
        <v>237</v>
      </c>
      <c r="V7" s="199" t="s">
        <v>111</v>
      </c>
      <c r="W7" s="198" t="s">
        <v>74</v>
      </c>
      <c r="X7" s="199" t="s">
        <v>102</v>
      </c>
      <c r="Y7" s="198" t="s">
        <v>142</v>
      </c>
      <c r="Z7" s="219" t="s">
        <v>148</v>
      </c>
      <c r="AA7" s="14"/>
      <c r="AB7" s="14"/>
      <c r="AC7" s="14"/>
      <c r="AD7" s="14"/>
      <c r="AE7" s="14"/>
      <c r="AF7" s="14"/>
      <c r="AG7" s="14"/>
      <c r="AH7" s="14"/>
    </row>
    <row r="8">
      <c r="A8" s="181">
        <v>6.0</v>
      </c>
      <c r="B8" s="221" t="s">
        <v>23</v>
      </c>
      <c r="C8" s="104">
        <f t="array" ref="C8">IFERROR(INDEX(Seven, MATCH($B8, Chapter,0)),"")</f>
        <v>2</v>
      </c>
      <c r="D8" s="223" t="s">
        <v>168</v>
      </c>
      <c r="E8" s="96">
        <f t="array" ref="E8">IFERROR(INDEX(Seven, MATCH($D8, Chapter,0)),"")</f>
        <v>3.258</v>
      </c>
      <c r="F8" s="225"/>
      <c r="G8" s="96" t="str">
        <f t="array" ref="G8">IFERROR(INDEX(Seven, MATCH($F8, Chapter,0)),"")</f>
        <v/>
      </c>
      <c r="H8" s="104"/>
      <c r="I8" s="111" t="str">
        <f t="array" ref="I8">IFERROR(INDEX(Seven, MATCH($H8, Chapter,0)),"")</f>
        <v/>
      </c>
      <c r="J8" s="226" t="s">
        <v>154</v>
      </c>
      <c r="K8" s="96">
        <f t="array" ref="K8">IFERROR(INDEX(Seven, MATCH($J8, Chapter,0)),"")</f>
        <v>3.471</v>
      </c>
      <c r="L8" s="227" t="s">
        <v>245</v>
      </c>
      <c r="M8" s="96">
        <f t="array" ref="M8">IFERROR(INDEX(Seven, MATCH($L8, Chapter,0)),"")</f>
        <v>3.138</v>
      </c>
      <c r="N8" s="225" t="s">
        <v>137</v>
      </c>
      <c r="O8" s="96">
        <f t="array" ref="O8">IFERROR(INDEX(Seven, MATCH($N8, Chapter,0)),"")</f>
        <v>2.488</v>
      </c>
      <c r="P8" s="185">
        <v>6.0</v>
      </c>
      <c r="Q8" s="14"/>
      <c r="R8" s="17" t="s">
        <v>247</v>
      </c>
      <c r="S8" s="187">
        <v>5.0</v>
      </c>
      <c r="T8" s="228" t="s">
        <v>132</v>
      </c>
      <c r="U8" s="198" t="s">
        <v>249</v>
      </c>
      <c r="V8" s="216" t="s">
        <v>110</v>
      </c>
      <c r="W8" s="198" t="s">
        <v>250</v>
      </c>
      <c r="X8" s="216" t="s">
        <v>44</v>
      </c>
      <c r="Y8" s="201" t="s">
        <v>83</v>
      </c>
      <c r="Z8" s="229" t="s">
        <v>251</v>
      </c>
      <c r="AA8" s="14"/>
      <c r="AB8" s="14"/>
      <c r="AC8" s="14"/>
      <c r="AD8" s="14"/>
      <c r="AE8" s="14"/>
      <c r="AF8" s="14"/>
      <c r="AG8" s="14"/>
      <c r="AH8" s="14"/>
    </row>
    <row r="9">
      <c r="A9" s="129">
        <v>7.0</v>
      </c>
      <c r="B9" s="227" t="s">
        <v>252</v>
      </c>
      <c r="C9" s="136">
        <f t="array" ref="C9">IFERROR(INDEX(Seven, MATCH($B9, Chapter,0)),"")</f>
        <v>3.132</v>
      </c>
      <c r="D9" s="230" t="s">
        <v>255</v>
      </c>
      <c r="E9" s="142">
        <f t="array" ref="E9">IFERROR(INDEX(Seven, MATCH($D9, Chapter,0)),"")</f>
        <v>3.64</v>
      </c>
      <c r="F9" s="231" t="s">
        <v>256</v>
      </c>
      <c r="G9" s="142">
        <f t="array" ref="G9">IFERROR(INDEX(Seven, MATCH($F9, Chapter,0)),"")</f>
        <v>3.333</v>
      </c>
      <c r="H9" s="231" t="s">
        <v>259</v>
      </c>
      <c r="I9" s="150">
        <f t="array" ref="I9">IFERROR(INDEX(Seven, MATCH($H9, Chapter,0)),"")</f>
        <v>3.765</v>
      </c>
      <c r="J9" s="232"/>
      <c r="K9" s="142" t="str">
        <f t="array" ref="K9">IFERROR(INDEX(SIx, MATCH($J9, Chapter,0)),"")</f>
        <v/>
      </c>
      <c r="L9" s="227" t="s">
        <v>261</v>
      </c>
      <c r="M9" s="142">
        <f t="array" ref="M9">IFERROR(INDEX(Seven, MATCH($L9, Chapter,0)),"")</f>
        <v>3.65</v>
      </c>
      <c r="N9" s="233" t="s">
        <v>262</v>
      </c>
      <c r="O9" s="142">
        <f t="array" ref="O9">IFERROR(INDEX(Seven, MATCH($N9, Chapter,0)),"")</f>
        <v>4</v>
      </c>
      <c r="P9" s="177">
        <v>7.0</v>
      </c>
      <c r="Q9" s="14"/>
      <c r="R9" s="14"/>
      <c r="S9" s="196">
        <v>6.0</v>
      </c>
      <c r="T9" s="234" t="s">
        <v>174</v>
      </c>
      <c r="U9" s="201" t="s">
        <v>264</v>
      </c>
      <c r="V9" s="216" t="s">
        <v>140</v>
      </c>
      <c r="W9" s="201" t="s">
        <v>150</v>
      </c>
      <c r="X9" s="235" t="s">
        <v>265</v>
      </c>
      <c r="Y9" s="201" t="s">
        <v>266</v>
      </c>
      <c r="Z9" s="219" t="s">
        <v>268</v>
      </c>
      <c r="AA9" s="14"/>
      <c r="AB9" s="14"/>
      <c r="AC9" s="14"/>
      <c r="AD9" s="14"/>
      <c r="AE9" s="14"/>
      <c r="AF9" s="14"/>
      <c r="AG9" s="14"/>
      <c r="AH9" s="14"/>
    </row>
    <row r="10">
      <c r="A10" s="181">
        <v>8.0</v>
      </c>
      <c r="B10" s="236"/>
      <c r="C10" s="104" t="str">
        <f t="array" ref="C10">IFERROR(INDEX(SIx, MATCH($B10, Chapter,0)),"")</f>
        <v/>
      </c>
      <c r="D10" s="237" t="s">
        <v>271</v>
      </c>
      <c r="E10" s="96">
        <f t="array" ref="E10">IFERROR(INDEX(Seven, MATCH($D10, Chapter,0)),"")</f>
        <v>3.667</v>
      </c>
      <c r="F10" s="227" t="s">
        <v>273</v>
      </c>
      <c r="G10" s="96">
        <f t="array" ref="G10">IFERROR(INDEX(Seven, MATCH($F10, Chapter,0)),"")</f>
        <v>3.4</v>
      </c>
      <c r="H10" s="227" t="s">
        <v>274</v>
      </c>
      <c r="I10" s="111">
        <f t="array" ref="I10">IFERROR(INDEX(Seven, MATCH($H10, Chapter,0)),"")</f>
        <v>2.715</v>
      </c>
      <c r="J10" s="238"/>
      <c r="K10" s="96" t="str">
        <f t="array" ref="K10">IFERROR(INDEX(SIx, MATCH($J10, Chapter,0)),"")</f>
        <v/>
      </c>
      <c r="L10" s="184"/>
      <c r="M10" s="96" t="str">
        <f t="array" ref="M10">IFERROR(INDEX(SIx, MATCH($L10, Chapter,0)),"")</f>
        <v/>
      </c>
      <c r="N10" s="239" t="s">
        <v>278</v>
      </c>
      <c r="O10" s="96">
        <f t="array" ref="O10">IFERROR(INDEX(Seven, MATCH($N10, Chapter,0)),"")</f>
        <v>3.195</v>
      </c>
      <c r="P10" s="185">
        <v>8.0</v>
      </c>
      <c r="Q10" s="14"/>
      <c r="R10" s="14"/>
      <c r="S10" s="187">
        <v>7.0</v>
      </c>
      <c r="T10" s="197" t="s">
        <v>279</v>
      </c>
      <c r="U10" s="201" t="s">
        <v>67</v>
      </c>
      <c r="V10" s="240" t="s">
        <v>35</v>
      </c>
      <c r="W10" s="201" t="s">
        <v>109</v>
      </c>
      <c r="X10" s="235" t="s">
        <v>179</v>
      </c>
      <c r="Y10" s="241" t="s">
        <v>106</v>
      </c>
      <c r="Z10" s="219" t="s">
        <v>281</v>
      </c>
      <c r="AA10" s="14"/>
      <c r="AB10" s="14"/>
      <c r="AC10" s="14"/>
      <c r="AD10" s="14"/>
      <c r="AE10" s="14"/>
      <c r="AF10" s="14"/>
      <c r="AG10" s="14"/>
      <c r="AH10" s="14"/>
    </row>
    <row r="11">
      <c r="A11" s="129">
        <v>9.0</v>
      </c>
      <c r="B11" s="131"/>
      <c r="C11" s="136" t="str">
        <f t="array" ref="C11">IFERROR(INDEX(Four, MATCH($B11, Chapter,0)),"")</f>
        <v/>
      </c>
      <c r="D11" s="131"/>
      <c r="E11" s="142" t="str">
        <f t="array" ref="E11">IFERROR(INDEX(Three, MATCH($D11, Chapter,0)),"")</f>
        <v/>
      </c>
      <c r="F11" s="243" t="s">
        <v>284</v>
      </c>
      <c r="G11" s="142">
        <f t="array" ref="G11">IFERROR(INDEX(Seven, MATCH($F11, Chapter,0)),"")</f>
        <v>2</v>
      </c>
      <c r="H11" s="144"/>
      <c r="I11" s="150" t="str">
        <f t="array" ref="I11">IFERROR(INDEX(Five, MATCH($H11, Chapter,0)),"")</f>
        <v/>
      </c>
      <c r="J11" s="244"/>
      <c r="K11" s="142" t="str">
        <f t="array" ref="K11">IFERROR(INDEX(Five, MATCH($J11, Chapter,0)),"")</f>
        <v/>
      </c>
      <c r="L11" s="245"/>
      <c r="M11" s="142" t="str">
        <f t="array" ref="M11">IFERROR(INDEX(Three, MATCH($L11, Chapter,0)),"")</f>
        <v/>
      </c>
      <c r="N11" s="246"/>
      <c r="O11" s="142" t="str">
        <f t="array" ref="O11">IFERROR(INDEX(SIx, MATCH($N11, Chapter,0)),"")</f>
        <v/>
      </c>
      <c r="P11" s="177">
        <v>9.0</v>
      </c>
      <c r="Q11" s="14"/>
      <c r="R11" s="14"/>
      <c r="S11" s="196">
        <v>8.0</v>
      </c>
      <c r="T11" s="228" t="s">
        <v>288</v>
      </c>
      <c r="U11" s="241" t="s">
        <v>289</v>
      </c>
      <c r="V11" s="240" t="s">
        <v>290</v>
      </c>
      <c r="W11" s="241" t="s">
        <v>291</v>
      </c>
      <c r="X11" s="199" t="s">
        <v>47</v>
      </c>
      <c r="Y11" s="201" t="s">
        <v>292</v>
      </c>
      <c r="Z11" s="229" t="s">
        <v>293</v>
      </c>
      <c r="AA11" s="14"/>
      <c r="AB11" s="14"/>
      <c r="AC11" s="14"/>
      <c r="AD11" s="14"/>
      <c r="AE11" s="14"/>
      <c r="AF11" s="14"/>
      <c r="AG11" s="14"/>
      <c r="AH11" s="14"/>
    </row>
    <row r="12">
      <c r="A12" s="247">
        <v>10.0</v>
      </c>
      <c r="B12" s="248"/>
      <c r="C12" s="249" t="str">
        <f t="array" ref="C12">IFERROR(INDEX(One, MATCH($B12, Chapter,0)),"")</f>
        <v/>
      </c>
      <c r="D12" s="248"/>
      <c r="E12" s="111" t="str">
        <f t="array" ref="E12">IFERROR(INDEX(One, MATCH($D12, Chapter,0)),"")</f>
        <v/>
      </c>
      <c r="F12" s="250"/>
      <c r="G12" s="251" t="str">
        <f t="array" ref="G12">IFERROR(INDEX(One, MATCH($F12, Chapter,0)),"")</f>
        <v/>
      </c>
      <c r="H12" s="250"/>
      <c r="I12" s="111" t="str">
        <f t="array" ref="I12">IFERROR(INDEX(One, MATCH($H12, Chapter,0)),"")</f>
        <v/>
      </c>
      <c r="J12" s="252"/>
      <c r="K12" s="251" t="str">
        <f t="array" ref="K12">IFERROR(INDEX(One, MATCH($J12, Chapter,0)),"")</f>
        <v/>
      </c>
      <c r="L12" s="253"/>
      <c r="M12" s="251" t="str">
        <f t="array" ref="M12">IFERROR(INDEX(One, MATCH($L12, Chapter,0)),"")</f>
        <v/>
      </c>
      <c r="N12" s="253"/>
      <c r="O12" s="251" t="str">
        <f t="array" ref="O12">IFERROR(INDEX(One, MATCH($N12, Chapter,0)),"")</f>
        <v/>
      </c>
      <c r="P12" s="254">
        <v>10.0</v>
      </c>
      <c r="Q12" s="14"/>
      <c r="R12" s="14"/>
      <c r="S12" s="187">
        <v>9.0</v>
      </c>
      <c r="T12" s="255" t="s">
        <v>49</v>
      </c>
      <c r="U12" s="256" t="s">
        <v>160</v>
      </c>
      <c r="V12" s="257" t="s">
        <v>113</v>
      </c>
      <c r="W12" s="256" t="s">
        <v>158</v>
      </c>
      <c r="X12" s="258" t="s">
        <v>115</v>
      </c>
      <c r="Y12" s="259" t="s">
        <v>173</v>
      </c>
      <c r="Z12" s="260"/>
      <c r="AA12" s="14"/>
      <c r="AB12" s="14"/>
      <c r="AC12" s="14"/>
      <c r="AD12" s="14"/>
      <c r="AE12" s="14"/>
      <c r="AF12" s="14"/>
      <c r="AG12" s="14"/>
      <c r="AH12" s="14"/>
    </row>
    <row r="13">
      <c r="A13" s="261"/>
      <c r="B13" s="262" t="s">
        <v>304</v>
      </c>
      <c r="C13" s="263">
        <f>AVERAGE(C2:C12)</f>
        <v>3.105142857</v>
      </c>
      <c r="D13" s="262" t="s">
        <v>304</v>
      </c>
      <c r="E13" s="264">
        <f>AVERAGE(E2:E12)</f>
        <v>3.523444444</v>
      </c>
      <c r="F13" s="262" t="s">
        <v>304</v>
      </c>
      <c r="G13" s="264">
        <f>AVERAGE(G2:G12)</f>
        <v>2.963555556</v>
      </c>
      <c r="H13" s="262" t="s">
        <v>304</v>
      </c>
      <c r="I13" s="263">
        <f>AVERAGE(I2:I12)</f>
        <v>3.125625</v>
      </c>
      <c r="J13" s="262" t="s">
        <v>304</v>
      </c>
      <c r="K13" s="264">
        <f>AVERAGE(K2:K12)</f>
        <v>3.447857143</v>
      </c>
      <c r="L13" s="262" t="s">
        <v>304</v>
      </c>
      <c r="M13" s="264">
        <f>AVERAGE(M2:M12)</f>
        <v>3.10825</v>
      </c>
      <c r="N13" s="262" t="s">
        <v>304</v>
      </c>
      <c r="O13" s="264">
        <f>AVERAGE(O2:O12)</f>
        <v>3.466555556</v>
      </c>
      <c r="P13" s="266"/>
      <c r="Q13" s="14"/>
      <c r="R13" s="14"/>
      <c r="S13" s="14"/>
      <c r="T13" s="14"/>
      <c r="U13" s="14"/>
      <c r="V13" s="14"/>
      <c r="W13" s="14"/>
      <c r="X13" s="14"/>
      <c r="Y13" s="14"/>
      <c r="Z13" s="14"/>
      <c r="AA13" s="14"/>
      <c r="AB13" s="14"/>
      <c r="AC13" s="14"/>
      <c r="AD13" s="14"/>
      <c r="AE13" s="14"/>
      <c r="AF13" s="14"/>
      <c r="AG13" s="14"/>
      <c r="AH13" s="14"/>
    </row>
    <row r="14">
      <c r="A14" s="267"/>
      <c r="B14" s="238" t="s">
        <v>309</v>
      </c>
      <c r="C14" s="268">
        <f>RANK(C13,$C$13:$O$13,0)</f>
        <v>6</v>
      </c>
      <c r="D14" s="238" t="s">
        <v>309</v>
      </c>
      <c r="E14" s="268">
        <f>RANK(E13,$C$13:$O$13,0)</f>
        <v>1</v>
      </c>
      <c r="F14" s="238" t="s">
        <v>309</v>
      </c>
      <c r="G14" s="268">
        <f>RANK(G13,$C$13:$O$13,0)</f>
        <v>7</v>
      </c>
      <c r="H14" s="238" t="s">
        <v>309</v>
      </c>
      <c r="I14" s="268">
        <f>RANK(I13,$C$13:$O$13,0)</f>
        <v>4</v>
      </c>
      <c r="J14" s="238" t="s">
        <v>309</v>
      </c>
      <c r="K14" s="268">
        <f>RANK(K13,$C$13:$O$13,0)</f>
        <v>3</v>
      </c>
      <c r="L14" s="238" t="s">
        <v>309</v>
      </c>
      <c r="M14" s="268">
        <f>RANK(M13,$C$13:$O$13,0)</f>
        <v>5</v>
      </c>
      <c r="N14" s="238" t="s">
        <v>309</v>
      </c>
      <c r="O14" s="268">
        <f>RANK(O13,$C$13:$O$13,0)</f>
        <v>2</v>
      </c>
      <c r="P14" s="267"/>
      <c r="Q14" s="14"/>
      <c r="R14" s="17" t="s">
        <v>313</v>
      </c>
      <c r="S14" s="14"/>
      <c r="T14" s="14"/>
      <c r="U14" s="14"/>
      <c r="V14" s="14"/>
      <c r="W14" s="14"/>
      <c r="X14" s="14"/>
      <c r="Y14" s="14"/>
      <c r="Z14" s="17"/>
      <c r="AA14" s="14"/>
      <c r="AB14" s="14"/>
      <c r="AC14" s="14"/>
      <c r="AD14" s="14"/>
      <c r="AE14" s="14"/>
      <c r="AF14" s="14"/>
      <c r="AG14" s="14"/>
      <c r="AH14" s="14"/>
    </row>
    <row r="15">
      <c r="A15" s="269"/>
      <c r="B15" s="244"/>
      <c r="C15" s="270"/>
      <c r="D15" s="244"/>
      <c r="E15" s="244"/>
      <c r="F15" s="269"/>
      <c r="G15" s="270"/>
      <c r="H15" s="269"/>
      <c r="I15" s="270"/>
      <c r="J15" s="269"/>
      <c r="K15" s="270"/>
      <c r="L15" s="244"/>
      <c r="M15" s="270"/>
      <c r="N15" s="269"/>
      <c r="O15" s="270"/>
      <c r="P15" s="269"/>
      <c r="Q15" s="14"/>
      <c r="R15" s="14"/>
      <c r="S15" s="271" t="s">
        <v>131</v>
      </c>
      <c r="T15" s="124"/>
      <c r="U15" s="124"/>
      <c r="V15" s="124"/>
      <c r="W15" s="124"/>
      <c r="X15" s="124"/>
      <c r="Y15" s="124"/>
      <c r="Z15" s="124"/>
    </row>
    <row r="16">
      <c r="A16" s="267"/>
      <c r="B16" s="267"/>
      <c r="C16" s="268"/>
      <c r="D16" s="238"/>
      <c r="E16" s="238"/>
      <c r="F16" s="267"/>
      <c r="G16" s="268"/>
      <c r="H16" s="267"/>
      <c r="I16" s="268"/>
      <c r="J16" s="267"/>
      <c r="K16" s="268"/>
      <c r="L16" s="238"/>
      <c r="M16" s="268"/>
      <c r="N16" s="267"/>
      <c r="O16" s="268"/>
      <c r="P16" s="267"/>
      <c r="Q16" s="14"/>
      <c r="R16" s="186" t="s">
        <v>208</v>
      </c>
      <c r="S16" s="272" t="s">
        <v>139</v>
      </c>
      <c r="T16" s="258" t="s">
        <v>45</v>
      </c>
      <c r="U16" s="258" t="s">
        <v>49</v>
      </c>
      <c r="V16" s="273" t="s">
        <v>92</v>
      </c>
      <c r="W16" s="273" t="s">
        <v>94</v>
      </c>
      <c r="X16" s="258" t="s">
        <v>55</v>
      </c>
      <c r="Y16" s="257" t="s">
        <v>78</v>
      </c>
      <c r="Z16" s="258" t="s">
        <v>60</v>
      </c>
    </row>
    <row r="17">
      <c r="A17" s="269"/>
      <c r="C17" s="244"/>
      <c r="D17" s="269"/>
      <c r="E17" s="269"/>
      <c r="F17" s="269"/>
      <c r="G17" s="270"/>
      <c r="H17" s="269"/>
      <c r="I17" s="270"/>
      <c r="J17" s="269"/>
      <c r="K17" s="270"/>
      <c r="L17" s="244"/>
      <c r="M17" s="270"/>
      <c r="N17" s="269"/>
      <c r="O17" s="270"/>
      <c r="P17" s="269"/>
      <c r="Q17" s="14"/>
      <c r="R17" s="195" t="s">
        <v>220</v>
      </c>
      <c r="S17" s="151">
        <v>1.0</v>
      </c>
      <c r="T17" s="199" t="s">
        <v>40</v>
      </c>
      <c r="U17" s="199" t="s">
        <v>41</v>
      </c>
      <c r="V17" s="199" t="s">
        <v>56</v>
      </c>
      <c r="W17" s="216" t="s">
        <v>48</v>
      </c>
      <c r="X17" s="199" t="s">
        <v>68</v>
      </c>
      <c r="Y17" s="199" t="s">
        <v>34</v>
      </c>
      <c r="Z17" s="199" t="s">
        <v>84</v>
      </c>
    </row>
    <row r="18">
      <c r="A18" s="274"/>
      <c r="B18" s="275"/>
      <c r="C18" s="274"/>
      <c r="D18" s="274"/>
      <c r="E18" s="274"/>
      <c r="F18" s="274"/>
      <c r="G18" s="276"/>
      <c r="H18" s="274"/>
      <c r="I18" s="276"/>
      <c r="J18" s="274"/>
      <c r="K18" s="276"/>
      <c r="L18" s="274"/>
      <c r="M18" s="276"/>
      <c r="N18" s="274"/>
      <c r="O18" s="276"/>
      <c r="P18" s="274"/>
      <c r="Q18" s="14"/>
      <c r="R18" s="213" t="s">
        <v>227</v>
      </c>
      <c r="S18" s="277">
        <v>2.0</v>
      </c>
      <c r="T18" s="199" t="s">
        <v>85</v>
      </c>
      <c r="U18" s="199" t="s">
        <v>73</v>
      </c>
      <c r="V18" s="199" t="s">
        <v>127</v>
      </c>
      <c r="W18" s="199" t="s">
        <v>64</v>
      </c>
      <c r="X18" s="199" t="s">
        <v>26</v>
      </c>
      <c r="Y18" s="199" t="s">
        <v>71</v>
      </c>
      <c r="Z18" s="199" t="s">
        <v>62</v>
      </c>
    </row>
    <row r="19">
      <c r="A19" s="14"/>
      <c r="B19" s="17"/>
      <c r="C19" s="14"/>
      <c r="D19" s="14"/>
      <c r="E19" s="14"/>
      <c r="F19" s="14"/>
      <c r="G19" s="14"/>
      <c r="H19" s="14"/>
      <c r="I19" s="14"/>
      <c r="J19" s="14"/>
      <c r="Q19" s="14"/>
      <c r="R19" s="218" t="s">
        <v>24</v>
      </c>
      <c r="S19" s="151">
        <v>3.0</v>
      </c>
      <c r="T19" s="199" t="s">
        <v>61</v>
      </c>
      <c r="U19" s="216" t="s">
        <v>72</v>
      </c>
      <c r="V19" s="199" t="s">
        <v>102</v>
      </c>
      <c r="W19" s="199" t="s">
        <v>80</v>
      </c>
      <c r="X19" s="278" t="s">
        <v>47</v>
      </c>
      <c r="Y19" s="199" t="s">
        <v>83</v>
      </c>
      <c r="Z19" s="278" t="s">
        <v>138</v>
      </c>
    </row>
    <row r="20">
      <c r="A20" s="14"/>
      <c r="B20" s="17"/>
      <c r="C20" s="14"/>
      <c r="D20" s="14"/>
      <c r="E20" s="14"/>
      <c r="F20" s="14"/>
      <c r="G20" s="14"/>
      <c r="H20" s="14"/>
      <c r="I20" s="14"/>
      <c r="J20" s="14"/>
      <c r="Q20" s="14"/>
      <c r="R20" s="17" t="s">
        <v>319</v>
      </c>
      <c r="S20" s="277">
        <v>4.0</v>
      </c>
      <c r="T20" s="216" t="s">
        <v>141</v>
      </c>
      <c r="U20" s="278" t="s">
        <v>113</v>
      </c>
      <c r="V20" s="216" t="s">
        <v>109</v>
      </c>
      <c r="W20" s="216" t="s">
        <v>110</v>
      </c>
      <c r="X20" s="216" t="s">
        <v>97</v>
      </c>
      <c r="Y20" s="240" t="s">
        <v>38</v>
      </c>
      <c r="Z20" s="216" t="s">
        <v>79</v>
      </c>
    </row>
    <row r="21">
      <c r="A21" s="14"/>
      <c r="B21" s="17"/>
      <c r="C21" s="14"/>
      <c r="D21" s="14"/>
      <c r="E21" s="14"/>
      <c r="F21" s="14"/>
      <c r="G21" s="14"/>
      <c r="H21" s="14"/>
      <c r="I21" s="14"/>
      <c r="J21" s="14"/>
      <c r="Q21" s="14"/>
      <c r="R21" s="14"/>
      <c r="S21" s="151">
        <v>5.0</v>
      </c>
      <c r="T21" s="278" t="s">
        <v>160</v>
      </c>
      <c r="U21" s="199" t="s">
        <v>114</v>
      </c>
      <c r="V21" s="240" t="s">
        <v>167</v>
      </c>
      <c r="W21" s="240" t="s">
        <v>90</v>
      </c>
      <c r="X21" s="199" t="s">
        <v>44</v>
      </c>
      <c r="Y21" s="216" t="s">
        <v>119</v>
      </c>
      <c r="Z21" s="199" t="s">
        <v>63</v>
      </c>
    </row>
    <row r="22">
      <c r="A22" s="14"/>
      <c r="B22" s="14"/>
      <c r="C22" s="14"/>
      <c r="D22" s="14"/>
      <c r="E22" s="14"/>
      <c r="F22" s="14"/>
      <c r="G22" s="14"/>
      <c r="H22" s="14"/>
      <c r="I22" s="14"/>
      <c r="J22" s="14"/>
      <c r="Q22" s="14"/>
      <c r="R22" s="14"/>
      <c r="S22" s="277">
        <v>6.0</v>
      </c>
      <c r="T22" s="278" t="s">
        <v>130</v>
      </c>
      <c r="U22" s="216" t="s">
        <v>51</v>
      </c>
      <c r="V22" s="199" t="s">
        <v>86</v>
      </c>
      <c r="W22" s="240" t="s">
        <v>106</v>
      </c>
      <c r="X22" s="240" t="s">
        <v>23</v>
      </c>
      <c r="Y22" s="216" t="s">
        <v>116</v>
      </c>
      <c r="Z22" s="216" t="s">
        <v>158</v>
      </c>
    </row>
    <row r="23">
      <c r="A23" s="14"/>
      <c r="B23" s="14"/>
      <c r="C23" s="14"/>
      <c r="D23" s="14"/>
      <c r="E23" s="14"/>
      <c r="F23" s="14"/>
      <c r="G23" s="14"/>
      <c r="H23" s="14"/>
      <c r="I23" s="14"/>
      <c r="J23" s="14"/>
      <c r="Q23" s="14"/>
      <c r="R23" s="14"/>
      <c r="S23" s="279">
        <v>7.0</v>
      </c>
      <c r="T23" s="280" t="s">
        <v>35</v>
      </c>
      <c r="U23" s="280" t="s">
        <v>29</v>
      </c>
      <c r="V23" s="281"/>
      <c r="W23" s="273" t="s">
        <v>173</v>
      </c>
      <c r="X23" s="281"/>
      <c r="Y23" s="280" t="s">
        <v>81</v>
      </c>
      <c r="Z23" s="257" t="s">
        <v>128</v>
      </c>
    </row>
    <row r="24">
      <c r="A24" s="14"/>
      <c r="B24" s="14"/>
      <c r="C24" s="14"/>
      <c r="D24" s="14"/>
      <c r="E24" s="14"/>
      <c r="F24" s="14"/>
      <c r="G24" s="14"/>
      <c r="H24" s="14"/>
      <c r="I24" s="14"/>
      <c r="J24" s="14"/>
      <c r="K24" s="14"/>
      <c r="L24" s="14"/>
      <c r="M24" s="14"/>
      <c r="N24" s="14"/>
      <c r="O24" s="14"/>
      <c r="P24" s="14"/>
      <c r="Q24" s="14"/>
      <c r="R24" s="14"/>
      <c r="S24" s="277">
        <v>8.0</v>
      </c>
      <c r="T24" s="240" t="s">
        <v>104</v>
      </c>
      <c r="U24" s="240" t="s">
        <v>126</v>
      </c>
      <c r="V24" s="278" t="s">
        <v>168</v>
      </c>
      <c r="W24" s="240" t="s">
        <v>164</v>
      </c>
      <c r="X24" s="240" t="s">
        <v>323</v>
      </c>
      <c r="Y24" s="240" t="s">
        <v>96</v>
      </c>
      <c r="Z24" s="199" t="s">
        <v>53</v>
      </c>
    </row>
    <row r="25">
      <c r="A25" s="14"/>
      <c r="B25" s="14"/>
      <c r="C25" s="14"/>
      <c r="D25" s="14"/>
      <c r="E25" s="14"/>
      <c r="F25" s="14"/>
      <c r="G25" s="14"/>
      <c r="H25" s="14"/>
      <c r="I25" s="14"/>
      <c r="J25" s="14"/>
      <c r="K25" s="14"/>
      <c r="L25" s="14"/>
      <c r="M25" s="14"/>
      <c r="N25" s="14"/>
      <c r="O25" s="14"/>
      <c r="P25" s="14"/>
      <c r="Q25" s="282"/>
      <c r="R25" s="14"/>
      <c r="S25" s="151">
        <v>9.0</v>
      </c>
      <c r="T25" s="129"/>
      <c r="U25" s="129"/>
      <c r="V25" s="129" t="s">
        <v>117</v>
      </c>
      <c r="W25" s="283"/>
      <c r="X25" s="284" t="s">
        <v>76</v>
      </c>
      <c r="Y25" s="278" t="s">
        <v>147</v>
      </c>
      <c r="Z25" s="216" t="s">
        <v>137</v>
      </c>
    </row>
    <row r="26">
      <c r="A26" s="14"/>
      <c r="B26" s="14"/>
      <c r="C26" s="14"/>
      <c r="D26" s="14"/>
      <c r="E26" s="14"/>
      <c r="F26" s="14"/>
      <c r="G26" s="14"/>
      <c r="H26" s="14"/>
      <c r="I26" s="14"/>
      <c r="J26" s="14"/>
      <c r="K26" s="14"/>
      <c r="L26" s="14"/>
      <c r="M26" s="14"/>
      <c r="N26" s="14"/>
      <c r="O26" s="14"/>
      <c r="P26" s="14"/>
      <c r="Q26" s="282"/>
      <c r="R26" s="14"/>
      <c r="S26" s="272">
        <v>10.0</v>
      </c>
      <c r="T26" s="285"/>
      <c r="U26" s="285"/>
      <c r="V26" s="285"/>
      <c r="W26" s="285"/>
      <c r="X26" s="285"/>
      <c r="Y26" s="257" t="s">
        <v>154</v>
      </c>
      <c r="Z26" s="286"/>
    </row>
    <row r="27">
      <c r="A27" s="14"/>
      <c r="B27" s="14"/>
      <c r="C27" s="14"/>
      <c r="D27" s="14"/>
      <c r="E27" s="14"/>
      <c r="F27" s="14"/>
      <c r="G27" s="14"/>
      <c r="H27" s="14"/>
      <c r="I27" s="14"/>
      <c r="J27" s="14"/>
      <c r="K27" s="14"/>
      <c r="L27" s="14"/>
      <c r="M27" s="14"/>
      <c r="N27" s="14"/>
      <c r="O27" s="14"/>
      <c r="P27" s="14"/>
      <c r="Q27" s="282"/>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282"/>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282"/>
      <c r="R29" s="14"/>
      <c r="S29" s="14"/>
      <c r="T29" s="14"/>
      <c r="U29" s="14"/>
      <c r="V29" s="14"/>
      <c r="W29" s="14"/>
      <c r="X29" s="14"/>
      <c r="Y29" s="14"/>
      <c r="Z29" s="14"/>
      <c r="AA29" s="14"/>
      <c r="AB29" s="14"/>
      <c r="AC29" s="14"/>
      <c r="AD29" s="14"/>
      <c r="AE29" s="14"/>
      <c r="AF29" s="14"/>
      <c r="AG29" s="14"/>
      <c r="AH29" s="14"/>
    </row>
    <row r="30">
      <c r="A30" s="14"/>
      <c r="B30" s="14"/>
      <c r="C30" s="14"/>
      <c r="D30" s="14"/>
      <c r="E30" s="14"/>
      <c r="F30" s="14"/>
      <c r="G30" s="14"/>
      <c r="H30" s="14"/>
      <c r="I30" s="14"/>
      <c r="J30" s="14"/>
      <c r="K30" s="14"/>
      <c r="L30" s="14"/>
      <c r="M30" s="14"/>
      <c r="N30" s="14"/>
      <c r="O30" s="14"/>
      <c r="P30" s="14"/>
      <c r="Q30" s="282"/>
      <c r="R30" s="14"/>
      <c r="S30" s="14"/>
      <c r="T30" s="14"/>
      <c r="U30" s="14"/>
      <c r="V30" s="14"/>
      <c r="W30" s="14"/>
      <c r="X30" s="14"/>
      <c r="Y30" s="14"/>
      <c r="Z30" s="14"/>
      <c r="AA30" s="14"/>
      <c r="AB30" s="14"/>
      <c r="AC30" s="14"/>
      <c r="AD30" s="14"/>
      <c r="AE30" s="14"/>
      <c r="AF30" s="14"/>
      <c r="AG30" s="14"/>
      <c r="AH30" s="14"/>
    </row>
    <row r="31">
      <c r="A31" s="14"/>
      <c r="B31" s="14"/>
      <c r="C31" s="14"/>
      <c r="D31" s="14"/>
      <c r="E31" s="14"/>
      <c r="F31" s="14"/>
      <c r="G31" s="14"/>
      <c r="H31" s="14"/>
      <c r="I31" s="14"/>
      <c r="J31" s="14"/>
      <c r="K31" s="14"/>
      <c r="L31" s="14"/>
      <c r="M31" s="14"/>
      <c r="N31" s="14"/>
      <c r="O31" s="14"/>
      <c r="P31" s="14"/>
      <c r="Q31" s="282"/>
      <c r="R31" s="14"/>
      <c r="S31" s="14"/>
      <c r="T31" s="14"/>
      <c r="U31" s="14"/>
      <c r="V31" s="14"/>
      <c r="W31" s="14"/>
      <c r="X31" s="14"/>
      <c r="Y31" s="14"/>
      <c r="Z31" s="14"/>
      <c r="AA31" s="14"/>
      <c r="AB31" s="14"/>
      <c r="AC31" s="14"/>
      <c r="AD31" s="14"/>
      <c r="AE31" s="14"/>
      <c r="AF31" s="14"/>
      <c r="AG31" s="14"/>
      <c r="AH31" s="14"/>
    </row>
    <row r="32">
      <c r="A32" s="14"/>
      <c r="B32" s="14"/>
      <c r="C32" s="14"/>
      <c r="D32" s="14"/>
      <c r="E32" s="14"/>
      <c r="F32" s="14"/>
      <c r="G32" s="14"/>
      <c r="H32" s="14"/>
      <c r="I32" s="14"/>
      <c r="J32" s="14"/>
      <c r="K32" s="14"/>
      <c r="L32" s="14"/>
      <c r="M32" s="14"/>
      <c r="N32" s="14"/>
      <c r="O32" s="14"/>
      <c r="P32" s="14"/>
      <c r="Q32" s="282"/>
      <c r="R32" s="14"/>
      <c r="S32" s="14"/>
      <c r="T32" s="14"/>
      <c r="U32" s="14"/>
      <c r="V32" s="14"/>
      <c r="W32" s="14"/>
      <c r="X32" s="14"/>
      <c r="Y32" s="14"/>
      <c r="Z32" s="14"/>
      <c r="AA32" s="14"/>
      <c r="AB32" s="14"/>
      <c r="AC32" s="14"/>
      <c r="AD32" s="14"/>
      <c r="AE32" s="14"/>
      <c r="AF32" s="14"/>
      <c r="AG32" s="14"/>
      <c r="AH32" s="14"/>
    </row>
    <row r="33">
      <c r="A33" s="14"/>
      <c r="B33" s="14"/>
      <c r="C33" s="14"/>
      <c r="D33" s="14"/>
      <c r="E33" s="14"/>
      <c r="F33" s="14"/>
      <c r="G33" s="14"/>
      <c r="H33" s="14"/>
      <c r="I33" s="14"/>
      <c r="J33" s="14"/>
      <c r="K33" s="14"/>
      <c r="L33" s="14"/>
      <c r="M33" s="14"/>
      <c r="N33" s="14"/>
      <c r="O33" s="14"/>
      <c r="P33" s="14"/>
      <c r="Q33" s="282"/>
      <c r="R33" s="14"/>
      <c r="S33" s="14"/>
      <c r="T33" s="14"/>
      <c r="U33" s="14"/>
      <c r="V33" s="14"/>
      <c r="W33" s="14"/>
      <c r="X33" s="14"/>
      <c r="Y33" s="14"/>
      <c r="Z33" s="14"/>
      <c r="AA33" s="14"/>
      <c r="AB33" s="14"/>
      <c r="AC33" s="14"/>
      <c r="AD33" s="14"/>
      <c r="AE33" s="14"/>
      <c r="AF33" s="14"/>
      <c r="AG33" s="14"/>
      <c r="AH33" s="14"/>
    </row>
    <row r="34">
      <c r="A34" s="14"/>
      <c r="B34" s="14"/>
      <c r="C34" s="14"/>
      <c r="D34" s="14"/>
      <c r="E34" s="14"/>
      <c r="F34" s="14"/>
      <c r="G34" s="14"/>
      <c r="H34" s="14"/>
      <c r="I34" s="14"/>
      <c r="J34" s="14"/>
      <c r="K34" s="14"/>
      <c r="L34" s="14"/>
      <c r="M34" s="14"/>
      <c r="N34" s="14"/>
      <c r="O34" s="14"/>
      <c r="P34" s="14"/>
      <c r="Q34" s="282"/>
      <c r="R34" s="14"/>
      <c r="S34" s="14"/>
      <c r="T34" s="14"/>
      <c r="U34" s="14"/>
      <c r="V34" s="14"/>
      <c r="W34" s="14"/>
      <c r="X34" s="14"/>
      <c r="Y34" s="14"/>
      <c r="Z34" s="14"/>
      <c r="AA34" s="14"/>
      <c r="AB34" s="14"/>
      <c r="AC34" s="14"/>
      <c r="AD34" s="14"/>
      <c r="AE34" s="14"/>
      <c r="AF34" s="14"/>
      <c r="AG34" s="14"/>
      <c r="AH34" s="14"/>
    </row>
    <row r="35">
      <c r="A35" s="14"/>
      <c r="B35" s="14"/>
      <c r="C35" s="14"/>
      <c r="D35" s="14"/>
      <c r="E35" s="14"/>
      <c r="F35" s="14"/>
      <c r="G35" s="14"/>
      <c r="H35" s="14"/>
      <c r="I35" s="14"/>
      <c r="J35" s="14"/>
      <c r="K35" s="14"/>
      <c r="L35" s="14"/>
      <c r="M35" s="14"/>
      <c r="N35" s="14"/>
      <c r="O35" s="14"/>
      <c r="P35" s="14"/>
      <c r="Q35" s="282"/>
      <c r="R35" s="14"/>
      <c r="S35" s="14"/>
      <c r="T35" s="14"/>
      <c r="U35" s="14"/>
      <c r="V35" s="14"/>
      <c r="W35" s="14"/>
      <c r="X35" s="14"/>
      <c r="Y35" s="14"/>
      <c r="Z35" s="14"/>
      <c r="AA35" s="14"/>
      <c r="AB35" s="14"/>
      <c r="AC35" s="14"/>
      <c r="AD35" s="14"/>
      <c r="AE35" s="14"/>
      <c r="AF35" s="14"/>
      <c r="AG35" s="14"/>
      <c r="AH35" s="14"/>
    </row>
    <row r="36">
      <c r="A36" s="14"/>
      <c r="B36" s="14"/>
      <c r="C36" s="14"/>
      <c r="D36" s="14"/>
      <c r="E36" s="14"/>
      <c r="F36" s="14"/>
      <c r="G36" s="14"/>
      <c r="H36" s="14"/>
      <c r="I36" s="14"/>
      <c r="J36" s="14"/>
      <c r="K36" s="14"/>
      <c r="L36" s="14"/>
      <c r="M36" s="14"/>
      <c r="N36" s="14"/>
      <c r="O36" s="14"/>
      <c r="P36" s="14"/>
      <c r="Q36" s="282"/>
      <c r="R36" s="14"/>
      <c r="S36" s="14"/>
      <c r="T36" s="14"/>
      <c r="U36" s="14"/>
      <c r="V36" s="14"/>
      <c r="W36" s="14"/>
      <c r="X36" s="14"/>
      <c r="Y36" s="14"/>
      <c r="Z36" s="14"/>
      <c r="AA36" s="14"/>
      <c r="AB36" s="14"/>
      <c r="AC36" s="14"/>
      <c r="AD36" s="14"/>
      <c r="AE36" s="14"/>
      <c r="AF36" s="14"/>
      <c r="AG36" s="14"/>
      <c r="AH36" s="14"/>
    </row>
    <row r="37">
      <c r="A37" s="14"/>
      <c r="B37" s="14"/>
      <c r="C37" s="14"/>
      <c r="D37" s="14"/>
      <c r="E37" s="14"/>
      <c r="F37" s="14"/>
      <c r="G37" s="14"/>
      <c r="H37" s="14"/>
      <c r="I37" s="14"/>
      <c r="J37" s="14"/>
      <c r="K37" s="14"/>
      <c r="L37" s="14"/>
      <c r="M37" s="14"/>
      <c r="N37" s="14"/>
      <c r="O37" s="14"/>
      <c r="P37" s="14"/>
      <c r="Q37" s="282"/>
      <c r="R37" s="14"/>
      <c r="S37" s="14"/>
      <c r="T37" s="14"/>
      <c r="U37" s="14"/>
      <c r="V37" s="14"/>
      <c r="W37" s="14"/>
      <c r="X37" s="14"/>
      <c r="Y37" s="14"/>
      <c r="Z37" s="14"/>
      <c r="AA37" s="14"/>
      <c r="AB37" s="14"/>
      <c r="AC37" s="14"/>
      <c r="AD37" s="14"/>
      <c r="AE37" s="14"/>
      <c r="AF37" s="14"/>
      <c r="AG37" s="14"/>
      <c r="AH37" s="14"/>
    </row>
    <row r="38">
      <c r="A38" s="14"/>
      <c r="B38" s="14"/>
      <c r="C38" s="14"/>
      <c r="D38" s="14"/>
      <c r="E38" s="14"/>
      <c r="F38" s="14"/>
      <c r="G38" s="14"/>
      <c r="H38" s="14"/>
      <c r="I38" s="14"/>
      <c r="J38" s="14"/>
      <c r="K38" s="14"/>
      <c r="L38" s="14"/>
      <c r="M38" s="14"/>
      <c r="N38" s="14"/>
      <c r="O38" s="14"/>
      <c r="P38" s="14"/>
      <c r="Q38" s="282"/>
      <c r="R38" s="14"/>
      <c r="S38" s="14"/>
      <c r="T38" s="14"/>
      <c r="U38" s="14"/>
      <c r="V38" s="14"/>
      <c r="W38" s="14"/>
      <c r="X38" s="14"/>
      <c r="Y38" s="14"/>
      <c r="Z38" s="14"/>
      <c r="AA38" s="14"/>
      <c r="AB38" s="14"/>
      <c r="AC38" s="14"/>
      <c r="AD38" s="14"/>
      <c r="AE38" s="14"/>
      <c r="AF38" s="14"/>
      <c r="AG38" s="14"/>
      <c r="AH38" s="14"/>
    </row>
    <row r="39">
      <c r="A39" s="14"/>
      <c r="B39" s="14"/>
      <c r="C39" s="14"/>
      <c r="D39" s="14"/>
      <c r="E39" s="14"/>
      <c r="F39" s="14"/>
      <c r="G39" s="14"/>
      <c r="H39" s="14"/>
      <c r="I39" s="14"/>
      <c r="J39" s="14"/>
      <c r="K39" s="14"/>
      <c r="L39" s="14"/>
      <c r="M39" s="14"/>
      <c r="N39" s="14"/>
      <c r="O39" s="14"/>
      <c r="P39" s="14"/>
      <c r="Q39" s="282"/>
      <c r="R39" s="14"/>
      <c r="S39" s="14"/>
      <c r="T39" s="14"/>
      <c r="U39" s="14"/>
      <c r="V39" s="14"/>
      <c r="W39" s="14"/>
      <c r="X39" s="14"/>
      <c r="Y39" s="14"/>
      <c r="Z39" s="14"/>
      <c r="AA39" s="14"/>
      <c r="AB39" s="14"/>
      <c r="AC39" s="14"/>
      <c r="AD39" s="14"/>
      <c r="AE39" s="14"/>
      <c r="AF39" s="14"/>
      <c r="AG39" s="14"/>
      <c r="AH39" s="14"/>
    </row>
    <row r="40">
      <c r="A40" s="14"/>
      <c r="B40" s="14"/>
      <c r="C40" s="14"/>
      <c r="D40" s="14"/>
      <c r="E40" s="14"/>
      <c r="F40" s="14"/>
      <c r="G40" s="14"/>
      <c r="H40" s="14"/>
      <c r="I40" s="14"/>
      <c r="J40" s="14"/>
      <c r="K40" s="14"/>
      <c r="L40" s="14"/>
      <c r="M40" s="14"/>
      <c r="N40" s="14"/>
      <c r="O40" s="14"/>
      <c r="P40" s="14"/>
      <c r="Q40" s="282"/>
      <c r="R40" s="14"/>
      <c r="S40" s="14"/>
      <c r="T40" s="14"/>
      <c r="U40" s="14"/>
      <c r="V40" s="14"/>
      <c r="W40" s="14"/>
      <c r="X40" s="14"/>
      <c r="Y40" s="14"/>
      <c r="Z40" s="14"/>
      <c r="AA40" s="14"/>
      <c r="AB40" s="14"/>
      <c r="AC40" s="14"/>
      <c r="AD40" s="14"/>
      <c r="AE40" s="14"/>
      <c r="AF40" s="14"/>
      <c r="AG40" s="14"/>
      <c r="AH40" s="14"/>
    </row>
    <row r="41">
      <c r="A41" s="14"/>
      <c r="B41" s="14"/>
      <c r="C41" s="14"/>
      <c r="D41" s="14"/>
      <c r="E41" s="14"/>
      <c r="F41" s="14"/>
      <c r="G41" s="14"/>
      <c r="H41" s="14"/>
      <c r="I41" s="14"/>
      <c r="J41" s="14"/>
      <c r="K41" s="14"/>
      <c r="L41" s="14"/>
      <c r="M41" s="14"/>
      <c r="N41" s="14"/>
      <c r="O41" s="14"/>
      <c r="P41" s="14"/>
      <c r="Q41" s="282"/>
      <c r="R41" s="14"/>
      <c r="S41" s="14"/>
      <c r="T41" s="14"/>
      <c r="U41" s="14"/>
      <c r="V41" s="14"/>
      <c r="W41" s="14"/>
      <c r="X41" s="14"/>
      <c r="Y41" s="14"/>
      <c r="Z41" s="14"/>
      <c r="AA41" s="14"/>
      <c r="AB41" s="14"/>
      <c r="AC41" s="14"/>
      <c r="AD41" s="14"/>
      <c r="AE41" s="14"/>
      <c r="AF41" s="14"/>
      <c r="AG41" s="14"/>
      <c r="AH41" s="14"/>
    </row>
    <row r="42">
      <c r="A42" s="14"/>
      <c r="B42" s="14"/>
      <c r="C42" s="14"/>
      <c r="D42" s="14"/>
      <c r="E42" s="14"/>
      <c r="F42" s="14"/>
      <c r="G42" s="14"/>
      <c r="H42" s="14"/>
      <c r="I42" s="14"/>
      <c r="J42" s="14"/>
      <c r="K42" s="14"/>
      <c r="L42" s="14"/>
      <c r="M42" s="14"/>
      <c r="N42" s="14"/>
      <c r="O42" s="14"/>
      <c r="P42" s="14"/>
      <c r="Q42" s="282"/>
      <c r="R42" s="14"/>
      <c r="S42" s="14"/>
      <c r="T42" s="14"/>
      <c r="U42" s="14"/>
      <c r="V42" s="14"/>
      <c r="W42" s="14"/>
      <c r="X42" s="14"/>
      <c r="Y42" s="14"/>
      <c r="Z42" s="14"/>
      <c r="AA42" s="14"/>
      <c r="AB42" s="14"/>
      <c r="AC42" s="14"/>
      <c r="AD42" s="14"/>
      <c r="AE42" s="14"/>
      <c r="AF42" s="14"/>
      <c r="AG42" s="14"/>
      <c r="AH42" s="14"/>
    </row>
    <row r="43">
      <c r="A43" s="14"/>
      <c r="B43" s="14"/>
      <c r="C43" s="14"/>
      <c r="D43" s="14"/>
      <c r="E43" s="14"/>
      <c r="F43" s="14"/>
      <c r="G43" s="14"/>
      <c r="H43" s="14"/>
      <c r="I43" s="14"/>
      <c r="J43" s="14"/>
      <c r="K43" s="14"/>
      <c r="L43" s="14"/>
      <c r="M43" s="14"/>
      <c r="N43" s="14"/>
      <c r="O43" s="14"/>
      <c r="P43" s="14"/>
      <c r="Q43" s="282"/>
      <c r="R43" s="14"/>
      <c r="S43" s="14"/>
      <c r="T43" s="14"/>
      <c r="U43" s="14"/>
      <c r="V43" s="14"/>
      <c r="W43" s="14"/>
      <c r="X43" s="14"/>
      <c r="Y43" s="14"/>
      <c r="Z43" s="14"/>
      <c r="AA43" s="14"/>
      <c r="AB43" s="14"/>
      <c r="AC43" s="14"/>
      <c r="AD43" s="14"/>
      <c r="AE43" s="14"/>
      <c r="AF43" s="14"/>
      <c r="AG43" s="14"/>
      <c r="AH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row>
    <row r="985">
      <c r="A985" s="14"/>
      <c r="B985" s="14"/>
      <c r="C985" s="14"/>
      <c r="D985" s="14"/>
      <c r="E985" s="14"/>
      <c r="F985" s="14"/>
      <c r="G985" s="14"/>
      <c r="H985" s="14"/>
      <c r="I985" s="14"/>
      <c r="J985" s="14"/>
      <c r="K985" s="14"/>
      <c r="L985" s="14"/>
      <c r="M985" s="14"/>
      <c r="N985" s="14"/>
      <c r="O985" s="14"/>
      <c r="P985" s="14"/>
      <c r="Q985" s="14"/>
      <c r="R985" s="14"/>
      <c r="AA985" s="14"/>
      <c r="AB985" s="14"/>
      <c r="AC985" s="14"/>
      <c r="AD985" s="14"/>
      <c r="AE985" s="14"/>
      <c r="AF985" s="14"/>
      <c r="AG985" s="14"/>
      <c r="AH985" s="14"/>
    </row>
    <row r="986">
      <c r="A986" s="14"/>
      <c r="B986" s="14"/>
      <c r="C986" s="14"/>
      <c r="D986" s="14"/>
      <c r="E986" s="14"/>
      <c r="F986" s="14"/>
      <c r="G986" s="14"/>
      <c r="H986" s="14"/>
      <c r="I986" s="14"/>
      <c r="J986" s="14"/>
      <c r="K986" s="14"/>
      <c r="L986" s="14"/>
      <c r="M986" s="14"/>
      <c r="N986" s="14"/>
      <c r="O986" s="14"/>
      <c r="P986" s="14"/>
      <c r="Q986" s="14"/>
      <c r="R986" s="14"/>
      <c r="AA986" s="14"/>
      <c r="AB986" s="14"/>
      <c r="AC986" s="14"/>
      <c r="AD986" s="14"/>
      <c r="AE986" s="14"/>
      <c r="AF986" s="14"/>
      <c r="AG986" s="14"/>
      <c r="AH986" s="14"/>
    </row>
    <row r="987">
      <c r="A987" s="14"/>
      <c r="B987" s="14"/>
      <c r="C987" s="14"/>
      <c r="D987" s="14"/>
      <c r="E987" s="14"/>
      <c r="F987" s="14"/>
      <c r="G987" s="14"/>
      <c r="H987" s="14"/>
      <c r="I987" s="14"/>
      <c r="J987" s="14"/>
      <c r="K987" s="14"/>
      <c r="L987" s="14"/>
      <c r="M987" s="14"/>
      <c r="N987" s="14"/>
      <c r="O987" s="14"/>
      <c r="P987" s="14"/>
      <c r="Q987" s="14"/>
      <c r="R987" s="14"/>
    </row>
    <row r="988">
      <c r="A988" s="14"/>
      <c r="B988" s="14"/>
      <c r="C988" s="14"/>
      <c r="D988" s="14"/>
      <c r="E988" s="14"/>
      <c r="F988" s="14"/>
      <c r="G988" s="14"/>
      <c r="H988" s="14"/>
      <c r="I988" s="14"/>
      <c r="J988" s="14"/>
      <c r="K988" s="14"/>
      <c r="L988" s="14"/>
      <c r="M988" s="14"/>
      <c r="N988" s="14"/>
      <c r="O988" s="14"/>
      <c r="P988" s="14"/>
      <c r="Q988" s="14"/>
      <c r="R988" s="14"/>
    </row>
    <row r="989">
      <c r="A989" s="14"/>
      <c r="B989" s="14"/>
      <c r="C989" s="14"/>
      <c r="D989" s="14"/>
      <c r="E989" s="14"/>
      <c r="F989" s="14"/>
      <c r="G989" s="14"/>
      <c r="H989" s="14"/>
      <c r="I989" s="14"/>
      <c r="J989" s="14"/>
      <c r="K989" s="14"/>
      <c r="L989" s="14"/>
      <c r="M989" s="14"/>
      <c r="N989" s="14"/>
      <c r="O989" s="14"/>
      <c r="P989" s="14"/>
      <c r="Q989" s="14"/>
      <c r="R989" s="14"/>
    </row>
    <row r="990">
      <c r="A990" s="14"/>
      <c r="B990" s="14"/>
      <c r="C990" s="14"/>
      <c r="D990" s="14"/>
      <c r="E990" s="14"/>
      <c r="F990" s="14"/>
      <c r="G990" s="14"/>
      <c r="H990" s="14"/>
      <c r="I990" s="14"/>
      <c r="J990" s="14"/>
      <c r="K990" s="14"/>
      <c r="L990" s="14"/>
      <c r="M990" s="14"/>
      <c r="N990" s="14"/>
      <c r="O990" s="14"/>
      <c r="P990" s="14"/>
      <c r="Q990" s="14"/>
      <c r="R990" s="14"/>
    </row>
    <row r="991">
      <c r="A991" s="14"/>
      <c r="B991" s="14"/>
      <c r="C991" s="14"/>
      <c r="D991" s="14"/>
      <c r="E991" s="14"/>
      <c r="F991" s="14"/>
      <c r="G991" s="14"/>
      <c r="H991" s="14"/>
      <c r="I991" s="14"/>
      <c r="J991" s="14"/>
      <c r="K991" s="14"/>
      <c r="L991" s="14"/>
      <c r="M991" s="14"/>
      <c r="N991" s="14"/>
      <c r="O991" s="14"/>
      <c r="P991" s="14"/>
      <c r="Q991" s="14"/>
      <c r="R991" s="14"/>
    </row>
    <row r="992">
      <c r="A992" s="14"/>
      <c r="B992" s="14"/>
      <c r="C992" s="14"/>
      <c r="D992" s="14"/>
      <c r="E992" s="14"/>
      <c r="F992" s="14"/>
      <c r="G992" s="14"/>
      <c r="H992" s="14"/>
      <c r="I992" s="14"/>
      <c r="J992" s="14"/>
      <c r="K992" s="14"/>
      <c r="L992" s="14"/>
      <c r="M992" s="14"/>
      <c r="N992" s="14"/>
      <c r="O992" s="14"/>
      <c r="P992" s="14"/>
      <c r="Q992" s="14"/>
      <c r="R992" s="14"/>
    </row>
    <row r="993">
      <c r="A993" s="14"/>
      <c r="B993" s="14"/>
      <c r="C993" s="14"/>
      <c r="D993" s="14"/>
      <c r="E993" s="14"/>
      <c r="F993" s="14"/>
      <c r="G993" s="14"/>
      <c r="H993" s="14"/>
      <c r="I993" s="14"/>
      <c r="J993" s="14"/>
      <c r="K993" s="14"/>
      <c r="L993" s="14"/>
      <c r="M993" s="14"/>
      <c r="N993" s="14"/>
      <c r="O993" s="14"/>
      <c r="P993" s="14"/>
      <c r="Q993" s="14"/>
      <c r="R993" s="14"/>
    </row>
    <row r="994">
      <c r="A994" s="14"/>
      <c r="B994" s="14"/>
      <c r="C994" s="14"/>
      <c r="D994" s="14"/>
      <c r="E994" s="14"/>
      <c r="F994" s="14"/>
      <c r="G994" s="14"/>
      <c r="H994" s="14"/>
      <c r="I994" s="14"/>
      <c r="J994" s="14"/>
      <c r="K994" s="14"/>
      <c r="L994" s="14"/>
      <c r="M994" s="14"/>
      <c r="N994" s="14"/>
      <c r="O994" s="14"/>
      <c r="P994" s="14"/>
      <c r="Q994" s="14"/>
      <c r="R994" s="14"/>
    </row>
    <row r="995">
      <c r="A995" s="14"/>
      <c r="B995" s="14"/>
      <c r="C995" s="14"/>
      <c r="D995" s="14"/>
      <c r="E995" s="14"/>
      <c r="F995" s="14"/>
      <c r="G995" s="14"/>
      <c r="H995" s="14"/>
      <c r="I995" s="14"/>
      <c r="J995" s="14"/>
      <c r="K995" s="14"/>
      <c r="L995" s="14"/>
      <c r="M995" s="14"/>
      <c r="N995" s="14"/>
      <c r="O995" s="14"/>
      <c r="P995" s="14"/>
      <c r="Q995" s="14"/>
      <c r="R995" s="14"/>
    </row>
    <row r="996">
      <c r="A996" s="14"/>
      <c r="B996" s="14"/>
      <c r="C996" s="14"/>
      <c r="D996" s="14"/>
      <c r="E996" s="14"/>
      <c r="F996" s="14"/>
      <c r="G996" s="14"/>
      <c r="H996" s="14"/>
      <c r="I996" s="14"/>
      <c r="J996" s="14"/>
      <c r="K996" s="14"/>
      <c r="L996" s="14"/>
      <c r="M996" s="14"/>
      <c r="N996" s="14"/>
      <c r="O996" s="14"/>
      <c r="P996" s="14"/>
      <c r="Q996" s="14"/>
      <c r="R996" s="14"/>
    </row>
    <row r="997">
      <c r="A997" s="14"/>
      <c r="B997" s="14"/>
      <c r="C997" s="14"/>
      <c r="D997" s="14"/>
      <c r="E997" s="14"/>
      <c r="F997" s="14"/>
      <c r="G997" s="14"/>
      <c r="H997" s="14"/>
      <c r="I997" s="14"/>
      <c r="J997" s="14"/>
      <c r="K997" s="14"/>
      <c r="L997" s="14"/>
      <c r="M997" s="14"/>
      <c r="N997" s="14"/>
      <c r="O997" s="14"/>
      <c r="P997" s="14"/>
      <c r="Q997" s="14"/>
      <c r="R997" s="14"/>
    </row>
    <row r="998">
      <c r="A998" s="14"/>
      <c r="B998" s="14"/>
      <c r="C998" s="14"/>
      <c r="D998" s="14"/>
      <c r="E998" s="14"/>
      <c r="F998" s="14"/>
      <c r="G998" s="14"/>
      <c r="H998" s="14"/>
      <c r="I998" s="14"/>
      <c r="J998" s="14"/>
      <c r="K998" s="14"/>
      <c r="L998" s="14"/>
      <c r="M998" s="14"/>
      <c r="N998" s="14"/>
      <c r="O998" s="14"/>
      <c r="P998" s="14"/>
      <c r="Q998" s="14"/>
      <c r="R998" s="14"/>
    </row>
    <row r="999">
      <c r="A999" s="14"/>
      <c r="B999" s="14"/>
      <c r="C999" s="14"/>
      <c r="D999" s="14"/>
      <c r="E999" s="14"/>
      <c r="F999" s="14"/>
      <c r="G999" s="14"/>
      <c r="H999" s="14"/>
      <c r="I999" s="14"/>
      <c r="J999" s="14"/>
      <c r="K999" s="14"/>
      <c r="L999" s="14"/>
      <c r="M999" s="14"/>
      <c r="N999" s="14"/>
      <c r="O999" s="14"/>
      <c r="P999" s="14"/>
      <c r="Q999" s="14"/>
      <c r="R999" s="14"/>
    </row>
    <row r="1000">
      <c r="A1000" s="14"/>
      <c r="B1000" s="14"/>
      <c r="C1000" s="14"/>
      <c r="D1000" s="14"/>
      <c r="E1000" s="14"/>
      <c r="F1000" s="14"/>
      <c r="G1000" s="14"/>
      <c r="H1000" s="14"/>
      <c r="I1000" s="14"/>
      <c r="J1000" s="14"/>
      <c r="K1000" s="14"/>
      <c r="L1000" s="14"/>
      <c r="M1000" s="14"/>
      <c r="N1000" s="14"/>
      <c r="O1000" s="14"/>
      <c r="P1000" s="14"/>
      <c r="Q1000" s="14"/>
      <c r="R1000" s="14"/>
    </row>
  </sheetData>
  <mergeCells count="3">
    <mergeCell ref="A1:P1"/>
    <mergeCell ref="S2:Z2"/>
    <mergeCell ref="S15:Z15"/>
  </mergeCells>
  <conditionalFormatting sqref="C2:C13 D2 E2:E13 F2:F3 G2:I13 J2 K2:K13 L2:L3 M2:M13 N2 O2:O13 D4 J4:J8 F5:F7 L5 N5:N8 D6 D9 F9:F10 L9 J10 N10 D11:D13 L11:L13 F12:F13 J12:J13 N12:N13">
    <cfRule type="colorScale" priority="1">
      <colorScale>
        <cfvo type="formula" val="0"/>
        <cfvo type="formula" val="3.331"/>
        <cfvo type="formula" val="4"/>
        <color rgb="FFE67C73"/>
        <color rgb="FFFFD666"/>
        <color rgb="FF57BB8A"/>
      </colorScale>
    </cfRule>
  </conditionalFormatting>
  <conditionalFormatting sqref="C14:O14">
    <cfRule type="colorScale" priority="2">
      <colorScale>
        <cfvo type="min"/>
        <cfvo type="percentile" val="50"/>
        <cfvo type="max"/>
        <color rgb="FF57BB8A"/>
        <color rgb="FFFFD666"/>
        <color rgb="FFE67C73"/>
      </colorScale>
    </cfRule>
  </conditionalFormatting>
  <conditionalFormatting sqref="B2:C13 D2 E2:E13 F2:F3 G2:I13 J2 K2:K13 L2:L3 M2:M13 N2 O2:O13 D4 J4:J8 F5:F7 L5 N5:N8 D6 D9 F9:F10 L9 J10 N10 D11:D13 L11:L13 F12:F13 J12:J13 N12:N13">
    <cfRule type="cellIs" dxfId="9" priority="3" operator="lessThan">
      <formula>2.75</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8.88"/>
  </cols>
  <sheetData>
    <row r="1">
      <c r="A1" s="1" t="s">
        <v>0</v>
      </c>
      <c r="B1" s="2" t="s">
        <v>1</v>
      </c>
      <c r="C1" s="2" t="s">
        <v>2</v>
      </c>
      <c r="D1" s="2" t="s">
        <v>3</v>
      </c>
      <c r="E1" s="2" t="s">
        <v>4</v>
      </c>
    </row>
    <row r="2">
      <c r="A2" s="3">
        <v>45165.823788622685</v>
      </c>
      <c r="B2" s="4">
        <v>1634.0</v>
      </c>
      <c r="C2" s="4">
        <v>4.0</v>
      </c>
      <c r="D2" s="5" t="s">
        <v>5</v>
      </c>
      <c r="E2" s="4" t="s">
        <v>6</v>
      </c>
    </row>
    <row r="3">
      <c r="A3" s="3">
        <v>45165.83802542824</v>
      </c>
      <c r="B3" s="4">
        <v>1613.0</v>
      </c>
      <c r="C3" s="4">
        <v>4.0</v>
      </c>
      <c r="D3" s="5" t="s">
        <v>7</v>
      </c>
      <c r="E3" s="4" t="s">
        <v>8</v>
      </c>
    </row>
    <row r="4">
      <c r="A4" s="3">
        <v>45166.31904015046</v>
      </c>
      <c r="B4" s="4">
        <v>1621.0</v>
      </c>
      <c r="C4" s="4">
        <v>4.0</v>
      </c>
      <c r="D4" s="5" t="s">
        <v>9</v>
      </c>
    </row>
    <row r="5">
      <c r="A5" s="3">
        <v>45166.3543322801</v>
      </c>
      <c r="B5" s="4">
        <v>1647.0</v>
      </c>
      <c r="C5" s="4">
        <v>4.0</v>
      </c>
      <c r="D5" s="5" t="s">
        <v>10</v>
      </c>
    </row>
    <row r="6">
      <c r="A6" s="3">
        <v>45166.47426369213</v>
      </c>
      <c r="B6" s="4">
        <v>3.0</v>
      </c>
      <c r="C6" s="4">
        <v>3.0</v>
      </c>
      <c r="D6" s="4" t="s">
        <v>11</v>
      </c>
    </row>
    <row r="7">
      <c r="A7" s="3">
        <v>45166.50643317129</v>
      </c>
      <c r="B7" s="4">
        <v>1645.0</v>
      </c>
      <c r="C7" s="4">
        <v>4.0</v>
      </c>
      <c r="D7" s="5" t="s">
        <v>12</v>
      </c>
      <c r="E7" s="4" t="s">
        <v>16</v>
      </c>
    </row>
    <row r="8">
      <c r="A8" s="3">
        <v>45166.5981975926</v>
      </c>
      <c r="B8" s="4">
        <v>1597.0</v>
      </c>
      <c r="C8" s="4">
        <v>4.0</v>
      </c>
      <c r="D8" s="5" t="s">
        <v>17</v>
      </c>
      <c r="E8" s="4" t="s">
        <v>21</v>
      </c>
    </row>
    <row r="9">
      <c r="A9" s="3">
        <v>45166.64494224537</v>
      </c>
      <c r="B9" s="4">
        <v>1594.0</v>
      </c>
      <c r="C9" s="4">
        <v>4.0</v>
      </c>
      <c r="D9" s="5" t="s">
        <v>22</v>
      </c>
      <c r="E9" s="4" t="s">
        <v>27</v>
      </c>
    </row>
    <row r="10">
      <c r="A10" s="3">
        <v>45166.71243918981</v>
      </c>
      <c r="B10" s="4">
        <v>1564.0</v>
      </c>
      <c r="C10" s="4">
        <v>4.0</v>
      </c>
      <c r="D10" s="4" t="s">
        <v>28</v>
      </c>
    </row>
    <row r="11">
      <c r="A11" s="3">
        <v>45166.75040503472</v>
      </c>
      <c r="B11" s="4">
        <v>1618.0</v>
      </c>
      <c r="C11" s="4">
        <v>4.0</v>
      </c>
      <c r="D11" s="5" t="s">
        <v>30</v>
      </c>
    </row>
    <row r="12">
      <c r="A12" s="3">
        <v>45166.854191493054</v>
      </c>
      <c r="B12" s="4">
        <v>1631.0</v>
      </c>
      <c r="C12" s="4">
        <v>4.0</v>
      </c>
      <c r="D12" s="5" t="s">
        <v>37</v>
      </c>
    </row>
    <row r="13">
      <c r="A13" s="3">
        <v>45166.92029079861</v>
      </c>
      <c r="B13" s="4">
        <v>1641.0</v>
      </c>
      <c r="C13" s="4">
        <v>3.222</v>
      </c>
      <c r="D13" s="5" t="s">
        <v>43</v>
      </c>
      <c r="E13" s="4" t="s">
        <v>50</v>
      </c>
    </row>
    <row r="14">
      <c r="A14" s="3">
        <v>45167.521837465276</v>
      </c>
      <c r="B14" s="4">
        <v>1648.0</v>
      </c>
      <c r="C14" s="4">
        <v>4.0</v>
      </c>
      <c r="D14" s="5" t="s">
        <v>52</v>
      </c>
    </row>
    <row r="15">
      <c r="A15" s="3">
        <v>45168.65140484954</v>
      </c>
      <c r="B15" s="4">
        <v>1644.0</v>
      </c>
      <c r="C15" s="4">
        <v>4.0</v>
      </c>
      <c r="D15" s="5" t="s">
        <v>59</v>
      </c>
      <c r="E15" s="4" t="s">
        <v>8</v>
      </c>
    </row>
    <row r="16">
      <c r="A16" s="3">
        <v>45169.497902118055</v>
      </c>
      <c r="B16" s="4">
        <v>1595.0</v>
      </c>
      <c r="C16" s="4">
        <v>4.0</v>
      </c>
      <c r="D16" s="4" t="s">
        <v>65</v>
      </c>
    </row>
    <row r="17">
      <c r="A17" s="3">
        <v>45169.498781180555</v>
      </c>
      <c r="B17" s="4">
        <v>1596.0</v>
      </c>
      <c r="C17" s="4">
        <v>4.0</v>
      </c>
      <c r="D17" s="5" t="s">
        <v>66</v>
      </c>
    </row>
    <row r="18">
      <c r="A18" s="3">
        <v>45169.501391631944</v>
      </c>
      <c r="B18" s="4">
        <v>1653.0</v>
      </c>
      <c r="C18" s="4">
        <v>2.9</v>
      </c>
      <c r="D18" s="4" t="s">
        <v>69</v>
      </c>
    </row>
    <row r="19">
      <c r="A19" s="3">
        <v>45169.504387928246</v>
      </c>
      <c r="B19" s="4">
        <v>1650.0</v>
      </c>
      <c r="C19" s="4">
        <v>4.0</v>
      </c>
      <c r="D19" s="5" t="s">
        <v>70</v>
      </c>
    </row>
    <row r="20">
      <c r="A20" s="3">
        <v>45169.50546237269</v>
      </c>
      <c r="B20" s="4">
        <v>1625.0</v>
      </c>
      <c r="C20" s="4">
        <v>4.0</v>
      </c>
      <c r="D20" s="5" t="s">
        <v>77</v>
      </c>
    </row>
    <row r="21">
      <c r="A21" s="3">
        <v>45169.52508320602</v>
      </c>
      <c r="B21" s="4">
        <v>1627.0</v>
      </c>
      <c r="C21" s="4">
        <v>4.0</v>
      </c>
      <c r="D21" s="5" t="s">
        <v>82</v>
      </c>
    </row>
    <row r="22">
      <c r="A22" s="3">
        <v>45169.52546175926</v>
      </c>
      <c r="B22" s="4">
        <v>1639.0</v>
      </c>
      <c r="C22" s="4">
        <v>4.0</v>
      </c>
      <c r="D22" s="4" t="s">
        <v>88</v>
      </c>
    </row>
    <row r="23">
      <c r="A23" s="3">
        <v>45169.52877887731</v>
      </c>
      <c r="B23" s="4">
        <v>1598.0</v>
      </c>
      <c r="C23" s="4">
        <v>4.0</v>
      </c>
      <c r="D23" s="5" t="s">
        <v>89</v>
      </c>
    </row>
    <row r="24">
      <c r="A24" s="3">
        <v>45169.53372340278</v>
      </c>
      <c r="B24" s="4">
        <v>1637.0</v>
      </c>
      <c r="C24" s="4">
        <v>4.0</v>
      </c>
      <c r="D24" s="5" t="s">
        <v>93</v>
      </c>
      <c r="E24" s="4" t="s">
        <v>98</v>
      </c>
    </row>
    <row r="25">
      <c r="A25" s="3">
        <v>45169.54409149305</v>
      </c>
      <c r="B25" s="4">
        <v>1640.0</v>
      </c>
      <c r="C25" s="4">
        <v>4.0</v>
      </c>
      <c r="D25" s="4" t="s">
        <v>99</v>
      </c>
      <c r="E25" s="4" t="s">
        <v>100</v>
      </c>
    </row>
    <row r="26">
      <c r="A26" s="3">
        <v>45169.56048712963</v>
      </c>
      <c r="B26" s="4">
        <v>1620.0</v>
      </c>
      <c r="C26" s="4">
        <v>4.0</v>
      </c>
      <c r="D26" s="5" t="s">
        <v>101</v>
      </c>
      <c r="E26" s="4" t="s">
        <v>107</v>
      </c>
    </row>
    <row r="27">
      <c r="A27" s="3">
        <v>45169.60184230324</v>
      </c>
      <c r="B27" s="4">
        <v>1654.0</v>
      </c>
      <c r="C27" s="4">
        <v>4.0</v>
      </c>
      <c r="D27" s="5" t="s">
        <v>108</v>
      </c>
    </row>
    <row r="28">
      <c r="A28" s="3">
        <v>45169.81697738426</v>
      </c>
      <c r="B28" s="4">
        <v>13.0</v>
      </c>
      <c r="C28" s="4">
        <v>4.0</v>
      </c>
      <c r="D28" s="5" t="s">
        <v>112</v>
      </c>
      <c r="E28" s="4" t="s">
        <v>118</v>
      </c>
    </row>
    <row r="29">
      <c r="A29" s="3">
        <v>45169.823044247685</v>
      </c>
      <c r="B29" s="4">
        <v>1.0</v>
      </c>
      <c r="C29" s="4">
        <v>2.8</v>
      </c>
      <c r="D29" s="4" t="s">
        <v>120</v>
      </c>
    </row>
    <row r="30">
      <c r="A30" s="3">
        <v>45170.30004256945</v>
      </c>
      <c r="B30" s="4">
        <v>11.0</v>
      </c>
      <c r="C30" s="4">
        <v>3.917</v>
      </c>
      <c r="D30" s="4" t="s">
        <v>121</v>
      </c>
      <c r="E30" s="4" t="s">
        <v>122</v>
      </c>
    </row>
    <row r="31">
      <c r="A31" s="3">
        <v>45170.370951273144</v>
      </c>
      <c r="B31" s="4">
        <v>1599.0</v>
      </c>
      <c r="C31" s="4">
        <v>3.4</v>
      </c>
      <c r="D31" s="4" t="s">
        <v>123</v>
      </c>
      <c r="E31" s="4" t="s">
        <v>124</v>
      </c>
    </row>
    <row r="32">
      <c r="A32" s="3">
        <v>45170.371461840274</v>
      </c>
      <c r="B32" s="4">
        <v>1635.0</v>
      </c>
      <c r="C32" s="4">
        <v>4.0</v>
      </c>
      <c r="D32" s="5" t="s">
        <v>125</v>
      </c>
    </row>
    <row r="33">
      <c r="A33" s="3">
        <v>45170.38583837963</v>
      </c>
      <c r="B33" s="4">
        <v>1623.0</v>
      </c>
      <c r="C33" s="4">
        <v>4.0</v>
      </c>
      <c r="D33" s="5" t="s">
        <v>129</v>
      </c>
    </row>
    <row r="34">
      <c r="A34" s="3">
        <v>45170.40121628472</v>
      </c>
      <c r="B34" s="4">
        <v>6.0</v>
      </c>
      <c r="C34" s="4">
        <v>3.4</v>
      </c>
      <c r="D34" s="5" t="s">
        <v>136</v>
      </c>
    </row>
    <row r="35">
      <c r="A35" s="3">
        <v>45170.40338695602</v>
      </c>
      <c r="B35" s="4">
        <v>1652.0</v>
      </c>
      <c r="C35" s="4">
        <v>3.25</v>
      </c>
      <c r="D35" s="4" t="s">
        <v>144</v>
      </c>
    </row>
    <row r="36">
      <c r="A36" s="3">
        <v>45170.44662369213</v>
      </c>
      <c r="B36" s="4">
        <v>1632.0</v>
      </c>
      <c r="C36" s="4">
        <v>3.3</v>
      </c>
      <c r="D36" s="4" t="s">
        <v>145</v>
      </c>
    </row>
    <row r="37">
      <c r="A37" s="3">
        <v>45170.45019934028</v>
      </c>
      <c r="B37" s="4">
        <v>2.0</v>
      </c>
      <c r="C37" s="4">
        <v>4.0</v>
      </c>
      <c r="D37" s="5" t="s">
        <v>146</v>
      </c>
    </row>
    <row r="38">
      <c r="A38" s="3">
        <v>45170.462437361115</v>
      </c>
      <c r="B38" s="4">
        <v>8.0</v>
      </c>
      <c r="C38" s="4">
        <v>4.0</v>
      </c>
      <c r="D38" s="5" t="s">
        <v>149</v>
      </c>
      <c r="E38" s="4" t="s">
        <v>151</v>
      </c>
    </row>
    <row r="39">
      <c r="A39" s="3">
        <v>45170.49070108796</v>
      </c>
      <c r="B39" s="4">
        <v>1630.0</v>
      </c>
      <c r="C39" s="4">
        <v>3.833</v>
      </c>
      <c r="D39" s="5" t="s">
        <v>152</v>
      </c>
    </row>
    <row r="40">
      <c r="A40" s="3">
        <v>45170.50083710648</v>
      </c>
      <c r="B40" s="4">
        <v>1643.0</v>
      </c>
      <c r="C40" s="4">
        <v>3.9</v>
      </c>
      <c r="D40" s="5" t="s">
        <v>157</v>
      </c>
    </row>
    <row r="41">
      <c r="A41" s="3">
        <v>45170.52002008102</v>
      </c>
      <c r="B41" s="4">
        <v>1608.0</v>
      </c>
      <c r="C41" s="4">
        <v>3.08</v>
      </c>
      <c r="D41" s="4" t="s">
        <v>162</v>
      </c>
    </row>
    <row r="42">
      <c r="A42" s="3">
        <v>45170.53448935185</v>
      </c>
      <c r="B42" s="4">
        <v>9.0</v>
      </c>
      <c r="C42" s="4">
        <v>3.8</v>
      </c>
      <c r="D42" s="4" t="s">
        <v>163</v>
      </c>
      <c r="E42" s="4" t="s">
        <v>165</v>
      </c>
    </row>
    <row r="43">
      <c r="A43" s="3">
        <v>45170.544821539355</v>
      </c>
      <c r="B43" s="4">
        <v>10.0</v>
      </c>
      <c r="C43" s="4">
        <v>4.0</v>
      </c>
      <c r="D43" s="5" t="s">
        <v>166</v>
      </c>
      <c r="E43" s="4" t="s">
        <v>169</v>
      </c>
    </row>
    <row r="44">
      <c r="A44" s="3">
        <v>45170.549674814814</v>
      </c>
      <c r="B44" s="4">
        <v>4.0</v>
      </c>
      <c r="C44" s="4">
        <v>2.26</v>
      </c>
      <c r="D44" s="4" t="s">
        <v>170</v>
      </c>
      <c r="E44" s="4" t="s">
        <v>171</v>
      </c>
    </row>
    <row r="45">
      <c r="A45" s="3">
        <v>45170.567302916665</v>
      </c>
      <c r="B45" s="4">
        <v>7.0</v>
      </c>
      <c r="C45" s="4">
        <v>4.0</v>
      </c>
      <c r="D45" s="5" t="s">
        <v>172</v>
      </c>
    </row>
    <row r="46">
      <c r="A46" s="3">
        <v>45170.572782048606</v>
      </c>
      <c r="B46" s="4">
        <v>1615.0</v>
      </c>
      <c r="C46" s="4">
        <v>4.0</v>
      </c>
      <c r="D46" s="5" t="s">
        <v>175</v>
      </c>
    </row>
    <row r="47">
      <c r="A47" s="3">
        <v>45170.591257858796</v>
      </c>
      <c r="B47" s="4">
        <v>1616.0</v>
      </c>
      <c r="C47" s="4">
        <v>4.0</v>
      </c>
      <c r="D47" s="4" t="s">
        <v>177</v>
      </c>
    </row>
    <row r="48">
      <c r="A48" s="3">
        <v>45170.609650150465</v>
      </c>
      <c r="B48" s="4">
        <v>5.0</v>
      </c>
      <c r="C48" s="4">
        <v>3.87</v>
      </c>
      <c r="D48" s="5" t="s">
        <v>178</v>
      </c>
    </row>
    <row r="49">
      <c r="A49" s="3">
        <v>45170.614924050926</v>
      </c>
      <c r="B49" s="4">
        <v>1605.0</v>
      </c>
      <c r="C49" s="4">
        <v>4.0</v>
      </c>
      <c r="D49" s="5" t="s">
        <v>180</v>
      </c>
      <c r="E49" s="4" t="s">
        <v>182</v>
      </c>
    </row>
    <row r="50">
      <c r="A50" s="3">
        <v>45170.62898956018</v>
      </c>
      <c r="B50" s="4">
        <v>1622.0</v>
      </c>
      <c r="C50" s="4">
        <v>4.0</v>
      </c>
      <c r="D50" s="5" t="s">
        <v>183</v>
      </c>
      <c r="E50" s="4" t="s">
        <v>185</v>
      </c>
    </row>
    <row r="51">
      <c r="A51" s="3">
        <v>45170.629827094905</v>
      </c>
      <c r="B51" s="4">
        <v>1591.0</v>
      </c>
      <c r="C51" s="4">
        <v>4.0</v>
      </c>
      <c r="D51" s="5" t="s">
        <v>186</v>
      </c>
    </row>
    <row r="52">
      <c r="A52" s="3">
        <v>45170.630745</v>
      </c>
      <c r="B52" s="4">
        <v>1624.0</v>
      </c>
      <c r="C52" s="4">
        <v>3.168</v>
      </c>
      <c r="D52" s="5" t="s">
        <v>188</v>
      </c>
      <c r="E52" s="4" t="s">
        <v>189</v>
      </c>
    </row>
    <row r="53">
      <c r="A53" s="3">
        <v>45170.63154851852</v>
      </c>
      <c r="B53" s="4">
        <v>1592.0</v>
      </c>
      <c r="C53" s="4">
        <v>4.0</v>
      </c>
      <c r="D53" s="5" t="s">
        <v>190</v>
      </c>
      <c r="E53" s="4" t="s">
        <v>192</v>
      </c>
    </row>
    <row r="54">
      <c r="A54" s="3">
        <v>45170.63323074074</v>
      </c>
      <c r="B54" s="4">
        <v>1628.0</v>
      </c>
      <c r="C54" s="4">
        <v>4.0</v>
      </c>
      <c r="D54" s="5" t="s">
        <v>194</v>
      </c>
      <c r="E54" s="4" t="s">
        <v>200</v>
      </c>
    </row>
    <row r="55">
      <c r="A55" s="3">
        <v>45170.63848951389</v>
      </c>
      <c r="B55" s="4">
        <v>12.0</v>
      </c>
      <c r="C55" s="4">
        <v>3.0</v>
      </c>
      <c r="D55" s="5" t="s">
        <v>201</v>
      </c>
    </row>
    <row r="56">
      <c r="A56" s="3">
        <v>45170.73673909722</v>
      </c>
      <c r="B56" s="4">
        <v>1642.0</v>
      </c>
      <c r="C56" s="4">
        <v>4.0</v>
      </c>
      <c r="D56" s="5" t="s">
        <v>202</v>
      </c>
    </row>
    <row r="57">
      <c r="A57" s="3">
        <v>45170.73895200231</v>
      </c>
      <c r="B57" s="4">
        <v>1636.0</v>
      </c>
      <c r="C57" s="4">
        <v>3.62</v>
      </c>
      <c r="D57" s="5" t="s">
        <v>203</v>
      </c>
    </row>
    <row r="58">
      <c r="A58" s="3">
        <v>45170.96782394676</v>
      </c>
      <c r="B58" s="4">
        <v>1646.0</v>
      </c>
      <c r="C58" s="4">
        <v>3.816</v>
      </c>
      <c r="D58" s="5" t="s">
        <v>204</v>
      </c>
    </row>
    <row r="59">
      <c r="A59" s="3">
        <v>45171.50532296296</v>
      </c>
      <c r="B59" s="4">
        <v>1602.0</v>
      </c>
      <c r="C59" s="4">
        <v>4.0</v>
      </c>
      <c r="D59" s="5" t="s">
        <v>205</v>
      </c>
      <c r="E59" s="4" t="s">
        <v>206</v>
      </c>
    </row>
    <row r="60">
      <c r="A60" s="3">
        <v>45171.59548383101</v>
      </c>
      <c r="B60" s="4">
        <v>1577.0</v>
      </c>
      <c r="C60" s="4">
        <v>3.84</v>
      </c>
      <c r="D60" s="5" t="s">
        <v>207</v>
      </c>
    </row>
    <row r="61">
      <c r="A61" s="3">
        <v>45171.69827241898</v>
      </c>
      <c r="B61" s="4">
        <v>1656.0</v>
      </c>
      <c r="C61" s="4">
        <v>3.42</v>
      </c>
      <c r="D61" s="4" t="s">
        <v>209</v>
      </c>
      <c r="E61" s="4" t="s">
        <v>210</v>
      </c>
    </row>
    <row r="62">
      <c r="A62" s="3">
        <v>45171.740980069444</v>
      </c>
      <c r="B62" s="4">
        <v>1655.0</v>
      </c>
      <c r="C62" s="4">
        <v>4.0</v>
      </c>
      <c r="D62" s="4" t="s">
        <v>211</v>
      </c>
      <c r="E62" s="4" t="s">
        <v>212</v>
      </c>
    </row>
    <row r="63">
      <c r="A63" s="3">
        <v>45177.582089166666</v>
      </c>
      <c r="B63" s="4">
        <v>12.0</v>
      </c>
      <c r="C63" s="4">
        <v>3.0</v>
      </c>
      <c r="D63" s="5" t="s">
        <v>214</v>
      </c>
    </row>
    <row r="64">
      <c r="B64" s="4">
        <v>1626.0</v>
      </c>
      <c r="C64" s="4">
        <v>2.0</v>
      </c>
      <c r="E64" s="4" t="s">
        <v>218</v>
      </c>
    </row>
    <row r="65">
      <c r="B65" s="4">
        <v>1617.0</v>
      </c>
      <c r="C65" s="4">
        <v>3.67</v>
      </c>
      <c r="E65" s="4" t="s">
        <v>219</v>
      </c>
    </row>
  </sheetData>
  <hyperlinks>
    <hyperlink r:id="rId1" ref="D2"/>
    <hyperlink r:id="rId2" ref="D3"/>
    <hyperlink r:id="rId3" ref="D4"/>
    <hyperlink r:id="rId4" ref="D5"/>
    <hyperlink r:id="rId5" ref="D7"/>
    <hyperlink r:id="rId6" ref="D8"/>
    <hyperlink r:id="rId7" ref="D9"/>
    <hyperlink r:id="rId8" ref="D11"/>
    <hyperlink r:id="rId9" ref="D12"/>
    <hyperlink r:id="rId10" ref="D13"/>
    <hyperlink r:id="rId11" ref="D14"/>
    <hyperlink r:id="rId12" ref="D15"/>
    <hyperlink r:id="rId13" ref="D17"/>
    <hyperlink r:id="rId14" ref="D19"/>
    <hyperlink r:id="rId15" ref="D20"/>
    <hyperlink r:id="rId16" ref="D21"/>
    <hyperlink r:id="rId17" ref="D23"/>
    <hyperlink r:id="rId18" ref="D24"/>
    <hyperlink r:id="rId19" ref="D26"/>
    <hyperlink r:id="rId20" ref="D27"/>
    <hyperlink r:id="rId21" ref="D28"/>
    <hyperlink r:id="rId22" ref="D32"/>
    <hyperlink r:id="rId23" ref="D33"/>
    <hyperlink r:id="rId24" ref="D34"/>
    <hyperlink r:id="rId25" ref="D37"/>
    <hyperlink r:id="rId26" ref="D38"/>
    <hyperlink r:id="rId27" ref="D39"/>
    <hyperlink r:id="rId28" ref="D40"/>
    <hyperlink r:id="rId29" ref="D43"/>
    <hyperlink r:id="rId30" ref="D45"/>
    <hyperlink r:id="rId31" ref="D46"/>
    <hyperlink r:id="rId32" ref="D48"/>
    <hyperlink r:id="rId33" ref="D49"/>
    <hyperlink r:id="rId34" ref="D50"/>
    <hyperlink r:id="rId35" ref="D51"/>
    <hyperlink r:id="rId36" ref="D52"/>
    <hyperlink r:id="rId37" ref="D53"/>
    <hyperlink r:id="rId38" ref="D54"/>
    <hyperlink r:id="rId39" ref="D55"/>
    <hyperlink r:id="rId40" ref="D56"/>
    <hyperlink r:id="rId41" ref="D57"/>
    <hyperlink r:id="rId42" ref="D58"/>
    <hyperlink r:id="rId43" ref="D59"/>
    <hyperlink r:id="rId44" ref="D60"/>
    <hyperlink r:id="rId45" ref="D63"/>
  </hyperlinks>
  <drawing r:id="rId4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0</v>
      </c>
      <c r="B1" s="2" t="s">
        <v>1</v>
      </c>
      <c r="C1" s="2" t="s">
        <v>2</v>
      </c>
      <c r="D1" s="2" t="s">
        <v>223</v>
      </c>
      <c r="E1" s="2" t="s">
        <v>224</v>
      </c>
      <c r="F1" s="2" t="s">
        <v>4</v>
      </c>
    </row>
    <row r="2">
      <c r="A2" s="3">
        <v>45180.47082993056</v>
      </c>
      <c r="B2" s="4">
        <v>1613.0</v>
      </c>
      <c r="C2" s="4">
        <v>4.0</v>
      </c>
      <c r="D2" s="5" t="s">
        <v>225</v>
      </c>
      <c r="E2" s="5" t="s">
        <v>226</v>
      </c>
    </row>
    <row r="3">
      <c r="A3" s="3">
        <v>45180.47283658565</v>
      </c>
      <c r="B3" s="4">
        <v>1637.0</v>
      </c>
      <c r="C3" s="4">
        <v>4.0</v>
      </c>
      <c r="D3" s="5" t="s">
        <v>231</v>
      </c>
      <c r="E3" s="5" t="s">
        <v>232</v>
      </c>
    </row>
    <row r="4">
      <c r="A4" s="3">
        <v>45180.4733146875</v>
      </c>
      <c r="B4" s="4">
        <v>1645.0</v>
      </c>
      <c r="C4" s="4">
        <v>4.0</v>
      </c>
      <c r="D4" s="5" t="s">
        <v>233</v>
      </c>
      <c r="E4" s="5" t="s">
        <v>234</v>
      </c>
      <c r="F4" s="4" t="s">
        <v>235</v>
      </c>
    </row>
    <row r="5">
      <c r="A5" s="3">
        <v>45180.475801099536</v>
      </c>
      <c r="B5" s="4">
        <v>1597.0</v>
      </c>
      <c r="C5" s="4">
        <v>2.23</v>
      </c>
      <c r="D5" s="5" t="s">
        <v>236</v>
      </c>
      <c r="E5" s="224" t="s">
        <v>238</v>
      </c>
      <c r="F5" s="4" t="s">
        <v>240</v>
      </c>
    </row>
    <row r="6">
      <c r="A6" s="3">
        <v>45180.49598820602</v>
      </c>
      <c r="B6" s="4">
        <v>11.0</v>
      </c>
      <c r="C6" s="4">
        <v>3.9</v>
      </c>
      <c r="D6" s="4" t="s">
        <v>241</v>
      </c>
      <c r="E6" s="4" t="s">
        <v>242</v>
      </c>
    </row>
    <row r="7">
      <c r="A7" s="3">
        <v>45180.49835969908</v>
      </c>
      <c r="B7" s="4">
        <v>1634.0</v>
      </c>
      <c r="C7" s="4">
        <v>4.0</v>
      </c>
      <c r="D7" s="5" t="s">
        <v>243</v>
      </c>
      <c r="E7" s="5" t="s">
        <v>244</v>
      </c>
    </row>
    <row r="8">
      <c r="A8" s="3">
        <v>45180.57182239583</v>
      </c>
      <c r="B8" s="4">
        <v>13.0</v>
      </c>
      <c r="C8" s="4">
        <v>4.0</v>
      </c>
      <c r="D8" s="5" t="s">
        <v>246</v>
      </c>
      <c r="E8" s="5" t="s">
        <v>248</v>
      </c>
    </row>
    <row r="9">
      <c r="A9" s="3">
        <v>45180.60491203704</v>
      </c>
      <c r="B9" s="4">
        <v>1653.0</v>
      </c>
      <c r="C9" s="4">
        <v>4.0</v>
      </c>
      <c r="D9" s="4" t="s">
        <v>253</v>
      </c>
      <c r="E9" s="5" t="s">
        <v>254</v>
      </c>
    </row>
    <row r="10">
      <c r="A10" s="3">
        <v>45180.611668391204</v>
      </c>
      <c r="B10" s="4">
        <v>3.0</v>
      </c>
      <c r="C10" s="4">
        <v>3.3</v>
      </c>
      <c r="D10" s="4" t="s">
        <v>257</v>
      </c>
      <c r="E10" s="5" t="s">
        <v>258</v>
      </c>
    </row>
    <row r="11">
      <c r="A11" s="3">
        <v>45180.64678594907</v>
      </c>
      <c r="B11" s="4">
        <v>1620.0</v>
      </c>
      <c r="C11" s="4">
        <v>4.0</v>
      </c>
      <c r="D11" s="5" t="s">
        <v>260</v>
      </c>
      <c r="E11" s="5" t="s">
        <v>263</v>
      </c>
      <c r="F11" s="4" t="s">
        <v>267</v>
      </c>
    </row>
    <row r="12">
      <c r="A12" s="3">
        <v>45180.67597123842</v>
      </c>
      <c r="B12" s="4">
        <v>1640.0</v>
      </c>
      <c r="C12" s="4">
        <v>4.0</v>
      </c>
      <c r="D12" s="4" t="s">
        <v>269</v>
      </c>
      <c r="E12" s="5" t="s">
        <v>270</v>
      </c>
    </row>
    <row r="13">
      <c r="A13" s="3">
        <v>45180.677455983794</v>
      </c>
      <c r="B13" s="4">
        <v>1644.0</v>
      </c>
      <c r="C13" s="4">
        <v>4.0</v>
      </c>
      <c r="D13" s="5" t="s">
        <v>272</v>
      </c>
      <c r="E13" s="5" t="s">
        <v>275</v>
      </c>
      <c r="F13" s="4" t="s">
        <v>276</v>
      </c>
    </row>
    <row r="14">
      <c r="A14" s="3">
        <v>45180.71174189815</v>
      </c>
      <c r="B14" s="4">
        <v>1623.0</v>
      </c>
      <c r="C14" s="4">
        <v>4.0</v>
      </c>
      <c r="D14" s="5" t="s">
        <v>277</v>
      </c>
      <c r="E14" s="5" t="s">
        <v>280</v>
      </c>
      <c r="F14" s="4" t="s">
        <v>282</v>
      </c>
    </row>
    <row r="15">
      <c r="A15" s="3">
        <v>45180.739201041666</v>
      </c>
      <c r="B15" s="4">
        <v>1618.0</v>
      </c>
      <c r="C15" s="4">
        <v>3.751</v>
      </c>
      <c r="D15" s="5" t="s">
        <v>283</v>
      </c>
      <c r="E15" s="5" t="s">
        <v>285</v>
      </c>
    </row>
    <row r="16">
      <c r="A16" s="3">
        <v>45181.262274293986</v>
      </c>
      <c r="B16" s="4">
        <v>1594.0</v>
      </c>
      <c r="C16" s="4">
        <v>4.0</v>
      </c>
      <c r="D16" s="5" t="s">
        <v>286</v>
      </c>
      <c r="E16" s="5" t="s">
        <v>287</v>
      </c>
    </row>
    <row r="17">
      <c r="A17" s="3">
        <v>45181.51923605324</v>
      </c>
      <c r="B17" s="4">
        <v>2.0</v>
      </c>
      <c r="C17" s="4">
        <v>4.0</v>
      </c>
      <c r="D17" s="5" t="s">
        <v>294</v>
      </c>
      <c r="E17" s="5" t="s">
        <v>295</v>
      </c>
      <c r="F17" s="4" t="s">
        <v>296</v>
      </c>
    </row>
    <row r="18">
      <c r="A18" s="3">
        <v>45181.52483023149</v>
      </c>
      <c r="B18" s="4">
        <v>1597.0</v>
      </c>
      <c r="C18" s="4">
        <v>2.23</v>
      </c>
      <c r="D18" s="5" t="s">
        <v>297</v>
      </c>
      <c r="E18" s="5" t="s">
        <v>298</v>
      </c>
    </row>
    <row r="19">
      <c r="A19" s="3">
        <v>45181.629539270834</v>
      </c>
      <c r="B19" s="4">
        <v>1639.0</v>
      </c>
      <c r="C19" s="4">
        <v>3.934</v>
      </c>
      <c r="D19" s="4" t="s">
        <v>299</v>
      </c>
      <c r="E19" s="4" t="s">
        <v>300</v>
      </c>
      <c r="F19" s="4" t="s">
        <v>301</v>
      </c>
    </row>
    <row r="20">
      <c r="A20" s="3">
        <v>45181.881656365746</v>
      </c>
      <c r="B20" s="4">
        <v>1596.0</v>
      </c>
      <c r="C20" s="4">
        <v>4.0</v>
      </c>
      <c r="D20" s="5" t="s">
        <v>302</v>
      </c>
      <c r="E20" s="224" t="s">
        <v>303</v>
      </c>
      <c r="F20" s="4" t="s">
        <v>305</v>
      </c>
    </row>
    <row r="21">
      <c r="A21" s="3">
        <v>45181.89491944444</v>
      </c>
      <c r="B21" s="4">
        <v>1654.0</v>
      </c>
      <c r="C21" s="4">
        <v>4.0</v>
      </c>
      <c r="D21" s="5" t="s">
        <v>306</v>
      </c>
      <c r="E21" s="5" t="s">
        <v>307</v>
      </c>
    </row>
    <row r="22">
      <c r="A22" s="3">
        <v>45182.313086180555</v>
      </c>
      <c r="B22" s="4">
        <v>1621.0</v>
      </c>
      <c r="C22" s="4">
        <v>4.0</v>
      </c>
      <c r="D22" s="5" t="s">
        <v>308</v>
      </c>
      <c r="E22" s="5" t="s">
        <v>310</v>
      </c>
    </row>
    <row r="23">
      <c r="A23" s="3">
        <v>45182.448566631945</v>
      </c>
      <c r="B23" s="4">
        <v>1564.0</v>
      </c>
      <c r="C23" s="4">
        <v>3.85</v>
      </c>
      <c r="D23" s="5" t="s">
        <v>311</v>
      </c>
      <c r="E23" s="5" t="s">
        <v>312</v>
      </c>
    </row>
    <row r="24">
      <c r="A24" s="3">
        <v>45182.47125699074</v>
      </c>
      <c r="B24" s="4">
        <v>1643.0</v>
      </c>
      <c r="C24" s="4">
        <v>3.85</v>
      </c>
      <c r="D24" s="5" t="s">
        <v>314</v>
      </c>
      <c r="E24" s="5" t="s">
        <v>315</v>
      </c>
    </row>
    <row r="25">
      <c r="A25" s="3">
        <v>45182.63083913195</v>
      </c>
      <c r="B25" s="4">
        <v>1625.0</v>
      </c>
      <c r="C25" s="4">
        <v>3.89</v>
      </c>
      <c r="D25" s="5" t="s">
        <v>316</v>
      </c>
      <c r="E25" s="5" t="s">
        <v>317</v>
      </c>
    </row>
    <row r="26">
      <c r="A26" s="3">
        <v>45183.436733090275</v>
      </c>
      <c r="B26" s="4">
        <v>1642.0</v>
      </c>
      <c r="C26" s="4">
        <v>4.0</v>
      </c>
      <c r="D26" s="5" t="s">
        <v>318</v>
      </c>
      <c r="E26" s="5" t="s">
        <v>320</v>
      </c>
    </row>
    <row r="27">
      <c r="A27" s="3">
        <v>45183.50753863426</v>
      </c>
      <c r="B27" s="4">
        <v>1595.0</v>
      </c>
      <c r="C27" s="4">
        <v>4.0</v>
      </c>
      <c r="D27" s="4" t="s">
        <v>321</v>
      </c>
      <c r="E27" s="5" t="s">
        <v>322</v>
      </c>
    </row>
    <row r="28">
      <c r="A28" s="3">
        <v>45183.520757962964</v>
      </c>
      <c r="B28" s="4">
        <v>17.0</v>
      </c>
      <c r="C28" s="4">
        <v>3.538</v>
      </c>
      <c r="D28" s="4" t="s">
        <v>324</v>
      </c>
      <c r="E28" s="5" t="s">
        <v>325</v>
      </c>
      <c r="F28" s="4" t="s">
        <v>151</v>
      </c>
    </row>
    <row r="29">
      <c r="A29" s="3">
        <v>45183.984942696756</v>
      </c>
      <c r="B29" s="4">
        <v>1608.0</v>
      </c>
      <c r="C29" s="4">
        <v>3.58</v>
      </c>
      <c r="D29" s="5" t="s">
        <v>326</v>
      </c>
      <c r="E29" s="5" t="s">
        <v>327</v>
      </c>
    </row>
    <row r="30">
      <c r="A30" s="3">
        <v>45184.32033643519</v>
      </c>
      <c r="B30" s="4">
        <v>1650.0</v>
      </c>
      <c r="C30" s="4">
        <v>3.58</v>
      </c>
      <c r="D30" s="5" t="s">
        <v>328</v>
      </c>
      <c r="E30" s="5" t="s">
        <v>329</v>
      </c>
    </row>
    <row r="31">
      <c r="A31" s="3">
        <v>45184.387882511575</v>
      </c>
      <c r="B31" s="4">
        <v>1635.0</v>
      </c>
      <c r="C31" s="4">
        <v>4.0</v>
      </c>
      <c r="D31" s="5" t="s">
        <v>330</v>
      </c>
      <c r="E31" s="5" t="s">
        <v>331</v>
      </c>
    </row>
    <row r="32">
      <c r="A32" s="3">
        <v>45184.3963983912</v>
      </c>
      <c r="B32" s="4">
        <v>1599.0</v>
      </c>
      <c r="C32" s="4">
        <v>3.8</v>
      </c>
      <c r="D32" s="4" t="s">
        <v>332</v>
      </c>
      <c r="E32" s="5" t="s">
        <v>333</v>
      </c>
    </row>
    <row r="33">
      <c r="A33" s="3">
        <v>45184.43107233796</v>
      </c>
      <c r="B33" s="4">
        <v>1626.0</v>
      </c>
      <c r="C33" s="4">
        <v>3.667</v>
      </c>
      <c r="D33" s="5" t="s">
        <v>334</v>
      </c>
      <c r="E33" s="5" t="s">
        <v>335</v>
      </c>
    </row>
    <row r="34">
      <c r="A34" s="3">
        <v>45184.44905416667</v>
      </c>
      <c r="B34" s="4">
        <v>1630.0</v>
      </c>
      <c r="C34" s="4">
        <v>3.866</v>
      </c>
      <c r="D34" s="5" t="s">
        <v>336</v>
      </c>
      <c r="E34" s="5" t="s">
        <v>337</v>
      </c>
    </row>
    <row r="35">
      <c r="A35" s="3">
        <v>45184.45057901621</v>
      </c>
      <c r="B35" s="4">
        <v>6.0</v>
      </c>
      <c r="C35" s="4">
        <v>3.377</v>
      </c>
      <c r="D35" s="5" t="s">
        <v>338</v>
      </c>
      <c r="E35" s="5" t="s">
        <v>339</v>
      </c>
    </row>
    <row r="36">
      <c r="A36" s="3">
        <v>45184.47907403935</v>
      </c>
      <c r="B36" s="4">
        <v>1652.0</v>
      </c>
      <c r="C36" s="4">
        <v>3.375</v>
      </c>
      <c r="D36" s="4" t="s">
        <v>340</v>
      </c>
      <c r="E36" s="5" t="s">
        <v>341</v>
      </c>
    </row>
    <row r="37">
      <c r="A37" s="3">
        <v>45184.49258255787</v>
      </c>
      <c r="B37" s="4">
        <v>1627.0</v>
      </c>
      <c r="C37" s="4">
        <v>3.65</v>
      </c>
      <c r="D37" s="5" t="s">
        <v>342</v>
      </c>
      <c r="E37" s="5" t="s">
        <v>343</v>
      </c>
    </row>
    <row r="38">
      <c r="A38" s="3">
        <v>45184.496579756946</v>
      </c>
      <c r="B38" s="4">
        <v>1655.0</v>
      </c>
      <c r="C38" s="4">
        <v>3.083</v>
      </c>
      <c r="D38" s="5" t="s">
        <v>344</v>
      </c>
      <c r="E38" s="5" t="s">
        <v>345</v>
      </c>
      <c r="F38" s="4" t="s">
        <v>346</v>
      </c>
    </row>
    <row r="39">
      <c r="A39" s="3">
        <v>45184.520867071755</v>
      </c>
      <c r="B39" s="4">
        <v>14.0</v>
      </c>
      <c r="C39" s="4">
        <v>3.89</v>
      </c>
      <c r="D39" s="4" t="s">
        <v>347</v>
      </c>
      <c r="E39" s="5" t="s">
        <v>348</v>
      </c>
    </row>
    <row r="40">
      <c r="A40" s="3">
        <v>45184.566440208335</v>
      </c>
      <c r="B40" s="4">
        <v>16.0</v>
      </c>
      <c r="C40" s="4">
        <v>3.97</v>
      </c>
      <c r="D40" s="5" t="s">
        <v>349</v>
      </c>
      <c r="E40" s="5" t="s">
        <v>350</v>
      </c>
      <c r="F40" s="4" t="s">
        <v>151</v>
      </c>
    </row>
    <row r="41">
      <c r="A41" s="3">
        <v>45184.566708252314</v>
      </c>
      <c r="B41" s="4">
        <v>1620.0</v>
      </c>
      <c r="C41" s="4">
        <v>4.0</v>
      </c>
      <c r="D41" s="5" t="s">
        <v>351</v>
      </c>
      <c r="E41" s="4" t="s">
        <v>352</v>
      </c>
    </row>
    <row r="42">
      <c r="A42" s="3">
        <v>45184.571019780095</v>
      </c>
      <c r="B42" s="4">
        <v>9.0</v>
      </c>
      <c r="C42" s="4">
        <v>3.9</v>
      </c>
      <c r="D42" s="4" t="s">
        <v>353</v>
      </c>
      <c r="E42" s="5" t="s">
        <v>354</v>
      </c>
      <c r="F42" s="4" t="s">
        <v>355</v>
      </c>
    </row>
    <row r="43">
      <c r="A43" s="3">
        <v>45184.58368207176</v>
      </c>
      <c r="B43" s="4">
        <v>4.0</v>
      </c>
      <c r="C43" s="4">
        <v>3.668</v>
      </c>
      <c r="D43" s="4" t="s">
        <v>356</v>
      </c>
      <c r="E43" s="5" t="s">
        <v>357</v>
      </c>
    </row>
    <row r="44">
      <c r="A44" s="3">
        <v>45184.58744956019</v>
      </c>
      <c r="B44" s="4">
        <v>1.0</v>
      </c>
      <c r="C44" s="4">
        <v>2.93</v>
      </c>
      <c r="D44" s="5" t="s">
        <v>358</v>
      </c>
      <c r="E44" s="5" t="s">
        <v>359</v>
      </c>
    </row>
    <row r="45">
      <c r="A45" s="3">
        <v>45184.613614664355</v>
      </c>
      <c r="B45" s="4">
        <v>1616.0</v>
      </c>
      <c r="C45" s="4">
        <v>4.0</v>
      </c>
      <c r="D45" s="4" t="s">
        <v>360</v>
      </c>
      <c r="E45" s="5" t="s">
        <v>361</v>
      </c>
    </row>
    <row r="46">
      <c r="A46" s="3">
        <v>45184.6466522338</v>
      </c>
      <c r="B46" s="4">
        <v>8.0</v>
      </c>
      <c r="C46" s="4">
        <v>4.0</v>
      </c>
      <c r="D46" s="5" t="s">
        <v>362</v>
      </c>
      <c r="E46" s="5" t="s">
        <v>363</v>
      </c>
      <c r="F46" s="4" t="s">
        <v>151</v>
      </c>
    </row>
    <row r="47">
      <c r="A47" s="3">
        <v>45184.66589059027</v>
      </c>
      <c r="B47" s="4">
        <v>5.0</v>
      </c>
      <c r="C47" s="4">
        <v>3.467</v>
      </c>
      <c r="D47" s="5" t="s">
        <v>364</v>
      </c>
      <c r="E47" s="5" t="s">
        <v>365</v>
      </c>
      <c r="F47" s="4" t="s">
        <v>366</v>
      </c>
    </row>
    <row r="48">
      <c r="A48" s="3">
        <v>45184.670293194446</v>
      </c>
      <c r="B48" s="4">
        <v>1647.0</v>
      </c>
      <c r="C48" s="4">
        <v>3.884</v>
      </c>
      <c r="D48" s="5" t="s">
        <v>367</v>
      </c>
      <c r="E48" s="5" t="s">
        <v>368</v>
      </c>
    </row>
    <row r="49">
      <c r="A49" s="3">
        <v>45184.69078302084</v>
      </c>
      <c r="B49" s="4">
        <v>1631.0</v>
      </c>
      <c r="C49" s="4">
        <v>4.0</v>
      </c>
      <c r="D49" s="5" t="s">
        <v>369</v>
      </c>
      <c r="E49" s="5" t="s">
        <v>370</v>
      </c>
    </row>
    <row r="50">
      <c r="A50" s="3">
        <v>45184.69215379629</v>
      </c>
      <c r="B50" s="4">
        <v>1624.0</v>
      </c>
      <c r="C50" s="4">
        <v>3.25</v>
      </c>
      <c r="D50" s="5" t="s">
        <v>371</v>
      </c>
      <c r="E50" s="5" t="s">
        <v>372</v>
      </c>
    </row>
    <row r="51">
      <c r="A51" s="3">
        <v>45184.69573472222</v>
      </c>
      <c r="B51" s="4">
        <v>1628.0</v>
      </c>
      <c r="C51" s="4">
        <v>3.769</v>
      </c>
      <c r="D51" s="5" t="s">
        <v>373</v>
      </c>
      <c r="E51" s="5" t="s">
        <v>374</v>
      </c>
    </row>
    <row r="52">
      <c r="A52" s="3">
        <v>45184.69778787037</v>
      </c>
      <c r="B52" s="4">
        <v>10.0</v>
      </c>
      <c r="C52" s="4">
        <v>3.666</v>
      </c>
      <c r="D52" s="5" t="s">
        <v>375</v>
      </c>
      <c r="E52" s="5" t="s">
        <v>376</v>
      </c>
    </row>
    <row r="53">
      <c r="A53" s="3">
        <v>45184.7320100463</v>
      </c>
      <c r="B53" s="4">
        <v>1602.0</v>
      </c>
      <c r="C53" s="4">
        <v>4.0</v>
      </c>
      <c r="D53" s="5" t="s">
        <v>377</v>
      </c>
      <c r="E53" s="5" t="s">
        <v>378</v>
      </c>
      <c r="F53" s="4" t="s">
        <v>379</v>
      </c>
    </row>
    <row r="54">
      <c r="A54" s="3">
        <v>45184.81654190972</v>
      </c>
      <c r="B54" s="4">
        <v>1605.0</v>
      </c>
      <c r="C54" s="4">
        <v>3.8</v>
      </c>
      <c r="D54" s="5" t="s">
        <v>380</v>
      </c>
      <c r="E54" s="5" t="s">
        <v>381</v>
      </c>
      <c r="F54" s="4" t="s">
        <v>382</v>
      </c>
    </row>
    <row r="55">
      <c r="A55" s="3">
        <v>45184.831720902774</v>
      </c>
      <c r="B55" s="4">
        <v>1592.0</v>
      </c>
      <c r="C55" s="4">
        <v>3.6</v>
      </c>
      <c r="D55" s="5" t="s">
        <v>383</v>
      </c>
      <c r="E55" s="5" t="s">
        <v>384</v>
      </c>
    </row>
    <row r="56">
      <c r="A56" s="3">
        <v>45184.834259131945</v>
      </c>
      <c r="B56" s="4">
        <v>1594.0</v>
      </c>
      <c r="C56" s="4">
        <v>4.0</v>
      </c>
      <c r="D56" s="5" t="s">
        <v>385</v>
      </c>
      <c r="E56" s="5" t="s">
        <v>386</v>
      </c>
    </row>
    <row r="57">
      <c r="A57" s="3">
        <v>45184.89440851852</v>
      </c>
      <c r="B57" s="4">
        <v>1648.0</v>
      </c>
      <c r="C57" s="4">
        <v>4.0</v>
      </c>
      <c r="D57" s="5" t="s">
        <v>387</v>
      </c>
      <c r="E57" s="5" t="s">
        <v>388</v>
      </c>
    </row>
    <row r="58">
      <c r="A58" s="3">
        <v>45184.89452111111</v>
      </c>
      <c r="B58" s="4">
        <v>1622.0</v>
      </c>
      <c r="C58" s="4">
        <v>4.0</v>
      </c>
      <c r="D58" s="5" t="s">
        <v>389</v>
      </c>
      <c r="E58" s="5" t="s">
        <v>390</v>
      </c>
      <c r="F58" s="4" t="s">
        <v>391</v>
      </c>
    </row>
    <row r="59">
      <c r="A59" s="3">
        <v>45184.89491138889</v>
      </c>
      <c r="B59" s="4">
        <v>1598.0</v>
      </c>
      <c r="C59" s="4">
        <v>3.334</v>
      </c>
      <c r="D59" s="5" t="s">
        <v>392</v>
      </c>
      <c r="E59" s="5" t="s">
        <v>393</v>
      </c>
    </row>
    <row r="60">
      <c r="A60" s="3">
        <v>45185.54076592592</v>
      </c>
      <c r="B60" s="4">
        <v>1646.0</v>
      </c>
      <c r="C60" s="4">
        <v>3.625</v>
      </c>
      <c r="D60" s="5" t="s">
        <v>394</v>
      </c>
      <c r="E60" s="5" t="s">
        <v>395</v>
      </c>
    </row>
    <row r="61">
      <c r="A61" s="3">
        <v>45186.53764241898</v>
      </c>
      <c r="B61" s="4">
        <v>1615.0</v>
      </c>
      <c r="C61" s="4">
        <v>4.0</v>
      </c>
      <c r="D61" s="4" t="s">
        <v>396</v>
      </c>
      <c r="E61" s="5" t="s">
        <v>397</v>
      </c>
    </row>
    <row r="62">
      <c r="A62" s="3">
        <v>45186.5389547338</v>
      </c>
      <c r="B62" s="4">
        <v>1656.0</v>
      </c>
      <c r="C62" s="4">
        <v>3.3</v>
      </c>
      <c r="D62" s="4" t="s">
        <v>398</v>
      </c>
      <c r="E62" s="5" t="s">
        <v>399</v>
      </c>
    </row>
    <row r="63">
      <c r="A63" s="3">
        <v>45186.56768898148</v>
      </c>
      <c r="B63" s="4">
        <v>1591.0</v>
      </c>
      <c r="C63" s="4">
        <v>4.0</v>
      </c>
      <c r="D63" s="5" t="s">
        <v>400</v>
      </c>
      <c r="E63" s="5" t="s">
        <v>401</v>
      </c>
      <c r="F63" s="4" t="s">
        <v>402</v>
      </c>
    </row>
    <row r="64">
      <c r="A64" s="3">
        <v>45186.57536141203</v>
      </c>
      <c r="B64" s="4">
        <v>7.0</v>
      </c>
      <c r="C64" s="4">
        <v>2.63</v>
      </c>
      <c r="D64" s="5" t="s">
        <v>403</v>
      </c>
      <c r="E64" s="5" t="s">
        <v>404</v>
      </c>
    </row>
    <row r="65">
      <c r="A65" s="3">
        <v>45186.80242758102</v>
      </c>
      <c r="B65" s="4">
        <v>1636.0</v>
      </c>
      <c r="C65" s="4">
        <v>3.62</v>
      </c>
      <c r="D65" s="5" t="s">
        <v>405</v>
      </c>
      <c r="E65" s="5" t="s">
        <v>406</v>
      </c>
      <c r="F65" s="4" t="s">
        <v>407</v>
      </c>
    </row>
    <row r="66">
      <c r="A66" s="3">
        <v>45187.40330572917</v>
      </c>
      <c r="B66" s="4">
        <v>1641.0</v>
      </c>
      <c r="C66" s="4">
        <v>1.616</v>
      </c>
      <c r="D66" s="5" t="s">
        <v>408</v>
      </c>
      <c r="E66" s="5" t="s">
        <v>409</v>
      </c>
    </row>
    <row r="67">
      <c r="A67" s="3">
        <v>45187.46790668981</v>
      </c>
      <c r="B67" s="4">
        <v>1577.0</v>
      </c>
      <c r="C67" s="4">
        <v>4.0</v>
      </c>
      <c r="D67" s="5" t="s">
        <v>410</v>
      </c>
      <c r="E67" s="5" t="s">
        <v>411</v>
      </c>
    </row>
    <row r="68">
      <c r="A68" s="3">
        <v>45189.446363553245</v>
      </c>
      <c r="B68" s="4">
        <v>1632.0</v>
      </c>
      <c r="C68" s="4">
        <v>3.0</v>
      </c>
      <c r="D68" s="5" t="s">
        <v>412</v>
      </c>
      <c r="E68" s="5" t="s">
        <v>413</v>
      </c>
      <c r="F68" s="4" t="s">
        <v>414</v>
      </c>
    </row>
    <row r="69">
      <c r="A69" s="3">
        <v>45191.71101266204</v>
      </c>
      <c r="B69" s="4">
        <v>7.0</v>
      </c>
      <c r="C69" s="4">
        <v>3.27</v>
      </c>
      <c r="D69" s="5" t="s">
        <v>415</v>
      </c>
      <c r="E69" s="5" t="s">
        <v>416</v>
      </c>
    </row>
    <row r="70">
      <c r="A70" s="3">
        <v>45195.36082920139</v>
      </c>
      <c r="B70" s="4">
        <v>6.0</v>
      </c>
      <c r="C70" s="4">
        <v>2.69</v>
      </c>
      <c r="D70" s="5" t="s">
        <v>417</v>
      </c>
      <c r="E70" s="5" t="s">
        <v>418</v>
      </c>
    </row>
    <row r="72">
      <c r="B72" s="4">
        <v>1617.0</v>
      </c>
      <c r="C72" s="4">
        <v>2.0</v>
      </c>
    </row>
  </sheetData>
  <hyperlinks>
    <hyperlink r:id="rId1" ref="D2"/>
    <hyperlink r:id="rId2" ref="E2"/>
    <hyperlink r:id="rId3" ref="D3"/>
    <hyperlink r:id="rId4" ref="E3"/>
    <hyperlink r:id="rId5" ref="D4"/>
    <hyperlink r:id="rId6" ref="E4"/>
    <hyperlink r:id="rId7" ref="D5"/>
    <hyperlink r:id="rId8" ref="E5"/>
    <hyperlink r:id="rId9" ref="D7"/>
    <hyperlink r:id="rId10" ref="E7"/>
    <hyperlink r:id="rId11" ref="D8"/>
    <hyperlink r:id="rId12" ref="E8"/>
    <hyperlink r:id="rId13" ref="E9"/>
    <hyperlink r:id="rId14" ref="E10"/>
    <hyperlink r:id="rId15" ref="D11"/>
    <hyperlink r:id="rId16" ref="E11"/>
    <hyperlink r:id="rId17" ref="E12"/>
    <hyperlink r:id="rId18" ref="D13"/>
    <hyperlink r:id="rId19" ref="E13"/>
    <hyperlink r:id="rId20" ref="D14"/>
    <hyperlink r:id="rId21" ref="E14"/>
    <hyperlink r:id="rId22" ref="D15"/>
    <hyperlink r:id="rId23" ref="E15"/>
    <hyperlink r:id="rId24" ref="D16"/>
    <hyperlink r:id="rId25" ref="E16"/>
    <hyperlink r:id="rId26" ref="D17"/>
    <hyperlink r:id="rId27" ref="E17"/>
    <hyperlink r:id="rId28" ref="D18"/>
    <hyperlink r:id="rId29" ref="E18"/>
    <hyperlink r:id="rId30" ref="D20"/>
    <hyperlink r:id="rId31" ref="E20"/>
    <hyperlink r:id="rId32" ref="D21"/>
    <hyperlink r:id="rId33" ref="E21"/>
    <hyperlink r:id="rId34" ref="D22"/>
    <hyperlink r:id="rId35" ref="E22"/>
    <hyperlink r:id="rId36" ref="D23"/>
    <hyperlink r:id="rId37" ref="E23"/>
    <hyperlink r:id="rId38" ref="D24"/>
    <hyperlink r:id="rId39" ref="E24"/>
    <hyperlink r:id="rId40" ref="D25"/>
    <hyperlink r:id="rId41" ref="E25"/>
    <hyperlink r:id="rId42" ref="D26"/>
    <hyperlink r:id="rId43" ref="E26"/>
    <hyperlink r:id="rId44" ref="E27"/>
    <hyperlink r:id="rId45" ref="E28"/>
    <hyperlink r:id="rId46" ref="D29"/>
    <hyperlink r:id="rId47" ref="E29"/>
    <hyperlink r:id="rId48" ref="D30"/>
    <hyperlink r:id="rId49" ref="E30"/>
    <hyperlink r:id="rId50" ref="D31"/>
    <hyperlink r:id="rId51" ref="E31"/>
    <hyperlink r:id="rId52" ref="E32"/>
    <hyperlink r:id="rId53" ref="D33"/>
    <hyperlink r:id="rId54" ref="E33"/>
    <hyperlink r:id="rId55" ref="D34"/>
    <hyperlink r:id="rId56" ref="E34"/>
    <hyperlink r:id="rId57" ref="D35"/>
    <hyperlink r:id="rId58" ref="E35"/>
    <hyperlink r:id="rId59" ref="E36"/>
    <hyperlink r:id="rId60" ref="D37"/>
    <hyperlink r:id="rId61" ref="E37"/>
    <hyperlink r:id="rId62" ref="D38"/>
    <hyperlink r:id="rId63" ref="E38"/>
    <hyperlink r:id="rId64" ref="E39"/>
    <hyperlink r:id="rId65" ref="D40"/>
    <hyperlink r:id="rId66" ref="E40"/>
    <hyperlink r:id="rId67" ref="D41"/>
    <hyperlink r:id="rId68" ref="E42"/>
    <hyperlink r:id="rId69" ref="E43"/>
    <hyperlink r:id="rId70" ref="D44"/>
    <hyperlink r:id="rId71" ref="E44"/>
    <hyperlink r:id="rId72" ref="E45"/>
    <hyperlink r:id="rId73" ref="D46"/>
    <hyperlink r:id="rId74" ref="E46"/>
    <hyperlink r:id="rId75" ref="D47"/>
    <hyperlink r:id="rId76" ref="E47"/>
    <hyperlink r:id="rId77" ref="D48"/>
    <hyperlink r:id="rId78" ref="E48"/>
    <hyperlink r:id="rId79" ref="D49"/>
    <hyperlink r:id="rId80" ref="E49"/>
    <hyperlink r:id="rId81" ref="D50"/>
    <hyperlink r:id="rId82" ref="E50"/>
    <hyperlink r:id="rId83" ref="D51"/>
    <hyperlink r:id="rId84" ref="E51"/>
    <hyperlink r:id="rId85" ref="D52"/>
    <hyperlink r:id="rId86" ref="E52"/>
    <hyperlink r:id="rId87" ref="D53"/>
    <hyperlink r:id="rId88" ref="E53"/>
    <hyperlink r:id="rId89" ref="D54"/>
    <hyperlink r:id="rId90" ref="E54"/>
    <hyperlink r:id="rId91" ref="D55"/>
    <hyperlink r:id="rId92" ref="E55"/>
    <hyperlink r:id="rId93" ref="D56"/>
    <hyperlink r:id="rId94" ref="E56"/>
    <hyperlink r:id="rId95" ref="D57"/>
    <hyperlink r:id="rId96" ref="E57"/>
    <hyperlink r:id="rId97" ref="D58"/>
    <hyperlink r:id="rId98" ref="E58"/>
    <hyperlink r:id="rId99" ref="D59"/>
    <hyperlink r:id="rId100" ref="E59"/>
    <hyperlink r:id="rId101" ref="D60"/>
    <hyperlink r:id="rId102" ref="E60"/>
    <hyperlink r:id="rId103" ref="E61"/>
    <hyperlink r:id="rId104" ref="E62"/>
    <hyperlink r:id="rId105" ref="D63"/>
    <hyperlink r:id="rId106" ref="E63"/>
    <hyperlink r:id="rId107" ref="D64"/>
    <hyperlink r:id="rId108" ref="E64"/>
    <hyperlink r:id="rId109" ref="D65"/>
    <hyperlink r:id="rId110" ref="E65"/>
    <hyperlink r:id="rId111" ref="D66"/>
    <hyperlink r:id="rId112" ref="E66"/>
    <hyperlink r:id="rId113" ref="D67"/>
    <hyperlink r:id="rId114" ref="E67"/>
    <hyperlink r:id="rId115" ref="D68"/>
    <hyperlink r:id="rId116" ref="E68"/>
    <hyperlink r:id="rId117" ref="D69"/>
    <hyperlink r:id="rId118" ref="E69"/>
    <hyperlink r:id="rId119" ref="D70"/>
    <hyperlink r:id="rId120" ref="E70"/>
  </hyperlinks>
  <drawing r:id="rId1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0</v>
      </c>
      <c r="B1" s="2" t="s">
        <v>1</v>
      </c>
      <c r="C1" s="2" t="s">
        <v>2</v>
      </c>
      <c r="D1" s="2" t="s">
        <v>419</v>
      </c>
      <c r="E1" s="2" t="s">
        <v>420</v>
      </c>
      <c r="F1" s="2" t="s">
        <v>4</v>
      </c>
    </row>
    <row r="2">
      <c r="A2" s="3"/>
    </row>
    <row r="3">
      <c r="A3" s="3">
        <v>45194.65074430556</v>
      </c>
      <c r="B3" s="4">
        <v>1613.0</v>
      </c>
      <c r="C3" s="4">
        <v>3.31</v>
      </c>
      <c r="D3" s="5" t="s">
        <v>421</v>
      </c>
      <c r="E3" s="5" t="s">
        <v>422</v>
      </c>
    </row>
    <row r="4">
      <c r="A4" s="3">
        <v>45194.65462876158</v>
      </c>
      <c r="B4" s="4">
        <v>1623.0</v>
      </c>
      <c r="C4" s="4">
        <v>4.0</v>
      </c>
      <c r="D4" s="5" t="s">
        <v>423</v>
      </c>
      <c r="E4" s="5" t="s">
        <v>424</v>
      </c>
    </row>
    <row r="5">
      <c r="A5" s="3">
        <v>45194.65525998843</v>
      </c>
      <c r="B5" s="4">
        <v>1634.0</v>
      </c>
      <c r="C5" s="4">
        <v>4.0</v>
      </c>
      <c r="D5" s="5" t="s">
        <v>425</v>
      </c>
      <c r="E5" s="5" t="s">
        <v>426</v>
      </c>
      <c r="F5" s="4" t="s">
        <v>427</v>
      </c>
    </row>
    <row r="6">
      <c r="A6" s="3">
        <v>45194.65775034722</v>
      </c>
      <c r="B6" s="4">
        <v>1644.0</v>
      </c>
      <c r="C6" s="4">
        <v>3.6</v>
      </c>
      <c r="D6" s="5" t="s">
        <v>428</v>
      </c>
      <c r="E6" s="5" t="s">
        <v>429</v>
      </c>
      <c r="F6" s="4" t="s">
        <v>430</v>
      </c>
    </row>
    <row r="7">
      <c r="A7" s="3">
        <v>45194.65828646991</v>
      </c>
      <c r="B7" s="4">
        <v>1620.0</v>
      </c>
      <c r="C7" s="4">
        <v>4.0</v>
      </c>
      <c r="D7" s="5" t="s">
        <v>431</v>
      </c>
      <c r="E7" s="5" t="s">
        <v>432</v>
      </c>
      <c r="F7" s="4" t="s">
        <v>433</v>
      </c>
    </row>
    <row r="8">
      <c r="A8" s="3">
        <v>45194.66141347222</v>
      </c>
      <c r="B8" s="4">
        <v>1637.0</v>
      </c>
      <c r="C8" s="4">
        <v>3.6</v>
      </c>
      <c r="D8" s="5" t="s">
        <v>434</v>
      </c>
      <c r="E8" s="5" t="s">
        <v>435</v>
      </c>
      <c r="F8" s="4" t="s">
        <v>436</v>
      </c>
    </row>
    <row r="9">
      <c r="A9" s="3">
        <v>45194.662296400464</v>
      </c>
      <c r="B9" s="4">
        <v>1618.0</v>
      </c>
      <c r="C9" s="4">
        <v>3.563</v>
      </c>
      <c r="D9" s="5" t="s">
        <v>437</v>
      </c>
      <c r="E9" s="5" t="s">
        <v>438</v>
      </c>
    </row>
    <row r="10">
      <c r="A10" s="3">
        <v>45194.66782931713</v>
      </c>
      <c r="B10" s="4">
        <v>1577.0</v>
      </c>
      <c r="C10" s="4">
        <v>4.0</v>
      </c>
      <c r="D10" s="5" t="s">
        <v>439</v>
      </c>
      <c r="E10" s="5" t="s">
        <v>440</v>
      </c>
    </row>
    <row r="11">
      <c r="A11" s="3">
        <v>45194.66967</v>
      </c>
      <c r="B11" s="4">
        <v>1653.0</v>
      </c>
      <c r="C11" s="4">
        <v>3.91</v>
      </c>
      <c r="D11" s="4" t="s">
        <v>441</v>
      </c>
      <c r="E11" s="5" t="s">
        <v>442</v>
      </c>
    </row>
    <row r="12">
      <c r="A12" s="3">
        <v>45194.84200800926</v>
      </c>
      <c r="B12" s="4">
        <v>1597.0</v>
      </c>
      <c r="C12" s="4">
        <v>2.6</v>
      </c>
      <c r="D12" s="5" t="s">
        <v>443</v>
      </c>
      <c r="E12" s="5" t="s">
        <v>444</v>
      </c>
    </row>
    <row r="13">
      <c r="A13" s="3">
        <v>45195.37271386574</v>
      </c>
      <c r="B13" s="4">
        <v>3.0</v>
      </c>
      <c r="C13" s="4">
        <v>3.6</v>
      </c>
      <c r="D13" s="4" t="s">
        <v>445</v>
      </c>
      <c r="E13" s="5" t="s">
        <v>446</v>
      </c>
    </row>
    <row r="14">
      <c r="A14" s="3">
        <v>45195.51938777778</v>
      </c>
      <c r="B14" s="4">
        <v>1618.0</v>
      </c>
      <c r="C14" s="4">
        <v>3.625</v>
      </c>
      <c r="D14" s="5" t="s">
        <v>447</v>
      </c>
      <c r="E14" s="5" t="s">
        <v>448</v>
      </c>
      <c r="F14" s="4" t="s">
        <v>449</v>
      </c>
    </row>
    <row r="15">
      <c r="A15" s="3">
        <v>45195.90184025463</v>
      </c>
      <c r="B15" s="4">
        <v>1639.0</v>
      </c>
      <c r="C15" s="4">
        <v>4.0</v>
      </c>
      <c r="D15" s="4" t="s">
        <v>450</v>
      </c>
      <c r="E15" s="5" t="s">
        <v>451</v>
      </c>
    </row>
    <row r="16">
      <c r="A16" s="3">
        <v>45196.29425412037</v>
      </c>
      <c r="B16" s="4">
        <v>1591.0</v>
      </c>
      <c r="C16" s="4">
        <v>4.0</v>
      </c>
      <c r="D16" s="5" t="s">
        <v>452</v>
      </c>
      <c r="E16" s="5" t="s">
        <v>453</v>
      </c>
      <c r="F16" s="4" t="s">
        <v>454</v>
      </c>
    </row>
    <row r="17">
      <c r="A17" s="3">
        <v>45196.38349482639</v>
      </c>
      <c r="B17" s="4">
        <v>1625.0</v>
      </c>
      <c r="C17" s="4">
        <v>3.668</v>
      </c>
      <c r="D17" s="5" t="s">
        <v>455</v>
      </c>
      <c r="E17" s="5" t="s">
        <v>456</v>
      </c>
    </row>
    <row r="18">
      <c r="A18" s="3">
        <v>45196.38784188658</v>
      </c>
      <c r="B18" s="4">
        <v>13.0</v>
      </c>
      <c r="C18" s="4">
        <v>3.79</v>
      </c>
      <c r="D18" s="5" t="s">
        <v>457</v>
      </c>
      <c r="E18" s="5" t="s">
        <v>458</v>
      </c>
    </row>
    <row r="19">
      <c r="A19" s="3">
        <v>45196.40006954861</v>
      </c>
      <c r="B19" s="4">
        <v>1640.0</v>
      </c>
      <c r="C19" s="4">
        <v>3.693</v>
      </c>
      <c r="D19" s="4" t="s">
        <v>459</v>
      </c>
      <c r="E19" s="5" t="s">
        <v>460</v>
      </c>
    </row>
    <row r="20">
      <c r="A20" s="3">
        <v>45196.479397511575</v>
      </c>
      <c r="B20" s="4">
        <v>1598.0</v>
      </c>
      <c r="C20" s="4">
        <v>3.072</v>
      </c>
      <c r="D20" s="5" t="s">
        <v>461</v>
      </c>
      <c r="E20" s="5" t="s">
        <v>462</v>
      </c>
    </row>
    <row r="21">
      <c r="A21" s="3">
        <v>45196.488971122686</v>
      </c>
      <c r="B21" s="4">
        <v>1622.0</v>
      </c>
      <c r="C21" s="4">
        <v>2.33</v>
      </c>
      <c r="D21" s="5" t="s">
        <v>463</v>
      </c>
      <c r="E21" s="5" t="s">
        <v>464</v>
      </c>
      <c r="F21" s="4" t="s">
        <v>465</v>
      </c>
    </row>
    <row r="22">
      <c r="A22" s="3">
        <v>45196.649343564815</v>
      </c>
      <c r="B22" s="4">
        <v>1564.0</v>
      </c>
      <c r="C22" s="4">
        <v>3.845</v>
      </c>
      <c r="D22" s="5" t="s">
        <v>466</v>
      </c>
      <c r="E22" s="5" t="s">
        <v>467</v>
      </c>
      <c r="F22" s="4" t="s">
        <v>468</v>
      </c>
    </row>
    <row r="23">
      <c r="A23" s="3">
        <v>45196.74520284722</v>
      </c>
      <c r="B23" s="4">
        <v>1631.0</v>
      </c>
      <c r="C23" s="4">
        <v>3.2</v>
      </c>
      <c r="D23" s="5" t="s">
        <v>469</v>
      </c>
      <c r="E23" s="5" t="s">
        <v>470</v>
      </c>
    </row>
    <row r="24">
      <c r="A24" s="3">
        <v>45196.789124421295</v>
      </c>
      <c r="B24" s="4">
        <v>1621.0</v>
      </c>
      <c r="C24" s="4">
        <v>4.0</v>
      </c>
      <c r="D24" s="5" t="s">
        <v>471</v>
      </c>
      <c r="E24" s="5" t="s">
        <v>472</v>
      </c>
      <c r="F24" s="4" t="s">
        <v>473</v>
      </c>
    </row>
    <row r="25">
      <c r="A25" s="3">
        <v>45197.35116384259</v>
      </c>
      <c r="B25" s="4">
        <v>1594.0</v>
      </c>
      <c r="C25" s="4">
        <v>3.5</v>
      </c>
      <c r="D25" s="5" t="s">
        <v>474</v>
      </c>
      <c r="E25" s="5" t="s">
        <v>475</v>
      </c>
    </row>
    <row r="26">
      <c r="A26" s="3">
        <v>45197.48216825232</v>
      </c>
      <c r="B26" s="4">
        <v>17.0</v>
      </c>
      <c r="C26" s="4">
        <v>3.5</v>
      </c>
      <c r="D26" s="4" t="s">
        <v>476</v>
      </c>
      <c r="E26" s="5" t="s">
        <v>477</v>
      </c>
      <c r="F26" s="4" t="s">
        <v>151</v>
      </c>
    </row>
    <row r="27">
      <c r="A27" s="3">
        <v>45197.57322082176</v>
      </c>
      <c r="B27" s="4">
        <v>18.0</v>
      </c>
      <c r="C27" s="4">
        <v>2.048</v>
      </c>
      <c r="D27" s="5" t="s">
        <v>478</v>
      </c>
      <c r="E27" s="4" t="s">
        <v>479</v>
      </c>
      <c r="F27" s="4" t="s">
        <v>480</v>
      </c>
    </row>
    <row r="28">
      <c r="A28" s="3">
        <v>45197.64522318287</v>
      </c>
      <c r="B28" s="4">
        <v>1624.0</v>
      </c>
      <c r="C28" s="4">
        <v>3.168</v>
      </c>
      <c r="D28" s="5" t="s">
        <v>481</v>
      </c>
      <c r="E28" s="5" t="s">
        <v>482</v>
      </c>
    </row>
    <row r="29">
      <c r="A29" s="3">
        <v>45197.94779304398</v>
      </c>
      <c r="B29" s="4">
        <v>1608.0</v>
      </c>
      <c r="C29" s="4">
        <v>3.415</v>
      </c>
      <c r="D29" s="5" t="s">
        <v>483</v>
      </c>
      <c r="E29" s="5" t="s">
        <v>484</v>
      </c>
    </row>
    <row r="30">
      <c r="A30" s="3">
        <v>45198.28615329861</v>
      </c>
      <c r="B30" s="4">
        <v>1599.0</v>
      </c>
      <c r="C30" s="4">
        <v>3.2</v>
      </c>
      <c r="D30" s="4" t="s">
        <v>485</v>
      </c>
      <c r="E30" s="5" t="s">
        <v>486</v>
      </c>
    </row>
    <row r="31">
      <c r="A31" s="3">
        <v>45198.33050856482</v>
      </c>
      <c r="B31" s="4">
        <v>1592.0</v>
      </c>
      <c r="C31" s="4">
        <v>3.6</v>
      </c>
      <c r="D31" s="5" t="s">
        <v>487</v>
      </c>
      <c r="E31" s="5" t="s">
        <v>488</v>
      </c>
    </row>
    <row r="32">
      <c r="A32" s="3">
        <v>45198.375810729165</v>
      </c>
      <c r="B32" s="4">
        <v>1615.0</v>
      </c>
      <c r="C32" s="4">
        <v>3.95</v>
      </c>
      <c r="D32" s="4" t="s">
        <v>489</v>
      </c>
      <c r="E32" s="5" t="s">
        <v>490</v>
      </c>
      <c r="F32" s="4" t="s">
        <v>491</v>
      </c>
    </row>
    <row r="33">
      <c r="A33" s="3">
        <v>45198.375816608794</v>
      </c>
      <c r="B33" s="4">
        <v>2.0</v>
      </c>
      <c r="C33" s="4">
        <v>4.0</v>
      </c>
      <c r="D33" s="5" t="s">
        <v>492</v>
      </c>
      <c r="E33" s="5" t="s">
        <v>493</v>
      </c>
    </row>
    <row r="34">
      <c r="A34" s="3">
        <v>45198.38954606482</v>
      </c>
      <c r="B34" s="4">
        <v>1645.0</v>
      </c>
      <c r="C34" s="4">
        <v>4.0</v>
      </c>
      <c r="D34" s="5" t="s">
        <v>494</v>
      </c>
      <c r="E34" s="5" t="s">
        <v>495</v>
      </c>
      <c r="F34" s="4" t="s">
        <v>496</v>
      </c>
    </row>
    <row r="35">
      <c r="A35" s="3">
        <v>45198.41155416667</v>
      </c>
      <c r="B35" s="4">
        <v>1605.0</v>
      </c>
      <c r="C35" s="4">
        <v>3.4</v>
      </c>
      <c r="D35" s="5" t="s">
        <v>497</v>
      </c>
      <c r="E35" s="5" t="s">
        <v>498</v>
      </c>
      <c r="F35" s="4" t="s">
        <v>499</v>
      </c>
    </row>
    <row r="36">
      <c r="A36" s="3">
        <v>45198.41977599537</v>
      </c>
      <c r="B36" s="4">
        <v>1650.0</v>
      </c>
      <c r="C36" s="4">
        <v>3.33</v>
      </c>
      <c r="D36" s="5" t="s">
        <v>500</v>
      </c>
      <c r="E36" s="5" t="s">
        <v>501</v>
      </c>
    </row>
    <row r="37">
      <c r="A37" s="3">
        <v>45198.44726392361</v>
      </c>
      <c r="B37" s="4">
        <v>5.0</v>
      </c>
      <c r="C37" s="4">
        <v>3.645</v>
      </c>
      <c r="D37" s="5" t="s">
        <v>502</v>
      </c>
      <c r="E37" s="5" t="s">
        <v>503</v>
      </c>
    </row>
    <row r="38">
      <c r="A38" s="3">
        <v>45198.4478480324</v>
      </c>
      <c r="B38" s="4">
        <v>1628.0</v>
      </c>
      <c r="C38" s="4">
        <v>3.924</v>
      </c>
      <c r="D38" s="5" t="s">
        <v>504</v>
      </c>
      <c r="E38" s="5" t="s">
        <v>506</v>
      </c>
    </row>
    <row r="39">
      <c r="A39" s="3">
        <v>45198.4537953125</v>
      </c>
      <c r="B39" s="4">
        <v>1636.0</v>
      </c>
      <c r="C39" s="4">
        <v>3.46</v>
      </c>
      <c r="D39" s="5" t="s">
        <v>507</v>
      </c>
      <c r="E39" s="5" t="s">
        <v>508</v>
      </c>
    </row>
    <row r="40">
      <c r="A40" s="3">
        <v>45198.46259688657</v>
      </c>
      <c r="B40" s="4">
        <v>1647.0</v>
      </c>
      <c r="C40" s="4">
        <v>3.589</v>
      </c>
      <c r="D40" s="5" t="s">
        <v>509</v>
      </c>
      <c r="E40" s="5" t="s">
        <v>510</v>
      </c>
    </row>
    <row r="41">
      <c r="A41" s="3">
        <v>45198.46838453704</v>
      </c>
      <c r="B41" s="4">
        <v>1630.0</v>
      </c>
      <c r="C41" s="4">
        <v>3.86</v>
      </c>
      <c r="D41" s="5" t="s">
        <v>512</v>
      </c>
      <c r="E41" s="5" t="s">
        <v>513</v>
      </c>
    </row>
    <row r="42">
      <c r="A42" s="3">
        <v>45198.48080207176</v>
      </c>
      <c r="B42" s="4">
        <v>16.0</v>
      </c>
      <c r="C42" s="4">
        <v>3.333</v>
      </c>
      <c r="D42" s="5" t="s">
        <v>514</v>
      </c>
      <c r="E42" s="5" t="s">
        <v>515</v>
      </c>
    </row>
    <row r="43">
      <c r="A43" s="3">
        <v>45198.493149699076</v>
      </c>
      <c r="B43" s="4">
        <v>1596.0</v>
      </c>
      <c r="C43" s="4">
        <v>3.786</v>
      </c>
      <c r="D43" s="5" t="s">
        <v>519</v>
      </c>
      <c r="E43" s="5" t="s">
        <v>524</v>
      </c>
    </row>
    <row r="44">
      <c r="A44" s="3">
        <v>45198.51283083334</v>
      </c>
      <c r="B44" s="4">
        <v>1627.0</v>
      </c>
      <c r="C44" s="4">
        <v>3.33</v>
      </c>
      <c r="D44" s="5" t="s">
        <v>525</v>
      </c>
      <c r="E44" s="5" t="s">
        <v>526</v>
      </c>
    </row>
    <row r="45">
      <c r="A45" s="3">
        <v>45198.5305147801</v>
      </c>
      <c r="B45" s="4">
        <v>14.0</v>
      </c>
      <c r="C45" s="4">
        <v>3.85</v>
      </c>
      <c r="D45" s="4" t="s">
        <v>529</v>
      </c>
      <c r="E45" s="5" t="s">
        <v>530</v>
      </c>
      <c r="F45" s="4" t="s">
        <v>531</v>
      </c>
    </row>
    <row r="46">
      <c r="A46" s="3">
        <v>45198.542001168986</v>
      </c>
      <c r="B46" s="4">
        <v>1635.0</v>
      </c>
      <c r="C46" s="4">
        <v>3.918</v>
      </c>
      <c r="D46" s="5" t="s">
        <v>532</v>
      </c>
      <c r="E46" s="5" t="s">
        <v>534</v>
      </c>
    </row>
    <row r="47">
      <c r="A47" s="3">
        <v>45198.55014827546</v>
      </c>
      <c r="B47" s="4">
        <v>1646.0</v>
      </c>
      <c r="C47" s="4">
        <v>3.126</v>
      </c>
      <c r="D47" s="5" t="s">
        <v>537</v>
      </c>
      <c r="E47" s="5" t="s">
        <v>540</v>
      </c>
    </row>
    <row r="48">
      <c r="A48" s="3">
        <v>45198.60267853009</v>
      </c>
      <c r="B48" s="4">
        <v>1648.0</v>
      </c>
      <c r="C48" s="4">
        <v>3.8</v>
      </c>
      <c r="D48" s="5" t="s">
        <v>541</v>
      </c>
      <c r="E48" s="5" t="s">
        <v>544</v>
      </c>
    </row>
    <row r="49">
      <c r="A49" s="3">
        <v>45198.622360532405</v>
      </c>
      <c r="B49" s="4">
        <v>11.0</v>
      </c>
      <c r="C49" s="4">
        <v>1.0</v>
      </c>
      <c r="D49" s="4" t="s">
        <v>546</v>
      </c>
      <c r="E49" s="5" t="s">
        <v>547</v>
      </c>
      <c r="F49" s="4" t="s">
        <v>551</v>
      </c>
    </row>
    <row r="50">
      <c r="A50" s="3">
        <v>45198.62714265047</v>
      </c>
      <c r="B50" s="4">
        <v>6.0</v>
      </c>
      <c r="C50" s="4">
        <v>2.692</v>
      </c>
      <c r="D50" s="5" t="s">
        <v>552</v>
      </c>
      <c r="E50" s="5" t="s">
        <v>555</v>
      </c>
    </row>
    <row r="51">
      <c r="A51" s="3">
        <v>45198.64182417824</v>
      </c>
      <c r="B51" s="4">
        <v>1655.0</v>
      </c>
      <c r="C51" s="4">
        <v>2.418</v>
      </c>
      <c r="D51" s="5" t="s">
        <v>558</v>
      </c>
      <c r="E51" s="5" t="s">
        <v>559</v>
      </c>
      <c r="F51" s="4" t="s">
        <v>562</v>
      </c>
    </row>
    <row r="52">
      <c r="A52" s="3">
        <v>45198.643160011576</v>
      </c>
      <c r="B52" s="4">
        <v>1654.0</v>
      </c>
      <c r="C52" s="4">
        <v>3.583</v>
      </c>
      <c r="D52" s="5" t="s">
        <v>563</v>
      </c>
      <c r="E52" s="5" t="s">
        <v>567</v>
      </c>
    </row>
    <row r="53">
      <c r="A53" s="3">
        <v>45198.64339444444</v>
      </c>
      <c r="B53" s="4">
        <v>1641.0</v>
      </c>
      <c r="C53" s="4">
        <v>2.0</v>
      </c>
      <c r="D53" s="5" t="s">
        <v>570</v>
      </c>
      <c r="E53" s="5" t="s">
        <v>573</v>
      </c>
      <c r="F53" s="4" t="s">
        <v>576</v>
      </c>
    </row>
    <row r="54">
      <c r="A54" s="3">
        <v>45198.643965462965</v>
      </c>
      <c r="B54" s="4">
        <v>8.0</v>
      </c>
      <c r="C54" s="4">
        <v>4.0</v>
      </c>
      <c r="D54" s="5" t="s">
        <v>578</v>
      </c>
      <c r="E54" s="5" t="s">
        <v>580</v>
      </c>
      <c r="F54" s="4" t="s">
        <v>584</v>
      </c>
    </row>
    <row r="55">
      <c r="A55" s="3">
        <v>45198.64602908565</v>
      </c>
      <c r="B55" s="4">
        <v>1642.0</v>
      </c>
      <c r="C55" s="4">
        <v>3.4</v>
      </c>
      <c r="D55" s="5" t="s">
        <v>585</v>
      </c>
      <c r="E55" s="5" t="s">
        <v>587</v>
      </c>
    </row>
    <row r="56">
      <c r="A56" s="3">
        <v>45198.65402872685</v>
      </c>
      <c r="B56" s="4">
        <v>1652.0</v>
      </c>
      <c r="C56" s="4">
        <v>2.938</v>
      </c>
      <c r="D56" s="4" t="s">
        <v>591</v>
      </c>
      <c r="E56" s="5" t="s">
        <v>592</v>
      </c>
    </row>
    <row r="57">
      <c r="A57" s="3">
        <v>45198.654089918986</v>
      </c>
      <c r="B57" s="4">
        <v>1602.0</v>
      </c>
      <c r="C57" s="4">
        <v>3.835</v>
      </c>
      <c r="D57" s="5" t="s">
        <v>596</v>
      </c>
      <c r="E57" s="5" t="s">
        <v>599</v>
      </c>
    </row>
    <row r="58">
      <c r="A58" s="3">
        <v>45198.65693256944</v>
      </c>
      <c r="B58" s="4">
        <v>7.0</v>
      </c>
      <c r="C58" s="4">
        <v>3.2</v>
      </c>
      <c r="D58" s="5" t="s">
        <v>603</v>
      </c>
      <c r="E58" s="5" t="s">
        <v>606</v>
      </c>
    </row>
    <row r="59">
      <c r="A59" s="3">
        <v>45198.65775590278</v>
      </c>
      <c r="B59" s="4">
        <v>1.0</v>
      </c>
      <c r="C59" s="4">
        <v>2.33</v>
      </c>
      <c r="D59" s="5" t="s">
        <v>609</v>
      </c>
      <c r="E59" s="5" t="s">
        <v>612</v>
      </c>
      <c r="F59" s="4" t="s">
        <v>614</v>
      </c>
    </row>
    <row r="60">
      <c r="A60" s="3">
        <v>45198.66587009259</v>
      </c>
      <c r="B60" s="4">
        <v>1526.0</v>
      </c>
      <c r="C60" s="4">
        <v>3.667</v>
      </c>
      <c r="D60" s="5" t="s">
        <v>615</v>
      </c>
      <c r="E60" s="5" t="s">
        <v>618</v>
      </c>
    </row>
    <row r="61">
      <c r="A61" s="3">
        <v>45198.677338194444</v>
      </c>
      <c r="B61" s="4">
        <v>9.0</v>
      </c>
      <c r="C61" s="4">
        <v>3.856</v>
      </c>
      <c r="D61" s="4" t="s">
        <v>621</v>
      </c>
      <c r="E61" s="5" t="s">
        <v>622</v>
      </c>
    </row>
    <row r="62">
      <c r="A62" s="3">
        <v>45198.72309579861</v>
      </c>
      <c r="B62" s="4">
        <v>1616.0</v>
      </c>
      <c r="C62" s="4">
        <v>3.934</v>
      </c>
      <c r="D62" s="4" t="s">
        <v>624</v>
      </c>
      <c r="E62" s="5" t="s">
        <v>625</v>
      </c>
    </row>
    <row r="63">
      <c r="A63" s="3">
        <v>45198.72668199074</v>
      </c>
      <c r="B63" s="4">
        <v>1595.0</v>
      </c>
      <c r="C63" s="4">
        <v>3.6</v>
      </c>
      <c r="D63" s="4" t="s">
        <v>637</v>
      </c>
      <c r="E63" s="5" t="s">
        <v>638</v>
      </c>
    </row>
    <row r="64">
      <c r="A64" s="3">
        <v>45198.74237979167</v>
      </c>
      <c r="B64" s="4">
        <v>12.0</v>
      </c>
      <c r="C64" s="4">
        <v>3.0</v>
      </c>
      <c r="D64" s="5" t="s">
        <v>640</v>
      </c>
      <c r="E64" s="5" t="s">
        <v>642</v>
      </c>
    </row>
    <row r="65">
      <c r="A65" s="3">
        <v>45198.74244630787</v>
      </c>
      <c r="B65" s="4">
        <v>10.0</v>
      </c>
      <c r="C65" s="4">
        <v>3.8</v>
      </c>
      <c r="D65" s="5" t="s">
        <v>645</v>
      </c>
      <c r="E65" s="5" t="s">
        <v>647</v>
      </c>
    </row>
    <row r="66">
      <c r="A66" s="3">
        <v>45198.920394479166</v>
      </c>
      <c r="B66" s="4">
        <v>1643.0</v>
      </c>
      <c r="C66" s="4">
        <v>3.85</v>
      </c>
      <c r="D66" s="5" t="s">
        <v>650</v>
      </c>
      <c r="E66" s="5" t="s">
        <v>653</v>
      </c>
    </row>
    <row r="67">
      <c r="A67" s="3">
        <v>45199.38378534722</v>
      </c>
      <c r="B67" s="4">
        <v>4.0</v>
      </c>
      <c r="C67" s="4">
        <v>3.33</v>
      </c>
      <c r="D67" s="4" t="s">
        <v>655</v>
      </c>
      <c r="E67" s="5" t="s">
        <v>656</v>
      </c>
    </row>
    <row r="68">
      <c r="A68" s="3">
        <v>45199.396440868055</v>
      </c>
      <c r="B68" s="4">
        <v>19.0</v>
      </c>
      <c r="C68" s="4">
        <v>4.0</v>
      </c>
      <c r="D68" s="4" t="s">
        <v>659</v>
      </c>
      <c r="E68" s="4" t="s">
        <v>660</v>
      </c>
    </row>
    <row r="69">
      <c r="A69" s="3">
        <v>45199.647057766204</v>
      </c>
      <c r="B69" s="4">
        <v>1656.0</v>
      </c>
      <c r="C69" s="4">
        <v>3.28</v>
      </c>
      <c r="D69" s="4" t="s">
        <v>662</v>
      </c>
      <c r="E69" s="5" t="s">
        <v>663</v>
      </c>
    </row>
    <row r="70">
      <c r="A70" s="3">
        <v>45200.814883287036</v>
      </c>
      <c r="B70" s="4">
        <v>15.0</v>
      </c>
      <c r="C70" s="4">
        <v>3.929</v>
      </c>
      <c r="D70" s="5" t="s">
        <v>665</v>
      </c>
      <c r="E70" s="5" t="s">
        <v>668</v>
      </c>
    </row>
    <row r="71">
      <c r="A71" s="3">
        <v>45201.462687175925</v>
      </c>
      <c r="B71" s="4">
        <v>1632.0</v>
      </c>
      <c r="C71" s="4">
        <v>2.9</v>
      </c>
      <c r="D71" s="5" t="s">
        <v>672</v>
      </c>
      <c r="E71" s="5" t="s">
        <v>674</v>
      </c>
    </row>
    <row r="72">
      <c r="A72" s="3">
        <v>45201.68823996528</v>
      </c>
      <c r="B72" s="4">
        <v>1617.0</v>
      </c>
      <c r="C72" s="4">
        <v>3.6</v>
      </c>
      <c r="D72" s="5" t="s">
        <v>675</v>
      </c>
      <c r="E72" s="5" t="s">
        <v>678</v>
      </c>
      <c r="F72" s="4" t="s">
        <v>679</v>
      </c>
    </row>
    <row r="73">
      <c r="A73" s="3">
        <v>45213.52155395833</v>
      </c>
      <c r="B73" s="4">
        <v>1617.0</v>
      </c>
      <c r="C73" s="4">
        <v>3.48</v>
      </c>
      <c r="D73" s="5" t="s">
        <v>681</v>
      </c>
      <c r="E73" s="5" t="s">
        <v>685</v>
      </c>
    </row>
    <row r="74">
      <c r="A74" s="3">
        <v>45226.46767707176</v>
      </c>
      <c r="B74" s="4">
        <v>1613.0</v>
      </c>
      <c r="C74" s="4">
        <v>3.5</v>
      </c>
      <c r="D74" s="5" t="s">
        <v>692</v>
      </c>
      <c r="E74" s="5" t="s">
        <v>695</v>
      </c>
    </row>
    <row r="75">
      <c r="A75" s="3">
        <v>45228.64553658565</v>
      </c>
      <c r="B75" s="4">
        <v>1613.0</v>
      </c>
      <c r="C75" s="4">
        <v>3.5</v>
      </c>
      <c r="D75" s="5" t="s">
        <v>701</v>
      </c>
      <c r="E75" s="5" t="s">
        <v>705</v>
      </c>
    </row>
    <row r="78">
      <c r="B78" s="4">
        <v>1626.0</v>
      </c>
      <c r="C78" s="4">
        <v>2.0</v>
      </c>
      <c r="F78" s="4" t="s">
        <v>709</v>
      </c>
    </row>
  </sheetData>
  <hyperlinks>
    <hyperlink r:id="rId1" ref="D3"/>
    <hyperlink r:id="rId2" ref="E3"/>
    <hyperlink r:id="rId3" ref="D4"/>
    <hyperlink r:id="rId4" ref="E4"/>
    <hyperlink r:id="rId5" ref="D5"/>
    <hyperlink r:id="rId6" ref="E5"/>
    <hyperlink r:id="rId7" ref="D6"/>
    <hyperlink r:id="rId8" ref="E6"/>
    <hyperlink r:id="rId9" ref="D7"/>
    <hyperlink r:id="rId10" ref="E7"/>
    <hyperlink r:id="rId11" ref="D8"/>
    <hyperlink r:id="rId12" ref="E8"/>
    <hyperlink r:id="rId13" ref="D9"/>
    <hyperlink r:id="rId14" ref="E9"/>
    <hyperlink r:id="rId15" ref="D10"/>
    <hyperlink r:id="rId16" ref="E10"/>
    <hyperlink r:id="rId17" ref="E11"/>
    <hyperlink r:id="rId18" ref="D12"/>
    <hyperlink r:id="rId19" ref="E12"/>
    <hyperlink r:id="rId20" ref="E13"/>
    <hyperlink r:id="rId21" ref="D14"/>
    <hyperlink r:id="rId22" ref="E14"/>
    <hyperlink r:id="rId23" ref="E15"/>
    <hyperlink r:id="rId24" ref="D16"/>
    <hyperlink r:id="rId25" ref="E16"/>
    <hyperlink r:id="rId26" ref="D17"/>
    <hyperlink r:id="rId27" ref="E17"/>
    <hyperlink r:id="rId28" ref="D18"/>
    <hyperlink r:id="rId29" ref="E18"/>
    <hyperlink r:id="rId30" ref="E19"/>
    <hyperlink r:id="rId31" ref="D20"/>
    <hyperlink r:id="rId32" ref="E20"/>
    <hyperlink r:id="rId33" ref="D21"/>
    <hyperlink r:id="rId34" ref="E21"/>
    <hyperlink r:id="rId35" ref="D22"/>
    <hyperlink r:id="rId36" ref="E22"/>
    <hyperlink r:id="rId37" ref="D23"/>
    <hyperlink r:id="rId38" ref="E23"/>
    <hyperlink r:id="rId39" ref="D24"/>
    <hyperlink r:id="rId40" ref="E24"/>
    <hyperlink r:id="rId41" ref="D25"/>
    <hyperlink r:id="rId42" ref="E25"/>
    <hyperlink r:id="rId43" ref="E26"/>
    <hyperlink r:id="rId44" ref="D27"/>
    <hyperlink r:id="rId45" ref="D28"/>
    <hyperlink r:id="rId46" ref="E28"/>
    <hyperlink r:id="rId47" ref="D29"/>
    <hyperlink r:id="rId48" ref="E29"/>
    <hyperlink r:id="rId49" ref="E30"/>
    <hyperlink r:id="rId50" ref="D31"/>
    <hyperlink r:id="rId51" ref="E31"/>
    <hyperlink r:id="rId52" ref="E32"/>
    <hyperlink r:id="rId53" ref="D33"/>
    <hyperlink r:id="rId54" ref="E33"/>
    <hyperlink r:id="rId55" ref="D34"/>
    <hyperlink r:id="rId56" ref="E34"/>
    <hyperlink r:id="rId57" ref="D35"/>
    <hyperlink r:id="rId58" ref="E35"/>
    <hyperlink r:id="rId59" ref="D36"/>
    <hyperlink r:id="rId60" ref="E36"/>
    <hyperlink r:id="rId61" ref="D37"/>
    <hyperlink r:id="rId62" ref="E37"/>
    <hyperlink r:id="rId63" ref="D38"/>
    <hyperlink r:id="rId64" ref="E38"/>
    <hyperlink r:id="rId65" ref="D39"/>
    <hyperlink r:id="rId66" ref="E39"/>
    <hyperlink r:id="rId67" ref="D40"/>
    <hyperlink r:id="rId68" ref="E40"/>
    <hyperlink r:id="rId69" ref="D41"/>
    <hyperlink r:id="rId70" ref="E41"/>
    <hyperlink r:id="rId71" ref="D42"/>
    <hyperlink r:id="rId72" ref="E42"/>
    <hyperlink r:id="rId73" ref="D43"/>
    <hyperlink r:id="rId74" ref="E43"/>
    <hyperlink r:id="rId75" ref="D44"/>
    <hyperlink r:id="rId76" ref="E44"/>
    <hyperlink r:id="rId77" ref="E45"/>
    <hyperlink r:id="rId78" ref="D46"/>
    <hyperlink r:id="rId79" ref="E46"/>
    <hyperlink r:id="rId80" ref="D47"/>
    <hyperlink r:id="rId81" ref="E47"/>
    <hyperlink r:id="rId82" ref="D48"/>
    <hyperlink r:id="rId83" ref="E48"/>
    <hyperlink r:id="rId84" ref="E49"/>
    <hyperlink r:id="rId85" ref="D50"/>
    <hyperlink r:id="rId86" ref="E50"/>
    <hyperlink r:id="rId87" ref="D51"/>
    <hyperlink r:id="rId88" ref="E51"/>
    <hyperlink r:id="rId89" ref="D52"/>
    <hyperlink r:id="rId90" ref="E52"/>
    <hyperlink r:id="rId91" ref="D53"/>
    <hyperlink r:id="rId92" ref="E53"/>
    <hyperlink r:id="rId93" ref="D54"/>
    <hyperlink r:id="rId94" ref="E54"/>
    <hyperlink r:id="rId95" ref="D55"/>
    <hyperlink r:id="rId96" ref="E55"/>
    <hyperlink r:id="rId97" ref="E56"/>
    <hyperlink r:id="rId98" ref="D57"/>
    <hyperlink r:id="rId99" ref="E57"/>
    <hyperlink r:id="rId100" ref="D58"/>
    <hyperlink r:id="rId101" ref="E58"/>
    <hyperlink r:id="rId102" ref="D59"/>
    <hyperlink r:id="rId103" ref="E59"/>
    <hyperlink r:id="rId104" ref="D60"/>
    <hyperlink r:id="rId105" ref="E60"/>
    <hyperlink r:id="rId106" ref="E61"/>
    <hyperlink r:id="rId107" ref="E62"/>
    <hyperlink r:id="rId108" ref="E63"/>
    <hyperlink r:id="rId109" ref="D64"/>
    <hyperlink r:id="rId110" ref="E64"/>
    <hyperlink r:id="rId111" ref="D65"/>
    <hyperlink r:id="rId112" ref="E65"/>
    <hyperlink r:id="rId113" ref="D66"/>
    <hyperlink r:id="rId114" ref="E66"/>
    <hyperlink r:id="rId115" ref="E67"/>
    <hyperlink r:id="rId116" ref="E69"/>
    <hyperlink r:id="rId117" ref="D70"/>
    <hyperlink r:id="rId118" ref="E70"/>
    <hyperlink r:id="rId119" ref="D71"/>
    <hyperlink r:id="rId120" ref="E71"/>
    <hyperlink r:id="rId121" ref="D72"/>
    <hyperlink r:id="rId122" ref="E72"/>
    <hyperlink r:id="rId123" ref="D73"/>
    <hyperlink r:id="rId124" ref="E73"/>
    <hyperlink r:id="rId125" ref="D74"/>
    <hyperlink r:id="rId126" ref="E74"/>
    <hyperlink r:id="rId127" ref="D75"/>
    <hyperlink r:id="rId128" ref="E75"/>
  </hyperlinks>
  <drawing r:id="rId1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0</v>
      </c>
      <c r="B1" s="2" t="s">
        <v>1</v>
      </c>
      <c r="C1" s="2" t="s">
        <v>2</v>
      </c>
      <c r="D1" s="2" t="s">
        <v>419</v>
      </c>
      <c r="E1" s="2" t="s">
        <v>527</v>
      </c>
      <c r="F1" s="2" t="s">
        <v>4</v>
      </c>
    </row>
    <row r="2">
      <c r="A2" s="3">
        <v>45208.51378581018</v>
      </c>
      <c r="B2" s="4">
        <v>1618.0</v>
      </c>
      <c r="C2" s="4">
        <v>3.687</v>
      </c>
      <c r="D2" s="5" t="s">
        <v>528</v>
      </c>
      <c r="E2" s="5" t="s">
        <v>533</v>
      </c>
    </row>
    <row r="3">
      <c r="A3" s="3">
        <v>45208.514124814814</v>
      </c>
      <c r="B3" s="4">
        <v>1637.0</v>
      </c>
      <c r="C3" s="4">
        <v>3.753</v>
      </c>
      <c r="D3" s="5" t="s">
        <v>536</v>
      </c>
      <c r="E3" s="5" t="s">
        <v>539</v>
      </c>
      <c r="F3" s="4" t="s">
        <v>542</v>
      </c>
    </row>
    <row r="4">
      <c r="A4" s="3">
        <v>45208.572529178244</v>
      </c>
      <c r="B4" s="4">
        <v>1564.0</v>
      </c>
      <c r="C4" s="4">
        <v>3.462</v>
      </c>
      <c r="D4" s="5" t="s">
        <v>543</v>
      </c>
      <c r="E4" s="5" t="s">
        <v>545</v>
      </c>
    </row>
    <row r="5">
      <c r="A5" s="3">
        <v>45208.64060020834</v>
      </c>
      <c r="B5" s="4">
        <v>3.0</v>
      </c>
      <c r="C5" s="4">
        <v>3.5</v>
      </c>
      <c r="D5" s="4" t="s">
        <v>549</v>
      </c>
      <c r="E5" s="5" t="s">
        <v>550</v>
      </c>
    </row>
    <row r="6">
      <c r="A6" s="3">
        <v>45208.65960633101</v>
      </c>
      <c r="B6" s="4">
        <v>1653.0</v>
      </c>
      <c r="C6" s="4">
        <v>3.637</v>
      </c>
      <c r="D6" s="4" t="s">
        <v>553</v>
      </c>
      <c r="E6" s="5" t="s">
        <v>554</v>
      </c>
    </row>
    <row r="7">
      <c r="A7" s="3">
        <v>45208.6604185301</v>
      </c>
      <c r="B7" s="4">
        <v>1653.0</v>
      </c>
      <c r="C7" s="4">
        <v>3.637</v>
      </c>
      <c r="D7" s="4" t="s">
        <v>556</v>
      </c>
      <c r="E7" s="5" t="s">
        <v>557</v>
      </c>
    </row>
    <row r="8">
      <c r="A8" s="3">
        <v>45208.94225550926</v>
      </c>
      <c r="B8" s="4">
        <v>1641.0</v>
      </c>
      <c r="C8" s="4">
        <v>2.2</v>
      </c>
      <c r="D8" s="5" t="s">
        <v>560</v>
      </c>
      <c r="E8" s="5" t="s">
        <v>561</v>
      </c>
      <c r="F8" s="4" t="s">
        <v>565</v>
      </c>
    </row>
    <row r="9">
      <c r="A9" s="3">
        <v>45209.41551961805</v>
      </c>
      <c r="B9" s="4">
        <v>13.0</v>
      </c>
      <c r="C9" s="4">
        <v>3.71</v>
      </c>
      <c r="D9" s="5" t="s">
        <v>566</v>
      </c>
      <c r="E9" s="5" t="s">
        <v>569</v>
      </c>
    </row>
    <row r="10">
      <c r="A10" s="3">
        <v>45209.724465</v>
      </c>
      <c r="B10" s="4">
        <v>1597.0</v>
      </c>
      <c r="C10" s="4">
        <v>2.5</v>
      </c>
      <c r="D10" s="4" t="s">
        <v>571</v>
      </c>
      <c r="E10" s="4" t="s">
        <v>572</v>
      </c>
      <c r="F10" s="4" t="s">
        <v>574</v>
      </c>
    </row>
    <row r="11">
      <c r="A11" s="3">
        <v>45209.839713587964</v>
      </c>
      <c r="B11" s="4">
        <v>1620.0</v>
      </c>
      <c r="C11" s="4">
        <v>3.5</v>
      </c>
      <c r="D11" s="5" t="s">
        <v>575</v>
      </c>
      <c r="E11" s="5" t="s">
        <v>577</v>
      </c>
      <c r="F11" s="4" t="s">
        <v>581</v>
      </c>
    </row>
    <row r="12">
      <c r="A12" s="3">
        <v>45210.38043517361</v>
      </c>
      <c r="B12" s="4">
        <v>13.0</v>
      </c>
      <c r="C12" s="4">
        <v>3.71</v>
      </c>
      <c r="D12" s="5" t="s">
        <v>582</v>
      </c>
      <c r="E12" s="5" t="s">
        <v>586</v>
      </c>
    </row>
    <row r="13">
      <c r="A13" s="3">
        <v>45210.441692106484</v>
      </c>
      <c r="B13" s="4">
        <v>1625.0</v>
      </c>
      <c r="C13" s="4">
        <v>3.001</v>
      </c>
      <c r="D13" s="5" t="s">
        <v>589</v>
      </c>
      <c r="E13" s="5" t="s">
        <v>593</v>
      </c>
    </row>
    <row r="14">
      <c r="A14" s="3">
        <v>45210.48235505787</v>
      </c>
      <c r="B14" s="4">
        <v>1591.0</v>
      </c>
      <c r="C14" s="4">
        <v>4.0</v>
      </c>
      <c r="D14" s="5" t="s">
        <v>594</v>
      </c>
      <c r="E14" s="5" t="s">
        <v>597</v>
      </c>
      <c r="F14" s="4" t="s">
        <v>600</v>
      </c>
    </row>
    <row r="15">
      <c r="A15" s="3">
        <v>45210.55842353009</v>
      </c>
      <c r="B15" s="4">
        <v>1615.0</v>
      </c>
      <c r="C15" s="4">
        <v>4.0</v>
      </c>
      <c r="D15" s="4" t="s">
        <v>601</v>
      </c>
      <c r="E15" s="5" t="s">
        <v>602</v>
      </c>
    </row>
    <row r="16">
      <c r="A16" s="3">
        <v>45210.77109545139</v>
      </c>
      <c r="B16" s="4">
        <v>1599.0</v>
      </c>
      <c r="C16" s="4">
        <v>3.0</v>
      </c>
      <c r="D16" s="4" t="s">
        <v>604</v>
      </c>
      <c r="E16" s="5" t="s">
        <v>605</v>
      </c>
    </row>
    <row r="17">
      <c r="A17" s="3">
        <v>45211.34178125</v>
      </c>
      <c r="B17" s="4">
        <v>1621.0</v>
      </c>
      <c r="C17" s="4">
        <v>4.0</v>
      </c>
      <c r="D17" s="5" t="s">
        <v>607</v>
      </c>
      <c r="E17" s="5" t="s">
        <v>610</v>
      </c>
    </row>
    <row r="18">
      <c r="A18" s="3">
        <v>45211.44884835648</v>
      </c>
      <c r="B18" s="4">
        <v>1655.0</v>
      </c>
      <c r="C18" s="4">
        <v>2.58</v>
      </c>
      <c r="D18" s="5" t="s">
        <v>613</v>
      </c>
      <c r="E18" s="5" t="s">
        <v>616</v>
      </c>
    </row>
    <row r="19">
      <c r="A19" s="3">
        <v>45211.640864236106</v>
      </c>
      <c r="B19" s="4">
        <v>1624.0</v>
      </c>
      <c r="C19" s="4">
        <v>3.335</v>
      </c>
      <c r="D19" s="5" t="s">
        <v>619</v>
      </c>
      <c r="E19" s="5" t="s">
        <v>623</v>
      </c>
    </row>
    <row r="20">
      <c r="A20" s="3">
        <v>45211.76513157407</v>
      </c>
      <c r="B20" s="4">
        <v>1648.0</v>
      </c>
      <c r="C20" s="4">
        <v>3.9</v>
      </c>
      <c r="D20" s="5" t="s">
        <v>626</v>
      </c>
      <c r="E20" s="5" t="s">
        <v>636</v>
      </c>
    </row>
    <row r="21">
      <c r="A21" s="3">
        <v>45212.35976792824</v>
      </c>
      <c r="B21" s="4">
        <v>11.0</v>
      </c>
      <c r="C21" s="4">
        <v>1.417</v>
      </c>
      <c r="D21" s="4" t="s">
        <v>639</v>
      </c>
      <c r="E21" s="5" t="s">
        <v>641</v>
      </c>
    </row>
    <row r="22">
      <c r="A22" s="3">
        <v>45212.36934952546</v>
      </c>
      <c r="B22" s="4">
        <v>1598.0</v>
      </c>
      <c r="C22" s="4">
        <v>3.5</v>
      </c>
      <c r="D22" s="5" t="s">
        <v>643</v>
      </c>
      <c r="E22" s="5" t="s">
        <v>646</v>
      </c>
    </row>
    <row r="23">
      <c r="A23" s="3">
        <v>45212.37664402778</v>
      </c>
      <c r="B23" s="4">
        <v>1623.0</v>
      </c>
      <c r="C23" s="4">
        <v>3.687</v>
      </c>
      <c r="D23" s="5" t="s">
        <v>648</v>
      </c>
      <c r="E23" s="5" t="s">
        <v>649</v>
      </c>
      <c r="F23" s="4" t="s">
        <v>652</v>
      </c>
    </row>
    <row r="24">
      <c r="A24" s="3">
        <v>45212.38264193287</v>
      </c>
      <c r="B24" s="4">
        <v>1592.0</v>
      </c>
      <c r="C24" s="4">
        <v>4.0</v>
      </c>
      <c r="D24" s="5" t="s">
        <v>654</v>
      </c>
      <c r="E24" s="5" t="s">
        <v>657</v>
      </c>
      <c r="F24" s="4" t="s">
        <v>658</v>
      </c>
    </row>
    <row r="25">
      <c r="A25" s="3">
        <v>45212.38711107639</v>
      </c>
      <c r="B25" s="4">
        <v>1608.0</v>
      </c>
      <c r="C25" s="4">
        <v>3.165</v>
      </c>
      <c r="D25" s="5" t="s">
        <v>661</v>
      </c>
      <c r="E25" s="5" t="s">
        <v>664</v>
      </c>
    </row>
    <row r="26">
      <c r="A26" s="3">
        <v>45212.38743474537</v>
      </c>
      <c r="B26" s="4">
        <v>1652.0</v>
      </c>
      <c r="C26" s="4">
        <v>3.001</v>
      </c>
      <c r="D26" s="4" t="s">
        <v>666</v>
      </c>
      <c r="E26" s="5" t="s">
        <v>667</v>
      </c>
    </row>
    <row r="27">
      <c r="A27" s="3">
        <v>45212.395493310185</v>
      </c>
      <c r="B27" s="4">
        <v>19.0</v>
      </c>
      <c r="C27" s="4">
        <v>4.0</v>
      </c>
      <c r="D27" s="4" t="s">
        <v>669</v>
      </c>
      <c r="E27" s="4" t="s">
        <v>670</v>
      </c>
    </row>
    <row r="28">
      <c r="A28" s="3">
        <v>45212.406025439814</v>
      </c>
      <c r="B28" s="4">
        <v>16.0</v>
      </c>
      <c r="C28" s="4">
        <v>3.67</v>
      </c>
      <c r="D28" s="5" t="s">
        <v>671</v>
      </c>
      <c r="E28" s="5" t="s">
        <v>673</v>
      </c>
      <c r="F28" s="4" t="s">
        <v>151</v>
      </c>
    </row>
    <row r="29">
      <c r="A29" s="3">
        <v>45212.41131491898</v>
      </c>
      <c r="B29" s="4">
        <v>1646.0</v>
      </c>
      <c r="C29" s="4">
        <v>3.186</v>
      </c>
      <c r="D29" s="5" t="s">
        <v>676</v>
      </c>
      <c r="E29" s="5" t="s">
        <v>677</v>
      </c>
    </row>
    <row r="30">
      <c r="A30" s="3">
        <v>45212.41352446759</v>
      </c>
      <c r="B30" s="4">
        <v>6.0</v>
      </c>
      <c r="C30" s="4">
        <v>2.35</v>
      </c>
      <c r="D30" s="5" t="s">
        <v>680</v>
      </c>
      <c r="E30" s="5" t="s">
        <v>683</v>
      </c>
    </row>
    <row r="31">
      <c r="A31" s="3">
        <v>45212.41730152778</v>
      </c>
      <c r="B31" s="4">
        <v>17.0</v>
      </c>
      <c r="C31" s="4">
        <v>3.3</v>
      </c>
      <c r="D31" s="4" t="s">
        <v>688</v>
      </c>
      <c r="E31" s="5" t="s">
        <v>689</v>
      </c>
      <c r="F31" s="4" t="s">
        <v>151</v>
      </c>
    </row>
    <row r="32">
      <c r="A32" s="3">
        <v>45212.42464157408</v>
      </c>
      <c r="B32" s="4">
        <v>1622.0</v>
      </c>
      <c r="C32" s="4">
        <v>2.75</v>
      </c>
      <c r="D32" s="5" t="s">
        <v>694</v>
      </c>
      <c r="E32" s="5" t="s">
        <v>698</v>
      </c>
      <c r="F32" s="4" t="s">
        <v>703</v>
      </c>
    </row>
    <row r="33">
      <c r="A33" s="3">
        <v>45212.4270794676</v>
      </c>
      <c r="B33" s="4">
        <v>1596.0</v>
      </c>
      <c r="C33" s="4">
        <v>3.86</v>
      </c>
      <c r="D33" s="5" t="s">
        <v>704</v>
      </c>
      <c r="E33" s="5" t="s">
        <v>708</v>
      </c>
    </row>
    <row r="34">
      <c r="A34" s="3">
        <v>45212.46878018518</v>
      </c>
      <c r="B34" s="4">
        <v>1605.0</v>
      </c>
      <c r="C34" s="4">
        <v>3.4</v>
      </c>
      <c r="D34" s="5" t="s">
        <v>712</v>
      </c>
      <c r="E34" s="5" t="s">
        <v>715</v>
      </c>
      <c r="F34" s="4" t="s">
        <v>499</v>
      </c>
    </row>
    <row r="35">
      <c r="A35" s="3">
        <v>45212.4932481713</v>
      </c>
      <c r="B35" s="4">
        <v>8.0</v>
      </c>
      <c r="C35" s="4">
        <v>3.65</v>
      </c>
      <c r="D35" s="5" t="s">
        <v>718</v>
      </c>
      <c r="E35" s="5" t="s">
        <v>720</v>
      </c>
      <c r="F35" s="4" t="s">
        <v>723</v>
      </c>
    </row>
    <row r="36">
      <c r="A36" s="3">
        <v>45212.52066927083</v>
      </c>
      <c r="B36" s="4">
        <v>14.0</v>
      </c>
      <c r="C36" s="4">
        <v>3.85</v>
      </c>
      <c r="D36" s="4" t="s">
        <v>724</v>
      </c>
      <c r="E36" s="5" t="s">
        <v>725</v>
      </c>
    </row>
    <row r="37">
      <c r="A37" s="3">
        <v>45212.52335021991</v>
      </c>
      <c r="B37" s="4">
        <v>1654.0</v>
      </c>
      <c r="C37" s="4">
        <v>3.5</v>
      </c>
      <c r="D37" s="5" t="s">
        <v>726</v>
      </c>
      <c r="E37" s="5" t="s">
        <v>727</v>
      </c>
    </row>
    <row r="38">
      <c r="A38" s="3">
        <v>45212.523825833334</v>
      </c>
      <c r="B38" s="4">
        <v>1654.0</v>
      </c>
      <c r="C38" s="4">
        <v>3.5</v>
      </c>
      <c r="D38" s="5" t="s">
        <v>728</v>
      </c>
      <c r="E38" s="5" t="s">
        <v>729</v>
      </c>
    </row>
    <row r="39">
      <c r="A39" s="3">
        <v>45212.52454873842</v>
      </c>
      <c r="B39" s="4">
        <v>1.0</v>
      </c>
      <c r="C39" s="4">
        <v>2.67</v>
      </c>
      <c r="D39" s="5" t="s">
        <v>730</v>
      </c>
      <c r="E39" s="5" t="s">
        <v>731</v>
      </c>
    </row>
    <row r="40">
      <c r="A40" s="3">
        <v>45212.540728101856</v>
      </c>
      <c r="B40" s="4">
        <v>12.0</v>
      </c>
      <c r="C40" s="4">
        <v>2.75</v>
      </c>
      <c r="D40" s="5" t="s">
        <v>732</v>
      </c>
      <c r="E40" s="5" t="s">
        <v>733</v>
      </c>
    </row>
    <row r="41">
      <c r="A41" s="3">
        <v>45212.5890172338</v>
      </c>
      <c r="B41" s="4">
        <v>18.0</v>
      </c>
      <c r="C41" s="4">
        <v>2.548</v>
      </c>
      <c r="D41" s="5" t="s">
        <v>734</v>
      </c>
      <c r="E41" s="5" t="s">
        <v>735</v>
      </c>
    </row>
    <row r="42">
      <c r="A42" s="3">
        <v>45212.61471432871</v>
      </c>
      <c r="B42" s="4">
        <v>1627.0</v>
      </c>
      <c r="C42" s="4">
        <v>3.083</v>
      </c>
      <c r="D42" s="5" t="s">
        <v>736</v>
      </c>
      <c r="E42" s="5" t="s">
        <v>739</v>
      </c>
    </row>
    <row r="43">
      <c r="A43" s="3">
        <v>45212.61492137732</v>
      </c>
      <c r="B43" s="4">
        <v>4.0</v>
      </c>
      <c r="C43" s="4">
        <v>3.491</v>
      </c>
      <c r="D43" s="4" t="s">
        <v>745</v>
      </c>
      <c r="E43" s="5" t="s">
        <v>746</v>
      </c>
    </row>
    <row r="44">
      <c r="A44" s="3">
        <v>45212.64456689815</v>
      </c>
      <c r="B44" s="4">
        <v>1616.0</v>
      </c>
      <c r="C44" s="4">
        <v>3.734</v>
      </c>
      <c r="D44" s="4" t="s">
        <v>750</v>
      </c>
      <c r="E44" s="5" t="s">
        <v>751</v>
      </c>
    </row>
    <row r="45">
      <c r="A45" s="3">
        <v>45212.65797730324</v>
      </c>
      <c r="B45" s="4">
        <v>7.0</v>
      </c>
      <c r="C45" s="4">
        <v>3.251</v>
      </c>
      <c r="D45" s="5" t="s">
        <v>753</v>
      </c>
      <c r="E45" s="5" t="s">
        <v>757</v>
      </c>
    </row>
    <row r="46">
      <c r="A46" s="3">
        <v>45212.65899700232</v>
      </c>
      <c r="B46" s="4">
        <v>1595.0</v>
      </c>
      <c r="C46" s="4">
        <v>3.266</v>
      </c>
      <c r="D46" s="4" t="s">
        <v>759</v>
      </c>
      <c r="E46" s="5" t="s">
        <v>760</v>
      </c>
    </row>
    <row r="47">
      <c r="A47" s="3">
        <v>45212.66109375</v>
      </c>
      <c r="B47" s="4">
        <v>10.0</v>
      </c>
      <c r="C47" s="4">
        <v>3.732</v>
      </c>
      <c r="D47" s="5" t="s">
        <v>763</v>
      </c>
      <c r="E47" s="5" t="s">
        <v>766</v>
      </c>
      <c r="F47" s="4" t="s">
        <v>169</v>
      </c>
    </row>
    <row r="48">
      <c r="A48" s="3">
        <v>45212.663311805554</v>
      </c>
      <c r="B48" s="4">
        <v>1645.0</v>
      </c>
      <c r="C48" s="4">
        <v>3.75</v>
      </c>
      <c r="D48" s="5" t="s">
        <v>769</v>
      </c>
      <c r="E48" s="5" t="s">
        <v>772</v>
      </c>
      <c r="F48" s="4" t="s">
        <v>774</v>
      </c>
    </row>
    <row r="49">
      <c r="A49" s="3">
        <v>45212.663412974536</v>
      </c>
      <c r="B49" s="4">
        <v>1642.0</v>
      </c>
      <c r="C49" s="4">
        <v>3.46</v>
      </c>
      <c r="D49" s="5" t="s">
        <v>776</v>
      </c>
      <c r="E49" s="5" t="s">
        <v>778</v>
      </c>
    </row>
    <row r="50">
      <c r="A50" s="3">
        <v>45212.667584571755</v>
      </c>
      <c r="B50" s="4">
        <v>5.0</v>
      </c>
      <c r="C50" s="4">
        <v>3.8</v>
      </c>
      <c r="D50" s="5" t="s">
        <v>781</v>
      </c>
      <c r="E50" s="5" t="s">
        <v>784</v>
      </c>
    </row>
    <row r="51">
      <c r="A51" s="3">
        <v>45212.669107361115</v>
      </c>
      <c r="B51" s="4">
        <v>1644.0</v>
      </c>
      <c r="C51" s="4">
        <v>3.0</v>
      </c>
      <c r="D51" s="5" t="s">
        <v>788</v>
      </c>
      <c r="E51" s="5" t="s">
        <v>791</v>
      </c>
      <c r="F51" s="4" t="s">
        <v>793</v>
      </c>
    </row>
    <row r="52">
      <c r="A52" s="3">
        <v>45212.674793611106</v>
      </c>
      <c r="B52" s="4">
        <v>1635.0</v>
      </c>
      <c r="C52" s="4">
        <v>2.583</v>
      </c>
      <c r="D52" s="5" t="s">
        <v>794</v>
      </c>
      <c r="E52" s="5" t="s">
        <v>796</v>
      </c>
      <c r="F52" s="4" t="s">
        <v>800</v>
      </c>
    </row>
    <row r="53">
      <c r="A53" s="3">
        <v>45212.68121766204</v>
      </c>
      <c r="B53" s="4">
        <v>1640.0</v>
      </c>
      <c r="C53" s="4">
        <v>3.693</v>
      </c>
      <c r="D53" s="5" t="s">
        <v>801</v>
      </c>
      <c r="E53" s="5" t="s">
        <v>803</v>
      </c>
    </row>
    <row r="54">
      <c r="A54" s="3">
        <v>45212.68456232639</v>
      </c>
      <c r="B54" s="4">
        <v>1602.0</v>
      </c>
      <c r="C54" s="4">
        <v>3.918</v>
      </c>
      <c r="D54" s="5" t="s">
        <v>807</v>
      </c>
      <c r="E54" s="5" t="s">
        <v>809</v>
      </c>
    </row>
    <row r="55">
      <c r="A55" s="3">
        <v>45212.69523435185</v>
      </c>
      <c r="B55" s="4">
        <v>2.0</v>
      </c>
      <c r="C55" s="4">
        <v>4.0</v>
      </c>
      <c r="D55" s="5" t="s">
        <v>812</v>
      </c>
      <c r="E55" s="5" t="s">
        <v>814</v>
      </c>
      <c r="F55" s="4" t="s">
        <v>817</v>
      </c>
    </row>
    <row r="56">
      <c r="A56" s="3">
        <v>45212.69916188657</v>
      </c>
      <c r="B56" s="4">
        <v>1594.0</v>
      </c>
      <c r="C56" s="4">
        <v>3.5</v>
      </c>
      <c r="D56" s="5" t="s">
        <v>820</v>
      </c>
      <c r="E56" s="5" t="s">
        <v>822</v>
      </c>
    </row>
    <row r="57">
      <c r="A57" s="3">
        <v>45212.807672870375</v>
      </c>
      <c r="B57" s="4">
        <v>1613.0</v>
      </c>
      <c r="C57" s="4">
        <v>3.534</v>
      </c>
      <c r="D57" s="5" t="s">
        <v>824</v>
      </c>
      <c r="E57" s="5" t="s">
        <v>827</v>
      </c>
    </row>
    <row r="58">
      <c r="A58" s="3">
        <v>45212.96797055556</v>
      </c>
      <c r="B58" s="4">
        <v>1650.0</v>
      </c>
      <c r="C58" s="4">
        <v>3.5</v>
      </c>
      <c r="D58" s="5" t="s">
        <v>830</v>
      </c>
      <c r="E58" s="5" t="s">
        <v>834</v>
      </c>
      <c r="F58" s="4" t="s">
        <v>836</v>
      </c>
    </row>
    <row r="59">
      <c r="A59" s="3">
        <v>45213.518699409724</v>
      </c>
      <c r="B59" s="4">
        <v>1628.0</v>
      </c>
      <c r="C59" s="4">
        <v>3.924</v>
      </c>
      <c r="D59" s="5" t="s">
        <v>837</v>
      </c>
      <c r="E59" s="5" t="s">
        <v>839</v>
      </c>
    </row>
    <row r="60">
      <c r="A60" s="3">
        <v>45213.519239988425</v>
      </c>
      <c r="B60" s="4">
        <v>1632.0</v>
      </c>
      <c r="C60" s="4">
        <v>2.9</v>
      </c>
      <c r="D60" s="5" t="s">
        <v>841</v>
      </c>
      <c r="E60" s="5" t="s">
        <v>845</v>
      </c>
    </row>
    <row r="61">
      <c r="A61" s="3">
        <v>45213.53747915509</v>
      </c>
      <c r="B61" s="4">
        <v>9.0</v>
      </c>
      <c r="C61" s="4">
        <v>3.843</v>
      </c>
      <c r="D61" s="4" t="s">
        <v>848</v>
      </c>
      <c r="E61" s="5" t="s">
        <v>850</v>
      </c>
      <c r="F61" s="4" t="s">
        <v>852</v>
      </c>
    </row>
    <row r="62">
      <c r="A62" s="3">
        <v>45213.899813807875</v>
      </c>
      <c r="B62" s="4">
        <v>1647.0</v>
      </c>
      <c r="C62" s="4">
        <v>3.294</v>
      </c>
      <c r="D62" s="5" t="s">
        <v>853</v>
      </c>
      <c r="E62" s="5" t="s">
        <v>855</v>
      </c>
    </row>
    <row r="63">
      <c r="A63" s="3">
        <v>45215.470446817126</v>
      </c>
      <c r="B63" s="4">
        <v>1630.0</v>
      </c>
      <c r="C63" s="4">
        <v>3.2</v>
      </c>
      <c r="D63" s="5" t="s">
        <v>857</v>
      </c>
      <c r="E63" s="5" t="s">
        <v>859</v>
      </c>
    </row>
    <row r="64">
      <c r="A64" s="3">
        <v>45215.51875403935</v>
      </c>
      <c r="B64" s="4">
        <v>15.0</v>
      </c>
      <c r="C64" s="4">
        <v>3.538</v>
      </c>
      <c r="D64" s="5" t="s">
        <v>862</v>
      </c>
      <c r="E64" s="5" t="s">
        <v>863</v>
      </c>
    </row>
    <row r="65">
      <c r="A65" s="3">
        <v>45215.55663162037</v>
      </c>
      <c r="B65" s="4">
        <v>1639.0</v>
      </c>
      <c r="C65" s="4">
        <v>3.918</v>
      </c>
      <c r="D65" s="4" t="s">
        <v>865</v>
      </c>
      <c r="E65" s="5" t="s">
        <v>866</v>
      </c>
      <c r="F65" s="4" t="s">
        <v>868</v>
      </c>
    </row>
    <row r="66">
      <c r="A66" s="3">
        <v>45216.68615741898</v>
      </c>
      <c r="B66" s="4">
        <v>1631.0</v>
      </c>
      <c r="C66" s="4">
        <v>3.0</v>
      </c>
      <c r="D66" s="5" t="s">
        <v>869</v>
      </c>
      <c r="E66" s="5" t="s">
        <v>871</v>
      </c>
    </row>
    <row r="67">
      <c r="A67" s="3">
        <v>45217.715773993055</v>
      </c>
      <c r="B67" s="4">
        <v>1636.0</v>
      </c>
      <c r="C67" s="4">
        <v>3.41</v>
      </c>
      <c r="D67" s="5" t="s">
        <v>873</v>
      </c>
      <c r="E67" s="5" t="s">
        <v>875</v>
      </c>
      <c r="F67" s="4" t="s">
        <v>877</v>
      </c>
    </row>
    <row r="74">
      <c r="B74" s="4">
        <v>1634.0</v>
      </c>
      <c r="C74" s="4">
        <v>4.0</v>
      </c>
    </row>
    <row r="75">
      <c r="B75" s="4">
        <v>1577.0</v>
      </c>
      <c r="C75" s="4">
        <v>2.0</v>
      </c>
      <c r="D75" s="4" t="s">
        <v>878</v>
      </c>
    </row>
    <row r="76">
      <c r="B76" s="4">
        <v>1617.0</v>
      </c>
      <c r="C76" s="4">
        <v>2.0</v>
      </c>
      <c r="D76" s="4" t="s">
        <v>879</v>
      </c>
    </row>
    <row r="78">
      <c r="B78" s="4">
        <v>1636.0</v>
      </c>
      <c r="C78" s="4">
        <v>2.0</v>
      </c>
      <c r="D78" s="4" t="s">
        <v>880</v>
      </c>
    </row>
    <row r="79">
      <c r="B79" s="4">
        <v>1643.0</v>
      </c>
      <c r="C79" s="4">
        <v>2.0</v>
      </c>
      <c r="D79" s="4" t="s">
        <v>881</v>
      </c>
    </row>
    <row r="80">
      <c r="B80" s="4">
        <v>1656.0</v>
      </c>
      <c r="C80" s="4">
        <v>2.0</v>
      </c>
      <c r="D80" s="4" t="s">
        <v>882</v>
      </c>
    </row>
  </sheetData>
  <hyperlinks>
    <hyperlink r:id="rId1" ref="D2"/>
    <hyperlink r:id="rId2" ref="E2"/>
    <hyperlink r:id="rId3" ref="D3"/>
    <hyperlink r:id="rId4" ref="E3"/>
    <hyperlink r:id="rId5" ref="D4"/>
    <hyperlink r:id="rId6" ref="E4"/>
    <hyperlink r:id="rId7" ref="E5"/>
    <hyperlink r:id="rId8" ref="E6"/>
    <hyperlink r:id="rId9" ref="E7"/>
    <hyperlink r:id="rId10" ref="D8"/>
    <hyperlink r:id="rId11" ref="E8"/>
    <hyperlink r:id="rId12" ref="D9"/>
    <hyperlink r:id="rId13" ref="E9"/>
    <hyperlink r:id="rId14" ref="D11"/>
    <hyperlink r:id="rId15" ref="E11"/>
    <hyperlink r:id="rId16" ref="D12"/>
    <hyperlink r:id="rId17" ref="E12"/>
    <hyperlink r:id="rId18" ref="D13"/>
    <hyperlink r:id="rId19" ref="E13"/>
    <hyperlink r:id="rId20" ref="D14"/>
    <hyperlink r:id="rId21" ref="E14"/>
    <hyperlink r:id="rId22" ref="E15"/>
    <hyperlink r:id="rId23" ref="E16"/>
    <hyperlink r:id="rId24" ref="D17"/>
    <hyperlink r:id="rId25" ref="E17"/>
    <hyperlink r:id="rId26" ref="D18"/>
    <hyperlink r:id="rId27" ref="E18"/>
    <hyperlink r:id="rId28" ref="D19"/>
    <hyperlink r:id="rId29" ref="E19"/>
    <hyperlink r:id="rId30" ref="D20"/>
    <hyperlink r:id="rId31" ref="E20"/>
    <hyperlink r:id="rId32" ref="E21"/>
    <hyperlink r:id="rId33" ref="D22"/>
    <hyperlink r:id="rId34" ref="E22"/>
    <hyperlink r:id="rId35" ref="D23"/>
    <hyperlink r:id="rId36" ref="E23"/>
    <hyperlink r:id="rId37" ref="D24"/>
    <hyperlink r:id="rId38" ref="E24"/>
    <hyperlink r:id="rId39" ref="D25"/>
    <hyperlink r:id="rId40" ref="E25"/>
    <hyperlink r:id="rId41" ref="E26"/>
    <hyperlink r:id="rId42" ref="D28"/>
    <hyperlink r:id="rId43" ref="E28"/>
    <hyperlink r:id="rId44" ref="D29"/>
    <hyperlink r:id="rId45" ref="E29"/>
    <hyperlink r:id="rId46" ref="D30"/>
    <hyperlink r:id="rId47" ref="E30"/>
    <hyperlink r:id="rId48" ref="E31"/>
    <hyperlink r:id="rId49" ref="D32"/>
    <hyperlink r:id="rId50" ref="E32"/>
    <hyperlink r:id="rId51" ref="D33"/>
    <hyperlink r:id="rId52" ref="E33"/>
    <hyperlink r:id="rId53" ref="D34"/>
    <hyperlink r:id="rId54" ref="E34"/>
    <hyperlink r:id="rId55" ref="D35"/>
    <hyperlink r:id="rId56" ref="E35"/>
    <hyperlink r:id="rId57" ref="E36"/>
    <hyperlink r:id="rId58" ref="D37"/>
    <hyperlink r:id="rId59" ref="E37"/>
    <hyperlink r:id="rId60" ref="D38"/>
    <hyperlink r:id="rId61" ref="E38"/>
    <hyperlink r:id="rId62" ref="D39"/>
    <hyperlink r:id="rId63" ref="E39"/>
    <hyperlink r:id="rId64" ref="D40"/>
    <hyperlink r:id="rId65" ref="E40"/>
    <hyperlink r:id="rId66" ref="D41"/>
    <hyperlink r:id="rId67" ref="E41"/>
    <hyperlink r:id="rId68" ref="D42"/>
    <hyperlink r:id="rId69" ref="E42"/>
    <hyperlink r:id="rId70" ref="E43"/>
    <hyperlink r:id="rId71" ref="E44"/>
    <hyperlink r:id="rId72" ref="D45"/>
    <hyperlink r:id="rId73" ref="E45"/>
    <hyperlink r:id="rId74" ref="E46"/>
    <hyperlink r:id="rId75" ref="D47"/>
    <hyperlink r:id="rId76" ref="E47"/>
    <hyperlink r:id="rId77" ref="D48"/>
    <hyperlink r:id="rId78" ref="E48"/>
    <hyperlink r:id="rId79" ref="D49"/>
    <hyperlink r:id="rId80" ref="E49"/>
    <hyperlink r:id="rId81" ref="D50"/>
    <hyperlink r:id="rId82" ref="E50"/>
    <hyperlink r:id="rId83" ref="D51"/>
    <hyperlink r:id="rId84" ref="E51"/>
    <hyperlink r:id="rId85" ref="D52"/>
    <hyperlink r:id="rId86" ref="E52"/>
    <hyperlink r:id="rId87" ref="D53"/>
    <hyperlink r:id="rId88" ref="E53"/>
    <hyperlink r:id="rId89" ref="D54"/>
    <hyperlink r:id="rId90" ref="E54"/>
    <hyperlink r:id="rId91" ref="D55"/>
    <hyperlink r:id="rId92" ref="E55"/>
    <hyperlink r:id="rId93" ref="D56"/>
    <hyperlink r:id="rId94" ref="E56"/>
    <hyperlink r:id="rId95" ref="D57"/>
    <hyperlink r:id="rId96" ref="E57"/>
    <hyperlink r:id="rId97" ref="D58"/>
    <hyperlink r:id="rId98" ref="E58"/>
    <hyperlink r:id="rId99" ref="D59"/>
    <hyperlink r:id="rId100" ref="E59"/>
    <hyperlink r:id="rId101" ref="D60"/>
    <hyperlink r:id="rId102" ref="E60"/>
    <hyperlink r:id="rId103" ref="E61"/>
    <hyperlink r:id="rId104" ref="D62"/>
    <hyperlink r:id="rId105" ref="E62"/>
    <hyperlink r:id="rId106" ref="D63"/>
    <hyperlink r:id="rId107" ref="E63"/>
    <hyperlink r:id="rId108" ref="D64"/>
    <hyperlink r:id="rId109" ref="E64"/>
    <hyperlink r:id="rId110" ref="E65"/>
    <hyperlink r:id="rId111" ref="D66"/>
    <hyperlink r:id="rId112" ref="E66"/>
    <hyperlink r:id="rId113" ref="D67"/>
    <hyperlink r:id="rId114" ref="E67"/>
  </hyperlinks>
  <drawing r:id="rId1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0</v>
      </c>
      <c r="B1" s="2" t="s">
        <v>1</v>
      </c>
      <c r="C1" s="2" t="s">
        <v>2</v>
      </c>
      <c r="D1" s="2" t="s">
        <v>419</v>
      </c>
      <c r="E1" s="2" t="s">
        <v>527</v>
      </c>
      <c r="F1" s="2" t="s">
        <v>4</v>
      </c>
    </row>
    <row r="2">
      <c r="A2" s="3">
        <v>45222.454768298616</v>
      </c>
      <c r="B2" s="4">
        <v>3.0</v>
      </c>
      <c r="C2" s="4">
        <v>3.44</v>
      </c>
      <c r="D2" s="4" t="s">
        <v>737</v>
      </c>
      <c r="E2" s="5" t="s">
        <v>738</v>
      </c>
    </row>
    <row r="3">
      <c r="A3" s="3">
        <v>45222.467553877315</v>
      </c>
      <c r="B3" s="4">
        <v>1637.0</v>
      </c>
      <c r="C3" s="4">
        <v>3.734</v>
      </c>
      <c r="D3" s="5" t="s">
        <v>740</v>
      </c>
      <c r="E3" s="5" t="s">
        <v>741</v>
      </c>
      <c r="F3" s="4" t="s">
        <v>742</v>
      </c>
    </row>
    <row r="4">
      <c r="A4" s="3">
        <v>45222.47074415509</v>
      </c>
      <c r="B4" s="4">
        <v>1639.0</v>
      </c>
      <c r="C4" s="4">
        <v>3.918</v>
      </c>
      <c r="D4" s="4" t="s">
        <v>743</v>
      </c>
      <c r="E4" s="5" t="s">
        <v>744</v>
      </c>
      <c r="F4" s="4" t="s">
        <v>747</v>
      </c>
    </row>
    <row r="5">
      <c r="A5" s="3">
        <v>45222.50569680556</v>
      </c>
      <c r="B5" s="4">
        <v>1622.0</v>
      </c>
      <c r="C5" s="4">
        <v>2.83</v>
      </c>
      <c r="D5" s="5" t="s">
        <v>748</v>
      </c>
      <c r="E5" s="5" t="s">
        <v>749</v>
      </c>
    </row>
    <row r="6">
      <c r="A6" s="3">
        <v>45222.546728472225</v>
      </c>
      <c r="B6" s="4">
        <v>13.0</v>
      </c>
      <c r="C6" s="4">
        <v>3.69</v>
      </c>
      <c r="D6" s="5" t="s">
        <v>752</v>
      </c>
      <c r="E6" s="5" t="s">
        <v>754</v>
      </c>
    </row>
    <row r="7">
      <c r="A7" s="3">
        <v>45222.61376071759</v>
      </c>
      <c r="B7" s="4">
        <v>1653.0</v>
      </c>
      <c r="C7" s="4">
        <v>3.6</v>
      </c>
      <c r="D7" s="4" t="s">
        <v>755</v>
      </c>
      <c r="E7" s="5" t="s">
        <v>756</v>
      </c>
    </row>
    <row r="8">
      <c r="A8" s="3">
        <v>45222.6217253125</v>
      </c>
      <c r="B8" s="4">
        <v>1564.0</v>
      </c>
      <c r="C8" s="4">
        <v>3.538</v>
      </c>
      <c r="D8" s="5" t="s">
        <v>758</v>
      </c>
      <c r="E8" s="5" t="s">
        <v>761</v>
      </c>
    </row>
    <row r="9">
      <c r="A9" s="3">
        <v>45223.57713443287</v>
      </c>
      <c r="B9" s="4">
        <v>1625.0</v>
      </c>
      <c r="C9" s="4">
        <v>3.0</v>
      </c>
      <c r="D9" s="5" t="s">
        <v>762</v>
      </c>
      <c r="E9" s="5" t="s">
        <v>764</v>
      </c>
    </row>
    <row r="10">
      <c r="A10" s="3">
        <v>45224.38643321759</v>
      </c>
      <c r="B10" s="4">
        <v>1592.0</v>
      </c>
      <c r="C10" s="4">
        <v>3.695</v>
      </c>
      <c r="D10" s="5" t="s">
        <v>765</v>
      </c>
      <c r="E10" s="5" t="s">
        <v>767</v>
      </c>
    </row>
    <row r="11">
      <c r="A11" s="3">
        <v>45224.42166385417</v>
      </c>
      <c r="B11" s="4">
        <v>1621.0</v>
      </c>
      <c r="C11" s="4">
        <v>4.0</v>
      </c>
      <c r="D11" s="5" t="s">
        <v>768</v>
      </c>
      <c r="E11" s="5" t="s">
        <v>770</v>
      </c>
    </row>
    <row r="12">
      <c r="A12" s="3">
        <v>45225.61569648148</v>
      </c>
      <c r="B12" s="4">
        <v>1624.0</v>
      </c>
      <c r="C12" s="4">
        <v>3.168</v>
      </c>
      <c r="D12" s="5" t="s">
        <v>771</v>
      </c>
      <c r="E12" s="5" t="s">
        <v>773</v>
      </c>
    </row>
    <row r="13">
      <c r="A13" s="3">
        <v>45225.65878453704</v>
      </c>
      <c r="B13" s="4">
        <v>1627.0</v>
      </c>
      <c r="C13" s="4">
        <v>3.085</v>
      </c>
      <c r="D13" s="5" t="s">
        <v>775</v>
      </c>
      <c r="E13" s="5" t="s">
        <v>777</v>
      </c>
    </row>
    <row r="14">
      <c r="A14" s="3">
        <v>45225.70763236111</v>
      </c>
      <c r="B14" s="4">
        <v>4.0</v>
      </c>
      <c r="C14" s="4">
        <v>3.556</v>
      </c>
      <c r="D14" s="4" t="s">
        <v>779</v>
      </c>
      <c r="E14" s="5" t="s">
        <v>780</v>
      </c>
    </row>
    <row r="15">
      <c r="A15" s="3">
        <v>45226.41611482639</v>
      </c>
      <c r="B15" s="4">
        <v>2.0</v>
      </c>
      <c r="C15" s="4">
        <v>4.0</v>
      </c>
      <c r="D15" s="5" t="s">
        <v>782</v>
      </c>
      <c r="E15" s="5" t="s">
        <v>783</v>
      </c>
      <c r="F15" s="4" t="s">
        <v>785</v>
      </c>
    </row>
    <row r="16">
      <c r="A16" s="3">
        <v>45226.43150091435</v>
      </c>
      <c r="B16" s="4">
        <v>1597.0</v>
      </c>
      <c r="C16" s="4">
        <v>2.35</v>
      </c>
      <c r="D16" s="5" t="s">
        <v>786</v>
      </c>
      <c r="E16" s="5" t="s">
        <v>787</v>
      </c>
      <c r="F16" s="4" t="s">
        <v>789</v>
      </c>
    </row>
    <row r="17">
      <c r="A17" s="3">
        <v>45226.44807513889</v>
      </c>
      <c r="B17" s="4">
        <v>1618.0</v>
      </c>
      <c r="C17" s="4">
        <v>3.312</v>
      </c>
      <c r="D17" s="5" t="s">
        <v>790</v>
      </c>
      <c r="E17" s="5" t="s">
        <v>792</v>
      </c>
    </row>
    <row r="18">
      <c r="A18" s="3">
        <v>45226.44936796297</v>
      </c>
      <c r="B18" s="4">
        <v>1605.0</v>
      </c>
      <c r="C18" s="4">
        <v>3.2</v>
      </c>
      <c r="D18" s="5" t="s">
        <v>795</v>
      </c>
      <c r="E18" s="5" t="s">
        <v>797</v>
      </c>
      <c r="F18" s="4" t="s">
        <v>499</v>
      </c>
    </row>
    <row r="19">
      <c r="A19" s="3">
        <v>45226.454811574076</v>
      </c>
      <c r="B19" s="4">
        <v>17.0</v>
      </c>
      <c r="C19" s="4">
        <v>3.0</v>
      </c>
      <c r="D19" s="4" t="s">
        <v>798</v>
      </c>
      <c r="E19" s="5" t="s">
        <v>799</v>
      </c>
      <c r="F19" s="4" t="s">
        <v>151</v>
      </c>
    </row>
    <row r="20">
      <c r="A20" s="3">
        <v>45226.46156539352</v>
      </c>
      <c r="B20" s="4">
        <v>1648.0</v>
      </c>
      <c r="C20" s="4">
        <v>3.9</v>
      </c>
      <c r="D20" s="5" t="s">
        <v>802</v>
      </c>
      <c r="E20" s="5" t="s">
        <v>804</v>
      </c>
    </row>
    <row r="21">
      <c r="A21" s="3">
        <v>45226.463142939814</v>
      </c>
      <c r="B21" s="4">
        <v>1652.0</v>
      </c>
      <c r="C21" s="4">
        <v>2.98</v>
      </c>
      <c r="D21" s="4" t="s">
        <v>805</v>
      </c>
      <c r="E21" s="5" t="s">
        <v>806</v>
      </c>
    </row>
    <row r="22">
      <c r="A22" s="3">
        <v>45226.46830934028</v>
      </c>
      <c r="B22" s="4">
        <v>1615.0</v>
      </c>
      <c r="C22" s="4">
        <v>4.0</v>
      </c>
      <c r="D22" s="5" t="s">
        <v>808</v>
      </c>
      <c r="E22" s="5" t="s">
        <v>810</v>
      </c>
    </row>
    <row r="23">
      <c r="A23" s="3">
        <v>45226.47373974537</v>
      </c>
      <c r="B23" s="4">
        <v>1647.0</v>
      </c>
      <c r="C23" s="4">
        <v>3.294</v>
      </c>
      <c r="D23" s="5" t="s">
        <v>811</v>
      </c>
      <c r="E23" s="5" t="s">
        <v>813</v>
      </c>
    </row>
    <row r="24">
      <c r="A24" s="3">
        <v>45226.47776435185</v>
      </c>
      <c r="B24" s="4">
        <v>1631.0</v>
      </c>
      <c r="C24" s="4">
        <v>3.4</v>
      </c>
      <c r="D24" s="5" t="s">
        <v>815</v>
      </c>
      <c r="E24" s="5" t="s">
        <v>816</v>
      </c>
    </row>
    <row r="25">
      <c r="A25" s="3">
        <v>45226.4940084375</v>
      </c>
      <c r="B25" s="4">
        <v>1595.0</v>
      </c>
      <c r="C25" s="4">
        <v>3.332</v>
      </c>
      <c r="D25" s="4" t="s">
        <v>818</v>
      </c>
      <c r="E25" s="5" t="s">
        <v>819</v>
      </c>
    </row>
    <row r="26">
      <c r="A26" s="3">
        <v>45226.50713466435</v>
      </c>
      <c r="B26" s="4">
        <v>1643.0</v>
      </c>
      <c r="C26" s="4">
        <v>2.714</v>
      </c>
      <c r="D26" s="5" t="s">
        <v>821</v>
      </c>
      <c r="E26" s="5" t="s">
        <v>823</v>
      </c>
    </row>
    <row r="27">
      <c r="A27" s="3">
        <v>45226.50930425926</v>
      </c>
      <c r="B27" s="4">
        <v>16.0</v>
      </c>
      <c r="C27" s="4">
        <v>3.61</v>
      </c>
      <c r="D27" s="5" t="s">
        <v>825</v>
      </c>
      <c r="E27" s="5" t="s">
        <v>826</v>
      </c>
    </row>
    <row r="28">
      <c r="A28" s="3">
        <v>45226.52174655093</v>
      </c>
      <c r="B28" s="4">
        <v>1620.0</v>
      </c>
      <c r="C28" s="4">
        <v>3.5</v>
      </c>
      <c r="D28" s="5" t="s">
        <v>828</v>
      </c>
      <c r="E28" s="5" t="s">
        <v>829</v>
      </c>
      <c r="F28" s="4" t="s">
        <v>831</v>
      </c>
    </row>
    <row r="29">
      <c r="A29" s="3">
        <v>45226.58585900463</v>
      </c>
      <c r="B29" s="4">
        <v>1645.0</v>
      </c>
      <c r="C29" s="4">
        <v>3.6675</v>
      </c>
      <c r="D29" s="5" t="s">
        <v>832</v>
      </c>
      <c r="E29" s="5" t="s">
        <v>833</v>
      </c>
    </row>
    <row r="30">
      <c r="A30" s="3">
        <v>45226.64503313658</v>
      </c>
      <c r="B30" s="4">
        <v>1654.0</v>
      </c>
      <c r="C30" s="4">
        <v>3.25</v>
      </c>
      <c r="D30" s="5" t="s">
        <v>835</v>
      </c>
      <c r="E30" s="5" t="s">
        <v>838</v>
      </c>
    </row>
    <row r="31">
      <c r="A31" s="3">
        <v>45226.64861020833</v>
      </c>
      <c r="B31" s="4">
        <v>1646.0</v>
      </c>
      <c r="C31" s="4">
        <v>2.561</v>
      </c>
      <c r="D31" s="5" t="s">
        <v>840</v>
      </c>
      <c r="E31" s="5" t="s">
        <v>842</v>
      </c>
    </row>
    <row r="32">
      <c r="A32" s="3">
        <v>45226.65714826389</v>
      </c>
      <c r="B32" s="4">
        <v>9.0</v>
      </c>
      <c r="C32" s="4">
        <v>3.884</v>
      </c>
      <c r="D32" s="4" t="s">
        <v>843</v>
      </c>
      <c r="E32" s="5" t="s">
        <v>844</v>
      </c>
      <c r="F32" s="4" t="s">
        <v>846</v>
      </c>
    </row>
    <row r="33">
      <c r="A33" s="3">
        <v>45226.66999170139</v>
      </c>
      <c r="B33" s="4">
        <v>1608.0</v>
      </c>
      <c r="C33" s="4">
        <v>3.498</v>
      </c>
      <c r="D33" s="5" t="s">
        <v>847</v>
      </c>
      <c r="E33" s="5" t="s">
        <v>849</v>
      </c>
    </row>
    <row r="34">
      <c r="A34" s="3">
        <v>45226.704535682875</v>
      </c>
      <c r="B34" s="4">
        <v>1594.0</v>
      </c>
      <c r="C34" s="4">
        <v>3.5</v>
      </c>
      <c r="D34" s="5" t="s">
        <v>851</v>
      </c>
      <c r="E34" s="5" t="s">
        <v>854</v>
      </c>
    </row>
    <row r="35">
      <c r="A35" s="3">
        <v>45226.71895126157</v>
      </c>
      <c r="B35" s="4">
        <v>1596.0</v>
      </c>
      <c r="C35" s="4">
        <v>3.88</v>
      </c>
      <c r="D35" s="5" t="s">
        <v>856</v>
      </c>
      <c r="E35" s="5" t="s">
        <v>858</v>
      </c>
    </row>
    <row r="36">
      <c r="A36" s="3">
        <v>45226.725629803244</v>
      </c>
      <c r="B36" s="4">
        <v>1599.0</v>
      </c>
      <c r="C36" s="4">
        <v>3.0</v>
      </c>
      <c r="D36" s="4" t="s">
        <v>860</v>
      </c>
      <c r="E36" s="5" t="s">
        <v>861</v>
      </c>
    </row>
    <row r="37">
      <c r="A37" s="3">
        <v>45226.72763743055</v>
      </c>
      <c r="B37" s="4">
        <v>1644.0</v>
      </c>
      <c r="C37" s="4">
        <v>3.09</v>
      </c>
      <c r="D37" s="5" t="s">
        <v>864</v>
      </c>
      <c r="E37" s="5" t="s">
        <v>867</v>
      </c>
      <c r="F37" s="4" t="s">
        <v>870</v>
      </c>
    </row>
    <row r="38">
      <c r="A38" s="3">
        <v>45226.727898067125</v>
      </c>
      <c r="B38" s="4">
        <v>1640.0</v>
      </c>
      <c r="C38" s="4">
        <v>3.538</v>
      </c>
      <c r="D38" s="5" t="s">
        <v>872</v>
      </c>
      <c r="E38" s="5" t="s">
        <v>874</v>
      </c>
    </row>
    <row r="39">
      <c r="A39" s="3">
        <v>45226.841963680556</v>
      </c>
      <c r="B39" s="4">
        <v>1630.0</v>
      </c>
      <c r="C39" s="4">
        <v>3.068</v>
      </c>
      <c r="D39" s="5" t="s">
        <v>876</v>
      </c>
      <c r="E39" s="5" t="s">
        <v>883</v>
      </c>
    </row>
    <row r="40">
      <c r="A40" s="3">
        <v>45226.84346866898</v>
      </c>
      <c r="B40" s="4">
        <v>13.0</v>
      </c>
      <c r="C40" s="4">
        <v>3.825</v>
      </c>
      <c r="D40" s="4" t="s">
        <v>884</v>
      </c>
      <c r="E40" s="5" t="s">
        <v>885</v>
      </c>
    </row>
    <row r="41">
      <c r="A41" s="3">
        <v>45227.37970881944</v>
      </c>
      <c r="B41" s="4">
        <v>18.0</v>
      </c>
      <c r="C41" s="4">
        <v>3.0</v>
      </c>
      <c r="D41" s="5" t="s">
        <v>886</v>
      </c>
      <c r="E41" s="5" t="s">
        <v>887</v>
      </c>
      <c r="F41" s="4" t="s">
        <v>888</v>
      </c>
    </row>
    <row r="42">
      <c r="A42" s="3">
        <v>45227.43725387732</v>
      </c>
      <c r="B42" s="4">
        <v>1623.0</v>
      </c>
      <c r="C42" s="4">
        <v>3.625</v>
      </c>
      <c r="D42" s="5" t="s">
        <v>889</v>
      </c>
      <c r="E42" s="5" t="s">
        <v>890</v>
      </c>
    </row>
    <row r="43">
      <c r="A43" s="3">
        <v>45227.47403038194</v>
      </c>
      <c r="B43" s="4">
        <v>16.0</v>
      </c>
      <c r="C43" s="4">
        <v>2.29</v>
      </c>
      <c r="D43" s="5" t="s">
        <v>891</v>
      </c>
      <c r="E43" s="5" t="s">
        <v>892</v>
      </c>
      <c r="F43" s="4" t="s">
        <v>893</v>
      </c>
    </row>
    <row r="44">
      <c r="A44" s="3">
        <v>45227.49265027778</v>
      </c>
      <c r="B44" s="4">
        <v>1656.0</v>
      </c>
      <c r="C44" s="4">
        <v>3.29</v>
      </c>
      <c r="D44" s="4" t="s">
        <v>894</v>
      </c>
      <c r="E44" s="5" t="s">
        <v>895</v>
      </c>
    </row>
    <row r="45">
      <c r="A45" s="3">
        <v>45227.5273437963</v>
      </c>
      <c r="B45" s="4">
        <v>1628.0</v>
      </c>
      <c r="C45" s="4">
        <v>4.0</v>
      </c>
      <c r="D45" s="5" t="s">
        <v>896</v>
      </c>
      <c r="E45" s="5" t="s">
        <v>897</v>
      </c>
      <c r="F45" s="4" t="s">
        <v>902</v>
      </c>
    </row>
    <row r="46">
      <c r="A46" s="3">
        <v>45227.83124443287</v>
      </c>
      <c r="B46" s="4">
        <v>1641.0</v>
      </c>
      <c r="C46" s="4">
        <v>1.868</v>
      </c>
      <c r="D46" s="5" t="s">
        <v>903</v>
      </c>
      <c r="E46" s="5" t="s">
        <v>906</v>
      </c>
      <c r="F46" s="4" t="s">
        <v>908</v>
      </c>
    </row>
    <row r="47">
      <c r="A47" s="3">
        <v>45227.92895927084</v>
      </c>
      <c r="B47" s="4">
        <v>1598.0</v>
      </c>
      <c r="C47" s="4">
        <v>3.5</v>
      </c>
      <c r="D47" s="5" t="s">
        <v>909</v>
      </c>
      <c r="E47" s="5" t="s">
        <v>911</v>
      </c>
    </row>
    <row r="48">
      <c r="A48" s="3">
        <v>45227.92918415509</v>
      </c>
      <c r="B48" s="4">
        <v>1635.0</v>
      </c>
      <c r="C48" s="4">
        <v>2.5</v>
      </c>
      <c r="D48" s="5" t="s">
        <v>913</v>
      </c>
      <c r="E48" s="5" t="s">
        <v>915</v>
      </c>
    </row>
    <row r="49">
      <c r="A49" s="3">
        <v>45227.92961553241</v>
      </c>
      <c r="B49" s="4">
        <v>11.0</v>
      </c>
      <c r="C49" s="4">
        <v>1.4</v>
      </c>
      <c r="D49" s="4" t="s">
        <v>917</v>
      </c>
      <c r="E49" s="5" t="s">
        <v>918</v>
      </c>
    </row>
    <row r="50">
      <c r="A50" s="3">
        <v>45228.449955185184</v>
      </c>
      <c r="B50" s="4">
        <v>1.0</v>
      </c>
      <c r="C50" s="4">
        <v>2.66</v>
      </c>
      <c r="D50" s="5" t="s">
        <v>922</v>
      </c>
      <c r="E50" s="5" t="s">
        <v>925</v>
      </c>
    </row>
    <row r="51">
      <c r="A51" s="3">
        <v>45228.62810509259</v>
      </c>
      <c r="B51" s="4">
        <v>8.0</v>
      </c>
      <c r="C51" s="4">
        <v>3.2</v>
      </c>
      <c r="D51" s="5" t="s">
        <v>928</v>
      </c>
      <c r="E51" s="5" t="s">
        <v>931</v>
      </c>
      <c r="F51" s="4" t="s">
        <v>933</v>
      </c>
    </row>
    <row r="52">
      <c r="A52" s="3">
        <v>45228.65045667824</v>
      </c>
      <c r="B52" s="4">
        <v>7.0</v>
      </c>
      <c r="C52" s="4">
        <v>3.25</v>
      </c>
      <c r="D52" s="5" t="s">
        <v>934</v>
      </c>
      <c r="E52" s="5" t="s">
        <v>936</v>
      </c>
      <c r="F52" s="4" t="s">
        <v>939</v>
      </c>
    </row>
    <row r="53">
      <c r="A53" s="3">
        <v>45228.704386805555</v>
      </c>
      <c r="B53" s="4">
        <v>1591.0</v>
      </c>
      <c r="C53" s="4">
        <v>4.0</v>
      </c>
      <c r="D53" s="5" t="s">
        <v>940</v>
      </c>
      <c r="E53" s="5" t="s">
        <v>942</v>
      </c>
    </row>
    <row r="54">
      <c r="A54" s="3">
        <v>45228.75035707176</v>
      </c>
      <c r="B54" s="4">
        <v>5.0</v>
      </c>
      <c r="C54" s="4">
        <v>3.821</v>
      </c>
      <c r="D54" s="5" t="s">
        <v>944</v>
      </c>
      <c r="E54" s="5" t="s">
        <v>947</v>
      </c>
    </row>
    <row r="55">
      <c r="A55" s="3">
        <v>45229.45572412037</v>
      </c>
      <c r="B55" s="4">
        <v>1642.0</v>
      </c>
      <c r="C55" s="4">
        <v>3.4</v>
      </c>
      <c r="D55" s="5" t="s">
        <v>949</v>
      </c>
      <c r="E55" s="5" t="s">
        <v>952</v>
      </c>
    </row>
    <row r="56">
      <c r="A56" s="3">
        <v>45229.513147210644</v>
      </c>
      <c r="B56" s="4">
        <v>1630.0</v>
      </c>
      <c r="C56" s="4">
        <v>3.068</v>
      </c>
      <c r="D56" s="5" t="s">
        <v>954</v>
      </c>
      <c r="E56" s="5" t="s">
        <v>956</v>
      </c>
      <c r="F56" s="4" t="s">
        <v>958</v>
      </c>
    </row>
    <row r="57">
      <c r="A57" s="3">
        <v>45229.54687774305</v>
      </c>
      <c r="B57" s="4">
        <v>1602.0</v>
      </c>
      <c r="C57" s="4">
        <v>3.918</v>
      </c>
      <c r="D57" s="5" t="s">
        <v>959</v>
      </c>
      <c r="E57" s="5" t="s">
        <v>962</v>
      </c>
    </row>
    <row r="58">
      <c r="A58" s="3">
        <v>45229.551453761575</v>
      </c>
      <c r="B58" s="4">
        <v>1650.0</v>
      </c>
      <c r="C58" s="4">
        <v>3.165</v>
      </c>
      <c r="D58" s="5" t="s">
        <v>966</v>
      </c>
      <c r="E58" s="5" t="s">
        <v>968</v>
      </c>
    </row>
    <row r="59">
      <c r="A59" s="3">
        <v>45229.615382731485</v>
      </c>
      <c r="B59" s="4">
        <v>1655.0</v>
      </c>
      <c r="C59" s="4">
        <v>2.89</v>
      </c>
      <c r="D59" s="4" t="s">
        <v>971</v>
      </c>
      <c r="E59" s="5" t="s">
        <v>972</v>
      </c>
    </row>
    <row r="60">
      <c r="A60" s="3">
        <v>45229.67316756945</v>
      </c>
      <c r="B60" s="4">
        <v>10.0</v>
      </c>
      <c r="C60" s="4">
        <v>3.2</v>
      </c>
      <c r="D60" s="5" t="s">
        <v>975</v>
      </c>
      <c r="E60" s="5" t="s">
        <v>977</v>
      </c>
      <c r="F60" s="4" t="s">
        <v>169</v>
      </c>
    </row>
    <row r="65">
      <c r="B65" s="4">
        <v>6.0</v>
      </c>
      <c r="C65" s="4">
        <v>2.292</v>
      </c>
    </row>
    <row r="66">
      <c r="B66" s="4">
        <v>1634.0</v>
      </c>
      <c r="C66" s="4">
        <v>4.0</v>
      </c>
    </row>
    <row r="67">
      <c r="B67" s="4">
        <v>1613.0</v>
      </c>
      <c r="C67" s="4">
        <v>3.5</v>
      </c>
    </row>
    <row r="68">
      <c r="B68" s="4">
        <v>1616.0</v>
      </c>
      <c r="C68" s="4">
        <v>3.534</v>
      </c>
    </row>
    <row r="69">
      <c r="B69" s="4">
        <v>1636.0</v>
      </c>
      <c r="C69" s="4">
        <v>3.1</v>
      </c>
    </row>
    <row r="70">
      <c r="B70" s="4">
        <v>1617.0</v>
      </c>
      <c r="C70" s="4">
        <v>2.0</v>
      </c>
    </row>
    <row r="71">
      <c r="B71" s="4">
        <v>1577.0</v>
      </c>
      <c r="C71" s="4">
        <v>2.0</v>
      </c>
    </row>
    <row r="72">
      <c r="B72" s="4">
        <v>18.0</v>
      </c>
      <c r="C72" s="4">
        <v>3.0</v>
      </c>
    </row>
    <row r="73">
      <c r="B73" s="4">
        <v>14.0</v>
      </c>
      <c r="C73" s="4">
        <v>3.85</v>
      </c>
    </row>
  </sheetData>
  <hyperlinks>
    <hyperlink r:id="rId1" ref="E2"/>
    <hyperlink r:id="rId2" ref="D3"/>
    <hyperlink r:id="rId3" ref="E3"/>
    <hyperlink r:id="rId4" ref="E4"/>
    <hyperlink r:id="rId5" ref="D5"/>
    <hyperlink r:id="rId6" ref="E5"/>
    <hyperlink r:id="rId7" ref="D6"/>
    <hyperlink r:id="rId8" ref="E6"/>
    <hyperlink r:id="rId9" ref="E7"/>
    <hyperlink r:id="rId10" ref="D8"/>
    <hyperlink r:id="rId11" ref="E8"/>
    <hyperlink r:id="rId12" ref="D9"/>
    <hyperlink r:id="rId13" ref="E9"/>
    <hyperlink r:id="rId14" ref="D10"/>
    <hyperlink r:id="rId15" ref="E10"/>
    <hyperlink r:id="rId16" ref="D11"/>
    <hyperlink r:id="rId17" ref="E11"/>
    <hyperlink r:id="rId18" ref="D12"/>
    <hyperlink r:id="rId19" ref="E12"/>
    <hyperlink r:id="rId20" ref="D13"/>
    <hyperlink r:id="rId21" ref="E13"/>
    <hyperlink r:id="rId22" ref="E14"/>
    <hyperlink r:id="rId23" ref="D15"/>
    <hyperlink r:id="rId24" ref="E15"/>
    <hyperlink r:id="rId25" ref="D16"/>
    <hyperlink r:id="rId26" ref="E16"/>
    <hyperlink r:id="rId27" ref="D17"/>
    <hyperlink r:id="rId28" ref="E17"/>
    <hyperlink r:id="rId29" ref="D18"/>
    <hyperlink r:id="rId30" ref="E18"/>
    <hyperlink r:id="rId31" ref="E19"/>
    <hyperlink r:id="rId32" ref="D20"/>
    <hyperlink r:id="rId33" ref="E20"/>
    <hyperlink r:id="rId34" ref="E21"/>
    <hyperlink r:id="rId35" ref="D22"/>
    <hyperlink r:id="rId36" ref="E22"/>
    <hyperlink r:id="rId37" ref="D23"/>
    <hyperlink r:id="rId38" ref="E23"/>
    <hyperlink r:id="rId39" ref="D24"/>
    <hyperlink r:id="rId40" ref="E24"/>
    <hyperlink r:id="rId41" ref="E25"/>
    <hyperlink r:id="rId42" ref="D26"/>
    <hyperlink r:id="rId43" ref="E26"/>
    <hyperlink r:id="rId44" ref="D27"/>
    <hyperlink r:id="rId45" ref="E27"/>
    <hyperlink r:id="rId46" ref="D28"/>
    <hyperlink r:id="rId47" ref="E28"/>
    <hyperlink r:id="rId48" ref="D29"/>
    <hyperlink r:id="rId49" ref="E29"/>
    <hyperlink r:id="rId50" ref="D30"/>
    <hyperlink r:id="rId51" ref="E30"/>
    <hyperlink r:id="rId52" ref="D31"/>
    <hyperlink r:id="rId53" ref="E31"/>
    <hyperlink r:id="rId54" ref="E32"/>
    <hyperlink r:id="rId55" ref="D33"/>
    <hyperlink r:id="rId56" ref="E33"/>
    <hyperlink r:id="rId57" ref="D34"/>
    <hyperlink r:id="rId58" ref="E34"/>
    <hyperlink r:id="rId59" ref="D35"/>
    <hyperlink r:id="rId60" ref="E35"/>
    <hyperlink r:id="rId61" ref="E36"/>
    <hyperlink r:id="rId62" ref="D37"/>
    <hyperlink r:id="rId63" ref="E37"/>
    <hyperlink r:id="rId64" ref="D38"/>
    <hyperlink r:id="rId65" ref="E38"/>
    <hyperlink r:id="rId66" ref="D39"/>
    <hyperlink r:id="rId67" ref="E39"/>
    <hyperlink r:id="rId68" ref="E40"/>
    <hyperlink r:id="rId69" ref="D41"/>
    <hyperlink r:id="rId70" ref="E41"/>
    <hyperlink r:id="rId71" ref="D42"/>
    <hyperlink r:id="rId72" ref="E42"/>
    <hyperlink r:id="rId73" ref="D43"/>
    <hyperlink r:id="rId74" ref="E43"/>
    <hyperlink r:id="rId75" ref="E44"/>
    <hyperlink r:id="rId76" ref="D45"/>
    <hyperlink r:id="rId77" ref="E45"/>
    <hyperlink r:id="rId78" ref="D46"/>
    <hyperlink r:id="rId79" ref="E46"/>
    <hyperlink r:id="rId80" ref="D47"/>
    <hyperlink r:id="rId81" ref="E47"/>
    <hyperlink r:id="rId82" ref="D48"/>
    <hyperlink r:id="rId83" ref="E48"/>
    <hyperlink r:id="rId84" ref="E49"/>
    <hyperlink r:id="rId85" ref="D50"/>
    <hyperlink r:id="rId86" ref="E50"/>
    <hyperlink r:id="rId87" ref="D51"/>
    <hyperlink r:id="rId88" ref="E51"/>
    <hyperlink r:id="rId89" ref="D52"/>
    <hyperlink r:id="rId90" ref="E52"/>
    <hyperlink r:id="rId91" ref="D53"/>
    <hyperlink r:id="rId92" ref="E53"/>
    <hyperlink r:id="rId93" ref="D54"/>
    <hyperlink r:id="rId94" ref="E54"/>
    <hyperlink r:id="rId95" ref="D55"/>
    <hyperlink r:id="rId96" ref="E55"/>
    <hyperlink r:id="rId97" ref="D56"/>
    <hyperlink r:id="rId98" ref="E56"/>
    <hyperlink r:id="rId99" ref="D57"/>
    <hyperlink r:id="rId100" ref="E57"/>
    <hyperlink r:id="rId101" ref="D58"/>
    <hyperlink r:id="rId102" ref="E58"/>
    <hyperlink r:id="rId103" ref="E59"/>
    <hyperlink r:id="rId104" ref="D60"/>
    <hyperlink r:id="rId105" ref="E60"/>
  </hyperlinks>
  <drawing r:id="rId10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0</v>
      </c>
      <c r="B1" s="2" t="s">
        <v>1</v>
      </c>
      <c r="C1" s="2" t="s">
        <v>2</v>
      </c>
      <c r="D1" s="2" t="s">
        <v>419</v>
      </c>
      <c r="E1" s="2" t="s">
        <v>898</v>
      </c>
      <c r="F1" s="2" t="s">
        <v>899</v>
      </c>
    </row>
    <row r="2">
      <c r="A2" s="3">
        <v>45235.79626584491</v>
      </c>
      <c r="B2" s="4">
        <v>1639.0</v>
      </c>
      <c r="C2" s="4">
        <v>3.918</v>
      </c>
      <c r="D2" s="4" t="s">
        <v>900</v>
      </c>
      <c r="E2" s="5" t="s">
        <v>901</v>
      </c>
      <c r="F2" s="4" t="s">
        <v>904</v>
      </c>
    </row>
    <row r="3">
      <c r="A3" s="3">
        <v>45236.39114570602</v>
      </c>
      <c r="B3" s="4">
        <v>1564.0</v>
      </c>
      <c r="C3" s="4">
        <v>3.538</v>
      </c>
      <c r="D3" s="5" t="s">
        <v>905</v>
      </c>
      <c r="E3" s="5" t="s">
        <v>907</v>
      </c>
    </row>
    <row r="4">
      <c r="A4" s="3">
        <v>45236.39681431713</v>
      </c>
      <c r="B4" s="4">
        <v>13.0</v>
      </c>
      <c r="C4" s="4">
        <v>3.642</v>
      </c>
      <c r="D4" s="5" t="s">
        <v>910</v>
      </c>
      <c r="E4" s="5" t="s">
        <v>912</v>
      </c>
    </row>
    <row r="5">
      <c r="A5" s="3">
        <v>45236.39730149305</v>
      </c>
      <c r="B5" s="4">
        <v>1591.0</v>
      </c>
      <c r="C5" s="4">
        <v>4.0</v>
      </c>
      <c r="D5" s="5" t="s">
        <v>914</v>
      </c>
      <c r="E5" s="5" t="s">
        <v>916</v>
      </c>
      <c r="F5" s="4" t="s">
        <v>919</v>
      </c>
    </row>
    <row r="6">
      <c r="A6" s="3">
        <v>45236.43945428241</v>
      </c>
      <c r="B6" s="4">
        <v>3.0</v>
      </c>
      <c r="C6" s="4">
        <v>3.5</v>
      </c>
      <c r="D6" s="4" t="s">
        <v>920</v>
      </c>
      <c r="E6" s="5" t="s">
        <v>921</v>
      </c>
    </row>
    <row r="7">
      <c r="A7" s="3">
        <v>45236.44035655093</v>
      </c>
      <c r="B7" s="4">
        <v>3.0</v>
      </c>
      <c r="C7" s="4">
        <v>3.5</v>
      </c>
      <c r="D7" s="4" t="s">
        <v>923</v>
      </c>
      <c r="E7" s="5" t="s">
        <v>924</v>
      </c>
    </row>
    <row r="8">
      <c r="A8" s="3">
        <v>45236.5180931713</v>
      </c>
      <c r="B8" s="4">
        <v>1653.0</v>
      </c>
      <c r="C8" s="4">
        <v>3.6</v>
      </c>
      <c r="D8" s="4" t="s">
        <v>926</v>
      </c>
      <c r="E8" s="5" t="s">
        <v>927</v>
      </c>
    </row>
    <row r="9">
      <c r="A9" s="3">
        <v>45236.57427402778</v>
      </c>
      <c r="B9" s="4">
        <v>1653.0</v>
      </c>
      <c r="C9" s="4">
        <v>3.6</v>
      </c>
      <c r="D9" s="4" t="s">
        <v>929</v>
      </c>
      <c r="E9" s="5" t="s">
        <v>930</v>
      </c>
    </row>
    <row r="10">
      <c r="A10" s="3">
        <v>45236.57470079861</v>
      </c>
      <c r="B10" s="4">
        <v>1621.0</v>
      </c>
      <c r="C10" s="4">
        <v>4.0</v>
      </c>
      <c r="D10" s="5" t="s">
        <v>932</v>
      </c>
      <c r="E10" s="5" t="s">
        <v>935</v>
      </c>
    </row>
    <row r="11">
      <c r="A11" s="3">
        <v>45236.59516354167</v>
      </c>
      <c r="B11" s="4">
        <v>4.0</v>
      </c>
      <c r="C11" s="4">
        <v>3.623</v>
      </c>
      <c r="D11" s="4" t="s">
        <v>937</v>
      </c>
      <c r="E11" s="5" t="s">
        <v>938</v>
      </c>
    </row>
    <row r="12">
      <c r="A12" s="3">
        <v>45236.865128425925</v>
      </c>
      <c r="B12" s="4">
        <v>2.0</v>
      </c>
      <c r="C12" s="4">
        <v>4.0</v>
      </c>
      <c r="D12" s="5" t="s">
        <v>941</v>
      </c>
      <c r="E12" s="5" t="s">
        <v>943</v>
      </c>
      <c r="F12" s="4" t="s">
        <v>945</v>
      </c>
    </row>
    <row r="13">
      <c r="A13" s="3">
        <v>45237.426897129626</v>
      </c>
      <c r="B13" s="4">
        <v>10.0</v>
      </c>
      <c r="C13" s="4">
        <v>3.266</v>
      </c>
      <c r="D13" s="5" t="s">
        <v>946</v>
      </c>
      <c r="E13" s="5" t="s">
        <v>948</v>
      </c>
      <c r="F13" s="4" t="s">
        <v>950</v>
      </c>
    </row>
    <row r="14">
      <c r="A14" s="3">
        <v>45237.42751462963</v>
      </c>
      <c r="B14" s="4">
        <v>1.0</v>
      </c>
      <c r="C14" s="4">
        <v>2.4</v>
      </c>
      <c r="D14" s="5" t="s">
        <v>951</v>
      </c>
      <c r="E14" s="5" t="s">
        <v>953</v>
      </c>
    </row>
    <row r="15">
      <c r="A15" s="3">
        <v>45237.42779296296</v>
      </c>
      <c r="B15" s="4">
        <v>7.0</v>
      </c>
      <c r="C15" s="4">
        <v>3.2</v>
      </c>
      <c r="D15" s="5" t="s">
        <v>955</v>
      </c>
      <c r="E15" s="5" t="s">
        <v>957</v>
      </c>
      <c r="F15" s="4" t="s">
        <v>960</v>
      </c>
    </row>
    <row r="16">
      <c r="A16" s="3">
        <v>45237.45823226852</v>
      </c>
      <c r="B16" s="4">
        <v>5.0</v>
      </c>
      <c r="C16" s="4">
        <v>3.8</v>
      </c>
      <c r="D16" s="5" t="s">
        <v>961</v>
      </c>
      <c r="E16" s="5" t="s">
        <v>963</v>
      </c>
      <c r="F16" s="4" t="s">
        <v>964</v>
      </c>
    </row>
    <row r="17">
      <c r="A17" s="3">
        <v>45237.6659665162</v>
      </c>
      <c r="B17" s="4">
        <v>8.0</v>
      </c>
      <c r="C17" s="4">
        <v>3.25</v>
      </c>
      <c r="D17" s="5" t="s">
        <v>965</v>
      </c>
      <c r="E17" s="5" t="s">
        <v>967</v>
      </c>
    </row>
    <row r="18">
      <c r="A18" s="3">
        <v>45237.7562515625</v>
      </c>
      <c r="B18" s="4">
        <v>1637.0</v>
      </c>
      <c r="C18" s="4">
        <v>3.868</v>
      </c>
      <c r="D18" s="5" t="s">
        <v>969</v>
      </c>
      <c r="E18" s="5" t="s">
        <v>970</v>
      </c>
      <c r="F18" s="4" t="s">
        <v>973</v>
      </c>
    </row>
    <row r="19">
      <c r="A19" s="3">
        <v>45237.87516967593</v>
      </c>
      <c r="B19" s="4">
        <v>1618.0</v>
      </c>
      <c r="C19" s="4">
        <v>3.374</v>
      </c>
      <c r="D19" s="5" t="s">
        <v>974</v>
      </c>
      <c r="E19" s="5" t="s">
        <v>976</v>
      </c>
    </row>
    <row r="20">
      <c r="A20" s="3">
        <v>45237.93339640046</v>
      </c>
      <c r="B20" s="4">
        <v>9.0</v>
      </c>
      <c r="C20" s="4">
        <v>3.785</v>
      </c>
      <c r="D20" s="4" t="s">
        <v>978</v>
      </c>
      <c r="E20" s="5" t="s">
        <v>979</v>
      </c>
      <c r="F20" s="4" t="s">
        <v>980</v>
      </c>
    </row>
    <row r="21">
      <c r="A21" s="3">
        <v>45238.39655638889</v>
      </c>
      <c r="B21" s="4">
        <v>6.0</v>
      </c>
      <c r="C21" s="4">
        <v>2.854</v>
      </c>
      <c r="D21" s="5" t="s">
        <v>981</v>
      </c>
      <c r="E21" s="5" t="s">
        <v>982</v>
      </c>
    </row>
    <row r="22">
      <c r="A22" s="3">
        <v>45238.67302914352</v>
      </c>
      <c r="B22" s="4">
        <v>1623.0</v>
      </c>
      <c r="C22" s="4">
        <v>3.625</v>
      </c>
      <c r="D22" s="5" t="s">
        <v>983</v>
      </c>
      <c r="E22" s="5" t="s">
        <v>984</v>
      </c>
    </row>
    <row r="23">
      <c r="A23" s="3">
        <v>45238.73268269676</v>
      </c>
      <c r="B23" s="4">
        <v>1630.0</v>
      </c>
      <c r="C23" s="4">
        <v>3.334</v>
      </c>
      <c r="D23" s="5" t="s">
        <v>985</v>
      </c>
      <c r="E23" s="5" t="s">
        <v>986</v>
      </c>
    </row>
    <row r="24">
      <c r="A24" s="3">
        <v>45239.33234033565</v>
      </c>
      <c r="B24" s="4">
        <v>1596.0</v>
      </c>
      <c r="C24" s="4">
        <v>3.929</v>
      </c>
      <c r="D24" s="5" t="s">
        <v>987</v>
      </c>
      <c r="E24" s="5" t="s">
        <v>988</v>
      </c>
    </row>
    <row r="25">
      <c r="A25" s="3">
        <v>45239.65183023148</v>
      </c>
      <c r="B25" s="4">
        <v>1625.0</v>
      </c>
      <c r="C25" s="4">
        <v>3.083</v>
      </c>
      <c r="D25" s="5" t="s">
        <v>989</v>
      </c>
      <c r="E25" s="5" t="s">
        <v>990</v>
      </c>
    </row>
    <row r="26">
      <c r="A26" s="3">
        <v>45240.1628121875</v>
      </c>
      <c r="B26" s="4">
        <v>1608.0</v>
      </c>
      <c r="C26" s="4">
        <v>3.583</v>
      </c>
      <c r="D26" s="5" t="s">
        <v>991</v>
      </c>
      <c r="E26" s="5" t="s">
        <v>992</v>
      </c>
    </row>
    <row r="27">
      <c r="A27" s="3">
        <v>45240.37642555556</v>
      </c>
      <c r="B27" s="4">
        <v>1595.0</v>
      </c>
      <c r="C27" s="4">
        <v>2.932</v>
      </c>
      <c r="D27" s="4" t="s">
        <v>993</v>
      </c>
      <c r="E27" s="5" t="s">
        <v>994</v>
      </c>
      <c r="F27" s="4" t="s">
        <v>995</v>
      </c>
    </row>
    <row r="28">
      <c r="A28" s="3">
        <v>45240.397376712965</v>
      </c>
      <c r="B28" s="4">
        <v>1592.0</v>
      </c>
      <c r="C28" s="4">
        <v>3.69</v>
      </c>
      <c r="D28" s="5" t="s">
        <v>996</v>
      </c>
      <c r="E28" s="5" t="s">
        <v>997</v>
      </c>
      <c r="F28" s="4" t="s">
        <v>998</v>
      </c>
    </row>
    <row r="29">
      <c r="A29" s="3">
        <v>45240.42149596065</v>
      </c>
      <c r="B29" s="4">
        <v>1647.0</v>
      </c>
      <c r="C29" s="4">
        <v>3.352</v>
      </c>
      <c r="D29" s="5" t="s">
        <v>1000</v>
      </c>
      <c r="E29" s="5" t="s">
        <v>1003</v>
      </c>
    </row>
    <row r="30">
      <c r="A30" s="3">
        <v>45240.45809966435</v>
      </c>
      <c r="B30" s="4">
        <v>1597.0</v>
      </c>
      <c r="C30" s="4">
        <v>2.23</v>
      </c>
      <c r="D30" s="5" t="s">
        <v>1005</v>
      </c>
      <c r="E30" s="5" t="s">
        <v>1007</v>
      </c>
      <c r="F30" s="4" t="s">
        <v>1009</v>
      </c>
    </row>
    <row r="31">
      <c r="A31" s="3">
        <v>45240.51616216435</v>
      </c>
      <c r="B31" s="4">
        <v>1650.0</v>
      </c>
      <c r="C31" s="4">
        <v>3.33</v>
      </c>
      <c r="D31" s="5" t="s">
        <v>1010</v>
      </c>
      <c r="E31" s="5" t="s">
        <v>1012</v>
      </c>
    </row>
    <row r="32">
      <c r="A32" s="3">
        <v>45240.52010568287</v>
      </c>
      <c r="B32" s="4">
        <v>1646.0</v>
      </c>
      <c r="C32" s="4">
        <v>2.499</v>
      </c>
      <c r="D32" s="5" t="s">
        <v>1015</v>
      </c>
      <c r="E32" s="5" t="s">
        <v>1018</v>
      </c>
    </row>
    <row r="33">
      <c r="A33" s="3">
        <v>45240.566484780094</v>
      </c>
      <c r="B33" s="4">
        <v>1643.0</v>
      </c>
      <c r="C33" s="4">
        <v>2.882</v>
      </c>
      <c r="D33" s="5" t="s">
        <v>1020</v>
      </c>
      <c r="E33" s="5" t="s">
        <v>1022</v>
      </c>
    </row>
    <row r="34">
      <c r="A34" s="3">
        <v>45240.5671956713</v>
      </c>
      <c r="B34" s="4">
        <v>1642.0</v>
      </c>
      <c r="C34" s="4">
        <v>3.4</v>
      </c>
      <c r="D34" s="5" t="s">
        <v>1025</v>
      </c>
      <c r="E34" s="5" t="s">
        <v>1029</v>
      </c>
    </row>
    <row r="35">
      <c r="A35" s="3">
        <v>45240.571081284725</v>
      </c>
      <c r="B35" s="4">
        <v>1654.0</v>
      </c>
      <c r="C35" s="4">
        <v>3.168</v>
      </c>
      <c r="D35" s="5" t="s">
        <v>1032</v>
      </c>
      <c r="E35" s="5" t="s">
        <v>1034</v>
      </c>
    </row>
    <row r="36">
      <c r="A36" s="3">
        <v>45240.602601203704</v>
      </c>
      <c r="B36" s="4">
        <v>1655.0</v>
      </c>
      <c r="C36" s="4">
        <v>2.89</v>
      </c>
      <c r="D36" s="5" t="s">
        <v>1036</v>
      </c>
      <c r="E36" s="5" t="s">
        <v>1038</v>
      </c>
    </row>
    <row r="37">
      <c r="A37" s="3">
        <v>45240.63775288194</v>
      </c>
      <c r="B37" s="4">
        <v>1645.0</v>
      </c>
      <c r="C37" s="4">
        <v>3.6675</v>
      </c>
      <c r="D37" s="5" t="s">
        <v>1041</v>
      </c>
      <c r="E37" s="5" t="s">
        <v>1043</v>
      </c>
      <c r="F37" s="4" t="s">
        <v>1046</v>
      </c>
    </row>
    <row r="38">
      <c r="A38" s="3">
        <v>45240.64624189815</v>
      </c>
      <c r="B38" s="4">
        <v>1635.0</v>
      </c>
      <c r="C38" s="4">
        <v>2.668</v>
      </c>
      <c r="D38" s="5" t="s">
        <v>1047</v>
      </c>
      <c r="E38" s="5" t="s">
        <v>1049</v>
      </c>
      <c r="F38" s="4" t="s">
        <v>1050</v>
      </c>
    </row>
    <row r="39">
      <c r="A39" s="3">
        <v>45240.646717662035</v>
      </c>
      <c r="B39" s="4">
        <v>1615.0</v>
      </c>
      <c r="C39" s="4">
        <v>4.0</v>
      </c>
      <c r="D39" s="5" t="s">
        <v>1052</v>
      </c>
      <c r="E39" s="4" t="s">
        <v>1054</v>
      </c>
    </row>
    <row r="40">
      <c r="A40" s="3">
        <v>45240.6472896875</v>
      </c>
      <c r="B40" s="4">
        <v>1599.0</v>
      </c>
      <c r="C40" s="4">
        <v>2.86</v>
      </c>
      <c r="D40" s="4" t="s">
        <v>1055</v>
      </c>
      <c r="E40" s="5" t="s">
        <v>1056</v>
      </c>
    </row>
    <row r="41">
      <c r="A41" s="3">
        <v>45240.65177157408</v>
      </c>
      <c r="B41" s="4">
        <v>1602.0</v>
      </c>
      <c r="C41" s="4">
        <v>3.83</v>
      </c>
      <c r="D41" s="5" t="s">
        <v>1058</v>
      </c>
      <c r="E41" s="5" t="s">
        <v>1059</v>
      </c>
    </row>
    <row r="42">
      <c r="A42" s="3">
        <v>45240.660804803236</v>
      </c>
      <c r="B42" s="4">
        <v>1648.0</v>
      </c>
      <c r="C42" s="4">
        <v>3.8</v>
      </c>
      <c r="D42" s="5" t="s">
        <v>1061</v>
      </c>
      <c r="E42" s="5" t="s">
        <v>1063</v>
      </c>
    </row>
    <row r="43">
      <c r="A43" s="3">
        <v>45240.66285517361</v>
      </c>
      <c r="B43" s="4">
        <v>1594.0</v>
      </c>
      <c r="C43" s="4">
        <v>3.6</v>
      </c>
      <c r="D43" s="5" t="s">
        <v>1065</v>
      </c>
      <c r="E43" s="5" t="s">
        <v>1068</v>
      </c>
    </row>
    <row r="44">
      <c r="A44" s="3">
        <v>45240.68585353009</v>
      </c>
      <c r="B44" s="4">
        <v>1613.0</v>
      </c>
      <c r="C44" s="4">
        <v>3.534</v>
      </c>
      <c r="D44" s="5" t="s">
        <v>1070</v>
      </c>
      <c r="E44" s="5" t="s">
        <v>1071</v>
      </c>
    </row>
    <row r="45">
      <c r="A45" s="3">
        <v>45240.68886649306</v>
      </c>
      <c r="B45" s="4">
        <v>1605.0</v>
      </c>
      <c r="C45" s="4">
        <v>3.2</v>
      </c>
      <c r="D45" s="5" t="s">
        <v>1074</v>
      </c>
      <c r="E45" s="5" t="s">
        <v>1076</v>
      </c>
      <c r="F45" s="4" t="s">
        <v>499</v>
      </c>
    </row>
    <row r="46">
      <c r="A46" s="3">
        <v>45240.69202659722</v>
      </c>
      <c r="B46" s="4">
        <v>1641.0</v>
      </c>
      <c r="C46" s="4">
        <v>2.181</v>
      </c>
      <c r="D46" s="5" t="s">
        <v>1077</v>
      </c>
      <c r="E46" s="5" t="s">
        <v>1079</v>
      </c>
    </row>
    <row r="47">
      <c r="A47" s="3">
        <v>45240.70021846065</v>
      </c>
      <c r="B47" s="4">
        <v>1644.0</v>
      </c>
      <c r="C47" s="4">
        <v>3.585</v>
      </c>
      <c r="D47" s="5" t="s">
        <v>1080</v>
      </c>
      <c r="E47" s="5" t="s">
        <v>1082</v>
      </c>
      <c r="F47" s="4" t="s">
        <v>1084</v>
      </c>
    </row>
    <row r="48">
      <c r="A48" s="3">
        <v>45240.73226917824</v>
      </c>
      <c r="B48" s="4">
        <v>1577.0</v>
      </c>
      <c r="C48" s="4">
        <v>3.47</v>
      </c>
      <c r="D48" s="5" t="s">
        <v>1085</v>
      </c>
      <c r="E48" s="5" t="s">
        <v>1087</v>
      </c>
    </row>
    <row r="49">
      <c r="A49" s="3">
        <v>45240.73539362269</v>
      </c>
      <c r="B49" s="4">
        <v>1627.0</v>
      </c>
      <c r="C49" s="4">
        <v>3.083</v>
      </c>
      <c r="D49" s="5" t="s">
        <v>1089</v>
      </c>
      <c r="E49" s="5" t="s">
        <v>1091</v>
      </c>
      <c r="F49" s="4" t="s">
        <v>1093</v>
      </c>
    </row>
    <row r="50">
      <c r="A50" s="3">
        <v>45240.76946966435</v>
      </c>
      <c r="B50" s="4">
        <v>1652.0</v>
      </c>
      <c r="C50" s="4">
        <v>2.793</v>
      </c>
      <c r="D50" s="4" t="s">
        <v>1094</v>
      </c>
      <c r="E50" s="5" t="s">
        <v>1095</v>
      </c>
    </row>
    <row r="51">
      <c r="A51" s="3">
        <v>45240.78521289352</v>
      </c>
      <c r="B51" s="4">
        <v>1620.0</v>
      </c>
      <c r="C51" s="4">
        <v>3.75</v>
      </c>
      <c r="D51" s="5" t="s">
        <v>1097</v>
      </c>
      <c r="E51" s="5" t="s">
        <v>1099</v>
      </c>
      <c r="F51" s="4" t="s">
        <v>1100</v>
      </c>
    </row>
    <row r="52">
      <c r="A52" s="3">
        <v>45241.7325177662</v>
      </c>
      <c r="B52" s="4">
        <v>1628.0</v>
      </c>
      <c r="C52" s="4">
        <v>3.845</v>
      </c>
      <c r="D52" s="5" t="s">
        <v>1101</v>
      </c>
      <c r="E52" s="5" t="s">
        <v>1103</v>
      </c>
    </row>
    <row r="53">
      <c r="A53" s="3">
        <v>45241.957087766204</v>
      </c>
      <c r="B53" s="4">
        <v>1598.0</v>
      </c>
      <c r="C53" s="4">
        <v>3.856</v>
      </c>
      <c r="D53" s="5" t="s">
        <v>1106</v>
      </c>
      <c r="E53" s="5" t="s">
        <v>1108</v>
      </c>
    </row>
    <row r="54">
      <c r="A54" s="3">
        <v>45242.58258903935</v>
      </c>
      <c r="B54" s="4">
        <v>1624.0</v>
      </c>
      <c r="C54" s="4">
        <v>2.75</v>
      </c>
      <c r="D54" s="5" t="s">
        <v>1110</v>
      </c>
      <c r="E54" s="5" t="s">
        <v>1112</v>
      </c>
      <c r="F54" s="4" t="s">
        <v>1114</v>
      </c>
    </row>
    <row r="55">
      <c r="A55" s="3">
        <v>45242.984198819446</v>
      </c>
      <c r="B55" s="4">
        <v>1640.0</v>
      </c>
      <c r="C55" s="4">
        <v>3.538</v>
      </c>
      <c r="D55" s="4" t="s">
        <v>1115</v>
      </c>
      <c r="E55" s="5" t="s">
        <v>1116</v>
      </c>
      <c r="F55" s="4" t="s">
        <v>1118</v>
      </c>
    </row>
    <row r="60">
      <c r="B60" s="4">
        <v>1634.0</v>
      </c>
      <c r="C60" s="4">
        <v>4.0</v>
      </c>
    </row>
    <row r="61">
      <c r="B61" s="4">
        <v>1622.0</v>
      </c>
      <c r="C61" s="4">
        <v>2.918</v>
      </c>
    </row>
    <row r="62">
      <c r="B62" s="4">
        <v>1616.0</v>
      </c>
      <c r="C62" s="4">
        <v>2.0</v>
      </c>
      <c r="F62" s="4" t="s">
        <v>1121</v>
      </c>
    </row>
    <row r="63">
      <c r="B63" s="4">
        <v>1617.0</v>
      </c>
      <c r="C63" s="4">
        <v>2.0</v>
      </c>
      <c r="F63" s="4" t="s">
        <v>1122</v>
      </c>
    </row>
    <row r="64">
      <c r="B64" s="4">
        <v>1631.0</v>
      </c>
      <c r="C64" s="4">
        <v>2.0</v>
      </c>
      <c r="F64" s="4" t="s">
        <v>1123</v>
      </c>
    </row>
    <row r="65">
      <c r="B65" s="4">
        <v>1636.0</v>
      </c>
      <c r="C65" s="4">
        <v>2.0</v>
      </c>
      <c r="F65" s="4" t="s">
        <v>880</v>
      </c>
    </row>
    <row r="66">
      <c r="B66" s="4">
        <v>1656.0</v>
      </c>
      <c r="C66" s="4">
        <v>2.0</v>
      </c>
      <c r="F66" s="4" t="s">
        <v>882</v>
      </c>
    </row>
  </sheetData>
  <hyperlinks>
    <hyperlink r:id="rId1" ref="E2"/>
    <hyperlink r:id="rId2" ref="D3"/>
    <hyperlink r:id="rId3" ref="E3"/>
    <hyperlink r:id="rId4" ref="D4"/>
    <hyperlink r:id="rId5" ref="E4"/>
    <hyperlink r:id="rId6" ref="D5"/>
    <hyperlink r:id="rId7" ref="E5"/>
    <hyperlink r:id="rId8" ref="E6"/>
    <hyperlink r:id="rId9" ref="E7"/>
    <hyperlink r:id="rId10" ref="E8"/>
    <hyperlink r:id="rId11" ref="E9"/>
    <hyperlink r:id="rId12" ref="D10"/>
    <hyperlink r:id="rId13" ref="E10"/>
    <hyperlink r:id="rId14" ref="E11"/>
    <hyperlink r:id="rId15" ref="D12"/>
    <hyperlink r:id="rId16" ref="E12"/>
    <hyperlink r:id="rId17" ref="D13"/>
    <hyperlink r:id="rId18" ref="E13"/>
    <hyperlink r:id="rId19" ref="D14"/>
    <hyperlink r:id="rId20" ref="E14"/>
    <hyperlink r:id="rId21" ref="D15"/>
    <hyperlink r:id="rId22" ref="E15"/>
    <hyperlink r:id="rId23" ref="D16"/>
    <hyperlink r:id="rId24" ref="E16"/>
    <hyperlink r:id="rId25" ref="D17"/>
    <hyperlink r:id="rId26" ref="E17"/>
    <hyperlink r:id="rId27" ref="D18"/>
    <hyperlink r:id="rId28" ref="E18"/>
    <hyperlink r:id="rId29" ref="D19"/>
    <hyperlink r:id="rId30" ref="E19"/>
    <hyperlink r:id="rId31" ref="E20"/>
    <hyperlink r:id="rId32" ref="D21"/>
    <hyperlink r:id="rId33" ref="E21"/>
    <hyperlink r:id="rId34" ref="D22"/>
    <hyperlink r:id="rId35" ref="E22"/>
    <hyperlink r:id="rId36" ref="D23"/>
    <hyperlink r:id="rId37" ref="E23"/>
    <hyperlink r:id="rId38" ref="D24"/>
    <hyperlink r:id="rId39" ref="E24"/>
    <hyperlink r:id="rId40" ref="D25"/>
    <hyperlink r:id="rId41" ref="E25"/>
    <hyperlink r:id="rId42" ref="D26"/>
    <hyperlink r:id="rId43" ref="E26"/>
    <hyperlink r:id="rId44" ref="E27"/>
    <hyperlink r:id="rId45" ref="D28"/>
    <hyperlink r:id="rId46" ref="E28"/>
    <hyperlink r:id="rId47" ref="D29"/>
    <hyperlink r:id="rId48" ref="E29"/>
    <hyperlink r:id="rId49" ref="D30"/>
    <hyperlink r:id="rId50" ref="E30"/>
    <hyperlink r:id="rId51" ref="D31"/>
    <hyperlink r:id="rId52" ref="E31"/>
    <hyperlink r:id="rId53" ref="D32"/>
    <hyperlink r:id="rId54" ref="E32"/>
    <hyperlink r:id="rId55" ref="D33"/>
    <hyperlink r:id="rId56" ref="E33"/>
    <hyperlink r:id="rId57" ref="D34"/>
    <hyperlink r:id="rId58" ref="E34"/>
    <hyperlink r:id="rId59" ref="D35"/>
    <hyperlink r:id="rId60" ref="E35"/>
    <hyperlink r:id="rId61" ref="D36"/>
    <hyperlink r:id="rId62" ref="E36"/>
    <hyperlink r:id="rId63" ref="D37"/>
    <hyperlink r:id="rId64" ref="E37"/>
    <hyperlink r:id="rId65" ref="D38"/>
    <hyperlink r:id="rId66" ref="E38"/>
    <hyperlink r:id="rId67" ref="D39"/>
    <hyperlink r:id="rId68" ref="E40"/>
    <hyperlink r:id="rId69" ref="D41"/>
    <hyperlink r:id="rId70" ref="E41"/>
    <hyperlink r:id="rId71" ref="D42"/>
    <hyperlink r:id="rId72" ref="E42"/>
    <hyperlink r:id="rId73" ref="D43"/>
    <hyperlink r:id="rId74" ref="E43"/>
    <hyperlink r:id="rId75" ref="D44"/>
    <hyperlink r:id="rId76" ref="E44"/>
    <hyperlink r:id="rId77" ref="D45"/>
    <hyperlink r:id="rId78" ref="E45"/>
    <hyperlink r:id="rId79" ref="D46"/>
    <hyperlink r:id="rId80" ref="E46"/>
    <hyperlink r:id="rId81" ref="D47"/>
    <hyperlink r:id="rId82" ref="E47"/>
    <hyperlink r:id="rId83" ref="D48"/>
    <hyperlink r:id="rId84" ref="E48"/>
    <hyperlink r:id="rId85" ref="D49"/>
    <hyperlink r:id="rId86" ref="E49"/>
    <hyperlink r:id="rId87" ref="E50"/>
    <hyperlink r:id="rId88" ref="D51"/>
    <hyperlink r:id="rId89" ref="E51"/>
    <hyperlink r:id="rId90" ref="D52"/>
    <hyperlink r:id="rId91" ref="E52"/>
    <hyperlink r:id="rId92" ref="D53"/>
    <hyperlink r:id="rId93" ref="E53"/>
    <hyperlink r:id="rId94" ref="D54"/>
    <hyperlink r:id="rId95" ref="E54"/>
    <hyperlink r:id="rId96" ref="E55"/>
  </hyperlinks>
  <drawing r:id="rId9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0</v>
      </c>
      <c r="B1" s="2" t="s">
        <v>1</v>
      </c>
      <c r="C1" s="2" t="s">
        <v>2</v>
      </c>
      <c r="D1" s="2" t="s">
        <v>419</v>
      </c>
      <c r="E1" s="2" t="s">
        <v>898</v>
      </c>
      <c r="F1" s="2" t="s">
        <v>999</v>
      </c>
    </row>
    <row r="2">
      <c r="A2" s="3">
        <v>45256.69423435185</v>
      </c>
      <c r="B2" s="4">
        <v>1639.0</v>
      </c>
      <c r="C2" s="4">
        <v>3.833</v>
      </c>
      <c r="D2" s="4" t="s">
        <v>1001</v>
      </c>
      <c r="E2" s="5" t="s">
        <v>1002</v>
      </c>
    </row>
    <row r="3">
      <c r="A3" s="3">
        <v>45256.701126064814</v>
      </c>
      <c r="B3" s="4">
        <v>1634.0</v>
      </c>
      <c r="C3" s="4">
        <v>4.0</v>
      </c>
      <c r="D3" s="5" t="s">
        <v>1004</v>
      </c>
      <c r="E3" s="5" t="s">
        <v>1006</v>
      </c>
    </row>
    <row r="4">
      <c r="A4" s="3">
        <v>45257.40918729166</v>
      </c>
      <c r="B4" s="4">
        <v>1618.0</v>
      </c>
      <c r="C4" s="4">
        <v>3.534</v>
      </c>
      <c r="D4" s="5" t="s">
        <v>1008</v>
      </c>
      <c r="E4" s="5" t="s">
        <v>1011</v>
      </c>
    </row>
    <row r="5">
      <c r="A5" s="3">
        <v>45257.41023224537</v>
      </c>
      <c r="B5" s="4">
        <v>1615.0</v>
      </c>
      <c r="C5" s="4">
        <v>4.0</v>
      </c>
      <c r="D5" s="4" t="s">
        <v>1013</v>
      </c>
      <c r="E5" s="5" t="s">
        <v>1014</v>
      </c>
    </row>
    <row r="6">
      <c r="A6" s="3">
        <v>45257.435349120366</v>
      </c>
      <c r="B6" s="4">
        <v>1621.0</v>
      </c>
      <c r="C6" s="4">
        <v>4.0</v>
      </c>
      <c r="D6" s="5" t="s">
        <v>1016</v>
      </c>
      <c r="E6" s="5" t="s">
        <v>1017</v>
      </c>
    </row>
    <row r="7">
      <c r="A7" s="3">
        <v>45257.449520891205</v>
      </c>
      <c r="B7" s="4">
        <v>1564.0</v>
      </c>
      <c r="C7" s="4">
        <v>3.744</v>
      </c>
      <c r="D7" s="5" t="s">
        <v>1019</v>
      </c>
      <c r="E7" s="5" t="s">
        <v>1021</v>
      </c>
    </row>
    <row r="8">
      <c r="A8" s="3">
        <v>45257.645575601855</v>
      </c>
      <c r="B8" s="4">
        <v>1653.0</v>
      </c>
      <c r="C8" s="4">
        <v>3.365</v>
      </c>
      <c r="D8" s="4" t="s">
        <v>1023</v>
      </c>
      <c r="E8" s="5" t="s">
        <v>1024</v>
      </c>
    </row>
    <row r="9">
      <c r="A9" s="3">
        <v>45257.652096770835</v>
      </c>
      <c r="B9" s="4">
        <v>1660.0</v>
      </c>
      <c r="C9" s="4">
        <v>3.4</v>
      </c>
      <c r="D9" s="4" t="s">
        <v>1026</v>
      </c>
      <c r="E9" s="5" t="s">
        <v>1027</v>
      </c>
      <c r="F9" s="4" t="s">
        <v>296</v>
      </c>
    </row>
    <row r="10">
      <c r="A10" s="3">
        <v>45258.50231668982</v>
      </c>
      <c r="B10" s="4">
        <v>1599.0</v>
      </c>
      <c r="C10" s="4">
        <v>2.626</v>
      </c>
      <c r="D10" s="4" t="s">
        <v>1028</v>
      </c>
      <c r="E10" s="5" t="s">
        <v>1030</v>
      </c>
    </row>
    <row r="11">
      <c r="A11" s="3">
        <v>45258.50703987268</v>
      </c>
      <c r="B11" s="4">
        <v>1658.0</v>
      </c>
      <c r="C11" s="4">
        <v>3.64</v>
      </c>
      <c r="D11" s="5" t="s">
        <v>1031</v>
      </c>
      <c r="E11" s="5" t="s">
        <v>1033</v>
      </c>
    </row>
    <row r="12">
      <c r="A12" s="3">
        <v>45258.52130432871</v>
      </c>
      <c r="B12" s="4">
        <v>1591.0</v>
      </c>
      <c r="C12" s="4">
        <v>4.0</v>
      </c>
      <c r="D12" s="5" t="s">
        <v>1035</v>
      </c>
      <c r="E12" s="5" t="s">
        <v>1037</v>
      </c>
      <c r="F12" s="4" t="s">
        <v>1039</v>
      </c>
    </row>
    <row r="13">
      <c r="A13" s="3">
        <v>45259.424444178236</v>
      </c>
      <c r="B13" s="4">
        <v>1618.0</v>
      </c>
      <c r="C13" s="4">
        <v>3.563</v>
      </c>
      <c r="D13" s="5" t="s">
        <v>1040</v>
      </c>
      <c r="E13" s="5" t="s">
        <v>1042</v>
      </c>
      <c r="F13" s="4" t="s">
        <v>1044</v>
      </c>
    </row>
    <row r="14">
      <c r="A14" s="3">
        <v>45259.426687071755</v>
      </c>
      <c r="B14" s="4">
        <v>1625.0</v>
      </c>
      <c r="C14" s="4">
        <v>3.083</v>
      </c>
      <c r="D14" s="5" t="s">
        <v>1045</v>
      </c>
      <c r="E14" s="5" t="s">
        <v>1048</v>
      </c>
    </row>
    <row r="15">
      <c r="A15" s="3">
        <v>45259.437689513885</v>
      </c>
      <c r="B15" s="4">
        <v>1602.0</v>
      </c>
      <c r="C15" s="4">
        <v>3.75</v>
      </c>
      <c r="D15" s="5" t="s">
        <v>1051</v>
      </c>
      <c r="E15" s="5" t="s">
        <v>1053</v>
      </c>
    </row>
    <row r="16">
      <c r="A16" s="3">
        <v>45259.46098270833</v>
      </c>
      <c r="B16" s="4">
        <v>1637.0</v>
      </c>
      <c r="C16" s="4">
        <v>4.0</v>
      </c>
      <c r="D16" s="5" t="s">
        <v>1057</v>
      </c>
      <c r="E16" s="5" t="s">
        <v>1060</v>
      </c>
    </row>
    <row r="17">
      <c r="A17" s="3">
        <v>45259.77494831018</v>
      </c>
      <c r="B17" s="4">
        <v>1657.0</v>
      </c>
      <c r="C17" s="4">
        <v>4.0</v>
      </c>
      <c r="D17" s="5" t="s">
        <v>1062</v>
      </c>
      <c r="E17" s="5" t="s">
        <v>1064</v>
      </c>
      <c r="F17" s="4" t="s">
        <v>1066</v>
      </c>
    </row>
    <row r="18">
      <c r="A18" s="3">
        <v>45260.61292644676</v>
      </c>
      <c r="B18" s="4">
        <v>1597.0</v>
      </c>
      <c r="C18" s="4">
        <v>2.58</v>
      </c>
      <c r="D18" s="5" t="s">
        <v>1067</v>
      </c>
      <c r="E18" s="5" t="s">
        <v>1069</v>
      </c>
      <c r="F18" s="4" t="s">
        <v>1072</v>
      </c>
    </row>
    <row r="19">
      <c r="A19" s="3">
        <v>45260.870248356485</v>
      </c>
      <c r="B19" s="4">
        <v>1637.0</v>
      </c>
      <c r="C19" s="4">
        <v>3.918</v>
      </c>
      <c r="D19" s="5" t="s">
        <v>1073</v>
      </c>
      <c r="E19" s="5" t="s">
        <v>1075</v>
      </c>
      <c r="F19" s="4" t="s">
        <v>973</v>
      </c>
    </row>
    <row r="20">
      <c r="A20" s="3">
        <v>45260.874133460646</v>
      </c>
      <c r="B20" s="4">
        <v>1663.0</v>
      </c>
      <c r="C20" s="4">
        <v>3.132</v>
      </c>
      <c r="D20" s="5" t="s">
        <v>1078</v>
      </c>
      <c r="E20" s="5" t="s">
        <v>1081</v>
      </c>
      <c r="F20" s="4" t="s">
        <v>169</v>
      </c>
    </row>
    <row r="21">
      <c r="A21" s="3">
        <v>45261.52150887731</v>
      </c>
      <c r="B21" s="4">
        <v>1647.0</v>
      </c>
      <c r="C21" s="4">
        <v>3.471</v>
      </c>
      <c r="D21" s="5" t="s">
        <v>1083</v>
      </c>
      <c r="E21" s="5" t="s">
        <v>1086</v>
      </c>
    </row>
    <row r="22">
      <c r="A22" s="3">
        <v>45261.56231680556</v>
      </c>
      <c r="B22" s="4">
        <v>1655.0</v>
      </c>
      <c r="C22" s="4">
        <v>2.89</v>
      </c>
      <c r="D22" s="5" t="s">
        <v>1088</v>
      </c>
      <c r="E22" s="5" t="s">
        <v>1090</v>
      </c>
    </row>
    <row r="23">
      <c r="A23" s="3">
        <v>45261.56245914352</v>
      </c>
      <c r="B23" s="4">
        <v>1645.0</v>
      </c>
      <c r="C23" s="4">
        <v>3.258</v>
      </c>
      <c r="D23" s="5" t="s">
        <v>1092</v>
      </c>
      <c r="E23" s="5" t="s">
        <v>1096</v>
      </c>
    </row>
    <row r="24">
      <c r="A24" s="3">
        <v>45261.56278175926</v>
      </c>
      <c r="B24" s="4">
        <v>1641.0</v>
      </c>
      <c r="C24" s="4">
        <v>2.488</v>
      </c>
      <c r="D24" s="5" t="s">
        <v>1098</v>
      </c>
      <c r="E24" s="5" t="s">
        <v>1102</v>
      </c>
      <c r="F24" s="4" t="s">
        <v>1104</v>
      </c>
    </row>
    <row r="25">
      <c r="A25" s="3">
        <v>45261.56391577546</v>
      </c>
      <c r="B25" s="4">
        <v>1627.0</v>
      </c>
      <c r="C25" s="4">
        <v>3.0</v>
      </c>
      <c r="D25" s="5" t="s">
        <v>1105</v>
      </c>
      <c r="E25" s="5" t="s">
        <v>1107</v>
      </c>
    </row>
    <row r="26">
      <c r="A26" s="3">
        <v>45261.56405393519</v>
      </c>
      <c r="B26" s="4">
        <v>1623.0</v>
      </c>
      <c r="C26" s="4">
        <v>3.687</v>
      </c>
      <c r="D26" s="5" t="s">
        <v>1109</v>
      </c>
      <c r="E26" s="5" t="s">
        <v>1111</v>
      </c>
    </row>
    <row r="27">
      <c r="A27" s="3">
        <v>45261.567687476854</v>
      </c>
      <c r="B27" s="4">
        <v>1650.0</v>
      </c>
      <c r="C27" s="4">
        <v>3.083</v>
      </c>
      <c r="D27" s="5" t="s">
        <v>1113</v>
      </c>
      <c r="E27" s="5" t="s">
        <v>1117</v>
      </c>
    </row>
    <row r="28">
      <c r="A28" s="3">
        <v>45261.57021320602</v>
      </c>
      <c r="B28" s="4">
        <v>1659.0</v>
      </c>
      <c r="C28" s="4">
        <v>3.667</v>
      </c>
      <c r="D28" s="4" t="s">
        <v>1119</v>
      </c>
      <c r="E28" s="5" t="s">
        <v>1120</v>
      </c>
    </row>
    <row r="29">
      <c r="A29" s="3">
        <v>45261.573072430554</v>
      </c>
      <c r="B29" s="4">
        <v>1620.0</v>
      </c>
      <c r="C29" s="4">
        <v>3.668</v>
      </c>
      <c r="D29" s="4" t="s">
        <v>1124</v>
      </c>
      <c r="E29" s="5" t="s">
        <v>1125</v>
      </c>
      <c r="F29" s="4" t="s">
        <v>1126</v>
      </c>
    </row>
    <row r="30">
      <c r="A30" s="3">
        <v>45261.58445635416</v>
      </c>
      <c r="B30" s="4">
        <v>1613.0</v>
      </c>
      <c r="C30" s="4">
        <v>3.53</v>
      </c>
      <c r="D30" s="5" t="s">
        <v>1127</v>
      </c>
      <c r="E30" s="5" t="s">
        <v>1128</v>
      </c>
    </row>
    <row r="31">
      <c r="A31" s="3">
        <v>45261.60038290509</v>
      </c>
      <c r="B31" s="4">
        <v>1646.0</v>
      </c>
      <c r="C31" s="4">
        <v>2.645</v>
      </c>
      <c r="D31" s="5" t="s">
        <v>1129</v>
      </c>
      <c r="E31" s="5" t="s">
        <v>1130</v>
      </c>
      <c r="F31" s="4" t="s">
        <v>1131</v>
      </c>
    </row>
    <row r="32">
      <c r="A32" s="3">
        <v>45261.60852116898</v>
      </c>
      <c r="B32" s="4">
        <v>1622.0</v>
      </c>
      <c r="C32" s="4">
        <v>2.88</v>
      </c>
      <c r="D32" s="5" t="s">
        <v>1132</v>
      </c>
      <c r="E32" s="4" t="s">
        <v>1133</v>
      </c>
    </row>
    <row r="33">
      <c r="A33" s="3">
        <v>45261.610141516205</v>
      </c>
      <c r="B33" s="4">
        <v>1622.0</v>
      </c>
      <c r="C33" s="4">
        <v>2.88</v>
      </c>
      <c r="D33" s="5" t="s">
        <v>1134</v>
      </c>
      <c r="E33" s="5" t="s">
        <v>1135</v>
      </c>
    </row>
    <row r="34">
      <c r="A34" s="3">
        <v>45261.61496329861</v>
      </c>
      <c r="B34" s="4">
        <v>1640.0</v>
      </c>
      <c r="C34" s="4">
        <v>3.308</v>
      </c>
      <c r="D34" s="4" t="s">
        <v>1136</v>
      </c>
      <c r="E34" s="5" t="s">
        <v>1137</v>
      </c>
    </row>
    <row r="35">
      <c r="A35" s="3">
        <v>45261.61754853009</v>
      </c>
      <c r="B35" s="4">
        <v>1661.0</v>
      </c>
      <c r="C35" s="4">
        <v>3.765</v>
      </c>
      <c r="D35" s="4" t="s">
        <v>1138</v>
      </c>
      <c r="E35" s="5" t="s">
        <v>1139</v>
      </c>
      <c r="F35" s="4" t="s">
        <v>1140</v>
      </c>
    </row>
    <row r="36">
      <c r="A36" s="3">
        <v>45261.62175895833</v>
      </c>
      <c r="B36" s="4">
        <v>1630.0</v>
      </c>
      <c r="C36" s="4">
        <v>3.134</v>
      </c>
      <c r="D36" s="5" t="s">
        <v>1141</v>
      </c>
      <c r="E36" s="5" t="s">
        <v>1142</v>
      </c>
    </row>
    <row r="37">
      <c r="A37" s="3">
        <v>45261.63313685185</v>
      </c>
      <c r="B37" s="4">
        <v>1668.0</v>
      </c>
      <c r="C37" s="4">
        <v>3.65</v>
      </c>
      <c r="D37" s="5" t="s">
        <v>1143</v>
      </c>
      <c r="E37" s="5" t="s">
        <v>1144</v>
      </c>
    </row>
    <row r="38">
      <c r="A38" s="3">
        <v>45261.67535304398</v>
      </c>
      <c r="B38" s="4">
        <v>1654.0</v>
      </c>
      <c r="C38" s="4">
        <v>3.085</v>
      </c>
      <c r="D38" s="5" t="s">
        <v>1145</v>
      </c>
      <c r="E38" s="5" t="s">
        <v>1146</v>
      </c>
    </row>
    <row r="39">
      <c r="A39" s="3">
        <v>45261.69527137731</v>
      </c>
      <c r="B39" s="4">
        <v>1648.0</v>
      </c>
      <c r="C39" s="4">
        <v>3.75</v>
      </c>
      <c r="D39" s="5" t="s">
        <v>1147</v>
      </c>
      <c r="E39" s="5" t="s">
        <v>1148</v>
      </c>
    </row>
    <row r="40">
      <c r="A40" s="3">
        <v>45261.701463125</v>
      </c>
      <c r="B40" s="4">
        <v>1644.0</v>
      </c>
      <c r="C40" s="4">
        <v>3.585</v>
      </c>
      <c r="D40" s="5" t="s">
        <v>1149</v>
      </c>
      <c r="E40" s="5" t="s">
        <v>1150</v>
      </c>
      <c r="F40" s="4" t="s">
        <v>1151</v>
      </c>
    </row>
    <row r="41">
      <c r="A41" s="3">
        <v>45261.70160958334</v>
      </c>
      <c r="B41" s="4">
        <v>1596.0</v>
      </c>
      <c r="C41" s="4">
        <v>3.856</v>
      </c>
      <c r="D41" s="5" t="s">
        <v>1152</v>
      </c>
      <c r="E41" s="5" t="s">
        <v>1153</v>
      </c>
    </row>
    <row r="42">
      <c r="A42" s="3">
        <v>45261.70418881944</v>
      </c>
      <c r="B42" s="4">
        <v>1664.0</v>
      </c>
      <c r="C42" s="4">
        <v>2.715</v>
      </c>
      <c r="D42" s="5" t="s">
        <v>1154</v>
      </c>
      <c r="E42" s="5" t="s">
        <v>1155</v>
      </c>
    </row>
    <row r="43">
      <c r="A43" s="3">
        <v>45261.75503003472</v>
      </c>
      <c r="B43" s="4">
        <v>1662.0</v>
      </c>
      <c r="C43" s="4">
        <v>3.333</v>
      </c>
      <c r="D43" s="5" t="s">
        <v>1156</v>
      </c>
      <c r="E43" s="5" t="s">
        <v>1157</v>
      </c>
      <c r="F43" s="4" t="s">
        <v>1158</v>
      </c>
    </row>
    <row r="44">
      <c r="A44" s="3">
        <v>45261.772887997686</v>
      </c>
      <c r="B44" s="4">
        <v>1628.0</v>
      </c>
      <c r="C44" s="4">
        <v>3.845</v>
      </c>
      <c r="D44" s="5" t="s">
        <v>1159</v>
      </c>
      <c r="E44" s="5" t="s">
        <v>1160</v>
      </c>
    </row>
    <row r="45">
      <c r="A45" s="3">
        <v>45261.77491108797</v>
      </c>
      <c r="B45" s="4">
        <v>1608.0</v>
      </c>
      <c r="C45" s="4">
        <v>3.58</v>
      </c>
      <c r="D45" s="5" t="s">
        <v>1161</v>
      </c>
      <c r="E45" s="5" t="s">
        <v>1162</v>
      </c>
    </row>
    <row r="46">
      <c r="A46" s="3">
        <v>45261.780777465276</v>
      </c>
      <c r="B46" s="4">
        <v>1598.0</v>
      </c>
      <c r="C46" s="4">
        <v>3.786</v>
      </c>
      <c r="D46" s="5" t="s">
        <v>1163</v>
      </c>
      <c r="E46" s="5" t="s">
        <v>1164</v>
      </c>
    </row>
    <row r="47">
      <c r="A47" s="3">
        <v>45262.65882012731</v>
      </c>
      <c r="B47" s="4">
        <v>1605.0</v>
      </c>
      <c r="C47" s="4">
        <v>3.066</v>
      </c>
      <c r="D47" s="5" t="s">
        <v>1165</v>
      </c>
      <c r="E47" s="5" t="s">
        <v>1166</v>
      </c>
      <c r="F47" s="4" t="s">
        <v>1167</v>
      </c>
    </row>
    <row r="48">
      <c r="A48" s="3">
        <v>45263.621682199075</v>
      </c>
      <c r="B48" s="4">
        <v>1656.0</v>
      </c>
      <c r="C48" s="4">
        <v>2.95</v>
      </c>
      <c r="D48" s="4" t="s">
        <v>1168</v>
      </c>
      <c r="E48" s="5" t="s">
        <v>1169</v>
      </c>
    </row>
    <row r="49">
      <c r="A49" s="3">
        <v>45263.631440196754</v>
      </c>
      <c r="B49" s="4">
        <v>1652.0</v>
      </c>
      <c r="C49" s="4">
        <v>2.667</v>
      </c>
      <c r="D49" s="4" t="s">
        <v>1170</v>
      </c>
      <c r="E49" s="5" t="s">
        <v>1171</v>
      </c>
    </row>
    <row r="50">
      <c r="A50" s="3">
        <v>45263.63172908565</v>
      </c>
      <c r="B50" s="4">
        <v>1670.0</v>
      </c>
      <c r="C50" s="4">
        <v>3.195</v>
      </c>
      <c r="D50" s="4" t="s">
        <v>1172</v>
      </c>
      <c r="E50" s="5" t="s">
        <v>1173</v>
      </c>
      <c r="F50" s="4" t="s">
        <v>151</v>
      </c>
    </row>
    <row r="51">
      <c r="A51" s="3">
        <v>45263.64386078704</v>
      </c>
      <c r="B51" s="4">
        <v>1642.0</v>
      </c>
      <c r="C51" s="4">
        <v>3.14</v>
      </c>
      <c r="D51" s="5" t="s">
        <v>1174</v>
      </c>
      <c r="E51" s="5" t="s">
        <v>1175</v>
      </c>
    </row>
    <row r="52">
      <c r="A52" s="3">
        <v>45263.65151267361</v>
      </c>
      <c r="B52" s="4">
        <v>1643.0</v>
      </c>
      <c r="C52" s="4">
        <v>2.882</v>
      </c>
      <c r="D52" s="5" t="s">
        <v>1176</v>
      </c>
      <c r="E52" s="5" t="s">
        <v>1177</v>
      </c>
      <c r="F52" s="4" t="s">
        <v>1178</v>
      </c>
    </row>
    <row r="53">
      <c r="A53" s="3">
        <v>45263.662447800925</v>
      </c>
      <c r="B53" s="4">
        <v>1616.0</v>
      </c>
      <c r="C53" s="4">
        <v>3.335</v>
      </c>
      <c r="D53" s="5" t="s">
        <v>1179</v>
      </c>
      <c r="E53" s="5" t="s">
        <v>1180</v>
      </c>
    </row>
    <row r="54">
      <c r="A54" s="3">
        <v>45263.67514928241</v>
      </c>
      <c r="B54" s="4">
        <v>1666.0</v>
      </c>
      <c r="C54" s="4">
        <v>3.138</v>
      </c>
      <c r="D54" s="5" t="s">
        <v>1181</v>
      </c>
      <c r="E54" s="5" t="s">
        <v>1182</v>
      </c>
      <c r="F54" s="4" t="s">
        <v>939</v>
      </c>
    </row>
    <row r="55">
      <c r="A55" s="3">
        <v>45263.716088761576</v>
      </c>
      <c r="B55" s="4">
        <v>1592.0</v>
      </c>
      <c r="C55" s="4">
        <v>3.69</v>
      </c>
      <c r="D55" s="5" t="s">
        <v>1183</v>
      </c>
      <c r="E55" s="5" t="s">
        <v>1184</v>
      </c>
      <c r="F55" s="4" t="s">
        <v>1185</v>
      </c>
    </row>
    <row r="56">
      <c r="A56" s="3">
        <v>45263.716215</v>
      </c>
      <c r="B56" s="4">
        <v>1624.0</v>
      </c>
      <c r="C56" s="4">
        <v>2.665</v>
      </c>
      <c r="D56" s="5" t="s">
        <v>1186</v>
      </c>
      <c r="E56" s="5" t="s">
        <v>1187</v>
      </c>
    </row>
    <row r="57">
      <c r="A57" s="3">
        <v>45264.62175751157</v>
      </c>
      <c r="B57" s="4">
        <v>1637.0</v>
      </c>
      <c r="C57" s="4">
        <v>4.0</v>
      </c>
      <c r="D57" s="5" t="s">
        <v>1188</v>
      </c>
      <c r="E57" s="5" t="s">
        <v>1189</v>
      </c>
      <c r="F57" s="4" t="s">
        <v>1190</v>
      </c>
    </row>
    <row r="58">
      <c r="A58" s="3">
        <v>45264.623367858796</v>
      </c>
      <c r="B58" s="4">
        <v>1631.0</v>
      </c>
      <c r="C58" s="4">
        <v>2.934</v>
      </c>
      <c r="D58" s="5" t="s">
        <v>1191</v>
      </c>
      <c r="E58" s="5" t="s">
        <v>1192</v>
      </c>
    </row>
    <row r="59">
      <c r="A59" s="3">
        <v>45264.727954016205</v>
      </c>
      <c r="B59" s="4">
        <v>1594.0</v>
      </c>
      <c r="C59" s="4">
        <v>3.5</v>
      </c>
      <c r="D59" s="5" t="s">
        <v>1193</v>
      </c>
      <c r="E59" s="5" t="s">
        <v>1194</v>
      </c>
    </row>
    <row r="65">
      <c r="B65" s="4">
        <v>1636.0</v>
      </c>
      <c r="C65" s="4">
        <v>2.0</v>
      </c>
      <c r="D65" s="4" t="s">
        <v>880</v>
      </c>
    </row>
    <row r="66">
      <c r="B66" s="4">
        <v>1617.0</v>
      </c>
      <c r="C66" s="4">
        <v>2.0</v>
      </c>
      <c r="D66" s="4" t="s">
        <v>879</v>
      </c>
    </row>
    <row r="68">
      <c r="B68" s="4">
        <v>1577.0</v>
      </c>
      <c r="C68" s="4">
        <v>2.0</v>
      </c>
      <c r="D68" s="4" t="s">
        <v>878</v>
      </c>
    </row>
    <row r="69">
      <c r="B69" s="4">
        <v>1594.0</v>
      </c>
      <c r="C69" s="4">
        <v>2.0</v>
      </c>
      <c r="D69" s="4" t="s">
        <v>1195</v>
      </c>
    </row>
    <row r="70">
      <c r="B70" s="4">
        <v>1669.0</v>
      </c>
      <c r="C70" s="4">
        <v>2.0</v>
      </c>
      <c r="D70" s="4" t="s">
        <v>1196</v>
      </c>
    </row>
  </sheetData>
  <hyperlinks>
    <hyperlink r:id="rId1" ref="E2"/>
    <hyperlink r:id="rId2" ref="D3"/>
    <hyperlink r:id="rId3" ref="E3"/>
    <hyperlink r:id="rId4" ref="D4"/>
    <hyperlink r:id="rId5" ref="E4"/>
    <hyperlink r:id="rId6" ref="E5"/>
    <hyperlink r:id="rId7" ref="D6"/>
    <hyperlink r:id="rId8" ref="E6"/>
    <hyperlink r:id="rId9" ref="D7"/>
    <hyperlink r:id="rId10" ref="E7"/>
    <hyperlink r:id="rId11" ref="E8"/>
    <hyperlink r:id="rId12" ref="E9"/>
    <hyperlink r:id="rId13" ref="E10"/>
    <hyperlink r:id="rId14" ref="D11"/>
    <hyperlink r:id="rId15" ref="E11"/>
    <hyperlink r:id="rId16" ref="D12"/>
    <hyperlink r:id="rId17" ref="E12"/>
    <hyperlink r:id="rId18" ref="D13"/>
    <hyperlink r:id="rId19" ref="E13"/>
    <hyperlink r:id="rId20" ref="D14"/>
    <hyperlink r:id="rId21" ref="E14"/>
    <hyperlink r:id="rId22" ref="D15"/>
    <hyperlink r:id="rId23" ref="E15"/>
    <hyperlink r:id="rId24" ref="D16"/>
    <hyperlink r:id="rId25" ref="E16"/>
    <hyperlink r:id="rId26" ref="D17"/>
    <hyperlink r:id="rId27" ref="E17"/>
    <hyperlink r:id="rId28" ref="D18"/>
    <hyperlink r:id="rId29" ref="E18"/>
    <hyperlink r:id="rId30" ref="D19"/>
    <hyperlink r:id="rId31" ref="E19"/>
    <hyperlink r:id="rId32" ref="D20"/>
    <hyperlink r:id="rId33" ref="E20"/>
    <hyperlink r:id="rId34" ref="D21"/>
    <hyperlink r:id="rId35" ref="E21"/>
    <hyperlink r:id="rId36" ref="D22"/>
    <hyperlink r:id="rId37" ref="E22"/>
    <hyperlink r:id="rId38" ref="D23"/>
    <hyperlink r:id="rId39" ref="E23"/>
    <hyperlink r:id="rId40" ref="D24"/>
    <hyperlink r:id="rId41" ref="E24"/>
    <hyperlink r:id="rId42" ref="D25"/>
    <hyperlink r:id="rId43" ref="E25"/>
    <hyperlink r:id="rId44" ref="D26"/>
    <hyperlink r:id="rId45" ref="E26"/>
    <hyperlink r:id="rId46" ref="D27"/>
    <hyperlink r:id="rId47" ref="E27"/>
    <hyperlink r:id="rId48" ref="E28"/>
    <hyperlink r:id="rId49" ref="E29"/>
    <hyperlink r:id="rId50" ref="D30"/>
    <hyperlink r:id="rId51" ref="E30"/>
    <hyperlink r:id="rId52" ref="D31"/>
    <hyperlink r:id="rId53" ref="E31"/>
    <hyperlink r:id="rId54" ref="D32"/>
    <hyperlink r:id="rId55" ref="D33"/>
    <hyperlink r:id="rId56" ref="E33"/>
    <hyperlink r:id="rId57" ref="E34"/>
    <hyperlink r:id="rId58" ref="E35"/>
    <hyperlink r:id="rId59" ref="D36"/>
    <hyperlink r:id="rId60" ref="E36"/>
    <hyperlink r:id="rId61" ref="D37"/>
    <hyperlink r:id="rId62" ref="E37"/>
    <hyperlink r:id="rId63" ref="D38"/>
    <hyperlink r:id="rId64" ref="E38"/>
    <hyperlink r:id="rId65" ref="D39"/>
    <hyperlink r:id="rId66" ref="E39"/>
    <hyperlink r:id="rId67" ref="D40"/>
    <hyperlink r:id="rId68" ref="E40"/>
    <hyperlink r:id="rId69" ref="D41"/>
    <hyperlink r:id="rId70" ref="E41"/>
    <hyperlink r:id="rId71" ref="D42"/>
    <hyperlink r:id="rId72" ref="E42"/>
    <hyperlink r:id="rId73" ref="D43"/>
    <hyperlink r:id="rId74" ref="E43"/>
    <hyperlink r:id="rId75" ref="D44"/>
    <hyperlink r:id="rId76" ref="E44"/>
    <hyperlink r:id="rId77" ref="D45"/>
    <hyperlink r:id="rId78" ref="E45"/>
    <hyperlink r:id="rId79" ref="D46"/>
    <hyperlink r:id="rId80" ref="E46"/>
    <hyperlink r:id="rId81" ref="D47"/>
    <hyperlink r:id="rId82" ref="E47"/>
    <hyperlink r:id="rId83" ref="E48"/>
    <hyperlink r:id="rId84" ref="E49"/>
    <hyperlink r:id="rId85" ref="E50"/>
    <hyperlink r:id="rId86" ref="D51"/>
    <hyperlink r:id="rId87" ref="E51"/>
    <hyperlink r:id="rId88" ref="D52"/>
    <hyperlink r:id="rId89" ref="E52"/>
    <hyperlink r:id="rId90" ref="D53"/>
    <hyperlink r:id="rId91" ref="E53"/>
    <hyperlink r:id="rId92" ref="D54"/>
    <hyperlink r:id="rId93" ref="E54"/>
    <hyperlink r:id="rId94" ref="D55"/>
    <hyperlink r:id="rId95" ref="E55"/>
    <hyperlink r:id="rId96" ref="D56"/>
    <hyperlink r:id="rId97" ref="E56"/>
    <hyperlink r:id="rId98" ref="D57"/>
    <hyperlink r:id="rId99" ref="E57"/>
    <hyperlink r:id="rId100" ref="D58"/>
    <hyperlink r:id="rId101" ref="E58"/>
    <hyperlink r:id="rId102" ref="D59"/>
    <hyperlink r:id="rId103" ref="E59"/>
  </hyperlinks>
  <drawing r:id="rId104"/>
</worksheet>
</file>